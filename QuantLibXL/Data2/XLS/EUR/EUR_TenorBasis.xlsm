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-15" yWindow="-15" windowWidth="15240" windowHeight="7560" activeTab="2"/>
  </bookViews>
  <sheets>
    <sheet name="General Settings" sheetId="4" r:id="rId1"/>
    <sheet name="3M Delta" sheetId="1" r:id="rId2"/>
    <sheet name="6M Delta" sheetId="5" r:id="rId3"/>
  </sheets>
  <externalReferences>
    <externalReference r:id="rId4"/>
  </externalReferences>
  <definedNames>
    <definedName name="AllTriggers">'General Settings'!$I$4:$I$8</definedName>
    <definedName name="Calendar">'General Settings'!$D$5</definedName>
    <definedName name="Currency">'General Settings'!$D$4</definedName>
    <definedName name="DataTable" localSheetId="1">'3M Delta'!$A$3:$J$16</definedName>
    <definedName name="DataTable" localSheetId="2">'6M Delta'!$A$3:$J$16</definedName>
    <definedName name="DayCounter">'General Settings'!$D$9</definedName>
    <definedName name="EvaluationDate">'General Settings'!$I$5</definedName>
    <definedName name="IborType">'General Settings'!$D$6</definedName>
    <definedName name="Index" localSheetId="1">'3M Delta'!$M$4</definedName>
    <definedName name="Index" localSheetId="2">'6M Delta'!$M$4</definedName>
    <definedName name="OisCurve">'General Settings'!$D$8</definedName>
    <definedName name="SettlementDate">'General Settings'!$I$6</definedName>
    <definedName name="solver_adj" localSheetId="2" hidden="1">'6M Delta'!$M$6:$M$9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'6M Delta'!$M$8</definedName>
    <definedName name="solver_lhs2" localSheetId="2" hidden="1">'6M Delta'!$M$8</definedName>
    <definedName name="solver_lhs3" localSheetId="2" hidden="1">'6M Delta'!$M$8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'6M Delta'!$M$12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el3" localSheetId="2" hidden="1">3</definedName>
    <definedName name="solver_rhs1" localSheetId="2" hidden="1">0</definedName>
    <definedName name="solver_rhs2" localSheetId="2" hidden="1">0</definedName>
    <definedName name="solver_rhs3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rigger">'General Settings'!$I$4</definedName>
  </definedNames>
  <calcPr calcId="145621"/>
</workbook>
</file>

<file path=xl/calcChain.xml><?xml version="1.0" encoding="utf-8"?>
<calcChain xmlns="http://schemas.openxmlformats.org/spreadsheetml/2006/main">
  <c r="I8" i="4" l="1"/>
  <c r="P3" i="5" l="1"/>
  <c r="P4" i="5"/>
  <c r="M10" i="5"/>
  <c r="E16" i="1" l="1"/>
  <c r="E15" i="1"/>
  <c r="E14" i="1"/>
  <c r="E13" i="1"/>
  <c r="E12" i="1"/>
  <c r="E11" i="1"/>
  <c r="E10" i="1"/>
  <c r="E16" i="5"/>
  <c r="E15" i="5"/>
  <c r="E14" i="5"/>
  <c r="E13" i="5"/>
  <c r="E12" i="5"/>
  <c r="E11" i="5"/>
  <c r="E10" i="5"/>
  <c r="A16" i="1"/>
  <c r="A13" i="1"/>
  <c r="A12" i="1"/>
  <c r="A15" i="1"/>
  <c r="A14" i="1"/>
  <c r="A11" i="1"/>
  <c r="A10" i="1"/>
  <c r="P5" i="5"/>
  <c r="A12" i="5"/>
  <c r="A10" i="5"/>
  <c r="A16" i="5"/>
  <c r="A13" i="5"/>
  <c r="A14" i="5"/>
  <c r="A11" i="5"/>
  <c r="A15" i="5"/>
  <c r="B10" i="1"/>
  <c r="B12" i="5"/>
  <c r="B11" i="5"/>
  <c r="B12" i="1"/>
  <c r="B10" i="5"/>
  <c r="B11" i="1"/>
  <c r="B13" i="1" l="1"/>
  <c r="B14" i="1" s="1"/>
  <c r="B15" i="1" s="1"/>
  <c r="B16" i="1" s="1"/>
  <c r="B13" i="5"/>
  <c r="B14" i="5" s="1"/>
  <c r="B15" i="5" s="1"/>
  <c r="B16" i="5" s="1"/>
  <c r="E9" i="5"/>
  <c r="E8" i="5"/>
  <c r="E7" i="5"/>
  <c r="E6" i="5"/>
  <c r="E5" i="5"/>
  <c r="E4" i="5"/>
  <c r="E3" i="5"/>
  <c r="W2" i="5"/>
  <c r="E9" i="1"/>
  <c r="E8" i="1"/>
  <c r="E7" i="1"/>
  <c r="E6" i="1"/>
  <c r="E5" i="1"/>
  <c r="E4" i="1"/>
  <c r="E3" i="1"/>
  <c r="V2" i="1"/>
  <c r="D6" i="4"/>
  <c r="M4" i="1" s="1"/>
  <c r="A9" i="1"/>
  <c r="A8" i="1"/>
  <c r="A7" i="1"/>
  <c r="A6" i="1"/>
  <c r="A5" i="1"/>
  <c r="A4" i="1"/>
  <c r="A3" i="1"/>
  <c r="P6" i="5"/>
  <c r="A4" i="5"/>
  <c r="A5" i="5"/>
  <c r="A3" i="5"/>
  <c r="A7" i="5"/>
  <c r="A9" i="5"/>
  <c r="A8" i="5"/>
  <c r="A6" i="5"/>
  <c r="B3" i="1"/>
  <c r="B4" i="5"/>
  <c r="B5" i="5"/>
  <c r="I5" i="4"/>
  <c r="B1" i="4" s="1"/>
  <c r="B4" i="1"/>
  <c r="B5" i="1"/>
  <c r="B3" i="5"/>
  <c r="M4" i="5" l="1"/>
  <c r="Q3" i="5"/>
  <c r="B6" i="5"/>
  <c r="B7" i="5" s="1"/>
  <c r="B8" i="5" s="1"/>
  <c r="B9" i="5" s="1"/>
  <c r="B6" i="1"/>
  <c r="B7" i="1" s="1"/>
  <c r="B8" i="1" s="1"/>
  <c r="B9" i="1" s="1"/>
  <c r="P3" i="1"/>
  <c r="P7" i="5"/>
  <c r="I6" i="4"/>
  <c r="M11" i="5" s="1"/>
  <c r="Q7" i="5"/>
  <c r="Q6" i="5"/>
  <c r="Q4" i="5"/>
  <c r="Q5" i="5"/>
  <c r="M17" i="5"/>
  <c r="M16" i="5"/>
  <c r="M15" i="5"/>
  <c r="M14" i="5"/>
  <c r="M18" i="5"/>
  <c r="D16" i="1" l="1"/>
  <c r="D12" i="1"/>
  <c r="D15" i="1"/>
  <c r="D11" i="1"/>
  <c r="D14" i="1"/>
  <c r="D10" i="1"/>
  <c r="D13" i="1"/>
  <c r="D15" i="5"/>
  <c r="D11" i="5"/>
  <c r="D14" i="5"/>
  <c r="D10" i="5"/>
  <c r="D13" i="5"/>
  <c r="D16" i="5"/>
  <c r="D12" i="5"/>
  <c r="D3" i="1"/>
  <c r="D4" i="1"/>
  <c r="D5" i="1"/>
  <c r="D6" i="1"/>
  <c r="D7" i="1"/>
  <c r="D8" i="1"/>
  <c r="D9" i="1"/>
  <c r="D6" i="5"/>
  <c r="D3" i="5"/>
  <c r="D8" i="5"/>
  <c r="D7" i="5"/>
  <c r="D4" i="5"/>
  <c r="D5" i="5"/>
  <c r="D9" i="5"/>
  <c r="P8" i="5"/>
  <c r="Q8" i="5"/>
  <c r="P9" i="5"/>
  <c r="Q9" i="5"/>
  <c r="P10" i="5"/>
  <c r="R4" i="5"/>
  <c r="R5" i="5"/>
  <c r="S5" i="5"/>
  <c r="P4" i="1"/>
  <c r="R7" i="5"/>
  <c r="R3" i="5"/>
  <c r="Z3" i="5" s="1"/>
  <c r="R9" i="5"/>
  <c r="R6" i="5"/>
  <c r="T5" i="5"/>
  <c r="Q3" i="1"/>
  <c r="S3" i="5"/>
  <c r="Q4" i="1"/>
  <c r="R8" i="5"/>
  <c r="S4" i="5"/>
  <c r="R4" i="1"/>
  <c r="S7" i="5"/>
  <c r="S9" i="5"/>
  <c r="S8" i="5"/>
  <c r="T3" i="5"/>
  <c r="T7" i="5"/>
  <c r="T9" i="5"/>
  <c r="S4" i="1"/>
  <c r="S6" i="5"/>
  <c r="T4" i="5"/>
  <c r="T8" i="5"/>
  <c r="T6" i="5"/>
  <c r="Q10" i="5"/>
  <c r="R10" i="5" s="1"/>
  <c r="S10" i="5"/>
  <c r="T10" i="5" s="1"/>
  <c r="Z10" i="5"/>
  <c r="Z8" i="5"/>
  <c r="Z6" i="5"/>
  <c r="Z9" i="5"/>
  <c r="Z7" i="5"/>
  <c r="Z5" i="5"/>
  <c r="Z4" i="5"/>
  <c r="P11" i="5"/>
  <c r="AB9" i="5"/>
  <c r="AB4" i="5"/>
  <c r="AB6" i="5"/>
  <c r="AB3" i="5"/>
  <c r="AB8" i="5"/>
  <c r="AB7" i="5"/>
  <c r="R3" i="1"/>
  <c r="AB5" i="5"/>
  <c r="AB10" i="5"/>
  <c r="P5" i="1"/>
  <c r="S3" i="1"/>
  <c r="Q5" i="1"/>
  <c r="Q11" i="5"/>
  <c r="R11" i="5" s="1"/>
  <c r="AB11" i="5"/>
  <c r="S11" i="5"/>
  <c r="T11" i="5" s="1"/>
  <c r="Z11" i="5"/>
  <c r="P12" i="5"/>
  <c r="R5" i="1"/>
  <c r="P6" i="1"/>
  <c r="S5" i="1"/>
  <c r="P7" i="1"/>
  <c r="Q6" i="1"/>
  <c r="Q7" i="1"/>
  <c r="Q12" i="5"/>
  <c r="R12" i="5" s="1"/>
  <c r="AB12" i="5"/>
  <c r="S12" i="5"/>
  <c r="T12" i="5" s="1"/>
  <c r="Z12" i="5"/>
  <c r="P13" i="5"/>
  <c r="P8" i="1"/>
  <c r="R7" i="1"/>
  <c r="R6" i="1"/>
  <c r="P9" i="1"/>
  <c r="Q8" i="1"/>
  <c r="S7" i="1"/>
  <c r="S6" i="1"/>
  <c r="Q9" i="1"/>
  <c r="P10" i="1"/>
  <c r="R8" i="1"/>
  <c r="R9" i="1"/>
  <c r="Q10" i="1"/>
  <c r="P11" i="1"/>
  <c r="S8" i="1"/>
  <c r="S9" i="1"/>
  <c r="R10" i="1"/>
  <c r="P12" i="1"/>
  <c r="Q11" i="1"/>
  <c r="S10" i="1"/>
  <c r="P13" i="1"/>
  <c r="Q12" i="1"/>
  <c r="R11" i="1"/>
  <c r="Q13" i="1"/>
  <c r="P14" i="1"/>
  <c r="R12" i="1"/>
  <c r="S11" i="1"/>
  <c r="R13" i="1"/>
  <c r="Q14" i="1"/>
  <c r="P15" i="1"/>
  <c r="S12" i="1"/>
  <c r="S13" i="1"/>
  <c r="R14" i="1"/>
  <c r="Q15" i="1"/>
  <c r="P16" i="1"/>
  <c r="S14" i="1"/>
  <c r="R15" i="1"/>
  <c r="Q16" i="1"/>
  <c r="P17" i="1"/>
  <c r="S15" i="1"/>
  <c r="R16" i="1"/>
  <c r="Q17" i="1"/>
  <c r="P18" i="1"/>
  <c r="S16" i="1"/>
  <c r="R17" i="1"/>
  <c r="Q18" i="1"/>
  <c r="P19" i="1"/>
  <c r="S17" i="1"/>
  <c r="R18" i="1"/>
  <c r="P20" i="1"/>
  <c r="Q19" i="1"/>
  <c r="S18" i="1"/>
  <c r="Q20" i="1"/>
  <c r="P21" i="1"/>
  <c r="R19" i="1"/>
  <c r="R20" i="1"/>
  <c r="Q21" i="1"/>
  <c r="P22" i="1"/>
  <c r="S19" i="1"/>
  <c r="S20" i="1"/>
  <c r="R21" i="1"/>
  <c r="Q22" i="1"/>
  <c r="P23" i="1"/>
  <c r="S21" i="1"/>
  <c r="R22" i="1"/>
  <c r="P24" i="1"/>
  <c r="Q23" i="1"/>
  <c r="S22" i="1"/>
  <c r="P25" i="1"/>
  <c r="Q24" i="1"/>
  <c r="R23" i="1"/>
  <c r="Q25" i="1"/>
  <c r="P26" i="1"/>
  <c r="R24" i="1"/>
  <c r="S23" i="1"/>
  <c r="R25" i="1"/>
  <c r="Q26" i="1"/>
  <c r="P27" i="1"/>
  <c r="S24" i="1"/>
  <c r="S25" i="1"/>
  <c r="R26" i="1"/>
  <c r="P28" i="1"/>
  <c r="Q27" i="1"/>
  <c r="S26" i="1"/>
  <c r="P29" i="1"/>
  <c r="Q28" i="1"/>
  <c r="R27" i="1"/>
  <c r="P30" i="1"/>
  <c r="Q29" i="1"/>
  <c r="R28" i="1"/>
  <c r="S27" i="1"/>
  <c r="P31" i="1"/>
  <c r="Q30" i="1"/>
  <c r="R29" i="1"/>
  <c r="S28" i="1"/>
  <c r="P32" i="1"/>
  <c r="Q31" i="1"/>
  <c r="R30" i="1"/>
  <c r="S29" i="1"/>
  <c r="Q32" i="1"/>
  <c r="P33" i="1"/>
  <c r="R31" i="1"/>
  <c r="S30" i="1"/>
  <c r="R32" i="1"/>
  <c r="Q33" i="1"/>
  <c r="P34" i="1"/>
  <c r="S31" i="1"/>
  <c r="S32" i="1"/>
  <c r="R33" i="1"/>
  <c r="Q34" i="1"/>
  <c r="P35" i="1"/>
  <c r="S33" i="1"/>
  <c r="R34" i="1"/>
  <c r="Q35" i="1"/>
  <c r="P36" i="1"/>
  <c r="S34" i="1"/>
  <c r="R35" i="1"/>
  <c r="P37" i="1"/>
  <c r="Q36" i="1"/>
  <c r="S35" i="1"/>
  <c r="P38" i="1"/>
  <c r="Q37" i="1"/>
  <c r="R36" i="1"/>
  <c r="Q38" i="1"/>
  <c r="P39" i="1"/>
  <c r="R37" i="1"/>
  <c r="S36" i="1"/>
  <c r="R38" i="1"/>
  <c r="P40" i="1"/>
  <c r="Q39" i="1"/>
  <c r="S37" i="1"/>
  <c r="S38" i="1"/>
  <c r="Q40" i="1"/>
  <c r="P41" i="1"/>
  <c r="R39" i="1"/>
  <c r="R40" i="1"/>
  <c r="Q41" i="1"/>
  <c r="P42" i="1"/>
  <c r="S39" i="1"/>
  <c r="S40" i="1"/>
  <c r="R41" i="1"/>
  <c r="P43" i="1"/>
  <c r="Q42" i="1"/>
  <c r="S41" i="1"/>
  <c r="Q43" i="1"/>
  <c r="P44" i="1"/>
  <c r="R42" i="1"/>
  <c r="R43" i="1"/>
  <c r="P45" i="1"/>
  <c r="Q44" i="1"/>
  <c r="S42" i="1"/>
  <c r="S43" i="1"/>
  <c r="P46" i="1"/>
  <c r="Q45" i="1"/>
  <c r="R44" i="1"/>
  <c r="P47" i="1"/>
  <c r="Q46" i="1"/>
  <c r="R45" i="1"/>
  <c r="S44" i="1"/>
  <c r="Q47" i="1"/>
  <c r="P48" i="1"/>
  <c r="R46" i="1"/>
  <c r="S45" i="1"/>
  <c r="R47" i="1"/>
  <c r="Q48" i="1"/>
  <c r="P49" i="1"/>
  <c r="S46" i="1"/>
  <c r="S47" i="1"/>
  <c r="R48" i="1"/>
  <c r="P50" i="1"/>
  <c r="Q49" i="1"/>
  <c r="S48" i="1"/>
  <c r="P51" i="1"/>
  <c r="Q50" i="1"/>
  <c r="R49" i="1"/>
  <c r="P52" i="1"/>
  <c r="Q51" i="1"/>
  <c r="R50" i="1"/>
  <c r="S49" i="1"/>
  <c r="P53" i="1"/>
  <c r="Q52" i="1"/>
  <c r="R51" i="1"/>
  <c r="S50" i="1"/>
  <c r="Q53" i="1"/>
  <c r="P54" i="1"/>
  <c r="R52" i="1"/>
  <c r="S51" i="1"/>
  <c r="R53" i="1"/>
  <c r="Q54" i="1"/>
  <c r="P55" i="1"/>
  <c r="S52" i="1"/>
  <c r="S53" i="1"/>
  <c r="R54" i="1"/>
  <c r="Q55" i="1"/>
  <c r="P56" i="1"/>
  <c r="S54" i="1"/>
  <c r="R55" i="1"/>
  <c r="P57" i="1"/>
  <c r="Q56" i="1"/>
  <c r="S55" i="1"/>
  <c r="Q57" i="1"/>
  <c r="P58" i="1"/>
  <c r="R56" i="1"/>
  <c r="R57" i="1"/>
  <c r="P59" i="1"/>
  <c r="Q58" i="1"/>
  <c r="S56" i="1"/>
  <c r="S57" i="1"/>
  <c r="Q59" i="1"/>
  <c r="P60" i="1"/>
  <c r="R58" i="1"/>
  <c r="R59" i="1"/>
  <c r="Q60" i="1"/>
  <c r="P61" i="1"/>
  <c r="S58" i="1"/>
  <c r="S59" i="1"/>
  <c r="R60" i="1"/>
  <c r="Q61" i="1"/>
  <c r="P62" i="1"/>
  <c r="S60" i="1"/>
  <c r="R61" i="1"/>
  <c r="P63" i="1"/>
  <c r="Q62" i="1"/>
  <c r="S61" i="1"/>
  <c r="Q63" i="1"/>
  <c r="P64" i="1"/>
  <c r="R62" i="1"/>
  <c r="R63" i="1"/>
  <c r="Q64" i="1"/>
  <c r="P65" i="1"/>
  <c r="S62" i="1"/>
  <c r="S63" i="1"/>
  <c r="R64" i="1"/>
  <c r="P66" i="1"/>
  <c r="Q65" i="1"/>
  <c r="S64" i="1"/>
  <c r="Q66" i="1"/>
  <c r="P67" i="1"/>
  <c r="R65" i="1"/>
  <c r="R66" i="1"/>
  <c r="Q67" i="1"/>
  <c r="P68" i="1"/>
  <c r="S65" i="1"/>
  <c r="S66" i="1"/>
  <c r="R67" i="1"/>
  <c r="P69" i="1"/>
  <c r="Q68" i="1"/>
  <c r="S67" i="1"/>
  <c r="Q69" i="1"/>
  <c r="P70" i="1"/>
  <c r="R68" i="1"/>
  <c r="R69" i="1"/>
  <c r="Q70" i="1"/>
  <c r="P71" i="1"/>
  <c r="S68" i="1"/>
  <c r="S69" i="1"/>
  <c r="R70" i="1"/>
  <c r="P72" i="1"/>
  <c r="Q71" i="1"/>
  <c r="S70" i="1"/>
  <c r="Q72" i="1"/>
  <c r="P73" i="1"/>
  <c r="R71" i="1"/>
  <c r="R72" i="1"/>
  <c r="Q73" i="1"/>
  <c r="P74" i="1"/>
  <c r="S71" i="1"/>
  <c r="S72" i="1"/>
  <c r="R73" i="1"/>
  <c r="Q74" i="1"/>
  <c r="P75" i="1"/>
  <c r="S73" i="1"/>
  <c r="R74" i="1"/>
  <c r="P76" i="1"/>
  <c r="Q75" i="1"/>
  <c r="S74" i="1"/>
  <c r="Q76" i="1"/>
  <c r="P77" i="1"/>
  <c r="R75" i="1"/>
  <c r="R76" i="1"/>
  <c r="P78" i="1"/>
  <c r="Q77" i="1"/>
  <c r="S75" i="1"/>
  <c r="S76" i="1"/>
  <c r="P79" i="1"/>
  <c r="Q78" i="1"/>
  <c r="R77" i="1"/>
  <c r="P80" i="1"/>
  <c r="Q79" i="1"/>
  <c r="R78" i="1"/>
  <c r="S77" i="1"/>
  <c r="Q80" i="1"/>
  <c r="P81" i="1"/>
  <c r="R79" i="1"/>
  <c r="S78" i="1"/>
  <c r="R80" i="1"/>
  <c r="Q81" i="1"/>
  <c r="P82" i="1"/>
  <c r="S79" i="1"/>
  <c r="S80" i="1"/>
  <c r="R81" i="1"/>
  <c r="Q82" i="1"/>
  <c r="P83" i="1"/>
  <c r="S81" i="1"/>
  <c r="R82" i="1"/>
  <c r="Q83" i="1"/>
  <c r="P84" i="1"/>
  <c r="S82" i="1"/>
  <c r="R83" i="1"/>
  <c r="P85" i="1"/>
  <c r="Q84" i="1"/>
  <c r="S83" i="1"/>
  <c r="P86" i="1"/>
  <c r="Q85" i="1"/>
  <c r="R84" i="1"/>
  <c r="P87" i="1"/>
  <c r="Q86" i="1"/>
  <c r="R85" i="1"/>
  <c r="S84" i="1"/>
  <c r="Q87" i="1"/>
  <c r="P88" i="1"/>
  <c r="R86" i="1"/>
  <c r="S85" i="1"/>
  <c r="R87" i="1"/>
  <c r="P89" i="1"/>
  <c r="Q88" i="1"/>
  <c r="S86" i="1"/>
  <c r="S87" i="1"/>
  <c r="Q89" i="1"/>
  <c r="P90" i="1"/>
  <c r="R88" i="1"/>
  <c r="R89" i="1"/>
  <c r="P91" i="1"/>
  <c r="Q90" i="1"/>
  <c r="S88" i="1"/>
  <c r="S89" i="1"/>
  <c r="Q91" i="1"/>
  <c r="P92" i="1"/>
  <c r="R90" i="1"/>
  <c r="R91" i="1"/>
  <c r="P93" i="1"/>
  <c r="Q92" i="1"/>
  <c r="S90" i="1"/>
  <c r="S91" i="1"/>
  <c r="P94" i="1"/>
  <c r="Q93" i="1"/>
  <c r="R92" i="1"/>
  <c r="P95" i="1"/>
  <c r="Q94" i="1"/>
  <c r="R93" i="1"/>
  <c r="S92" i="1"/>
  <c r="Q95" i="1"/>
  <c r="P96" i="1"/>
  <c r="R94" i="1"/>
  <c r="S93" i="1"/>
  <c r="R95" i="1"/>
  <c r="P97" i="1"/>
  <c r="Q96" i="1"/>
  <c r="S94" i="1"/>
  <c r="S95" i="1"/>
  <c r="P98" i="1"/>
  <c r="Q97" i="1"/>
  <c r="R96" i="1"/>
  <c r="P99" i="1"/>
  <c r="Q98" i="1"/>
  <c r="R97" i="1"/>
  <c r="S96" i="1"/>
  <c r="P100" i="1"/>
  <c r="Q99" i="1"/>
  <c r="R98" i="1"/>
  <c r="S97" i="1"/>
  <c r="P101" i="1"/>
  <c r="Q100" i="1"/>
  <c r="R99" i="1"/>
  <c r="S98" i="1"/>
  <c r="Q101" i="1"/>
  <c r="P102" i="1"/>
  <c r="R100" i="1"/>
  <c r="S99" i="1"/>
  <c r="R101" i="1"/>
  <c r="P103" i="1"/>
  <c r="Q102" i="1"/>
  <c r="S100" i="1"/>
  <c r="S101" i="1"/>
  <c r="Q103" i="1"/>
  <c r="P104" i="1"/>
  <c r="R102" i="1"/>
  <c r="R103" i="1"/>
  <c r="P105" i="1"/>
  <c r="Q104" i="1"/>
  <c r="S102" i="1"/>
  <c r="S103" i="1"/>
  <c r="Q105" i="1"/>
  <c r="P106" i="1"/>
  <c r="R104" i="1"/>
  <c r="R105" i="1"/>
  <c r="Q106" i="1"/>
  <c r="P107" i="1"/>
  <c r="S104" i="1"/>
  <c r="S105" i="1"/>
  <c r="R106" i="1"/>
  <c r="P108" i="1"/>
  <c r="Q107" i="1"/>
  <c r="S106" i="1"/>
  <c r="Q108" i="1"/>
  <c r="P109" i="1"/>
  <c r="R107" i="1"/>
  <c r="R108" i="1"/>
  <c r="Q109" i="1"/>
  <c r="P110" i="1"/>
  <c r="S107" i="1"/>
  <c r="S108" i="1"/>
  <c r="R109" i="1"/>
  <c r="P111" i="1"/>
  <c r="Q110" i="1"/>
  <c r="S109" i="1"/>
  <c r="P112" i="1"/>
  <c r="Q111" i="1"/>
  <c r="R110" i="1"/>
  <c r="Q112" i="1"/>
  <c r="P113" i="1"/>
  <c r="R111" i="1"/>
  <c r="S110" i="1"/>
  <c r="R112" i="1"/>
  <c r="Q113" i="1"/>
  <c r="P114" i="1"/>
  <c r="S111" i="1"/>
  <c r="S112" i="1"/>
  <c r="R113" i="1"/>
  <c r="Q114" i="1"/>
  <c r="P115" i="1"/>
  <c r="S113" i="1"/>
  <c r="R114" i="1"/>
  <c r="P116" i="1"/>
  <c r="Q115" i="1"/>
  <c r="S114" i="1"/>
  <c r="P117" i="1"/>
  <c r="Q116" i="1"/>
  <c r="R115" i="1"/>
  <c r="P118" i="1"/>
  <c r="Q117" i="1"/>
  <c r="R116" i="1"/>
  <c r="S115" i="1"/>
  <c r="P119" i="1"/>
  <c r="Q118" i="1"/>
  <c r="R117" i="1"/>
  <c r="S116" i="1"/>
  <c r="Q119" i="1"/>
  <c r="P120" i="1"/>
  <c r="R118" i="1"/>
  <c r="S117" i="1"/>
  <c r="R119" i="1"/>
  <c r="Q120" i="1"/>
  <c r="P121" i="1"/>
  <c r="S118" i="1"/>
  <c r="S119" i="1"/>
  <c r="R120" i="1"/>
  <c r="P122" i="1"/>
  <c r="Q121" i="1"/>
  <c r="S120" i="1"/>
  <c r="Q122" i="1"/>
  <c r="P123" i="1"/>
  <c r="R121" i="1"/>
  <c r="R122" i="1"/>
  <c r="Q123" i="1"/>
  <c r="P124" i="1"/>
  <c r="S121" i="1"/>
  <c r="S122" i="1"/>
  <c r="R123" i="1"/>
  <c r="P125" i="1"/>
  <c r="Q124" i="1"/>
  <c r="S123" i="1"/>
  <c r="Q125" i="1"/>
  <c r="P126" i="1"/>
  <c r="R124" i="1"/>
  <c r="R125" i="1"/>
  <c r="Q126" i="1"/>
  <c r="P127" i="1"/>
  <c r="S124" i="1"/>
  <c r="S125" i="1"/>
  <c r="R126" i="1"/>
  <c r="Q127" i="1"/>
  <c r="P128" i="1"/>
  <c r="S126" i="1"/>
  <c r="R127" i="1"/>
  <c r="Q128" i="1"/>
  <c r="P129" i="1"/>
  <c r="S127" i="1"/>
  <c r="R128" i="1"/>
  <c r="P130" i="1"/>
  <c r="Q129" i="1"/>
  <c r="S128" i="1"/>
  <c r="Q130" i="1"/>
  <c r="P131" i="1"/>
  <c r="R129" i="1"/>
  <c r="R130" i="1"/>
  <c r="P132" i="1"/>
  <c r="Q131" i="1"/>
  <c r="S129" i="1"/>
  <c r="S130" i="1"/>
  <c r="P133" i="1"/>
  <c r="Q132" i="1"/>
  <c r="R131" i="1"/>
  <c r="Q133" i="1"/>
  <c r="P134" i="1"/>
  <c r="R132" i="1"/>
  <c r="S131" i="1"/>
  <c r="R133" i="1"/>
  <c r="P135" i="1"/>
  <c r="Q134" i="1"/>
  <c r="S132" i="1"/>
  <c r="S133" i="1"/>
  <c r="Q135" i="1"/>
  <c r="P136" i="1"/>
  <c r="R134" i="1"/>
  <c r="R135" i="1"/>
  <c r="Q136" i="1"/>
  <c r="P137" i="1"/>
  <c r="S134" i="1"/>
  <c r="S135" i="1"/>
  <c r="R136" i="1"/>
  <c r="Q137" i="1"/>
  <c r="P138" i="1"/>
  <c r="S136" i="1"/>
  <c r="R137" i="1"/>
  <c r="Q138" i="1"/>
  <c r="P139" i="1"/>
  <c r="S137" i="1"/>
  <c r="R138" i="1"/>
  <c r="P140" i="1"/>
  <c r="Q139" i="1"/>
  <c r="S138" i="1"/>
  <c r="P141" i="1"/>
  <c r="Q140" i="1"/>
  <c r="R139" i="1"/>
  <c r="P142" i="1"/>
  <c r="Q141" i="1"/>
  <c r="R140" i="1"/>
  <c r="S139" i="1"/>
  <c r="P143" i="1"/>
  <c r="Q142" i="1"/>
  <c r="R141" i="1"/>
  <c r="S140" i="1"/>
  <c r="P144" i="1"/>
  <c r="Q143" i="1"/>
  <c r="R142" i="1"/>
  <c r="S141" i="1"/>
  <c r="Q144" i="1"/>
  <c r="P145" i="1"/>
  <c r="R143" i="1"/>
  <c r="S142" i="1"/>
  <c r="R144" i="1"/>
  <c r="P146" i="1"/>
  <c r="Q145" i="1"/>
  <c r="S143" i="1"/>
  <c r="S144" i="1"/>
  <c r="P147" i="1"/>
  <c r="Q146" i="1"/>
  <c r="R145" i="1"/>
  <c r="P148" i="1"/>
  <c r="Q147" i="1"/>
  <c r="R146" i="1"/>
  <c r="S145" i="1"/>
  <c r="P149" i="1"/>
  <c r="Q148" i="1"/>
  <c r="R147" i="1"/>
  <c r="S146" i="1"/>
  <c r="P150" i="1"/>
  <c r="Q149" i="1"/>
  <c r="R148" i="1"/>
  <c r="S147" i="1"/>
  <c r="P151" i="1"/>
  <c r="Q150" i="1"/>
  <c r="R149" i="1"/>
  <c r="S148" i="1"/>
  <c r="Q151" i="1"/>
  <c r="P152" i="1"/>
  <c r="R150" i="1"/>
  <c r="S149" i="1"/>
  <c r="R151" i="1"/>
  <c r="P153" i="1"/>
  <c r="Q152" i="1"/>
  <c r="S150" i="1"/>
  <c r="S151" i="1"/>
  <c r="P154" i="1"/>
  <c r="Q153" i="1"/>
  <c r="R152" i="1"/>
  <c r="P155" i="1"/>
  <c r="Q154" i="1"/>
  <c r="R153" i="1"/>
  <c r="S152" i="1"/>
  <c r="Q155" i="1"/>
  <c r="P156" i="1"/>
  <c r="R154" i="1"/>
  <c r="S153" i="1"/>
  <c r="R155" i="1"/>
  <c r="Q156" i="1"/>
  <c r="P157" i="1"/>
  <c r="S154" i="1"/>
  <c r="S155" i="1"/>
  <c r="R156" i="1"/>
  <c r="Q157" i="1"/>
  <c r="P158" i="1"/>
  <c r="S156" i="1"/>
  <c r="R157" i="1"/>
  <c r="Q158" i="1"/>
  <c r="P159" i="1"/>
  <c r="S157" i="1"/>
  <c r="R158" i="1"/>
  <c r="Q159" i="1"/>
  <c r="P160" i="1"/>
  <c r="S158" i="1"/>
  <c r="R159" i="1"/>
  <c r="Q160" i="1"/>
  <c r="P161" i="1"/>
  <c r="S159" i="1"/>
  <c r="R160" i="1"/>
  <c r="Q161" i="1"/>
  <c r="P162" i="1"/>
  <c r="S160" i="1"/>
  <c r="R161" i="1"/>
  <c r="Q162" i="1"/>
  <c r="P163" i="1"/>
  <c r="S161" i="1"/>
  <c r="R162" i="1"/>
  <c r="Q163" i="1"/>
  <c r="P164" i="1"/>
  <c r="S162" i="1"/>
  <c r="R163" i="1"/>
  <c r="P165" i="1"/>
  <c r="Q164" i="1"/>
  <c r="S163" i="1"/>
  <c r="Q165" i="1"/>
  <c r="P166" i="1"/>
  <c r="R164" i="1"/>
  <c r="R165" i="1"/>
  <c r="Q166" i="1"/>
  <c r="P167" i="1"/>
  <c r="S164" i="1"/>
  <c r="S165" i="1"/>
  <c r="R166" i="1"/>
  <c r="P168" i="1"/>
  <c r="Q167" i="1"/>
  <c r="S166" i="1"/>
  <c r="Q168" i="1"/>
  <c r="P169" i="1"/>
  <c r="R167" i="1"/>
  <c r="R168" i="1"/>
  <c r="Q169" i="1"/>
  <c r="P170" i="1"/>
  <c r="S167" i="1"/>
  <c r="S168" i="1"/>
  <c r="R169" i="1"/>
  <c r="P171" i="1"/>
  <c r="Q170" i="1"/>
  <c r="S169" i="1"/>
  <c r="Q171" i="1"/>
  <c r="P172" i="1"/>
  <c r="R170" i="1"/>
  <c r="R171" i="1"/>
  <c r="P173" i="1"/>
  <c r="Q172" i="1"/>
  <c r="S170" i="1"/>
  <c r="S171" i="1"/>
  <c r="P174" i="1"/>
  <c r="Q173" i="1"/>
  <c r="R172" i="1"/>
  <c r="Q174" i="1"/>
  <c r="P175" i="1"/>
  <c r="R173" i="1"/>
  <c r="S172" i="1"/>
  <c r="R174" i="1"/>
  <c r="Q175" i="1"/>
  <c r="P176" i="1"/>
  <c r="S173" i="1"/>
  <c r="S174" i="1"/>
  <c r="R175" i="1"/>
  <c r="P177" i="1"/>
  <c r="Q176" i="1"/>
  <c r="S175" i="1"/>
  <c r="P178" i="1"/>
  <c r="Q177" i="1"/>
  <c r="R176" i="1"/>
  <c r="Q178" i="1"/>
  <c r="P179" i="1"/>
  <c r="R177" i="1"/>
  <c r="S176" i="1"/>
  <c r="R178" i="1"/>
  <c r="Q179" i="1"/>
  <c r="P180" i="1"/>
  <c r="S177" i="1"/>
  <c r="S178" i="1"/>
  <c r="R179" i="1"/>
  <c r="Q180" i="1"/>
  <c r="P181" i="1"/>
  <c r="S179" i="1"/>
  <c r="R180" i="1"/>
  <c r="Q181" i="1"/>
  <c r="P182" i="1"/>
  <c r="S180" i="1"/>
  <c r="R181" i="1"/>
  <c r="Q182" i="1"/>
  <c r="P183" i="1"/>
  <c r="S181" i="1"/>
  <c r="R182" i="1"/>
  <c r="Q183" i="1"/>
  <c r="P184" i="1"/>
  <c r="S182" i="1"/>
  <c r="R183" i="1"/>
  <c r="P185" i="1"/>
  <c r="Q184" i="1"/>
  <c r="S183" i="1"/>
  <c r="P186" i="1"/>
  <c r="Q185" i="1"/>
  <c r="R184" i="1"/>
  <c r="P187" i="1"/>
  <c r="Q186" i="1"/>
  <c r="R185" i="1"/>
  <c r="S184" i="1"/>
  <c r="P188" i="1"/>
  <c r="Q187" i="1"/>
  <c r="R186" i="1"/>
  <c r="S185" i="1"/>
  <c r="Q188" i="1"/>
  <c r="P189" i="1"/>
  <c r="R187" i="1"/>
  <c r="S186" i="1"/>
  <c r="R188" i="1"/>
  <c r="P190" i="1"/>
  <c r="Q189" i="1"/>
  <c r="S187" i="1"/>
  <c r="S188" i="1"/>
  <c r="Q190" i="1"/>
  <c r="P191" i="1"/>
  <c r="R189" i="1"/>
  <c r="R190" i="1"/>
  <c r="P192" i="1"/>
  <c r="Q191" i="1"/>
  <c r="S189" i="1"/>
  <c r="S190" i="1"/>
  <c r="Q192" i="1"/>
  <c r="P193" i="1"/>
  <c r="R191" i="1"/>
  <c r="R192" i="1"/>
  <c r="P194" i="1"/>
  <c r="Q193" i="1"/>
  <c r="S191" i="1"/>
  <c r="S192" i="1"/>
  <c r="P195" i="1"/>
  <c r="Q194" i="1"/>
  <c r="R193" i="1"/>
  <c r="P196" i="1"/>
  <c r="Q195" i="1"/>
  <c r="R194" i="1"/>
  <c r="S193" i="1"/>
  <c r="Q196" i="1"/>
  <c r="P197" i="1"/>
  <c r="R195" i="1"/>
  <c r="S194" i="1"/>
  <c r="R196" i="1"/>
  <c r="P198" i="1"/>
  <c r="Q197" i="1"/>
  <c r="S195" i="1"/>
  <c r="S196" i="1"/>
  <c r="P199" i="1"/>
  <c r="Q198" i="1"/>
  <c r="R197" i="1"/>
  <c r="P200" i="1"/>
  <c r="Q199" i="1"/>
  <c r="R198" i="1"/>
  <c r="S197" i="1"/>
  <c r="P201" i="1"/>
  <c r="Q200" i="1"/>
  <c r="R199" i="1"/>
  <c r="S198" i="1"/>
  <c r="Q201" i="1"/>
  <c r="P202" i="1"/>
  <c r="R200" i="1"/>
  <c r="S199" i="1"/>
  <c r="R201" i="1"/>
  <c r="P203" i="1"/>
  <c r="Q202" i="1"/>
  <c r="S200" i="1"/>
  <c r="S201" i="1"/>
  <c r="Q203" i="1"/>
  <c r="P204" i="1"/>
  <c r="R202" i="1"/>
  <c r="R203" i="1"/>
  <c r="P205" i="1"/>
  <c r="Q204" i="1"/>
  <c r="S202" i="1"/>
  <c r="S203" i="1"/>
  <c r="P206" i="1"/>
  <c r="Q205" i="1"/>
  <c r="R204" i="1"/>
  <c r="Q206" i="1"/>
  <c r="P207" i="1"/>
  <c r="R205" i="1"/>
  <c r="S204" i="1"/>
  <c r="R206" i="1"/>
  <c r="P208" i="1"/>
  <c r="Q207" i="1"/>
  <c r="S205" i="1"/>
  <c r="S206" i="1"/>
  <c r="P209" i="1"/>
  <c r="Q208" i="1"/>
  <c r="R207" i="1"/>
  <c r="P210" i="1"/>
  <c r="Q209" i="1"/>
  <c r="R208" i="1"/>
  <c r="S207" i="1"/>
  <c r="P211" i="1"/>
  <c r="Q210" i="1"/>
  <c r="R209" i="1"/>
  <c r="S208" i="1"/>
  <c r="P212" i="1"/>
  <c r="Q211" i="1"/>
  <c r="R210" i="1"/>
  <c r="S209" i="1"/>
  <c r="P213" i="1"/>
  <c r="Q212" i="1"/>
  <c r="R211" i="1"/>
  <c r="S210" i="1"/>
  <c r="Q213" i="1"/>
  <c r="P214" i="1"/>
  <c r="R212" i="1"/>
  <c r="S211" i="1"/>
  <c r="R213" i="1"/>
  <c r="Q214" i="1"/>
  <c r="P215" i="1"/>
  <c r="S212" i="1"/>
  <c r="S213" i="1"/>
  <c r="R214" i="1"/>
  <c r="P216" i="1"/>
  <c r="Q215" i="1"/>
  <c r="S214" i="1"/>
  <c r="Q216" i="1"/>
  <c r="P217" i="1"/>
  <c r="R215" i="1"/>
  <c r="R216" i="1"/>
  <c r="P218" i="1"/>
  <c r="Q217" i="1"/>
  <c r="S215" i="1"/>
  <c r="S216" i="1"/>
  <c r="P219" i="1"/>
  <c r="Q218" i="1"/>
  <c r="R217" i="1"/>
  <c r="P220" i="1"/>
  <c r="Q219" i="1"/>
  <c r="R218" i="1"/>
  <c r="S217" i="1"/>
  <c r="P221" i="1"/>
  <c r="Q220" i="1"/>
  <c r="R219" i="1"/>
  <c r="S218" i="1"/>
  <c r="Q221" i="1"/>
  <c r="P222" i="1"/>
  <c r="R220" i="1"/>
  <c r="S219" i="1"/>
  <c r="R221" i="1"/>
  <c r="P223" i="1"/>
  <c r="Q222" i="1"/>
  <c r="S220" i="1"/>
  <c r="S221" i="1"/>
  <c r="P224" i="1"/>
  <c r="Q223" i="1"/>
  <c r="R222" i="1"/>
  <c r="Q224" i="1"/>
  <c r="P225" i="1"/>
  <c r="R223" i="1"/>
  <c r="S222" i="1"/>
  <c r="R224" i="1"/>
  <c r="Q225" i="1"/>
  <c r="P226" i="1"/>
  <c r="S223" i="1"/>
  <c r="S224" i="1"/>
  <c r="R225" i="1"/>
  <c r="P227" i="1"/>
  <c r="Q226" i="1"/>
  <c r="S225" i="1"/>
  <c r="P228" i="1"/>
  <c r="Q227" i="1"/>
  <c r="R226" i="1"/>
  <c r="Q228" i="1"/>
  <c r="P229" i="1"/>
  <c r="R227" i="1"/>
  <c r="S226" i="1"/>
  <c r="R228" i="1"/>
  <c r="P230" i="1"/>
  <c r="Q229" i="1"/>
  <c r="S227" i="1"/>
  <c r="S228" i="1"/>
  <c r="Q230" i="1"/>
  <c r="P231" i="1"/>
  <c r="R229" i="1"/>
  <c r="R230" i="1"/>
  <c r="P232" i="1"/>
  <c r="Q231" i="1"/>
  <c r="S229" i="1"/>
  <c r="S230" i="1"/>
  <c r="P233" i="1"/>
  <c r="Q232" i="1"/>
  <c r="R231" i="1"/>
  <c r="Q233" i="1"/>
  <c r="P234" i="1"/>
  <c r="R232" i="1"/>
  <c r="S231" i="1"/>
  <c r="R233" i="1"/>
  <c r="Q234" i="1"/>
  <c r="P235" i="1"/>
  <c r="S232" i="1"/>
  <c r="S233" i="1"/>
  <c r="R234" i="1"/>
  <c r="Q235" i="1"/>
  <c r="P236" i="1"/>
  <c r="S234" i="1"/>
  <c r="R235" i="1"/>
  <c r="Q236" i="1"/>
  <c r="P237" i="1"/>
  <c r="S235" i="1"/>
  <c r="R236" i="1"/>
  <c r="P238" i="1"/>
  <c r="Q237" i="1"/>
  <c r="S236" i="1"/>
  <c r="Q238" i="1"/>
  <c r="P239" i="1"/>
  <c r="R237" i="1"/>
  <c r="R238" i="1"/>
  <c r="P240" i="1"/>
  <c r="Q239" i="1"/>
  <c r="S237" i="1"/>
  <c r="S238" i="1"/>
  <c r="Q240" i="1"/>
  <c r="P241" i="1"/>
  <c r="R239" i="1"/>
  <c r="R240" i="1"/>
  <c r="P242" i="1"/>
  <c r="Q241" i="1"/>
  <c r="S239" i="1"/>
  <c r="S240" i="1"/>
  <c r="P243" i="1"/>
  <c r="Q242" i="1"/>
  <c r="R241" i="1"/>
  <c r="Q243" i="1"/>
  <c r="P244" i="1"/>
  <c r="R242" i="1"/>
  <c r="S241" i="1"/>
  <c r="R243" i="1"/>
  <c r="P245" i="1"/>
  <c r="Q244" i="1"/>
  <c r="S242" i="1"/>
  <c r="S243" i="1"/>
  <c r="Q245" i="1"/>
  <c r="P246" i="1"/>
  <c r="R244" i="1"/>
  <c r="R245" i="1"/>
  <c r="P247" i="1"/>
  <c r="Q246" i="1"/>
  <c r="S244" i="1"/>
  <c r="S245" i="1"/>
  <c r="P248" i="1"/>
  <c r="Q247" i="1"/>
  <c r="R246" i="1"/>
  <c r="P249" i="1"/>
  <c r="Q248" i="1"/>
  <c r="R247" i="1"/>
  <c r="S246" i="1"/>
  <c r="Q249" i="1"/>
  <c r="P250" i="1"/>
  <c r="R248" i="1"/>
  <c r="S247" i="1"/>
  <c r="R249" i="1"/>
  <c r="Q250" i="1"/>
  <c r="P251" i="1"/>
  <c r="S248" i="1"/>
  <c r="S249" i="1"/>
  <c r="R250" i="1"/>
  <c r="P252" i="1"/>
  <c r="Q251" i="1"/>
  <c r="S250" i="1"/>
  <c r="P253" i="1"/>
  <c r="Q252" i="1"/>
  <c r="R251" i="1"/>
  <c r="P254" i="1"/>
  <c r="Q253" i="1"/>
  <c r="R252" i="1"/>
  <c r="S251" i="1"/>
  <c r="P255" i="1"/>
  <c r="Q254" i="1"/>
  <c r="R253" i="1"/>
  <c r="S252" i="1"/>
  <c r="Q255" i="1"/>
  <c r="P256" i="1"/>
  <c r="R254" i="1"/>
  <c r="S253" i="1"/>
  <c r="R255" i="1"/>
  <c r="Q256" i="1"/>
  <c r="P257" i="1"/>
  <c r="S254" i="1"/>
  <c r="S255" i="1"/>
  <c r="R256" i="1"/>
  <c r="P258" i="1"/>
  <c r="Q257" i="1"/>
  <c r="S256" i="1"/>
  <c r="Q258" i="1"/>
  <c r="P259" i="1"/>
  <c r="R257" i="1"/>
  <c r="R258" i="1"/>
  <c r="Q259" i="1"/>
  <c r="P260" i="1"/>
  <c r="S257" i="1"/>
  <c r="S258" i="1"/>
  <c r="R259" i="1"/>
  <c r="Q260" i="1"/>
  <c r="P261" i="1"/>
  <c r="S259" i="1"/>
  <c r="R260" i="1"/>
  <c r="Q261" i="1"/>
  <c r="P262" i="1"/>
  <c r="S260" i="1"/>
  <c r="R261" i="1"/>
  <c r="Q262" i="1"/>
  <c r="P263" i="1"/>
  <c r="S261" i="1"/>
  <c r="R262" i="1"/>
  <c r="P264" i="1"/>
  <c r="Q263" i="1"/>
  <c r="S262" i="1"/>
  <c r="Q264" i="1"/>
  <c r="P265" i="1"/>
  <c r="R263" i="1"/>
  <c r="R264" i="1"/>
  <c r="P266" i="1"/>
  <c r="Q265" i="1"/>
  <c r="S263" i="1"/>
  <c r="S264" i="1"/>
  <c r="Q266" i="1"/>
  <c r="P267" i="1"/>
  <c r="R265" i="1"/>
  <c r="R266" i="1"/>
  <c r="P268" i="1"/>
  <c r="Q267" i="1"/>
  <c r="S265" i="1"/>
  <c r="S266" i="1"/>
  <c r="P269" i="1"/>
  <c r="Q268" i="1"/>
  <c r="R267" i="1"/>
  <c r="P270" i="1"/>
  <c r="Q269" i="1"/>
  <c r="R268" i="1"/>
  <c r="S267" i="1"/>
  <c r="P271" i="1"/>
  <c r="Q270" i="1"/>
  <c r="R269" i="1"/>
  <c r="S268" i="1"/>
  <c r="Q271" i="1"/>
  <c r="P272" i="1"/>
  <c r="R270" i="1"/>
  <c r="S269" i="1"/>
  <c r="R271" i="1"/>
  <c r="P273" i="1"/>
  <c r="Q272" i="1"/>
  <c r="S270" i="1"/>
  <c r="S271" i="1"/>
  <c r="P274" i="1"/>
  <c r="Q273" i="1"/>
  <c r="R272" i="1"/>
  <c r="Q274" i="1"/>
  <c r="P275" i="1"/>
  <c r="R273" i="1"/>
  <c r="S272" i="1"/>
  <c r="R274" i="1"/>
  <c r="Q275" i="1"/>
  <c r="P276" i="1"/>
  <c r="S273" i="1"/>
  <c r="S274" i="1"/>
  <c r="R275" i="1"/>
  <c r="Q276" i="1"/>
  <c r="P277" i="1"/>
  <c r="S275" i="1"/>
  <c r="R276" i="1"/>
  <c r="P278" i="1"/>
  <c r="Q277" i="1"/>
  <c r="S276" i="1"/>
  <c r="Q278" i="1"/>
  <c r="P279" i="1"/>
  <c r="R277" i="1"/>
  <c r="R278" i="1"/>
  <c r="P280" i="1"/>
  <c r="Q279" i="1"/>
  <c r="S277" i="1"/>
  <c r="S278" i="1"/>
  <c r="P281" i="1"/>
  <c r="Q280" i="1"/>
  <c r="R279" i="1"/>
  <c r="P282" i="1"/>
  <c r="Q281" i="1"/>
  <c r="R280" i="1"/>
  <c r="S279" i="1"/>
  <c r="Q282" i="1"/>
  <c r="P283" i="1"/>
  <c r="R281" i="1"/>
  <c r="S280" i="1"/>
  <c r="R282" i="1"/>
  <c r="P284" i="1"/>
  <c r="Q283" i="1"/>
  <c r="S281" i="1"/>
  <c r="S282" i="1"/>
  <c r="P285" i="1"/>
  <c r="Q284" i="1"/>
  <c r="R283" i="1"/>
  <c r="Q285" i="1"/>
  <c r="P286" i="1"/>
  <c r="R284" i="1"/>
  <c r="S283" i="1"/>
  <c r="R285" i="1"/>
  <c r="Q286" i="1"/>
  <c r="P287" i="1"/>
  <c r="S284" i="1"/>
  <c r="S285" i="1"/>
  <c r="R286" i="1"/>
  <c r="Q287" i="1"/>
  <c r="P288" i="1"/>
  <c r="S286" i="1"/>
  <c r="R287" i="1"/>
  <c r="P289" i="1"/>
  <c r="Q288" i="1"/>
  <c r="S287" i="1"/>
  <c r="P290" i="1"/>
  <c r="Q289" i="1"/>
  <c r="R288" i="1"/>
  <c r="P291" i="1"/>
  <c r="Q290" i="1"/>
  <c r="R289" i="1"/>
  <c r="S288" i="1"/>
  <c r="Q291" i="1"/>
  <c r="P292" i="1"/>
  <c r="R290" i="1"/>
  <c r="S289" i="1"/>
  <c r="R291" i="1"/>
  <c r="Q292" i="1"/>
  <c r="P293" i="1"/>
  <c r="S290" i="1"/>
  <c r="S291" i="1"/>
  <c r="R292" i="1"/>
  <c r="P294" i="1"/>
  <c r="Q293" i="1"/>
  <c r="S292" i="1"/>
  <c r="P295" i="1"/>
  <c r="Q294" i="1"/>
  <c r="R293" i="1"/>
  <c r="Q295" i="1"/>
  <c r="P296" i="1"/>
  <c r="R294" i="1"/>
  <c r="S293" i="1"/>
  <c r="R295" i="1"/>
  <c r="Q296" i="1"/>
  <c r="P297" i="1"/>
  <c r="S294" i="1"/>
  <c r="S295" i="1"/>
  <c r="R296" i="1"/>
  <c r="P298" i="1"/>
  <c r="Q297" i="1"/>
  <c r="S296" i="1"/>
  <c r="P299" i="1"/>
  <c r="Q298" i="1"/>
  <c r="R297" i="1"/>
  <c r="Q299" i="1"/>
  <c r="P300" i="1"/>
  <c r="R298" i="1"/>
  <c r="S297" i="1"/>
  <c r="R299" i="1"/>
  <c r="P301" i="1"/>
  <c r="Q300" i="1"/>
  <c r="S298" i="1"/>
  <c r="S299" i="1"/>
  <c r="P302" i="1"/>
  <c r="Q301" i="1"/>
  <c r="R300" i="1"/>
  <c r="P303" i="1"/>
  <c r="Q302" i="1"/>
  <c r="R301" i="1"/>
  <c r="S300" i="1"/>
  <c r="Q303" i="1"/>
  <c r="P304" i="1"/>
  <c r="R302" i="1"/>
  <c r="S301" i="1"/>
  <c r="R303" i="1"/>
  <c r="P305" i="1"/>
  <c r="Q304" i="1"/>
  <c r="S302" i="1"/>
  <c r="S303" i="1"/>
  <c r="Q305" i="1"/>
  <c r="P306" i="1"/>
  <c r="R304" i="1"/>
  <c r="R305" i="1"/>
  <c r="P307" i="1"/>
  <c r="Q306" i="1"/>
  <c r="S304" i="1"/>
  <c r="S305" i="1"/>
  <c r="Q307" i="1"/>
  <c r="P308" i="1"/>
  <c r="R306" i="1"/>
  <c r="R307" i="1"/>
  <c r="P309" i="1"/>
  <c r="Q308" i="1"/>
  <c r="S306" i="1"/>
  <c r="S307" i="1"/>
  <c r="P310" i="1"/>
  <c r="Q309" i="1"/>
  <c r="R308" i="1"/>
  <c r="Q310" i="1"/>
  <c r="P311" i="1"/>
  <c r="R309" i="1"/>
  <c r="S308" i="1"/>
  <c r="R310" i="1"/>
  <c r="P312" i="1"/>
  <c r="Q311" i="1"/>
  <c r="S309" i="1"/>
  <c r="S310" i="1"/>
  <c r="P313" i="1"/>
  <c r="Q312" i="1"/>
  <c r="R311" i="1"/>
  <c r="Q313" i="1"/>
  <c r="P314" i="1"/>
  <c r="R312" i="1"/>
  <c r="S311" i="1"/>
  <c r="R313" i="1"/>
  <c r="P315" i="1"/>
  <c r="Q314" i="1"/>
  <c r="S312" i="1"/>
  <c r="S313" i="1"/>
  <c r="P316" i="1"/>
  <c r="Q315" i="1"/>
  <c r="R314" i="1"/>
  <c r="P317" i="1"/>
  <c r="Q316" i="1"/>
  <c r="R315" i="1"/>
  <c r="S314" i="1"/>
  <c r="Q317" i="1"/>
  <c r="P318" i="1"/>
  <c r="R316" i="1"/>
  <c r="S315" i="1"/>
  <c r="R317" i="1"/>
  <c r="P319" i="1"/>
  <c r="Q318" i="1"/>
  <c r="S316" i="1"/>
  <c r="S317" i="1"/>
  <c r="P320" i="1"/>
  <c r="Q319" i="1"/>
  <c r="R318" i="1"/>
  <c r="P321" i="1"/>
  <c r="Q320" i="1"/>
  <c r="R319" i="1"/>
  <c r="S318" i="1"/>
  <c r="P322" i="1"/>
  <c r="Q321" i="1"/>
  <c r="R320" i="1"/>
  <c r="S319" i="1"/>
  <c r="Q322" i="1"/>
  <c r="P323" i="1"/>
  <c r="R321" i="1"/>
  <c r="S320" i="1"/>
  <c r="R322" i="1"/>
  <c r="Q323" i="1"/>
  <c r="P324" i="1"/>
  <c r="S321" i="1"/>
  <c r="S322" i="1"/>
  <c r="R323" i="1"/>
  <c r="P325" i="1"/>
  <c r="Q324" i="1"/>
  <c r="S323" i="1"/>
  <c r="P326" i="1"/>
  <c r="Q325" i="1"/>
  <c r="R324" i="1"/>
  <c r="P327" i="1"/>
  <c r="Q326" i="1"/>
  <c r="R325" i="1"/>
  <c r="S324" i="1"/>
  <c r="Q327" i="1"/>
  <c r="P328" i="1"/>
  <c r="R326" i="1"/>
  <c r="S325" i="1"/>
  <c r="R327" i="1"/>
  <c r="P329" i="1"/>
  <c r="Q328" i="1"/>
  <c r="S326" i="1"/>
  <c r="S327" i="1"/>
  <c r="P330" i="1"/>
  <c r="Q329" i="1"/>
  <c r="R328" i="1"/>
  <c r="Q330" i="1"/>
  <c r="P331" i="1"/>
  <c r="R329" i="1"/>
  <c r="S328" i="1"/>
  <c r="R330" i="1"/>
  <c r="Q331" i="1"/>
  <c r="P332" i="1"/>
  <c r="S329" i="1"/>
  <c r="S330" i="1"/>
  <c r="R331" i="1"/>
  <c r="Q332" i="1"/>
  <c r="P333" i="1"/>
  <c r="S331" i="1"/>
  <c r="R332" i="1"/>
  <c r="P334" i="1"/>
  <c r="Q333" i="1"/>
  <c r="S332" i="1"/>
  <c r="P335" i="1"/>
  <c r="Q334" i="1"/>
  <c r="R333" i="1"/>
  <c r="Q335" i="1"/>
  <c r="P336" i="1"/>
  <c r="R334" i="1"/>
  <c r="S333" i="1"/>
  <c r="R335" i="1"/>
  <c r="P337" i="1"/>
  <c r="Q336" i="1"/>
  <c r="S334" i="1"/>
  <c r="S335" i="1"/>
  <c r="P338" i="1"/>
  <c r="Q337" i="1"/>
  <c r="R336" i="1"/>
  <c r="P339" i="1"/>
  <c r="Q338" i="1"/>
  <c r="R337" i="1"/>
  <c r="S336" i="1"/>
  <c r="Q339" i="1"/>
  <c r="P340" i="1"/>
  <c r="R338" i="1"/>
  <c r="S337" i="1"/>
  <c r="R339" i="1"/>
  <c r="Q340" i="1"/>
  <c r="P341" i="1"/>
  <c r="S338" i="1"/>
  <c r="S339" i="1"/>
  <c r="R340" i="1"/>
  <c r="Q341" i="1"/>
  <c r="P342" i="1"/>
  <c r="S340" i="1"/>
  <c r="R341" i="1"/>
  <c r="P343" i="1"/>
  <c r="Q342" i="1"/>
  <c r="S341" i="1"/>
  <c r="P344" i="1"/>
  <c r="Q343" i="1"/>
  <c r="R342" i="1"/>
  <c r="P345" i="1"/>
  <c r="Q344" i="1"/>
  <c r="R343" i="1"/>
  <c r="S342" i="1"/>
  <c r="P346" i="1"/>
  <c r="Q345" i="1"/>
  <c r="R344" i="1"/>
  <c r="S343" i="1"/>
  <c r="P347" i="1"/>
  <c r="Q346" i="1"/>
  <c r="R345" i="1"/>
  <c r="S344" i="1"/>
  <c r="P348" i="1"/>
  <c r="Q347" i="1"/>
  <c r="R346" i="1"/>
  <c r="S345" i="1"/>
  <c r="P349" i="1"/>
  <c r="Q348" i="1"/>
  <c r="R347" i="1"/>
  <c r="S346" i="1"/>
  <c r="P350" i="1"/>
  <c r="Q349" i="1"/>
  <c r="R348" i="1"/>
  <c r="S347" i="1"/>
  <c r="P351" i="1"/>
  <c r="Q350" i="1"/>
  <c r="R349" i="1"/>
  <c r="S348" i="1"/>
  <c r="Q351" i="1"/>
  <c r="P352" i="1"/>
  <c r="R350" i="1"/>
  <c r="S349" i="1"/>
  <c r="R351" i="1"/>
  <c r="P353" i="1"/>
  <c r="Q352" i="1"/>
  <c r="S350" i="1"/>
  <c r="S351" i="1"/>
  <c r="P354" i="1"/>
  <c r="Q353" i="1"/>
  <c r="R352" i="1"/>
  <c r="P355" i="1"/>
  <c r="Q354" i="1"/>
  <c r="R353" i="1"/>
  <c r="S352" i="1"/>
  <c r="P356" i="1"/>
  <c r="Q355" i="1"/>
  <c r="R354" i="1"/>
  <c r="S353" i="1"/>
  <c r="Q356" i="1"/>
  <c r="P357" i="1"/>
  <c r="R355" i="1"/>
  <c r="S354" i="1"/>
  <c r="R356" i="1"/>
  <c r="Q357" i="1"/>
  <c r="P358" i="1"/>
  <c r="S355" i="1"/>
  <c r="S356" i="1"/>
  <c r="R357" i="1"/>
  <c r="Q358" i="1"/>
  <c r="P359" i="1"/>
  <c r="S357" i="1"/>
  <c r="R358" i="1"/>
  <c r="P360" i="1"/>
  <c r="Q359" i="1"/>
  <c r="S358" i="1"/>
  <c r="P361" i="1"/>
  <c r="Q360" i="1"/>
  <c r="R359" i="1"/>
  <c r="P362" i="1"/>
  <c r="Q361" i="1"/>
  <c r="R360" i="1"/>
  <c r="S359" i="1"/>
  <c r="Q362" i="1"/>
  <c r="P363" i="1"/>
  <c r="R361" i="1"/>
  <c r="S360" i="1"/>
  <c r="R362" i="1"/>
  <c r="Q363" i="1"/>
  <c r="P364" i="1"/>
  <c r="S361" i="1"/>
  <c r="S362" i="1"/>
  <c r="R363" i="1"/>
  <c r="Q364" i="1"/>
  <c r="P365" i="1"/>
  <c r="S363" i="1"/>
  <c r="R364" i="1"/>
  <c r="P366" i="1"/>
  <c r="Q365" i="1"/>
  <c r="S364" i="1"/>
  <c r="P367" i="1"/>
  <c r="Q366" i="1"/>
  <c r="R365" i="1"/>
  <c r="P368" i="1"/>
  <c r="Q367" i="1"/>
  <c r="R366" i="1"/>
  <c r="S365" i="1"/>
  <c r="P369" i="1"/>
  <c r="Q368" i="1"/>
  <c r="R367" i="1"/>
  <c r="S366" i="1"/>
  <c r="P370" i="1"/>
  <c r="Q369" i="1"/>
  <c r="R368" i="1"/>
  <c r="S367" i="1"/>
  <c r="Q370" i="1"/>
  <c r="P371" i="1"/>
  <c r="R369" i="1"/>
  <c r="S368" i="1"/>
  <c r="R370" i="1"/>
  <c r="Q371" i="1"/>
  <c r="P372" i="1"/>
  <c r="S369" i="1"/>
  <c r="S370" i="1"/>
  <c r="R371" i="1"/>
  <c r="Q372" i="1"/>
  <c r="P373" i="1"/>
  <c r="S371" i="1"/>
  <c r="R372" i="1"/>
  <c r="Q373" i="1"/>
  <c r="P374" i="1"/>
  <c r="S372" i="1"/>
  <c r="R373" i="1"/>
  <c r="P375" i="1"/>
  <c r="Q374" i="1"/>
  <c r="S373" i="1"/>
  <c r="P376" i="1"/>
  <c r="Q375" i="1"/>
  <c r="R374" i="1"/>
  <c r="P377" i="1"/>
  <c r="Q376" i="1"/>
  <c r="R375" i="1"/>
  <c r="S374" i="1"/>
  <c r="Q377" i="1"/>
  <c r="P378" i="1"/>
  <c r="R376" i="1"/>
  <c r="S375" i="1"/>
  <c r="R377" i="1"/>
  <c r="Q378" i="1"/>
  <c r="P379" i="1"/>
  <c r="S376" i="1"/>
  <c r="S377" i="1"/>
  <c r="R378" i="1"/>
  <c r="Q379" i="1"/>
  <c r="P380" i="1"/>
  <c r="S378" i="1"/>
  <c r="R379" i="1"/>
  <c r="Q380" i="1"/>
  <c r="P381" i="1"/>
  <c r="S379" i="1"/>
  <c r="R380" i="1"/>
  <c r="P382" i="1"/>
  <c r="Q381" i="1"/>
  <c r="S380" i="1"/>
  <c r="Q382" i="1"/>
  <c r="P383" i="1"/>
  <c r="R381" i="1"/>
  <c r="R382" i="1"/>
  <c r="Q383" i="1"/>
  <c r="P384" i="1"/>
  <c r="S381" i="1"/>
  <c r="S382" i="1"/>
  <c r="R383" i="1"/>
  <c r="Q384" i="1"/>
  <c r="P385" i="1"/>
  <c r="S383" i="1"/>
  <c r="R384" i="1"/>
  <c r="Q385" i="1"/>
  <c r="P386" i="1"/>
  <c r="S384" i="1"/>
  <c r="R385" i="1"/>
  <c r="Q386" i="1"/>
  <c r="P387" i="1"/>
  <c r="S385" i="1"/>
  <c r="R386" i="1"/>
  <c r="P388" i="1"/>
  <c r="Q387" i="1"/>
  <c r="S386" i="1"/>
  <c r="Q388" i="1"/>
  <c r="P389" i="1"/>
  <c r="R387" i="1"/>
  <c r="R388" i="1"/>
  <c r="Q389" i="1"/>
  <c r="P390" i="1"/>
  <c r="S387" i="1"/>
  <c r="S388" i="1"/>
  <c r="R389" i="1"/>
  <c r="P391" i="1"/>
  <c r="Q390" i="1"/>
  <c r="S389" i="1"/>
  <c r="Q391" i="1"/>
  <c r="P392" i="1"/>
  <c r="R390" i="1"/>
  <c r="R391" i="1"/>
  <c r="P393" i="1"/>
  <c r="Q392" i="1"/>
  <c r="S390" i="1"/>
  <c r="S391" i="1"/>
  <c r="Q393" i="1"/>
  <c r="P394" i="1"/>
  <c r="R392" i="1"/>
  <c r="R393" i="1"/>
  <c r="Q394" i="1"/>
  <c r="P395" i="1"/>
  <c r="S392" i="1"/>
  <c r="S393" i="1"/>
  <c r="R394" i="1"/>
  <c r="P396" i="1"/>
  <c r="Q395" i="1"/>
  <c r="S394" i="1"/>
  <c r="P397" i="1"/>
  <c r="Q396" i="1"/>
  <c r="R395" i="1"/>
  <c r="Q397" i="1"/>
  <c r="P398" i="1"/>
  <c r="R396" i="1"/>
  <c r="S395" i="1"/>
  <c r="R397" i="1"/>
  <c r="P399" i="1"/>
  <c r="Q398" i="1"/>
  <c r="S396" i="1"/>
  <c r="S397" i="1"/>
  <c r="Q399" i="1"/>
  <c r="P400" i="1"/>
  <c r="R398" i="1"/>
  <c r="R399" i="1"/>
  <c r="P401" i="1"/>
  <c r="Q400" i="1"/>
  <c r="S398" i="1"/>
  <c r="S399" i="1"/>
  <c r="Q401" i="1"/>
  <c r="P402" i="1"/>
  <c r="R400" i="1"/>
  <c r="R401" i="1"/>
  <c r="Q402" i="1"/>
  <c r="P403" i="1"/>
  <c r="S400" i="1"/>
  <c r="S401" i="1"/>
  <c r="R402" i="1"/>
  <c r="Q403" i="1"/>
  <c r="P404" i="1"/>
  <c r="S402" i="1"/>
  <c r="R403" i="1"/>
  <c r="P405" i="1"/>
  <c r="Q404" i="1"/>
  <c r="S403" i="1"/>
  <c r="Q405" i="1"/>
  <c r="P406" i="1"/>
  <c r="R404" i="1"/>
  <c r="R405" i="1"/>
  <c r="P407" i="1"/>
  <c r="Q406" i="1"/>
  <c r="S404" i="1"/>
  <c r="S405" i="1"/>
  <c r="P408" i="1"/>
  <c r="Q407" i="1"/>
  <c r="R406" i="1"/>
  <c r="Q408" i="1"/>
  <c r="P409" i="1"/>
  <c r="R407" i="1"/>
  <c r="S406" i="1"/>
  <c r="R408" i="1"/>
  <c r="P410" i="1"/>
  <c r="Q409" i="1"/>
  <c r="S407" i="1"/>
  <c r="S408" i="1"/>
  <c r="Q410" i="1"/>
  <c r="P411" i="1"/>
  <c r="R409" i="1"/>
  <c r="R410" i="1"/>
  <c r="P412" i="1"/>
  <c r="Q411" i="1"/>
  <c r="S409" i="1"/>
  <c r="S410" i="1"/>
  <c r="Q412" i="1"/>
  <c r="P413" i="1"/>
  <c r="R411" i="1"/>
  <c r="R412" i="1"/>
  <c r="Q413" i="1"/>
  <c r="P414" i="1"/>
  <c r="S411" i="1"/>
  <c r="S412" i="1"/>
  <c r="R413" i="1"/>
  <c r="Q414" i="1"/>
  <c r="P415" i="1"/>
  <c r="S413" i="1"/>
  <c r="R414" i="1"/>
  <c r="Q415" i="1"/>
  <c r="P416" i="1"/>
  <c r="S414" i="1"/>
  <c r="R415" i="1"/>
  <c r="Q416" i="1"/>
  <c r="P417" i="1"/>
  <c r="S415" i="1"/>
  <c r="R416" i="1"/>
  <c r="P418" i="1"/>
  <c r="Q417" i="1"/>
  <c r="S416" i="1"/>
  <c r="P419" i="1"/>
  <c r="Q418" i="1"/>
  <c r="R417" i="1"/>
  <c r="P420" i="1"/>
  <c r="Q419" i="1"/>
  <c r="R418" i="1"/>
  <c r="S417" i="1"/>
  <c r="P421" i="1"/>
  <c r="Q420" i="1"/>
  <c r="R419" i="1"/>
  <c r="S418" i="1"/>
  <c r="P422" i="1"/>
  <c r="Q421" i="1"/>
  <c r="R420" i="1"/>
  <c r="S419" i="1"/>
  <c r="P423" i="1"/>
  <c r="Q422" i="1"/>
  <c r="R421" i="1"/>
  <c r="S420" i="1"/>
  <c r="P424" i="1"/>
  <c r="Q423" i="1"/>
  <c r="R422" i="1"/>
  <c r="S421" i="1"/>
  <c r="P425" i="1"/>
  <c r="Q424" i="1"/>
  <c r="R423" i="1"/>
  <c r="S422" i="1"/>
  <c r="Q425" i="1"/>
  <c r="P426" i="1"/>
  <c r="R424" i="1"/>
  <c r="S423" i="1"/>
  <c r="R425" i="1"/>
  <c r="Q426" i="1"/>
  <c r="P427" i="1"/>
  <c r="S424" i="1"/>
  <c r="S425" i="1"/>
  <c r="R426" i="1"/>
  <c r="P428" i="1"/>
  <c r="Q427" i="1"/>
  <c r="S426" i="1"/>
  <c r="P429" i="1"/>
  <c r="Q428" i="1"/>
  <c r="R427" i="1"/>
  <c r="P430" i="1"/>
  <c r="Q429" i="1"/>
  <c r="R428" i="1"/>
  <c r="S427" i="1"/>
  <c r="Q430" i="1"/>
  <c r="P431" i="1"/>
  <c r="R429" i="1"/>
  <c r="S428" i="1"/>
  <c r="R430" i="1"/>
  <c r="P432" i="1"/>
  <c r="Q431" i="1"/>
  <c r="S429" i="1"/>
  <c r="S430" i="1"/>
  <c r="P433" i="1"/>
  <c r="Q432" i="1"/>
  <c r="R431" i="1"/>
  <c r="P434" i="1"/>
  <c r="Q433" i="1"/>
  <c r="R432" i="1"/>
  <c r="S431" i="1"/>
  <c r="P435" i="1"/>
  <c r="Q434" i="1"/>
  <c r="R433" i="1"/>
  <c r="S432" i="1"/>
  <c r="Q435" i="1"/>
  <c r="P436" i="1"/>
  <c r="R434" i="1"/>
  <c r="S433" i="1"/>
  <c r="R435" i="1"/>
  <c r="P437" i="1"/>
  <c r="Q436" i="1"/>
  <c r="S434" i="1"/>
  <c r="S435" i="1"/>
  <c r="P438" i="1"/>
  <c r="Q437" i="1"/>
  <c r="R436" i="1"/>
  <c r="P439" i="1"/>
  <c r="Q438" i="1"/>
  <c r="R437" i="1"/>
  <c r="S436" i="1"/>
  <c r="P440" i="1"/>
  <c r="Q439" i="1"/>
  <c r="R438" i="1"/>
  <c r="S437" i="1"/>
  <c r="Q440" i="1"/>
  <c r="P441" i="1"/>
  <c r="R439" i="1"/>
  <c r="S438" i="1"/>
  <c r="R440" i="1"/>
  <c r="Q441" i="1"/>
  <c r="P442" i="1"/>
  <c r="S439" i="1"/>
  <c r="S440" i="1"/>
  <c r="R441" i="1"/>
  <c r="Q442" i="1"/>
  <c r="P443" i="1"/>
  <c r="S441" i="1"/>
  <c r="R442" i="1"/>
  <c r="P444" i="1"/>
  <c r="Q443" i="1"/>
  <c r="S442" i="1"/>
  <c r="P445" i="1"/>
  <c r="Q444" i="1"/>
  <c r="R443" i="1"/>
  <c r="Q445" i="1"/>
  <c r="P446" i="1"/>
  <c r="R444" i="1"/>
  <c r="S443" i="1"/>
  <c r="R445" i="1"/>
  <c r="P447" i="1"/>
  <c r="Q446" i="1"/>
  <c r="S444" i="1"/>
  <c r="S445" i="1"/>
  <c r="Q447" i="1"/>
  <c r="P448" i="1"/>
  <c r="R446" i="1"/>
  <c r="R447" i="1"/>
  <c r="P449" i="1"/>
  <c r="Q448" i="1"/>
  <c r="S446" i="1"/>
  <c r="S447" i="1"/>
  <c r="Q449" i="1"/>
  <c r="P450" i="1"/>
  <c r="R448" i="1"/>
  <c r="R449" i="1"/>
  <c r="P451" i="1"/>
  <c r="Q450" i="1"/>
  <c r="S448" i="1"/>
  <c r="S449" i="1"/>
  <c r="P452" i="1"/>
  <c r="Q451" i="1"/>
  <c r="R450" i="1"/>
  <c r="Q452" i="1"/>
  <c r="P453" i="1"/>
  <c r="R451" i="1"/>
  <c r="S450" i="1"/>
  <c r="R452" i="1"/>
  <c r="Q453" i="1"/>
  <c r="P454" i="1"/>
  <c r="S451" i="1"/>
  <c r="S452" i="1"/>
  <c r="R453" i="1"/>
  <c r="Q454" i="1"/>
  <c r="P455" i="1"/>
  <c r="S453" i="1"/>
  <c r="R454" i="1"/>
  <c r="P456" i="1"/>
  <c r="Q455" i="1"/>
  <c r="S454" i="1"/>
  <c r="P457" i="1"/>
  <c r="Q456" i="1"/>
  <c r="R455" i="1"/>
  <c r="Q457" i="1"/>
  <c r="P458" i="1"/>
  <c r="R456" i="1"/>
  <c r="S455" i="1"/>
  <c r="R457" i="1"/>
  <c r="P459" i="1"/>
  <c r="Q458" i="1"/>
  <c r="S456" i="1"/>
  <c r="S457" i="1"/>
  <c r="Q459" i="1"/>
  <c r="P460" i="1"/>
  <c r="R458" i="1"/>
  <c r="R459" i="1"/>
  <c r="P461" i="1"/>
  <c r="Q460" i="1"/>
  <c r="S458" i="1"/>
  <c r="S459" i="1"/>
  <c r="Q461" i="1"/>
  <c r="P462" i="1"/>
  <c r="R460" i="1"/>
  <c r="R461" i="1"/>
  <c r="P463" i="1"/>
  <c r="Q462" i="1"/>
  <c r="S460" i="1"/>
  <c r="S461" i="1"/>
  <c r="P464" i="1"/>
  <c r="Q463" i="1"/>
  <c r="R462" i="1"/>
  <c r="P465" i="1"/>
  <c r="Q464" i="1"/>
  <c r="R463" i="1"/>
  <c r="S462" i="1"/>
  <c r="Q465" i="1"/>
  <c r="P466" i="1"/>
  <c r="R464" i="1"/>
  <c r="S463" i="1"/>
  <c r="R465" i="1"/>
  <c r="P467" i="1"/>
  <c r="Q466" i="1"/>
  <c r="S464" i="1"/>
  <c r="S465" i="1"/>
  <c r="P468" i="1"/>
  <c r="Q467" i="1"/>
  <c r="R466" i="1"/>
  <c r="P469" i="1"/>
  <c r="Q468" i="1"/>
  <c r="R467" i="1"/>
  <c r="S466" i="1"/>
  <c r="Q469" i="1"/>
  <c r="P470" i="1"/>
  <c r="R468" i="1"/>
  <c r="S467" i="1"/>
  <c r="R469" i="1"/>
  <c r="Q470" i="1"/>
  <c r="P471" i="1"/>
  <c r="S468" i="1"/>
  <c r="S469" i="1"/>
  <c r="R470" i="1"/>
  <c r="P472" i="1"/>
  <c r="Q471" i="1"/>
  <c r="S470" i="1"/>
  <c r="Q472" i="1"/>
  <c r="P473" i="1"/>
  <c r="R471" i="1"/>
  <c r="R472" i="1"/>
  <c r="Q473" i="1"/>
  <c r="P474" i="1"/>
  <c r="S471" i="1"/>
  <c r="S472" i="1"/>
  <c r="R473" i="1"/>
  <c r="Q474" i="1"/>
  <c r="P475" i="1"/>
  <c r="S473" i="1"/>
  <c r="R474" i="1"/>
  <c r="Q475" i="1"/>
  <c r="P476" i="1"/>
  <c r="S474" i="1"/>
  <c r="R475" i="1"/>
  <c r="Q476" i="1"/>
  <c r="P477" i="1"/>
  <c r="S475" i="1"/>
  <c r="R476" i="1"/>
  <c r="Q477" i="1"/>
  <c r="P478" i="1"/>
  <c r="S476" i="1"/>
  <c r="R477" i="1"/>
  <c r="Q478" i="1"/>
  <c r="P479" i="1"/>
  <c r="S477" i="1"/>
  <c r="R478" i="1"/>
  <c r="P480" i="1"/>
  <c r="Q479" i="1"/>
  <c r="S478" i="1"/>
  <c r="P481" i="1"/>
  <c r="Q480" i="1"/>
  <c r="R479" i="1"/>
  <c r="Q481" i="1"/>
  <c r="P482" i="1"/>
  <c r="R480" i="1"/>
  <c r="S479" i="1"/>
  <c r="R481" i="1"/>
  <c r="Q482" i="1"/>
  <c r="P483" i="1"/>
  <c r="S480" i="1"/>
  <c r="S481" i="1"/>
  <c r="R482" i="1"/>
  <c r="Q483" i="1"/>
  <c r="P484" i="1"/>
  <c r="S482" i="1"/>
  <c r="R483" i="1"/>
  <c r="Q484" i="1"/>
  <c r="P485" i="1"/>
  <c r="S483" i="1"/>
  <c r="R484" i="1"/>
  <c r="P486" i="1"/>
  <c r="Q485" i="1"/>
  <c r="S484" i="1"/>
  <c r="P487" i="1"/>
  <c r="Q486" i="1"/>
  <c r="R485" i="1"/>
  <c r="Q487" i="1"/>
  <c r="P488" i="1"/>
  <c r="R486" i="1"/>
  <c r="S485" i="1"/>
  <c r="R487" i="1"/>
  <c r="Q488" i="1"/>
  <c r="P489" i="1"/>
  <c r="S486" i="1"/>
  <c r="S487" i="1"/>
  <c r="R488" i="1"/>
  <c r="P490" i="1"/>
  <c r="Q489" i="1"/>
  <c r="S488" i="1"/>
  <c r="P491" i="1"/>
  <c r="Q490" i="1"/>
  <c r="R489" i="1"/>
  <c r="Q491" i="1"/>
  <c r="P492" i="1"/>
  <c r="R490" i="1"/>
  <c r="S489" i="1"/>
  <c r="R491" i="1"/>
  <c r="P493" i="1"/>
  <c r="Q492" i="1"/>
  <c r="S490" i="1"/>
  <c r="S491" i="1"/>
  <c r="P494" i="1"/>
  <c r="Q493" i="1"/>
  <c r="R492" i="1"/>
  <c r="P495" i="1"/>
  <c r="Q494" i="1"/>
  <c r="R493" i="1"/>
  <c r="S492" i="1"/>
  <c r="Q495" i="1"/>
  <c r="P496" i="1"/>
  <c r="R494" i="1"/>
  <c r="S493" i="1"/>
  <c r="R495" i="1"/>
  <c r="P497" i="1"/>
  <c r="Q496" i="1"/>
  <c r="S494" i="1"/>
  <c r="S495" i="1"/>
  <c r="Q497" i="1"/>
  <c r="P498" i="1"/>
  <c r="R496" i="1"/>
  <c r="R497" i="1"/>
  <c r="P499" i="1"/>
  <c r="Q498" i="1"/>
  <c r="S496" i="1"/>
  <c r="S497" i="1"/>
  <c r="P500" i="1"/>
  <c r="Q499" i="1"/>
  <c r="R498" i="1"/>
  <c r="P501" i="1"/>
  <c r="Q500" i="1"/>
  <c r="R499" i="1"/>
  <c r="S498" i="1"/>
  <c r="Q501" i="1"/>
  <c r="P502" i="1"/>
  <c r="R500" i="1"/>
  <c r="S499" i="1"/>
  <c r="R501" i="1"/>
  <c r="Q502" i="1"/>
  <c r="P503" i="1"/>
  <c r="S500" i="1"/>
  <c r="S501" i="1"/>
  <c r="R502" i="1"/>
  <c r="P504" i="1"/>
  <c r="Q503" i="1"/>
  <c r="S502" i="1"/>
  <c r="P505" i="1"/>
  <c r="Q504" i="1"/>
  <c r="R503" i="1"/>
  <c r="Q505" i="1"/>
  <c r="P506" i="1"/>
  <c r="R504" i="1"/>
  <c r="S503" i="1"/>
  <c r="R505" i="1"/>
  <c r="Q506" i="1"/>
  <c r="P507" i="1"/>
  <c r="S504" i="1"/>
  <c r="S505" i="1"/>
  <c r="R506" i="1"/>
  <c r="P508" i="1"/>
  <c r="Q507" i="1"/>
  <c r="S506" i="1"/>
  <c r="Q508" i="1"/>
  <c r="P509" i="1"/>
  <c r="R507" i="1"/>
  <c r="R508" i="1"/>
  <c r="Q509" i="1"/>
  <c r="P510" i="1"/>
  <c r="S507" i="1"/>
  <c r="S508" i="1"/>
  <c r="R509" i="1"/>
  <c r="P511" i="1"/>
  <c r="Q510" i="1"/>
  <c r="S509" i="1"/>
  <c r="Q511" i="1"/>
  <c r="P512" i="1"/>
  <c r="R510" i="1"/>
  <c r="R511" i="1"/>
  <c r="Q512" i="1"/>
  <c r="P513" i="1"/>
  <c r="S510" i="1"/>
  <c r="S511" i="1"/>
  <c r="R512" i="1"/>
  <c r="Q513" i="1"/>
  <c r="P514" i="1"/>
  <c r="S512" i="1"/>
  <c r="R513" i="1"/>
  <c r="Q514" i="1"/>
  <c r="P515" i="1"/>
  <c r="S513" i="1"/>
  <c r="R514" i="1"/>
  <c r="P516" i="1"/>
  <c r="Q515" i="1"/>
  <c r="S514" i="1"/>
  <c r="P517" i="1"/>
  <c r="Q516" i="1"/>
  <c r="R515" i="1"/>
  <c r="P518" i="1"/>
  <c r="Q517" i="1"/>
  <c r="R516" i="1"/>
  <c r="S515" i="1"/>
  <c r="P519" i="1"/>
  <c r="Q518" i="1"/>
  <c r="R517" i="1"/>
  <c r="S516" i="1"/>
  <c r="P520" i="1"/>
  <c r="Q519" i="1"/>
  <c r="R518" i="1"/>
  <c r="S517" i="1"/>
  <c r="Q520" i="1"/>
  <c r="P521" i="1"/>
  <c r="R519" i="1"/>
  <c r="S518" i="1"/>
  <c r="R520" i="1"/>
  <c r="Q521" i="1"/>
  <c r="P522" i="1"/>
  <c r="S519" i="1"/>
  <c r="S520" i="1"/>
  <c r="R521" i="1"/>
  <c r="P523" i="1"/>
  <c r="Q522" i="1"/>
  <c r="S521" i="1"/>
  <c r="P524" i="1"/>
  <c r="Q523" i="1"/>
  <c r="R522" i="1"/>
  <c r="P525" i="1"/>
  <c r="Q524" i="1"/>
  <c r="R523" i="1"/>
  <c r="S522" i="1"/>
  <c r="P526" i="1"/>
  <c r="Q525" i="1"/>
  <c r="R524" i="1"/>
  <c r="S523" i="1"/>
  <c r="P527" i="1"/>
  <c r="Q526" i="1"/>
  <c r="R525" i="1"/>
  <c r="S524" i="1"/>
  <c r="P528" i="1"/>
  <c r="Q527" i="1"/>
  <c r="R526" i="1"/>
  <c r="S525" i="1"/>
  <c r="Q528" i="1"/>
  <c r="P529" i="1"/>
  <c r="R527" i="1"/>
  <c r="S526" i="1"/>
  <c r="R528" i="1"/>
  <c r="P530" i="1"/>
  <c r="Q529" i="1"/>
  <c r="S527" i="1"/>
  <c r="S528" i="1"/>
  <c r="Q530" i="1"/>
  <c r="P531" i="1"/>
  <c r="R529" i="1"/>
  <c r="R530" i="1"/>
  <c r="P532" i="1"/>
  <c r="Q531" i="1"/>
  <c r="S529" i="1"/>
  <c r="S530" i="1"/>
  <c r="Q532" i="1"/>
  <c r="P533" i="1"/>
  <c r="R531" i="1"/>
  <c r="R532" i="1"/>
  <c r="P534" i="1"/>
  <c r="Q533" i="1"/>
  <c r="S531" i="1"/>
  <c r="S532" i="1"/>
  <c r="P535" i="1"/>
  <c r="Q534" i="1"/>
  <c r="R533" i="1"/>
  <c r="P536" i="1"/>
  <c r="Q535" i="1"/>
  <c r="R534" i="1"/>
  <c r="S533" i="1"/>
  <c r="P537" i="1"/>
  <c r="Q536" i="1"/>
  <c r="R535" i="1"/>
  <c r="S534" i="1"/>
  <c r="Q537" i="1"/>
  <c r="P538" i="1"/>
  <c r="R536" i="1"/>
  <c r="S535" i="1"/>
  <c r="R537" i="1"/>
  <c r="Q538" i="1"/>
  <c r="P539" i="1"/>
  <c r="S536" i="1"/>
  <c r="S537" i="1"/>
  <c r="R538" i="1"/>
  <c r="P540" i="1"/>
  <c r="Q539" i="1"/>
  <c r="S538" i="1"/>
  <c r="P541" i="1"/>
  <c r="Q540" i="1"/>
  <c r="R539" i="1"/>
  <c r="P542" i="1"/>
  <c r="Q541" i="1"/>
  <c r="R540" i="1"/>
  <c r="S539" i="1"/>
  <c r="P543" i="1"/>
  <c r="Q542" i="1"/>
  <c r="R541" i="1"/>
  <c r="S540" i="1"/>
  <c r="P544" i="1"/>
  <c r="Q543" i="1"/>
  <c r="R542" i="1"/>
  <c r="S541" i="1"/>
  <c r="Q544" i="1"/>
  <c r="P545" i="1"/>
  <c r="R543" i="1"/>
  <c r="S542" i="1"/>
  <c r="R544" i="1"/>
  <c r="P546" i="1"/>
  <c r="Q545" i="1"/>
  <c r="S543" i="1"/>
  <c r="S544" i="1"/>
  <c r="Q546" i="1"/>
  <c r="P547" i="1"/>
  <c r="R545" i="1"/>
  <c r="R546" i="1"/>
  <c r="Q547" i="1"/>
  <c r="P548" i="1"/>
  <c r="S545" i="1"/>
  <c r="S546" i="1"/>
  <c r="R547" i="1"/>
  <c r="P549" i="1"/>
  <c r="Q548" i="1"/>
  <c r="S547" i="1"/>
  <c r="P550" i="1"/>
  <c r="Q549" i="1"/>
  <c r="R548" i="1"/>
  <c r="P551" i="1"/>
  <c r="Q550" i="1"/>
  <c r="R549" i="1"/>
  <c r="S548" i="1"/>
  <c r="P552" i="1"/>
  <c r="Q551" i="1"/>
  <c r="R550" i="1"/>
  <c r="S549" i="1"/>
  <c r="Q552" i="1"/>
  <c r="P553" i="1"/>
  <c r="R551" i="1"/>
  <c r="S550" i="1"/>
  <c r="R552" i="1"/>
  <c r="Q553" i="1"/>
  <c r="P554" i="1"/>
  <c r="S551" i="1"/>
  <c r="S552" i="1"/>
  <c r="R553" i="1"/>
  <c r="Q554" i="1"/>
  <c r="P555" i="1"/>
  <c r="S553" i="1"/>
  <c r="R554" i="1"/>
  <c r="P556" i="1"/>
  <c r="Q555" i="1"/>
  <c r="S554" i="1"/>
  <c r="P557" i="1"/>
  <c r="Q556" i="1"/>
  <c r="R555" i="1"/>
  <c r="P558" i="1"/>
  <c r="Q557" i="1"/>
  <c r="R556" i="1"/>
  <c r="S555" i="1"/>
  <c r="Q558" i="1"/>
  <c r="P559" i="1"/>
  <c r="R557" i="1"/>
  <c r="S556" i="1"/>
  <c r="R558" i="1"/>
  <c r="Q559" i="1"/>
  <c r="P560" i="1"/>
  <c r="S557" i="1"/>
  <c r="S558" i="1"/>
  <c r="R559" i="1"/>
  <c r="Q560" i="1"/>
  <c r="P561" i="1"/>
  <c r="S559" i="1"/>
  <c r="R560" i="1"/>
  <c r="Q561" i="1"/>
  <c r="P562" i="1"/>
  <c r="S560" i="1"/>
  <c r="R561" i="1"/>
  <c r="Q562" i="1"/>
  <c r="P563" i="1"/>
  <c r="S561" i="1"/>
  <c r="R562" i="1"/>
  <c r="Q563" i="1"/>
  <c r="P564" i="1"/>
  <c r="S562" i="1"/>
  <c r="R563" i="1"/>
  <c r="Q564" i="1"/>
  <c r="P565" i="1"/>
  <c r="S563" i="1"/>
  <c r="R564" i="1"/>
  <c r="P566" i="1"/>
  <c r="Q565" i="1"/>
  <c r="S564" i="1"/>
  <c r="Q566" i="1"/>
  <c r="P567" i="1"/>
  <c r="R565" i="1"/>
  <c r="R566" i="1"/>
  <c r="Q567" i="1"/>
  <c r="P568" i="1"/>
  <c r="S565" i="1"/>
  <c r="S566" i="1"/>
  <c r="R567" i="1"/>
  <c r="P569" i="1"/>
  <c r="Q568" i="1"/>
  <c r="S567" i="1"/>
  <c r="Q569" i="1"/>
  <c r="P570" i="1"/>
  <c r="R568" i="1"/>
  <c r="R569" i="1"/>
  <c r="P571" i="1"/>
  <c r="Q570" i="1"/>
  <c r="S568" i="1"/>
  <c r="S569" i="1"/>
  <c r="Q571" i="1"/>
  <c r="P572" i="1"/>
  <c r="R570" i="1"/>
  <c r="R571" i="1"/>
  <c r="P573" i="1"/>
  <c r="Q572" i="1"/>
  <c r="S570" i="1"/>
  <c r="S571" i="1"/>
  <c r="P574" i="1"/>
  <c r="Q573" i="1"/>
  <c r="R572" i="1"/>
  <c r="Q574" i="1"/>
  <c r="P575" i="1"/>
  <c r="R573" i="1"/>
  <c r="S572" i="1"/>
  <c r="R574" i="1"/>
  <c r="Q575" i="1"/>
  <c r="P576" i="1"/>
  <c r="S573" i="1"/>
  <c r="S574" i="1"/>
  <c r="R575" i="1"/>
  <c r="P577" i="1"/>
  <c r="Q576" i="1"/>
  <c r="S575" i="1"/>
  <c r="Q577" i="1"/>
  <c r="P578" i="1"/>
  <c r="R576" i="1"/>
  <c r="R577" i="1"/>
  <c r="P579" i="1"/>
  <c r="Q578" i="1"/>
  <c r="S576" i="1"/>
  <c r="S577" i="1"/>
  <c r="Q579" i="1"/>
  <c r="P580" i="1"/>
  <c r="R578" i="1"/>
  <c r="R579" i="1"/>
  <c r="P581" i="1"/>
  <c r="Q580" i="1"/>
  <c r="S578" i="1"/>
  <c r="S579" i="1"/>
  <c r="Q581" i="1"/>
  <c r="P582" i="1"/>
  <c r="R580" i="1"/>
  <c r="R581" i="1"/>
  <c r="Q582" i="1"/>
  <c r="P583" i="1"/>
  <c r="S580" i="1"/>
  <c r="S581" i="1"/>
  <c r="R582" i="1"/>
  <c r="Q583" i="1"/>
  <c r="P584" i="1"/>
  <c r="S582" i="1"/>
  <c r="R583" i="1"/>
  <c r="Q584" i="1"/>
  <c r="P585" i="1"/>
  <c r="S583" i="1"/>
  <c r="R584" i="1"/>
  <c r="P586" i="1"/>
  <c r="Q585" i="1"/>
  <c r="S584" i="1"/>
  <c r="P587" i="1"/>
  <c r="Q586" i="1"/>
  <c r="R585" i="1"/>
  <c r="Q587" i="1"/>
  <c r="P588" i="1"/>
  <c r="R586" i="1"/>
  <c r="S585" i="1"/>
  <c r="R587" i="1"/>
  <c r="P589" i="1"/>
  <c r="Q588" i="1"/>
  <c r="S586" i="1"/>
  <c r="S587" i="1"/>
  <c r="Q589" i="1"/>
  <c r="P590" i="1"/>
  <c r="R588" i="1"/>
  <c r="R589" i="1"/>
  <c r="Q590" i="1"/>
  <c r="P591" i="1"/>
  <c r="S588" i="1"/>
  <c r="S589" i="1"/>
  <c r="R590" i="1"/>
  <c r="P592" i="1"/>
  <c r="Q591" i="1"/>
  <c r="S590" i="1"/>
  <c r="P593" i="1"/>
  <c r="Q592" i="1"/>
  <c r="R591" i="1"/>
  <c r="Q593" i="1"/>
  <c r="P594" i="1"/>
  <c r="R592" i="1"/>
  <c r="S591" i="1"/>
  <c r="R593" i="1"/>
  <c r="P595" i="1"/>
  <c r="Q594" i="1"/>
  <c r="S592" i="1"/>
  <c r="S593" i="1"/>
  <c r="P596" i="1"/>
  <c r="Q595" i="1"/>
  <c r="R594" i="1"/>
  <c r="P597" i="1"/>
  <c r="Q596" i="1"/>
  <c r="R595" i="1"/>
  <c r="S594" i="1"/>
  <c r="P598" i="1"/>
  <c r="Q597" i="1"/>
  <c r="R596" i="1"/>
  <c r="S595" i="1"/>
  <c r="Q598" i="1"/>
  <c r="P599" i="1"/>
  <c r="R597" i="1"/>
  <c r="S596" i="1"/>
  <c r="R598" i="1"/>
  <c r="Q599" i="1"/>
  <c r="P600" i="1"/>
  <c r="S597" i="1"/>
  <c r="S598" i="1"/>
  <c r="R599" i="1"/>
  <c r="P601" i="1"/>
  <c r="Q600" i="1"/>
  <c r="S599" i="1"/>
  <c r="Q601" i="1"/>
  <c r="P602" i="1"/>
  <c r="R600" i="1"/>
  <c r="R601" i="1"/>
  <c r="P603" i="1"/>
  <c r="Q602" i="1"/>
  <c r="S600" i="1"/>
  <c r="S601" i="1"/>
  <c r="Q603" i="1"/>
  <c r="P604" i="1"/>
  <c r="R602" i="1"/>
  <c r="R603" i="1"/>
  <c r="P605" i="1"/>
  <c r="Q604" i="1"/>
  <c r="S602" i="1"/>
  <c r="S603" i="1"/>
  <c r="P606" i="1"/>
  <c r="Q605" i="1"/>
  <c r="R604" i="1"/>
  <c r="Q606" i="1"/>
  <c r="P607" i="1"/>
  <c r="R605" i="1"/>
  <c r="S604" i="1"/>
  <c r="R606" i="1"/>
  <c r="P608" i="1"/>
  <c r="Q607" i="1"/>
  <c r="S605" i="1"/>
  <c r="S606" i="1"/>
  <c r="P609" i="1"/>
  <c r="Q608" i="1"/>
  <c r="R607" i="1"/>
  <c r="P610" i="1"/>
  <c r="Q609" i="1"/>
  <c r="R608" i="1"/>
  <c r="S607" i="1"/>
  <c r="Q610" i="1"/>
  <c r="P611" i="1"/>
  <c r="R609" i="1"/>
  <c r="S608" i="1"/>
  <c r="R610" i="1"/>
  <c r="P612" i="1"/>
  <c r="Q611" i="1"/>
  <c r="S609" i="1"/>
  <c r="S610" i="1"/>
  <c r="Q612" i="1"/>
  <c r="P613" i="1"/>
  <c r="R611" i="1"/>
  <c r="R612" i="1"/>
  <c r="Q613" i="1"/>
  <c r="P614" i="1"/>
  <c r="S611" i="1"/>
  <c r="S612" i="1"/>
  <c r="R613" i="1"/>
  <c r="Q614" i="1"/>
  <c r="P615" i="1"/>
  <c r="S613" i="1"/>
  <c r="R614" i="1"/>
  <c r="Q615" i="1"/>
  <c r="P616" i="1"/>
  <c r="S614" i="1"/>
  <c r="R615" i="1"/>
  <c r="Q616" i="1"/>
  <c r="P617" i="1"/>
  <c r="S615" i="1"/>
  <c r="R616" i="1"/>
  <c r="Q617" i="1"/>
  <c r="P618" i="1"/>
  <c r="S616" i="1"/>
  <c r="R617" i="1"/>
  <c r="Q618" i="1"/>
  <c r="P619" i="1"/>
  <c r="S617" i="1"/>
  <c r="R618" i="1"/>
  <c r="P620" i="1"/>
  <c r="Q619" i="1"/>
  <c r="S618" i="1"/>
  <c r="P621" i="1"/>
  <c r="Q620" i="1"/>
  <c r="R619" i="1"/>
  <c r="Q621" i="1"/>
  <c r="P622" i="1"/>
  <c r="R620" i="1"/>
  <c r="S619" i="1"/>
  <c r="R621" i="1"/>
  <c r="Q622" i="1"/>
  <c r="P623" i="1"/>
  <c r="S620" i="1"/>
  <c r="S621" i="1"/>
  <c r="R622" i="1"/>
  <c r="P624" i="1"/>
  <c r="Q623" i="1"/>
  <c r="S622" i="1"/>
  <c r="Q624" i="1"/>
  <c r="P625" i="1"/>
  <c r="R623" i="1"/>
  <c r="R624" i="1"/>
  <c r="P626" i="1"/>
  <c r="Q625" i="1"/>
  <c r="S623" i="1"/>
  <c r="S624" i="1"/>
  <c r="P627" i="1"/>
  <c r="Q626" i="1"/>
  <c r="R625" i="1"/>
  <c r="P628" i="1"/>
  <c r="Q627" i="1"/>
  <c r="R626" i="1"/>
  <c r="S625" i="1"/>
  <c r="P629" i="1"/>
  <c r="Q628" i="1"/>
  <c r="R627" i="1"/>
  <c r="S626" i="1"/>
  <c r="P630" i="1"/>
  <c r="Q629" i="1"/>
  <c r="R628" i="1"/>
  <c r="S627" i="1"/>
  <c r="P631" i="1"/>
  <c r="Q630" i="1"/>
  <c r="R629" i="1"/>
  <c r="S628" i="1"/>
  <c r="Q631" i="1"/>
  <c r="P632" i="1"/>
  <c r="R630" i="1"/>
  <c r="S629" i="1"/>
  <c r="R631" i="1"/>
  <c r="Q632" i="1"/>
  <c r="P633" i="1"/>
  <c r="S630" i="1"/>
  <c r="S631" i="1"/>
  <c r="R632" i="1"/>
  <c r="Q633" i="1"/>
  <c r="P634" i="1"/>
  <c r="S632" i="1"/>
  <c r="R633" i="1"/>
  <c r="P635" i="1"/>
  <c r="Q634" i="1"/>
  <c r="S633" i="1"/>
  <c r="Q635" i="1"/>
  <c r="P636" i="1"/>
  <c r="R634" i="1"/>
  <c r="R635" i="1"/>
  <c r="Q636" i="1"/>
  <c r="P637" i="1"/>
  <c r="S634" i="1"/>
  <c r="S635" i="1"/>
  <c r="R636" i="1"/>
  <c r="P638" i="1"/>
  <c r="Q637" i="1"/>
  <c r="S636" i="1"/>
  <c r="P639" i="1"/>
  <c r="Q638" i="1"/>
  <c r="R637" i="1"/>
  <c r="P640" i="1"/>
  <c r="Q639" i="1"/>
  <c r="R638" i="1"/>
  <c r="S637" i="1"/>
  <c r="Q640" i="1"/>
  <c r="P641" i="1"/>
  <c r="R639" i="1"/>
  <c r="S638" i="1"/>
  <c r="R640" i="1"/>
  <c r="P642" i="1"/>
  <c r="Q641" i="1"/>
  <c r="S639" i="1"/>
  <c r="S640" i="1"/>
  <c r="P643" i="1"/>
  <c r="Q642" i="1"/>
  <c r="R641" i="1"/>
  <c r="P644" i="1"/>
  <c r="Q643" i="1"/>
  <c r="R642" i="1"/>
  <c r="S641" i="1"/>
  <c r="Q644" i="1"/>
  <c r="P645" i="1"/>
  <c r="R643" i="1"/>
  <c r="S642" i="1"/>
  <c r="R644" i="1"/>
  <c r="Q645" i="1"/>
  <c r="P646" i="1"/>
  <c r="S643" i="1"/>
  <c r="S644" i="1"/>
  <c r="R645" i="1"/>
  <c r="P647" i="1"/>
  <c r="Q646" i="1"/>
  <c r="S645" i="1"/>
  <c r="Q647" i="1"/>
  <c r="P648" i="1"/>
  <c r="R646" i="1"/>
  <c r="R647" i="1"/>
  <c r="Q648" i="1"/>
  <c r="P649" i="1"/>
  <c r="S646" i="1"/>
  <c r="S647" i="1"/>
  <c r="R648" i="1"/>
  <c r="P650" i="1"/>
  <c r="Q649" i="1"/>
  <c r="S648" i="1"/>
  <c r="Q650" i="1"/>
  <c r="P651" i="1"/>
  <c r="R649" i="1"/>
  <c r="R650" i="1"/>
  <c r="Q651" i="1"/>
  <c r="P652" i="1"/>
  <c r="S649" i="1"/>
  <c r="S650" i="1"/>
  <c r="R651" i="1"/>
  <c r="Q652" i="1"/>
  <c r="P653" i="1"/>
  <c r="S651" i="1"/>
  <c r="R652" i="1"/>
  <c r="P654" i="1"/>
  <c r="Q653" i="1"/>
  <c r="S652" i="1"/>
  <c r="Q654" i="1"/>
  <c r="P655" i="1"/>
  <c r="R653" i="1"/>
  <c r="R654" i="1"/>
  <c r="P656" i="1"/>
  <c r="Q655" i="1"/>
  <c r="S653" i="1"/>
  <c r="S654" i="1"/>
  <c r="Q656" i="1"/>
  <c r="P657" i="1"/>
  <c r="R655" i="1"/>
  <c r="R656" i="1"/>
  <c r="P658" i="1"/>
  <c r="Q657" i="1"/>
  <c r="S655" i="1"/>
  <c r="S656" i="1"/>
  <c r="Q658" i="1"/>
  <c r="P659" i="1"/>
  <c r="R657" i="1"/>
  <c r="R658" i="1"/>
  <c r="P660" i="1"/>
  <c r="Q659" i="1"/>
  <c r="S657" i="1"/>
  <c r="S658" i="1"/>
  <c r="Q660" i="1"/>
  <c r="P661" i="1"/>
  <c r="R659" i="1"/>
  <c r="R660" i="1"/>
  <c r="P662" i="1"/>
  <c r="Q661" i="1"/>
  <c r="S659" i="1"/>
  <c r="S660" i="1"/>
  <c r="P663" i="1"/>
  <c r="Q662" i="1"/>
  <c r="R661" i="1"/>
  <c r="Q663" i="1"/>
  <c r="P664" i="1"/>
  <c r="R662" i="1"/>
  <c r="S661" i="1"/>
  <c r="R663" i="1"/>
  <c r="Q664" i="1"/>
  <c r="P665" i="1"/>
  <c r="S662" i="1"/>
  <c r="S663" i="1"/>
  <c r="R664" i="1"/>
  <c r="P666" i="1"/>
  <c r="Q665" i="1"/>
  <c r="S664" i="1"/>
  <c r="Q666" i="1"/>
  <c r="P667" i="1"/>
  <c r="R665" i="1"/>
  <c r="R666" i="1"/>
  <c r="P668" i="1"/>
  <c r="Q667" i="1"/>
  <c r="S665" i="1"/>
  <c r="S666" i="1"/>
  <c r="P669" i="1"/>
  <c r="Q668" i="1"/>
  <c r="R667" i="1"/>
  <c r="Q669" i="1"/>
  <c r="P670" i="1"/>
  <c r="R668" i="1"/>
  <c r="S667" i="1"/>
  <c r="R669" i="1"/>
  <c r="Q670" i="1"/>
  <c r="P671" i="1"/>
  <c r="S668" i="1"/>
  <c r="S669" i="1"/>
  <c r="R670" i="1"/>
  <c r="P672" i="1"/>
  <c r="Q671" i="1"/>
  <c r="S670" i="1"/>
  <c r="Q672" i="1"/>
  <c r="P673" i="1"/>
  <c r="R671" i="1"/>
  <c r="R672" i="1"/>
  <c r="Q673" i="1"/>
  <c r="P674" i="1"/>
  <c r="S671" i="1"/>
  <c r="S672" i="1"/>
  <c r="R673" i="1"/>
  <c r="P675" i="1"/>
  <c r="Q674" i="1"/>
  <c r="S673" i="1"/>
  <c r="Q675" i="1"/>
  <c r="P676" i="1"/>
  <c r="R674" i="1"/>
  <c r="R675" i="1"/>
  <c r="Q676" i="1"/>
  <c r="P677" i="1"/>
  <c r="S674" i="1"/>
  <c r="S675" i="1"/>
  <c r="R676" i="1"/>
  <c r="P678" i="1"/>
  <c r="Q677" i="1"/>
  <c r="S676" i="1"/>
  <c r="Q678" i="1"/>
  <c r="P679" i="1"/>
  <c r="R677" i="1"/>
  <c r="R678" i="1"/>
  <c r="P680" i="1"/>
  <c r="Q679" i="1"/>
  <c r="S677" i="1"/>
  <c r="S678" i="1"/>
  <c r="P681" i="1"/>
  <c r="Q680" i="1"/>
  <c r="R679" i="1"/>
  <c r="P682" i="1"/>
  <c r="Q681" i="1"/>
  <c r="R680" i="1"/>
  <c r="S679" i="1"/>
  <c r="P683" i="1"/>
  <c r="Q682" i="1"/>
  <c r="R681" i="1"/>
  <c r="S680" i="1"/>
  <c r="Q683" i="1"/>
  <c r="P684" i="1"/>
  <c r="R682" i="1"/>
  <c r="S681" i="1"/>
  <c r="R683" i="1"/>
  <c r="P685" i="1"/>
  <c r="Q684" i="1"/>
  <c r="S682" i="1"/>
  <c r="S683" i="1"/>
  <c r="P686" i="1"/>
  <c r="Q685" i="1"/>
  <c r="R684" i="1"/>
  <c r="P687" i="1"/>
  <c r="Q686" i="1"/>
  <c r="R685" i="1"/>
  <c r="S684" i="1"/>
  <c r="Q687" i="1"/>
  <c r="P688" i="1"/>
  <c r="R686" i="1"/>
  <c r="S685" i="1"/>
  <c r="R687" i="1"/>
  <c r="Q688" i="1"/>
  <c r="P689" i="1"/>
  <c r="S686" i="1"/>
  <c r="S687" i="1"/>
  <c r="R688" i="1"/>
  <c r="Q689" i="1"/>
  <c r="P690" i="1"/>
  <c r="S688" i="1"/>
  <c r="R689" i="1"/>
  <c r="Q690" i="1"/>
  <c r="P691" i="1"/>
  <c r="S689" i="1"/>
  <c r="R690" i="1"/>
  <c r="Q691" i="1"/>
  <c r="P692" i="1"/>
  <c r="S690" i="1"/>
  <c r="R691" i="1"/>
  <c r="Q692" i="1"/>
  <c r="P693" i="1"/>
  <c r="S691" i="1"/>
  <c r="R692" i="1"/>
  <c r="Q693" i="1"/>
  <c r="P694" i="1"/>
  <c r="S692" i="1"/>
  <c r="R693" i="1"/>
  <c r="Q694" i="1"/>
  <c r="P695" i="1"/>
  <c r="S693" i="1"/>
  <c r="R694" i="1"/>
  <c r="P696" i="1"/>
  <c r="Q695" i="1"/>
  <c r="S694" i="1"/>
  <c r="P697" i="1"/>
  <c r="Q696" i="1"/>
  <c r="R695" i="1"/>
  <c r="Q697" i="1"/>
  <c r="P698" i="1"/>
  <c r="R696" i="1"/>
  <c r="S695" i="1"/>
  <c r="R697" i="1"/>
  <c r="Q698" i="1"/>
  <c r="P699" i="1"/>
  <c r="S696" i="1"/>
  <c r="S697" i="1"/>
  <c r="R698" i="1"/>
  <c r="P700" i="1"/>
  <c r="Q699" i="1"/>
  <c r="S698" i="1"/>
  <c r="Q700" i="1"/>
  <c r="P701" i="1"/>
  <c r="R699" i="1"/>
  <c r="R700" i="1"/>
  <c r="Q701" i="1"/>
  <c r="P702" i="1"/>
  <c r="S699" i="1"/>
  <c r="S700" i="1"/>
  <c r="R701" i="1"/>
  <c r="Q702" i="1"/>
  <c r="P703" i="1"/>
  <c r="S701" i="1"/>
  <c r="R702" i="1"/>
  <c r="P704" i="1"/>
  <c r="Q703" i="1"/>
  <c r="S702" i="1"/>
  <c r="Q704" i="1"/>
  <c r="P705" i="1"/>
  <c r="R703" i="1"/>
  <c r="R704" i="1"/>
  <c r="Q705" i="1"/>
  <c r="P706" i="1"/>
  <c r="S703" i="1"/>
  <c r="S704" i="1"/>
  <c r="R705" i="1"/>
  <c r="Q706" i="1"/>
  <c r="P707" i="1"/>
  <c r="S705" i="1"/>
  <c r="R706" i="1"/>
  <c r="P708" i="1"/>
  <c r="Q707" i="1"/>
  <c r="S706" i="1"/>
  <c r="Q708" i="1"/>
  <c r="P709" i="1"/>
  <c r="R707" i="1"/>
  <c r="R708" i="1"/>
  <c r="Q709" i="1"/>
  <c r="P710" i="1"/>
  <c r="S707" i="1"/>
  <c r="S708" i="1"/>
  <c r="R709" i="1"/>
  <c r="P711" i="1"/>
  <c r="Q710" i="1"/>
  <c r="S709" i="1"/>
  <c r="Q711" i="1"/>
  <c r="P712" i="1"/>
  <c r="R710" i="1"/>
  <c r="R711" i="1"/>
  <c r="P713" i="1"/>
  <c r="Q712" i="1"/>
  <c r="S710" i="1"/>
  <c r="S711" i="1"/>
  <c r="P714" i="1"/>
  <c r="Q713" i="1"/>
  <c r="R712" i="1"/>
  <c r="P715" i="1"/>
  <c r="Q714" i="1"/>
  <c r="R713" i="1"/>
  <c r="S712" i="1"/>
  <c r="P716" i="1"/>
  <c r="Q715" i="1"/>
  <c r="R714" i="1"/>
  <c r="S713" i="1"/>
  <c r="P717" i="1"/>
  <c r="Q716" i="1"/>
  <c r="R715" i="1"/>
  <c r="S714" i="1"/>
  <c r="Q717" i="1"/>
  <c r="P718" i="1"/>
  <c r="R716" i="1"/>
  <c r="S715" i="1"/>
  <c r="R717" i="1"/>
  <c r="Q718" i="1"/>
  <c r="P719" i="1"/>
  <c r="S716" i="1"/>
  <c r="S717" i="1"/>
  <c r="R718" i="1"/>
  <c r="P720" i="1"/>
  <c r="Q719" i="1"/>
  <c r="S718" i="1"/>
  <c r="P721" i="1"/>
  <c r="Q720" i="1"/>
  <c r="R719" i="1"/>
  <c r="Q721" i="1"/>
  <c r="P722" i="1"/>
  <c r="R720" i="1"/>
  <c r="S719" i="1"/>
  <c r="R721" i="1"/>
  <c r="P723" i="1"/>
  <c r="Q722" i="1"/>
  <c r="S720" i="1"/>
  <c r="S721" i="1"/>
  <c r="P724" i="1"/>
  <c r="Q723" i="1"/>
  <c r="R722" i="1"/>
  <c r="Q724" i="1"/>
  <c r="P725" i="1"/>
  <c r="R723" i="1"/>
  <c r="S722" i="1"/>
  <c r="R724" i="1"/>
  <c r="Q725" i="1"/>
  <c r="P726" i="1"/>
  <c r="S723" i="1"/>
  <c r="S724" i="1"/>
  <c r="R725" i="1"/>
  <c r="Q726" i="1"/>
  <c r="P727" i="1"/>
  <c r="S725" i="1"/>
  <c r="R726" i="1"/>
  <c r="Q727" i="1"/>
  <c r="P728" i="1"/>
  <c r="S726" i="1"/>
  <c r="R727" i="1"/>
  <c r="P729" i="1"/>
  <c r="Q728" i="1"/>
  <c r="S727" i="1"/>
  <c r="P730" i="1"/>
  <c r="Q729" i="1"/>
  <c r="R728" i="1"/>
  <c r="Q730" i="1"/>
  <c r="P731" i="1"/>
  <c r="R729" i="1"/>
  <c r="S728" i="1"/>
  <c r="R730" i="1"/>
  <c r="Q731" i="1"/>
  <c r="P732" i="1"/>
  <c r="S729" i="1"/>
  <c r="S730" i="1"/>
  <c r="R731" i="1"/>
  <c r="Q732" i="1"/>
  <c r="P733" i="1"/>
  <c r="S731" i="1"/>
  <c r="R732" i="1"/>
  <c r="Q733" i="1"/>
  <c r="P734" i="1"/>
  <c r="S732" i="1"/>
  <c r="R733" i="1"/>
  <c r="P735" i="1"/>
  <c r="Q734" i="1"/>
  <c r="S733" i="1"/>
  <c r="Q735" i="1"/>
  <c r="P736" i="1"/>
  <c r="R734" i="1"/>
  <c r="R735" i="1"/>
  <c r="Q736" i="1"/>
  <c r="P737" i="1"/>
  <c r="S734" i="1"/>
  <c r="S735" i="1"/>
  <c r="R736" i="1"/>
  <c r="P738" i="1"/>
  <c r="Q737" i="1"/>
  <c r="S736" i="1"/>
  <c r="P739" i="1"/>
  <c r="Q738" i="1"/>
  <c r="R737" i="1"/>
  <c r="Q739" i="1"/>
  <c r="P740" i="1"/>
  <c r="R738" i="1"/>
  <c r="S737" i="1"/>
  <c r="R739" i="1"/>
  <c r="Q740" i="1"/>
  <c r="P741" i="1"/>
  <c r="S738" i="1"/>
  <c r="S739" i="1"/>
  <c r="R740" i="1"/>
  <c r="P742" i="1"/>
  <c r="Q741" i="1"/>
  <c r="S740" i="1"/>
  <c r="P743" i="1"/>
  <c r="Q742" i="1"/>
  <c r="R741" i="1"/>
  <c r="Q743" i="1"/>
  <c r="P744" i="1"/>
  <c r="R742" i="1"/>
  <c r="S741" i="1"/>
  <c r="R743" i="1"/>
  <c r="Q744" i="1"/>
  <c r="P745" i="1"/>
  <c r="S742" i="1"/>
  <c r="S743" i="1"/>
  <c r="R744" i="1"/>
  <c r="Q745" i="1"/>
  <c r="P746" i="1"/>
  <c r="S744" i="1"/>
  <c r="R745" i="1"/>
  <c r="P747" i="1"/>
  <c r="Q746" i="1"/>
  <c r="S745" i="1"/>
  <c r="P748" i="1"/>
  <c r="Q747" i="1"/>
  <c r="R746" i="1"/>
  <c r="P749" i="1"/>
  <c r="Q748" i="1"/>
  <c r="R747" i="1"/>
  <c r="S746" i="1"/>
  <c r="Q749" i="1"/>
  <c r="P750" i="1"/>
  <c r="R748" i="1"/>
  <c r="S747" i="1"/>
  <c r="R749" i="1"/>
  <c r="Q750" i="1"/>
  <c r="P751" i="1"/>
  <c r="S748" i="1"/>
  <c r="S749" i="1"/>
  <c r="R750" i="1"/>
  <c r="P752" i="1"/>
  <c r="Q751" i="1"/>
  <c r="S750" i="1"/>
  <c r="Q752" i="1"/>
  <c r="P753" i="1"/>
  <c r="R751" i="1"/>
  <c r="R752" i="1"/>
  <c r="Q753" i="1"/>
  <c r="P754" i="1"/>
  <c r="S751" i="1"/>
  <c r="S752" i="1"/>
  <c r="R753" i="1"/>
  <c r="P755" i="1"/>
  <c r="Q754" i="1"/>
  <c r="S753" i="1"/>
  <c r="P756" i="1"/>
  <c r="Q755" i="1"/>
  <c r="R754" i="1"/>
  <c r="P757" i="1"/>
  <c r="Q756" i="1"/>
  <c r="R755" i="1"/>
  <c r="S754" i="1"/>
  <c r="Q757" i="1"/>
  <c r="P758" i="1"/>
  <c r="R756" i="1"/>
  <c r="S755" i="1"/>
  <c r="R757" i="1"/>
  <c r="P759" i="1"/>
  <c r="Q758" i="1"/>
  <c r="S756" i="1"/>
  <c r="S757" i="1"/>
  <c r="Q759" i="1"/>
  <c r="P760" i="1"/>
  <c r="R758" i="1"/>
  <c r="R759" i="1"/>
  <c r="P761" i="1"/>
  <c r="Q760" i="1"/>
  <c r="S758" i="1"/>
  <c r="S759" i="1"/>
  <c r="Q761" i="1"/>
  <c r="P762" i="1"/>
  <c r="R760" i="1"/>
  <c r="R761" i="1"/>
  <c r="Q762" i="1"/>
  <c r="P763" i="1"/>
  <c r="S760" i="1"/>
  <c r="S761" i="1"/>
  <c r="R762" i="1"/>
  <c r="Q763" i="1"/>
  <c r="P764" i="1"/>
  <c r="S762" i="1"/>
  <c r="R763" i="1"/>
  <c r="Q764" i="1"/>
  <c r="P765" i="1"/>
  <c r="S763" i="1"/>
  <c r="R764" i="1"/>
  <c r="P766" i="1"/>
  <c r="Q765" i="1"/>
  <c r="S764" i="1"/>
  <c r="Q766" i="1"/>
  <c r="P767" i="1"/>
  <c r="R765" i="1"/>
  <c r="R766" i="1"/>
  <c r="Q767" i="1"/>
  <c r="P768" i="1"/>
  <c r="S765" i="1"/>
  <c r="S766" i="1"/>
  <c r="R767" i="1"/>
  <c r="Q768" i="1"/>
  <c r="P769" i="1"/>
  <c r="S767" i="1"/>
  <c r="R768" i="1"/>
  <c r="Q769" i="1"/>
  <c r="P770" i="1"/>
  <c r="S768" i="1"/>
  <c r="R769" i="1"/>
  <c r="P771" i="1"/>
  <c r="Q770" i="1"/>
  <c r="S769" i="1"/>
  <c r="P772" i="1"/>
  <c r="Q771" i="1"/>
  <c r="R770" i="1"/>
  <c r="P773" i="1"/>
  <c r="Q772" i="1"/>
  <c r="R771" i="1"/>
  <c r="S770" i="1"/>
  <c r="P774" i="1"/>
  <c r="Q773" i="1"/>
  <c r="R772" i="1"/>
  <c r="S771" i="1"/>
  <c r="P775" i="1"/>
  <c r="Q774" i="1"/>
  <c r="R773" i="1"/>
  <c r="S772" i="1"/>
  <c r="Q775" i="1"/>
  <c r="P776" i="1"/>
  <c r="R774" i="1"/>
  <c r="S773" i="1"/>
  <c r="R775" i="1"/>
  <c r="P777" i="1"/>
  <c r="Q776" i="1"/>
  <c r="S774" i="1"/>
  <c r="S775" i="1"/>
  <c r="P778" i="1"/>
  <c r="Q777" i="1"/>
  <c r="R776" i="1"/>
  <c r="P779" i="1"/>
  <c r="Q778" i="1"/>
  <c r="R777" i="1"/>
  <c r="S776" i="1"/>
  <c r="P780" i="1"/>
  <c r="Q779" i="1"/>
  <c r="R778" i="1"/>
  <c r="S777" i="1"/>
  <c r="Q780" i="1"/>
  <c r="P781" i="1"/>
  <c r="R779" i="1"/>
  <c r="S778" i="1"/>
  <c r="R780" i="1"/>
  <c r="P782" i="1"/>
  <c r="Q781" i="1"/>
  <c r="S779" i="1"/>
  <c r="S780" i="1"/>
  <c r="P783" i="1"/>
  <c r="Q782" i="1"/>
  <c r="R781" i="1"/>
  <c r="Q783" i="1"/>
  <c r="P784" i="1"/>
  <c r="R782" i="1"/>
  <c r="S781" i="1"/>
  <c r="R783" i="1"/>
  <c r="Q784" i="1"/>
  <c r="P785" i="1"/>
  <c r="S782" i="1"/>
  <c r="S783" i="1"/>
  <c r="R784" i="1"/>
  <c r="P786" i="1"/>
  <c r="Q785" i="1"/>
  <c r="S784" i="1"/>
  <c r="Q786" i="1"/>
  <c r="P787" i="1"/>
  <c r="R785" i="1"/>
  <c r="R786" i="1"/>
  <c r="P788" i="1"/>
  <c r="Q787" i="1"/>
  <c r="S785" i="1"/>
  <c r="S786" i="1"/>
  <c r="Q788" i="1"/>
  <c r="P789" i="1"/>
  <c r="R787" i="1"/>
  <c r="R788" i="1"/>
  <c r="P790" i="1"/>
  <c r="Q789" i="1"/>
  <c r="S787" i="1"/>
  <c r="S788" i="1"/>
  <c r="Q790" i="1"/>
  <c r="P791" i="1"/>
  <c r="R789" i="1"/>
  <c r="R790" i="1"/>
  <c r="P792" i="1"/>
  <c r="Q791" i="1"/>
  <c r="S789" i="1"/>
  <c r="S790" i="1"/>
  <c r="P793" i="1"/>
  <c r="Q792" i="1"/>
  <c r="R791" i="1"/>
  <c r="P794" i="1"/>
  <c r="Q793" i="1"/>
  <c r="R792" i="1"/>
  <c r="S791" i="1"/>
  <c r="Q794" i="1"/>
  <c r="P795" i="1"/>
  <c r="R793" i="1"/>
  <c r="S792" i="1"/>
  <c r="R794" i="1"/>
  <c r="P796" i="1"/>
  <c r="Q795" i="1"/>
  <c r="S793" i="1"/>
  <c r="S794" i="1"/>
  <c r="P797" i="1"/>
  <c r="Q796" i="1"/>
  <c r="R795" i="1"/>
  <c r="Q797" i="1"/>
  <c r="P798" i="1"/>
  <c r="R796" i="1"/>
  <c r="S795" i="1"/>
  <c r="R797" i="1"/>
  <c r="Q798" i="1"/>
  <c r="P799" i="1"/>
  <c r="S796" i="1"/>
  <c r="S797" i="1"/>
  <c r="R798" i="1"/>
  <c r="Q799" i="1"/>
  <c r="P800" i="1"/>
  <c r="S798" i="1"/>
  <c r="R799" i="1"/>
  <c r="Q800" i="1"/>
  <c r="P801" i="1"/>
  <c r="S799" i="1"/>
  <c r="R800" i="1"/>
  <c r="P802" i="1"/>
  <c r="Q801" i="1"/>
  <c r="S800" i="1"/>
  <c r="Q802" i="1"/>
  <c r="P803" i="1"/>
  <c r="R801" i="1"/>
  <c r="R802" i="1"/>
  <c r="Q803" i="1"/>
  <c r="P804" i="1"/>
  <c r="S801" i="1"/>
  <c r="S802" i="1"/>
  <c r="R803" i="1"/>
  <c r="P805" i="1"/>
  <c r="Q804" i="1"/>
  <c r="S803" i="1"/>
  <c r="P806" i="1"/>
  <c r="Q805" i="1"/>
  <c r="R804" i="1"/>
  <c r="P807" i="1"/>
  <c r="Q806" i="1"/>
  <c r="R805" i="1"/>
  <c r="S804" i="1"/>
  <c r="Q807" i="1"/>
  <c r="P808" i="1"/>
  <c r="R806" i="1"/>
  <c r="S805" i="1"/>
  <c r="R807" i="1"/>
  <c r="Q808" i="1"/>
  <c r="P809" i="1"/>
  <c r="S806" i="1"/>
  <c r="S807" i="1"/>
  <c r="R808" i="1"/>
  <c r="Q809" i="1"/>
  <c r="P810" i="1"/>
  <c r="S808" i="1"/>
  <c r="R809" i="1"/>
  <c r="P811" i="1"/>
  <c r="Q810" i="1"/>
  <c r="S809" i="1"/>
  <c r="Q811" i="1"/>
  <c r="P812" i="1"/>
  <c r="R810" i="1"/>
  <c r="R811" i="1"/>
  <c r="P813" i="1"/>
  <c r="Q812" i="1"/>
  <c r="S810" i="1"/>
  <c r="S811" i="1"/>
  <c r="Q813" i="1"/>
  <c r="P814" i="1"/>
  <c r="R812" i="1"/>
  <c r="R813" i="1"/>
  <c r="Q814" i="1"/>
  <c r="P815" i="1"/>
  <c r="S812" i="1"/>
  <c r="S813" i="1"/>
  <c r="R814" i="1"/>
  <c r="P816" i="1"/>
  <c r="Q815" i="1"/>
  <c r="S814" i="1"/>
  <c r="P817" i="1"/>
  <c r="Q816" i="1"/>
  <c r="R815" i="1"/>
  <c r="P818" i="1"/>
  <c r="Q817" i="1"/>
  <c r="R816" i="1"/>
  <c r="S815" i="1"/>
  <c r="P819" i="1"/>
  <c r="Q818" i="1"/>
  <c r="R817" i="1"/>
  <c r="S816" i="1"/>
  <c r="Q819" i="1"/>
  <c r="P820" i="1"/>
  <c r="R818" i="1"/>
  <c r="S817" i="1"/>
  <c r="R819" i="1"/>
  <c r="P821" i="1"/>
  <c r="Q820" i="1"/>
  <c r="S818" i="1"/>
  <c r="S819" i="1"/>
  <c r="Q821" i="1"/>
  <c r="P822" i="1"/>
  <c r="R820" i="1"/>
  <c r="R821" i="1"/>
  <c r="Q822" i="1"/>
  <c r="P823" i="1"/>
  <c r="S820" i="1"/>
  <c r="S821" i="1"/>
  <c r="R822" i="1"/>
  <c r="P824" i="1"/>
  <c r="Q823" i="1"/>
  <c r="S822" i="1"/>
  <c r="P825" i="1"/>
  <c r="Q824" i="1"/>
  <c r="R823" i="1"/>
  <c r="P826" i="1"/>
  <c r="Q825" i="1"/>
  <c r="R824" i="1"/>
  <c r="S823" i="1"/>
  <c r="Q826" i="1"/>
  <c r="P827" i="1"/>
  <c r="R825" i="1"/>
  <c r="S824" i="1"/>
  <c r="R826" i="1"/>
  <c r="P828" i="1"/>
  <c r="Q827" i="1"/>
  <c r="S825" i="1"/>
  <c r="S826" i="1"/>
  <c r="Q828" i="1"/>
  <c r="P829" i="1"/>
  <c r="R827" i="1"/>
  <c r="R828" i="1"/>
  <c r="Q829" i="1"/>
  <c r="P830" i="1"/>
  <c r="S827" i="1"/>
  <c r="S828" i="1"/>
  <c r="R829" i="1"/>
  <c r="P831" i="1"/>
  <c r="Q830" i="1"/>
  <c r="S829" i="1"/>
  <c r="Q831" i="1"/>
  <c r="P832" i="1"/>
  <c r="R830" i="1"/>
  <c r="R831" i="1"/>
  <c r="Q832" i="1"/>
  <c r="P833" i="1"/>
  <c r="S830" i="1"/>
  <c r="S831" i="1"/>
  <c r="R832" i="1"/>
  <c r="Q833" i="1"/>
  <c r="P834" i="1"/>
  <c r="S832" i="1"/>
  <c r="R833" i="1"/>
  <c r="Q834" i="1"/>
  <c r="P835" i="1"/>
  <c r="S833" i="1"/>
  <c r="R834" i="1"/>
  <c r="Q835" i="1"/>
  <c r="P836" i="1"/>
  <c r="S834" i="1"/>
  <c r="R835" i="1"/>
  <c r="P837" i="1"/>
  <c r="Q836" i="1"/>
  <c r="S835" i="1"/>
  <c r="P838" i="1"/>
  <c r="Q837" i="1"/>
  <c r="R836" i="1"/>
  <c r="Q838" i="1"/>
  <c r="P839" i="1"/>
  <c r="R837" i="1"/>
  <c r="S836" i="1"/>
  <c r="R838" i="1"/>
  <c r="P840" i="1"/>
  <c r="Q839" i="1"/>
  <c r="S837" i="1"/>
  <c r="S838" i="1"/>
  <c r="Q840" i="1"/>
  <c r="P841" i="1"/>
  <c r="R839" i="1"/>
  <c r="R840" i="1"/>
  <c r="Q841" i="1"/>
  <c r="P842" i="1"/>
  <c r="S839" i="1"/>
  <c r="S840" i="1"/>
  <c r="R841" i="1"/>
  <c r="Q842" i="1"/>
  <c r="P843" i="1"/>
  <c r="S841" i="1"/>
  <c r="R842" i="1"/>
  <c r="P844" i="1"/>
  <c r="Q843" i="1"/>
  <c r="S842" i="1"/>
  <c r="Q844" i="1"/>
  <c r="P845" i="1"/>
  <c r="R843" i="1"/>
  <c r="R844" i="1"/>
  <c r="Q845" i="1"/>
  <c r="P846" i="1"/>
  <c r="S843" i="1"/>
  <c r="S844" i="1"/>
  <c r="R845" i="1"/>
  <c r="Q846" i="1"/>
  <c r="P847" i="1"/>
  <c r="S845" i="1"/>
  <c r="R846" i="1"/>
  <c r="P848" i="1"/>
  <c r="Q847" i="1"/>
  <c r="S846" i="1"/>
  <c r="Q848" i="1"/>
  <c r="P849" i="1"/>
  <c r="R847" i="1"/>
  <c r="R848" i="1"/>
  <c r="P850" i="1"/>
  <c r="Q849" i="1"/>
  <c r="S847" i="1"/>
  <c r="S848" i="1"/>
  <c r="Q850" i="1"/>
  <c r="P851" i="1"/>
  <c r="R849" i="1"/>
  <c r="R850" i="1"/>
  <c r="P852" i="1"/>
  <c r="Q851" i="1"/>
  <c r="S849" i="1"/>
  <c r="S850" i="1"/>
  <c r="P853" i="1"/>
  <c r="Q852" i="1"/>
  <c r="R851" i="1"/>
  <c r="P854" i="1"/>
  <c r="Q853" i="1"/>
  <c r="R852" i="1"/>
  <c r="S851" i="1"/>
  <c r="Q854" i="1"/>
  <c r="P855" i="1"/>
  <c r="R853" i="1"/>
  <c r="S852" i="1"/>
  <c r="R854" i="1"/>
  <c r="P856" i="1"/>
  <c r="Q855" i="1"/>
  <c r="S853" i="1"/>
  <c r="S854" i="1"/>
  <c r="Q856" i="1"/>
  <c r="P857" i="1"/>
  <c r="R855" i="1"/>
  <c r="R856" i="1"/>
  <c r="P858" i="1"/>
  <c r="Q857" i="1"/>
  <c r="S855" i="1"/>
  <c r="S856" i="1"/>
  <c r="P859" i="1"/>
  <c r="Q858" i="1"/>
  <c r="R857" i="1"/>
  <c r="P860" i="1"/>
  <c r="Q859" i="1"/>
  <c r="R858" i="1"/>
  <c r="S857" i="1"/>
  <c r="P861" i="1"/>
  <c r="Q860" i="1"/>
  <c r="R859" i="1"/>
  <c r="S858" i="1"/>
  <c r="P862" i="1"/>
  <c r="Q861" i="1"/>
  <c r="R860" i="1"/>
  <c r="S859" i="1"/>
  <c r="P863" i="1"/>
  <c r="Q862" i="1"/>
  <c r="R861" i="1"/>
  <c r="S860" i="1"/>
  <c r="Q863" i="1"/>
  <c r="P864" i="1"/>
  <c r="R862" i="1"/>
  <c r="S861" i="1"/>
  <c r="R863" i="1"/>
  <c r="Q864" i="1"/>
  <c r="P865" i="1"/>
  <c r="S862" i="1"/>
  <c r="S863" i="1"/>
  <c r="R864" i="1"/>
  <c r="Q865" i="1"/>
  <c r="P866" i="1"/>
  <c r="S864" i="1"/>
  <c r="R865" i="1"/>
  <c r="P867" i="1"/>
  <c r="Q866" i="1"/>
  <c r="S865" i="1"/>
  <c r="P868" i="1"/>
  <c r="Q867" i="1"/>
  <c r="R866" i="1"/>
  <c r="P869" i="1"/>
  <c r="Q868" i="1"/>
  <c r="R867" i="1"/>
  <c r="S866" i="1"/>
  <c r="Q869" i="1"/>
  <c r="P870" i="1"/>
  <c r="R868" i="1"/>
  <c r="S867" i="1"/>
  <c r="R869" i="1"/>
  <c r="P871" i="1"/>
  <c r="Q870" i="1"/>
  <c r="S868" i="1"/>
  <c r="S869" i="1"/>
  <c r="P872" i="1"/>
  <c r="Q871" i="1"/>
  <c r="R870" i="1"/>
  <c r="Q872" i="1"/>
  <c r="P873" i="1"/>
  <c r="R871" i="1"/>
  <c r="S870" i="1"/>
  <c r="R872" i="1"/>
  <c r="P874" i="1"/>
  <c r="Q873" i="1"/>
  <c r="S871" i="1"/>
  <c r="S872" i="1"/>
  <c r="P875" i="1"/>
  <c r="Q874" i="1"/>
  <c r="R873" i="1"/>
  <c r="Q875" i="1"/>
  <c r="P876" i="1"/>
  <c r="R874" i="1"/>
  <c r="S873" i="1"/>
  <c r="R875" i="1"/>
  <c r="P877" i="1"/>
  <c r="Q876" i="1"/>
  <c r="S874" i="1"/>
  <c r="S875" i="1"/>
  <c r="Q877" i="1"/>
  <c r="P878" i="1"/>
  <c r="R876" i="1"/>
  <c r="R877" i="1"/>
  <c r="Q878" i="1"/>
  <c r="P879" i="1"/>
  <c r="S876" i="1"/>
  <c r="S877" i="1"/>
  <c r="R878" i="1"/>
  <c r="P880" i="1"/>
  <c r="Q879" i="1"/>
  <c r="S878" i="1"/>
  <c r="Q880" i="1"/>
  <c r="P881" i="1"/>
  <c r="R879" i="1"/>
  <c r="R880" i="1"/>
  <c r="Q881" i="1"/>
  <c r="P882" i="1"/>
  <c r="S879" i="1"/>
  <c r="S880" i="1"/>
  <c r="R881" i="1"/>
  <c r="Q882" i="1"/>
  <c r="P883" i="1"/>
  <c r="S881" i="1"/>
  <c r="R882" i="1"/>
  <c r="P884" i="1"/>
  <c r="Q883" i="1"/>
  <c r="S882" i="1"/>
  <c r="P885" i="1"/>
  <c r="Q884" i="1"/>
  <c r="R883" i="1"/>
  <c r="P886" i="1"/>
  <c r="Q885" i="1"/>
  <c r="R884" i="1"/>
  <c r="S883" i="1"/>
  <c r="Q886" i="1"/>
  <c r="P887" i="1"/>
  <c r="R885" i="1"/>
  <c r="S884" i="1"/>
  <c r="R886" i="1"/>
  <c r="P888" i="1"/>
  <c r="Q887" i="1"/>
  <c r="S885" i="1"/>
  <c r="S886" i="1"/>
  <c r="Q888" i="1"/>
  <c r="P889" i="1"/>
  <c r="R887" i="1"/>
  <c r="R888" i="1"/>
  <c r="P890" i="1"/>
  <c r="Q889" i="1"/>
  <c r="S887" i="1"/>
  <c r="S888" i="1"/>
  <c r="P891" i="1"/>
  <c r="Q890" i="1"/>
  <c r="R889" i="1"/>
  <c r="P892" i="1"/>
  <c r="Q891" i="1"/>
  <c r="R890" i="1"/>
  <c r="S889" i="1"/>
  <c r="Q892" i="1"/>
  <c r="P893" i="1"/>
  <c r="R891" i="1"/>
  <c r="S890" i="1"/>
  <c r="R892" i="1"/>
  <c r="Q893" i="1"/>
  <c r="P894" i="1"/>
  <c r="S891" i="1"/>
  <c r="S892" i="1"/>
  <c r="R893" i="1"/>
  <c r="Q894" i="1"/>
  <c r="P895" i="1"/>
  <c r="S893" i="1"/>
  <c r="R894" i="1"/>
  <c r="P896" i="1"/>
  <c r="Q895" i="1"/>
  <c r="S894" i="1"/>
  <c r="Q896" i="1"/>
  <c r="P897" i="1"/>
  <c r="R895" i="1"/>
  <c r="R896" i="1"/>
  <c r="P898" i="1"/>
  <c r="Q897" i="1"/>
  <c r="S895" i="1"/>
  <c r="S896" i="1"/>
  <c r="Q898" i="1"/>
  <c r="P899" i="1"/>
  <c r="R897" i="1"/>
  <c r="R898" i="1"/>
  <c r="P900" i="1"/>
  <c r="Q899" i="1"/>
  <c r="S897" i="1"/>
  <c r="S898" i="1"/>
  <c r="Q900" i="1"/>
  <c r="P901" i="1"/>
  <c r="R899" i="1"/>
  <c r="R900" i="1"/>
  <c r="Q901" i="1"/>
  <c r="P902" i="1"/>
  <c r="S899" i="1"/>
  <c r="S900" i="1"/>
  <c r="R901" i="1"/>
  <c r="P903" i="1"/>
  <c r="Q902" i="1"/>
  <c r="S901" i="1"/>
  <c r="Q903" i="1"/>
  <c r="P904" i="1"/>
  <c r="R902" i="1"/>
  <c r="R903" i="1"/>
  <c r="P905" i="1"/>
  <c r="Q904" i="1"/>
  <c r="S902" i="1"/>
  <c r="S903" i="1"/>
  <c r="P906" i="1"/>
  <c r="Q905" i="1"/>
  <c r="R904" i="1"/>
  <c r="Q906" i="1"/>
  <c r="P907" i="1"/>
  <c r="R905" i="1"/>
  <c r="S904" i="1"/>
  <c r="R906" i="1"/>
  <c r="P908" i="1"/>
  <c r="Q907" i="1"/>
  <c r="S905" i="1"/>
  <c r="S906" i="1"/>
  <c r="P909" i="1"/>
  <c r="Q908" i="1"/>
  <c r="R907" i="1"/>
  <c r="P910" i="1"/>
  <c r="Q909" i="1"/>
  <c r="R908" i="1"/>
  <c r="S907" i="1"/>
  <c r="P911" i="1"/>
  <c r="Q910" i="1"/>
  <c r="R909" i="1"/>
  <c r="S908" i="1"/>
  <c r="P912" i="1"/>
  <c r="Q911" i="1"/>
  <c r="R910" i="1"/>
  <c r="S909" i="1"/>
  <c r="P913" i="1"/>
  <c r="Q912" i="1"/>
  <c r="R911" i="1"/>
  <c r="S910" i="1"/>
  <c r="P914" i="1"/>
  <c r="Q913" i="1"/>
  <c r="R912" i="1"/>
  <c r="S911" i="1"/>
  <c r="P915" i="1"/>
  <c r="Q914" i="1"/>
  <c r="R913" i="1"/>
  <c r="S912" i="1"/>
  <c r="P916" i="1"/>
  <c r="Q915" i="1"/>
  <c r="R914" i="1"/>
  <c r="S913" i="1"/>
  <c r="P917" i="1"/>
  <c r="Q916" i="1"/>
  <c r="R915" i="1"/>
  <c r="S914" i="1"/>
  <c r="Q917" i="1"/>
  <c r="P918" i="1"/>
  <c r="R916" i="1"/>
  <c r="S915" i="1"/>
  <c r="R917" i="1"/>
  <c r="Q918" i="1"/>
  <c r="P919" i="1"/>
  <c r="S916" i="1"/>
  <c r="S917" i="1"/>
  <c r="R918" i="1"/>
  <c r="P920" i="1"/>
  <c r="Q919" i="1"/>
  <c r="S918" i="1"/>
  <c r="Q920" i="1"/>
  <c r="P921" i="1"/>
  <c r="R919" i="1"/>
  <c r="R920" i="1"/>
  <c r="Q921" i="1"/>
  <c r="P922" i="1"/>
  <c r="S919" i="1"/>
  <c r="S920" i="1"/>
  <c r="R921" i="1"/>
  <c r="Q922" i="1"/>
  <c r="P923" i="1"/>
  <c r="S921" i="1"/>
  <c r="R922" i="1"/>
  <c r="P924" i="1"/>
  <c r="Q923" i="1"/>
  <c r="S922" i="1"/>
  <c r="P925" i="1"/>
  <c r="Q924" i="1"/>
  <c r="R923" i="1"/>
  <c r="P926" i="1"/>
  <c r="Q925" i="1"/>
  <c r="R924" i="1"/>
  <c r="S923" i="1"/>
  <c r="Q926" i="1"/>
  <c r="P927" i="1"/>
  <c r="R925" i="1"/>
  <c r="S924" i="1"/>
  <c r="R926" i="1"/>
  <c r="Q927" i="1"/>
  <c r="P928" i="1"/>
  <c r="S925" i="1"/>
  <c r="S926" i="1"/>
  <c r="R927" i="1"/>
  <c r="P929" i="1"/>
  <c r="Q928" i="1"/>
  <c r="S927" i="1"/>
  <c r="P930" i="1"/>
  <c r="Q929" i="1"/>
  <c r="R928" i="1"/>
  <c r="Q930" i="1"/>
  <c r="P931" i="1"/>
  <c r="R929" i="1"/>
  <c r="S928" i="1"/>
  <c r="R930" i="1"/>
  <c r="P932" i="1"/>
  <c r="Q931" i="1"/>
  <c r="S929" i="1"/>
  <c r="S930" i="1"/>
  <c r="Q932" i="1"/>
  <c r="P933" i="1"/>
  <c r="R931" i="1"/>
  <c r="R932" i="1"/>
  <c r="P934" i="1"/>
  <c r="Q933" i="1"/>
  <c r="S931" i="1"/>
  <c r="S932" i="1"/>
  <c r="P935" i="1"/>
  <c r="Q934" i="1"/>
  <c r="R933" i="1"/>
  <c r="Q935" i="1"/>
  <c r="P936" i="1"/>
  <c r="R934" i="1"/>
  <c r="S933" i="1"/>
  <c r="R935" i="1"/>
  <c r="P937" i="1"/>
  <c r="Q936" i="1"/>
  <c r="S934" i="1"/>
  <c r="S935" i="1"/>
  <c r="P938" i="1"/>
  <c r="Q937" i="1"/>
  <c r="R936" i="1"/>
  <c r="P939" i="1"/>
  <c r="Q938" i="1"/>
  <c r="R937" i="1"/>
  <c r="S936" i="1"/>
  <c r="Q939" i="1"/>
  <c r="P940" i="1"/>
  <c r="R938" i="1"/>
  <c r="S937" i="1"/>
  <c r="R939" i="1"/>
  <c r="P941" i="1"/>
  <c r="Q940" i="1"/>
  <c r="S938" i="1"/>
  <c r="S939" i="1"/>
  <c r="P942" i="1"/>
  <c r="Q941" i="1"/>
  <c r="R940" i="1"/>
  <c r="P943" i="1"/>
  <c r="Q942" i="1"/>
  <c r="R941" i="1"/>
  <c r="S940" i="1"/>
  <c r="P944" i="1"/>
  <c r="Q943" i="1"/>
  <c r="R942" i="1"/>
  <c r="S941" i="1"/>
  <c r="P945" i="1"/>
  <c r="Q944" i="1"/>
  <c r="R943" i="1"/>
  <c r="S942" i="1"/>
  <c r="P946" i="1"/>
  <c r="Q945" i="1"/>
  <c r="R944" i="1"/>
  <c r="S943" i="1"/>
  <c r="P947" i="1"/>
  <c r="Q946" i="1"/>
  <c r="R945" i="1"/>
  <c r="S944" i="1"/>
  <c r="Q947" i="1"/>
  <c r="P948" i="1"/>
  <c r="R946" i="1"/>
  <c r="S945" i="1"/>
  <c r="R947" i="1"/>
  <c r="P949" i="1"/>
  <c r="Q948" i="1"/>
  <c r="S946" i="1"/>
  <c r="S947" i="1"/>
  <c r="Q949" i="1"/>
  <c r="P950" i="1"/>
  <c r="R948" i="1"/>
  <c r="R949" i="1"/>
  <c r="P951" i="1"/>
  <c r="Q950" i="1"/>
  <c r="S948" i="1"/>
  <c r="S949" i="1"/>
  <c r="Q951" i="1"/>
  <c r="P952" i="1"/>
  <c r="R950" i="1"/>
  <c r="R951" i="1"/>
  <c r="Q952" i="1"/>
  <c r="P953" i="1"/>
  <c r="S950" i="1"/>
  <c r="S951" i="1"/>
  <c r="R952" i="1"/>
  <c r="P954" i="1"/>
  <c r="Q953" i="1"/>
  <c r="S952" i="1"/>
  <c r="Q954" i="1"/>
  <c r="P955" i="1"/>
  <c r="R953" i="1"/>
  <c r="R954" i="1"/>
  <c r="P956" i="1"/>
  <c r="Q955" i="1"/>
  <c r="S953" i="1"/>
  <c r="S954" i="1"/>
  <c r="P957" i="1"/>
  <c r="Q956" i="1"/>
  <c r="R955" i="1"/>
  <c r="P958" i="1"/>
  <c r="Q957" i="1"/>
  <c r="R956" i="1"/>
  <c r="S955" i="1"/>
  <c r="Q958" i="1"/>
  <c r="P959" i="1"/>
  <c r="R957" i="1"/>
  <c r="S956" i="1"/>
  <c r="R958" i="1"/>
  <c r="Q959" i="1"/>
  <c r="P960" i="1"/>
  <c r="S957" i="1"/>
  <c r="S958" i="1"/>
  <c r="R959" i="1"/>
  <c r="P961" i="1"/>
  <c r="Q960" i="1"/>
  <c r="S959" i="1"/>
  <c r="Q961" i="1"/>
  <c r="P962" i="1"/>
  <c r="R960" i="1"/>
  <c r="R961" i="1"/>
  <c r="P963" i="1"/>
  <c r="Q962" i="1"/>
  <c r="S960" i="1"/>
  <c r="S961" i="1"/>
  <c r="Q963" i="1"/>
  <c r="P964" i="1"/>
  <c r="R962" i="1"/>
  <c r="R963" i="1"/>
  <c r="P965" i="1"/>
  <c r="Q964" i="1"/>
  <c r="S962" i="1"/>
  <c r="S963" i="1"/>
  <c r="Q965" i="1"/>
  <c r="P966" i="1"/>
  <c r="R964" i="1"/>
  <c r="R965" i="1"/>
  <c r="P967" i="1"/>
  <c r="Q966" i="1"/>
  <c r="S964" i="1"/>
  <c r="S965" i="1"/>
  <c r="Q967" i="1"/>
  <c r="P968" i="1"/>
  <c r="R966" i="1"/>
  <c r="R967" i="1"/>
  <c r="Q968" i="1"/>
  <c r="P969" i="1"/>
  <c r="S966" i="1"/>
  <c r="S967" i="1"/>
  <c r="R968" i="1"/>
  <c r="Q969" i="1"/>
  <c r="P970" i="1"/>
  <c r="S968" i="1"/>
  <c r="R969" i="1"/>
  <c r="P971" i="1"/>
  <c r="Q970" i="1"/>
  <c r="S969" i="1"/>
  <c r="Q971" i="1"/>
  <c r="P972" i="1"/>
  <c r="R970" i="1"/>
  <c r="R971" i="1"/>
  <c r="P973" i="1"/>
  <c r="Q972" i="1"/>
  <c r="S970" i="1"/>
  <c r="S971" i="1"/>
  <c r="P974" i="1"/>
  <c r="Q973" i="1"/>
  <c r="R972" i="1"/>
  <c r="P975" i="1"/>
  <c r="Q974" i="1"/>
  <c r="R973" i="1"/>
  <c r="S972" i="1"/>
  <c r="Q975" i="1"/>
  <c r="P976" i="1"/>
  <c r="R974" i="1"/>
  <c r="S973" i="1"/>
  <c r="R975" i="1"/>
  <c r="Q976" i="1"/>
  <c r="P977" i="1"/>
  <c r="S974" i="1"/>
  <c r="S975" i="1"/>
  <c r="R976" i="1"/>
  <c r="P978" i="1"/>
  <c r="Q977" i="1"/>
  <c r="S976" i="1"/>
  <c r="P979" i="1"/>
  <c r="Q978" i="1"/>
  <c r="R977" i="1"/>
  <c r="P980" i="1"/>
  <c r="Q979" i="1"/>
  <c r="R978" i="1"/>
  <c r="S977" i="1"/>
  <c r="P981" i="1"/>
  <c r="Q980" i="1"/>
  <c r="R979" i="1"/>
  <c r="S978" i="1"/>
  <c r="P982" i="1"/>
  <c r="Q981" i="1"/>
  <c r="R980" i="1"/>
  <c r="S979" i="1"/>
  <c r="Q982" i="1"/>
  <c r="P983" i="1"/>
  <c r="R981" i="1"/>
  <c r="S980" i="1"/>
  <c r="R982" i="1"/>
  <c r="P984" i="1"/>
  <c r="Q983" i="1"/>
  <c r="S981" i="1"/>
  <c r="S982" i="1"/>
  <c r="Q984" i="1"/>
  <c r="P985" i="1"/>
  <c r="R983" i="1"/>
  <c r="R984" i="1"/>
  <c r="P986" i="1"/>
  <c r="Q985" i="1"/>
  <c r="S983" i="1"/>
  <c r="S984" i="1"/>
  <c r="Q986" i="1"/>
  <c r="P987" i="1"/>
  <c r="R985" i="1"/>
  <c r="R986" i="1"/>
  <c r="P988" i="1"/>
  <c r="Q987" i="1"/>
  <c r="S985" i="1"/>
  <c r="S986" i="1"/>
  <c r="P989" i="1"/>
  <c r="Q988" i="1"/>
  <c r="R987" i="1"/>
  <c r="P990" i="1"/>
  <c r="Q989" i="1"/>
  <c r="R988" i="1"/>
  <c r="S987" i="1"/>
  <c r="Q990" i="1"/>
  <c r="P991" i="1"/>
  <c r="R989" i="1"/>
  <c r="S988" i="1"/>
  <c r="R990" i="1"/>
  <c r="Q991" i="1"/>
  <c r="P992" i="1"/>
  <c r="S989" i="1"/>
  <c r="S990" i="1"/>
  <c r="R991" i="1"/>
  <c r="Q992" i="1"/>
  <c r="P993" i="1"/>
  <c r="S991" i="1"/>
  <c r="R992" i="1"/>
  <c r="P994" i="1"/>
  <c r="Q993" i="1"/>
  <c r="S992" i="1"/>
  <c r="P995" i="1"/>
  <c r="Q994" i="1"/>
  <c r="R993" i="1"/>
  <c r="P996" i="1"/>
  <c r="Q995" i="1"/>
  <c r="R994" i="1"/>
  <c r="S993" i="1"/>
  <c r="Q996" i="1"/>
  <c r="P997" i="1"/>
  <c r="R995" i="1"/>
  <c r="S994" i="1"/>
  <c r="R996" i="1"/>
  <c r="P998" i="1"/>
  <c r="Q997" i="1"/>
  <c r="S995" i="1"/>
  <c r="S996" i="1"/>
  <c r="P999" i="1"/>
  <c r="Q998" i="1"/>
  <c r="R997" i="1"/>
  <c r="P1000" i="1"/>
  <c r="Q999" i="1"/>
  <c r="R998" i="1"/>
  <c r="S997" i="1"/>
  <c r="P1001" i="1"/>
  <c r="Q1000" i="1"/>
  <c r="R999" i="1"/>
  <c r="S998" i="1"/>
  <c r="P1002" i="1"/>
  <c r="Q1001" i="1"/>
  <c r="R1000" i="1"/>
  <c r="S999" i="1"/>
  <c r="Q1002" i="1"/>
  <c r="P1003" i="1"/>
  <c r="R1001" i="1"/>
  <c r="S1000" i="1"/>
  <c r="R1002" i="1"/>
  <c r="P1004" i="1"/>
  <c r="Q1003" i="1"/>
  <c r="S1001" i="1"/>
  <c r="S1002" i="1"/>
  <c r="P1005" i="1"/>
  <c r="Q1004" i="1"/>
  <c r="R1003" i="1"/>
  <c r="Q1005" i="1"/>
  <c r="P1006" i="1"/>
  <c r="R1004" i="1"/>
  <c r="S1003" i="1"/>
  <c r="R1005" i="1"/>
  <c r="P1007" i="1"/>
  <c r="Q1006" i="1"/>
  <c r="S1004" i="1"/>
  <c r="S1005" i="1"/>
  <c r="Q1007" i="1"/>
  <c r="P1008" i="1"/>
  <c r="R1006" i="1"/>
  <c r="R1007" i="1"/>
  <c r="P1009" i="1"/>
  <c r="Q1008" i="1"/>
  <c r="S1006" i="1"/>
  <c r="S1007" i="1"/>
  <c r="Q1009" i="1"/>
  <c r="P1010" i="1"/>
  <c r="R1008" i="1"/>
  <c r="R1009" i="1"/>
  <c r="Q1010" i="1"/>
  <c r="P1011" i="1"/>
  <c r="S1008" i="1"/>
  <c r="S1009" i="1"/>
  <c r="R1010" i="1"/>
  <c r="Q1011" i="1"/>
  <c r="P1012" i="1"/>
  <c r="S1010" i="1"/>
  <c r="R1011" i="1"/>
  <c r="P1013" i="1"/>
  <c r="Q1012" i="1"/>
  <c r="S1011" i="1"/>
  <c r="P1014" i="1"/>
  <c r="Q1013" i="1"/>
  <c r="R1012" i="1"/>
  <c r="P1015" i="1"/>
  <c r="Q1014" i="1"/>
  <c r="R1013" i="1"/>
  <c r="S1012" i="1"/>
  <c r="P1016" i="1"/>
  <c r="Q1015" i="1"/>
  <c r="R1014" i="1"/>
  <c r="S1013" i="1"/>
  <c r="P1017" i="1"/>
  <c r="Q1016" i="1"/>
  <c r="R1015" i="1"/>
  <c r="S1014" i="1"/>
  <c r="P1018" i="1"/>
  <c r="Q1017" i="1"/>
  <c r="R1016" i="1"/>
  <c r="S1015" i="1"/>
  <c r="P1019" i="1"/>
  <c r="Q1018" i="1"/>
  <c r="R1017" i="1"/>
  <c r="S1016" i="1"/>
  <c r="P1020" i="1"/>
  <c r="Q1019" i="1"/>
  <c r="R1018" i="1"/>
  <c r="S1017" i="1"/>
  <c r="P1021" i="1"/>
  <c r="Q1020" i="1"/>
  <c r="R1019" i="1"/>
  <c r="S1018" i="1"/>
  <c r="Q1021" i="1"/>
  <c r="P1022" i="1"/>
  <c r="R1020" i="1"/>
  <c r="S1019" i="1"/>
  <c r="R1021" i="1"/>
  <c r="P1023" i="1"/>
  <c r="Q1022" i="1"/>
  <c r="S1020" i="1"/>
  <c r="S1021" i="1"/>
  <c r="P1024" i="1"/>
  <c r="Q1023" i="1"/>
  <c r="R1022" i="1"/>
  <c r="P1025" i="1"/>
  <c r="Q1024" i="1"/>
  <c r="R1023" i="1"/>
  <c r="S1022" i="1"/>
  <c r="Q1025" i="1"/>
  <c r="P1026" i="1"/>
  <c r="R1024" i="1"/>
  <c r="S1023" i="1"/>
  <c r="R1025" i="1"/>
  <c r="P1027" i="1"/>
  <c r="Q1026" i="1"/>
  <c r="S1024" i="1"/>
  <c r="S1025" i="1"/>
  <c r="P1028" i="1"/>
  <c r="Q1027" i="1"/>
  <c r="R1026" i="1"/>
  <c r="Q1028" i="1"/>
  <c r="P1029" i="1"/>
  <c r="R1027" i="1"/>
  <c r="S1026" i="1"/>
  <c r="R1028" i="1"/>
  <c r="Q1029" i="1"/>
  <c r="P1030" i="1"/>
  <c r="S1027" i="1"/>
  <c r="S1028" i="1"/>
  <c r="R1029" i="1"/>
  <c r="P1031" i="1"/>
  <c r="Q1030" i="1"/>
  <c r="S1029" i="1"/>
  <c r="Q1031" i="1"/>
  <c r="P1032" i="1"/>
  <c r="R1030" i="1"/>
  <c r="R1031" i="1"/>
  <c r="Q1032" i="1"/>
  <c r="P1033" i="1"/>
  <c r="S1030" i="1"/>
  <c r="S1031" i="1"/>
  <c r="R1032" i="1"/>
  <c r="P1034" i="1"/>
  <c r="Q1033" i="1"/>
  <c r="S1032" i="1"/>
  <c r="Q1034" i="1"/>
  <c r="P1035" i="1"/>
  <c r="R1033" i="1"/>
  <c r="R1034" i="1"/>
  <c r="Q1035" i="1"/>
  <c r="P1036" i="1"/>
  <c r="S1033" i="1"/>
  <c r="S1034" i="1"/>
  <c r="R1035" i="1"/>
  <c r="P1037" i="1"/>
  <c r="Q1036" i="1"/>
  <c r="S1035" i="1"/>
  <c r="P1038" i="1"/>
  <c r="Q1037" i="1"/>
  <c r="R1036" i="1"/>
  <c r="Q1038" i="1"/>
  <c r="P1039" i="1"/>
  <c r="R1037" i="1"/>
  <c r="S1036" i="1"/>
  <c r="R1038" i="1"/>
  <c r="P1040" i="1"/>
  <c r="Q1039" i="1"/>
  <c r="S1037" i="1"/>
  <c r="S1038" i="1"/>
  <c r="Q1040" i="1"/>
  <c r="P1041" i="1"/>
  <c r="R1039" i="1"/>
  <c r="R1040" i="1"/>
  <c r="Q1041" i="1"/>
  <c r="P1042" i="1"/>
  <c r="S1039" i="1"/>
  <c r="S1040" i="1"/>
  <c r="R1041" i="1"/>
  <c r="Q1042" i="1"/>
  <c r="P1043" i="1"/>
  <c r="S1041" i="1"/>
  <c r="R1042" i="1"/>
  <c r="P1044" i="1"/>
  <c r="Q1043" i="1"/>
  <c r="S1042" i="1"/>
  <c r="P1045" i="1"/>
  <c r="Q1044" i="1"/>
  <c r="R1043" i="1"/>
  <c r="P1046" i="1"/>
  <c r="Q1045" i="1"/>
  <c r="R1044" i="1"/>
  <c r="S1043" i="1"/>
  <c r="Q1046" i="1"/>
  <c r="P1047" i="1"/>
  <c r="R1045" i="1"/>
  <c r="S1044" i="1"/>
  <c r="R1046" i="1"/>
  <c r="Q1047" i="1"/>
  <c r="P1048" i="1"/>
  <c r="S1045" i="1"/>
  <c r="S1046" i="1"/>
  <c r="R1047" i="1"/>
  <c r="P1049" i="1"/>
  <c r="Q1048" i="1"/>
  <c r="S1047" i="1"/>
  <c r="P1050" i="1"/>
  <c r="Q1049" i="1"/>
  <c r="R1048" i="1"/>
  <c r="P1051" i="1"/>
  <c r="Q1050" i="1"/>
  <c r="R1049" i="1"/>
  <c r="S1048" i="1"/>
  <c r="P1052" i="1"/>
  <c r="Q1051" i="1"/>
  <c r="R1050" i="1"/>
  <c r="S1049" i="1"/>
  <c r="P1053" i="1"/>
  <c r="Q1052" i="1"/>
  <c r="R1051" i="1"/>
  <c r="S1050" i="1"/>
  <c r="Q1053" i="1"/>
  <c r="P1054" i="1"/>
  <c r="R1052" i="1"/>
  <c r="S1051" i="1"/>
  <c r="R1053" i="1"/>
  <c r="Q1054" i="1"/>
  <c r="P1055" i="1"/>
  <c r="S1052" i="1"/>
  <c r="S1053" i="1"/>
  <c r="R1054" i="1"/>
  <c r="Q1055" i="1"/>
  <c r="P1056" i="1"/>
  <c r="S1054" i="1"/>
  <c r="R1055" i="1"/>
  <c r="Q1056" i="1"/>
  <c r="P1057" i="1"/>
  <c r="S1055" i="1"/>
  <c r="R1056" i="1"/>
  <c r="Q1057" i="1"/>
  <c r="P1058" i="1"/>
  <c r="S1056" i="1"/>
  <c r="R1057" i="1"/>
  <c r="P1059" i="1"/>
  <c r="Q1058" i="1"/>
  <c r="S1057" i="1"/>
  <c r="P1060" i="1"/>
  <c r="Q1059" i="1"/>
  <c r="R1058" i="1"/>
  <c r="Q1060" i="1"/>
  <c r="P1061" i="1"/>
  <c r="R1059" i="1"/>
  <c r="S1058" i="1"/>
  <c r="R1060" i="1"/>
  <c r="P1062" i="1"/>
  <c r="Q1061" i="1"/>
  <c r="S1059" i="1"/>
  <c r="S1060" i="1"/>
  <c r="P1063" i="1"/>
  <c r="Q1062" i="1"/>
  <c r="R1061" i="1"/>
  <c r="Q1063" i="1"/>
  <c r="P1064" i="1"/>
  <c r="R1062" i="1"/>
  <c r="S1061" i="1"/>
  <c r="R1063" i="1"/>
  <c r="Q1064" i="1"/>
  <c r="P1065" i="1"/>
  <c r="S1062" i="1"/>
  <c r="S1063" i="1"/>
  <c r="R1064" i="1"/>
  <c r="P1066" i="1"/>
  <c r="Q1065" i="1"/>
  <c r="S1064" i="1"/>
  <c r="P1067" i="1"/>
  <c r="Q1066" i="1"/>
  <c r="R1065" i="1"/>
  <c r="P1068" i="1"/>
  <c r="Q1067" i="1"/>
  <c r="R1066" i="1"/>
  <c r="S1065" i="1"/>
  <c r="P1069" i="1"/>
  <c r="Q1068" i="1"/>
  <c r="R1067" i="1"/>
  <c r="S1066" i="1"/>
  <c r="Q1069" i="1"/>
  <c r="P1070" i="1"/>
  <c r="R1068" i="1"/>
  <c r="S1067" i="1"/>
  <c r="R1069" i="1"/>
  <c r="P1071" i="1"/>
  <c r="Q1070" i="1"/>
  <c r="S1068" i="1"/>
  <c r="S1069" i="1"/>
  <c r="Q1071" i="1"/>
  <c r="P1072" i="1"/>
  <c r="R1070" i="1"/>
  <c r="R1071" i="1"/>
  <c r="P1073" i="1"/>
  <c r="Q1072" i="1"/>
  <c r="S1070" i="1"/>
  <c r="S1071" i="1"/>
  <c r="P1074" i="1"/>
  <c r="Q1073" i="1"/>
  <c r="R1072" i="1"/>
  <c r="Q1074" i="1"/>
  <c r="P1075" i="1"/>
  <c r="R1073" i="1"/>
  <c r="S1072" i="1"/>
  <c r="R1074" i="1"/>
  <c r="P1076" i="1"/>
  <c r="Q1075" i="1"/>
  <c r="S1073" i="1"/>
  <c r="S1074" i="1"/>
  <c r="Q1076" i="1"/>
  <c r="P1077" i="1"/>
  <c r="R1075" i="1"/>
  <c r="R1076" i="1"/>
  <c r="Q1077" i="1"/>
  <c r="P1078" i="1"/>
  <c r="S1075" i="1"/>
  <c r="S1076" i="1"/>
  <c r="R1077" i="1"/>
  <c r="P1079" i="1"/>
  <c r="Q1078" i="1"/>
  <c r="S1077" i="1"/>
  <c r="P1080" i="1"/>
  <c r="Q1079" i="1"/>
  <c r="R1078" i="1"/>
  <c r="Q1080" i="1"/>
  <c r="P1081" i="1"/>
  <c r="R1079" i="1"/>
  <c r="S1078" i="1"/>
  <c r="R1080" i="1"/>
  <c r="Q1081" i="1"/>
  <c r="P1082" i="1"/>
  <c r="S1079" i="1"/>
  <c r="S1080" i="1"/>
  <c r="R1081" i="1"/>
  <c r="P1083" i="1"/>
  <c r="Q1082" i="1"/>
  <c r="S1081" i="1"/>
  <c r="Q1083" i="1"/>
  <c r="P1084" i="1"/>
  <c r="R1082" i="1"/>
  <c r="R1083" i="1"/>
  <c r="P1085" i="1"/>
  <c r="Q1084" i="1"/>
  <c r="S1082" i="1"/>
  <c r="S1083" i="1"/>
  <c r="Q1085" i="1"/>
  <c r="P1086" i="1"/>
  <c r="R1084" i="1"/>
  <c r="R1085" i="1"/>
  <c r="Q1086" i="1"/>
  <c r="P1087" i="1"/>
  <c r="S1084" i="1"/>
  <c r="S1085" i="1"/>
  <c r="R1086" i="1"/>
  <c r="Q1087" i="1"/>
  <c r="P1088" i="1"/>
  <c r="S1086" i="1"/>
  <c r="R1087" i="1"/>
  <c r="P1089" i="1"/>
  <c r="Q1088" i="1"/>
  <c r="S1087" i="1"/>
  <c r="P1090" i="1"/>
  <c r="Q1089" i="1"/>
  <c r="R1088" i="1"/>
  <c r="Q1090" i="1"/>
  <c r="P1091" i="1"/>
  <c r="R1089" i="1"/>
  <c r="S1088" i="1"/>
  <c r="R1090" i="1"/>
  <c r="Q1091" i="1"/>
  <c r="P1092" i="1"/>
  <c r="S1089" i="1"/>
  <c r="S1090" i="1"/>
  <c r="R1091" i="1"/>
  <c r="P1093" i="1"/>
  <c r="Q1092" i="1"/>
  <c r="S1091" i="1"/>
  <c r="P1094" i="1"/>
  <c r="Q1093" i="1"/>
  <c r="R1092" i="1"/>
  <c r="Q1094" i="1"/>
  <c r="P1095" i="1"/>
  <c r="R1093" i="1"/>
  <c r="S1092" i="1"/>
  <c r="R1094" i="1"/>
  <c r="P1096" i="1"/>
  <c r="Q1095" i="1"/>
  <c r="S1093" i="1"/>
  <c r="S1094" i="1"/>
  <c r="P1097" i="1"/>
  <c r="Q1096" i="1"/>
  <c r="R1095" i="1"/>
  <c r="P1098" i="1"/>
  <c r="Q1097" i="1"/>
  <c r="R1096" i="1"/>
  <c r="S1095" i="1"/>
  <c r="Q1098" i="1"/>
  <c r="P1099" i="1"/>
  <c r="R1097" i="1"/>
  <c r="S1096" i="1"/>
  <c r="R1098" i="1"/>
  <c r="P1100" i="1"/>
  <c r="Q1099" i="1"/>
  <c r="S1097" i="1"/>
  <c r="S1098" i="1"/>
  <c r="P1101" i="1"/>
  <c r="Q1100" i="1"/>
  <c r="R1099" i="1"/>
  <c r="Q1101" i="1"/>
  <c r="P1102" i="1"/>
  <c r="R1100" i="1"/>
  <c r="S1099" i="1"/>
  <c r="R1101" i="1"/>
  <c r="Q1102" i="1"/>
  <c r="P1103" i="1"/>
  <c r="S1100" i="1"/>
  <c r="S1101" i="1"/>
  <c r="R1102" i="1"/>
  <c r="P1104" i="1"/>
  <c r="Q1103" i="1"/>
  <c r="S1102" i="1"/>
  <c r="P1105" i="1"/>
  <c r="Q1104" i="1"/>
  <c r="R1103" i="1"/>
  <c r="P1106" i="1"/>
  <c r="Q1105" i="1"/>
  <c r="R1104" i="1"/>
  <c r="S1103" i="1"/>
  <c r="P1107" i="1"/>
  <c r="Q1106" i="1"/>
  <c r="R1105" i="1"/>
  <c r="S1104" i="1"/>
  <c r="Q1107" i="1"/>
  <c r="P1108" i="1"/>
  <c r="R1106" i="1"/>
  <c r="S1105" i="1"/>
  <c r="R1107" i="1"/>
  <c r="Q1108" i="1"/>
  <c r="P1109" i="1"/>
  <c r="S1106" i="1"/>
  <c r="S1107" i="1"/>
  <c r="R1108" i="1"/>
  <c r="Q1109" i="1"/>
  <c r="P1110" i="1"/>
  <c r="S1108" i="1"/>
  <c r="R1109" i="1"/>
  <c r="Q1110" i="1"/>
  <c r="P1111" i="1"/>
  <c r="S1109" i="1"/>
  <c r="R1110" i="1"/>
  <c r="P1112" i="1"/>
  <c r="Q1111" i="1"/>
  <c r="S1110" i="1"/>
  <c r="P1113" i="1"/>
  <c r="Q1112" i="1"/>
  <c r="R1111" i="1"/>
  <c r="Q1113" i="1"/>
  <c r="P1114" i="1"/>
  <c r="R1112" i="1"/>
  <c r="S1111" i="1"/>
  <c r="R1113" i="1"/>
  <c r="Q1114" i="1"/>
  <c r="P1115" i="1"/>
  <c r="S1112" i="1"/>
  <c r="S1113" i="1"/>
  <c r="R1114" i="1"/>
  <c r="Q1115" i="1"/>
  <c r="P1116" i="1"/>
  <c r="S1114" i="1"/>
  <c r="R1115" i="1"/>
  <c r="Q1116" i="1"/>
  <c r="P1117" i="1"/>
  <c r="S1115" i="1"/>
  <c r="R1116" i="1"/>
  <c r="Q1117" i="1"/>
  <c r="P1118" i="1"/>
  <c r="S1116" i="1"/>
  <c r="R1117" i="1"/>
  <c r="Q1118" i="1"/>
  <c r="P1119" i="1"/>
  <c r="S1117" i="1"/>
  <c r="R1118" i="1"/>
  <c r="P1120" i="1"/>
  <c r="Q1119" i="1"/>
  <c r="S1118" i="1"/>
  <c r="P1121" i="1"/>
  <c r="Q1120" i="1"/>
  <c r="R1119" i="1"/>
  <c r="P1122" i="1"/>
  <c r="Q1121" i="1"/>
  <c r="R1120" i="1"/>
  <c r="S1119" i="1"/>
  <c r="Q1122" i="1"/>
  <c r="P1123" i="1"/>
  <c r="R1121" i="1"/>
  <c r="S1120" i="1"/>
  <c r="R1122" i="1"/>
  <c r="Q1123" i="1"/>
  <c r="P1124" i="1"/>
  <c r="S1121" i="1"/>
  <c r="S1122" i="1"/>
  <c r="R1123" i="1"/>
  <c r="P1125" i="1"/>
  <c r="Q1124" i="1"/>
  <c r="S1123" i="1"/>
  <c r="Q1125" i="1"/>
  <c r="P1126" i="1"/>
  <c r="R1124" i="1"/>
  <c r="R1125" i="1"/>
  <c r="Q1126" i="1"/>
  <c r="P1127" i="1"/>
  <c r="S1124" i="1"/>
  <c r="S1125" i="1"/>
  <c r="R1126" i="1"/>
  <c r="P1128" i="1"/>
  <c r="Q1127" i="1"/>
  <c r="S1126" i="1"/>
  <c r="P1129" i="1"/>
  <c r="Q1128" i="1"/>
  <c r="R1127" i="1"/>
  <c r="P1130" i="1"/>
  <c r="Q1129" i="1"/>
  <c r="R1128" i="1"/>
  <c r="S1127" i="1"/>
  <c r="P1131" i="1"/>
  <c r="Q1130" i="1"/>
  <c r="R1129" i="1"/>
  <c r="S1128" i="1"/>
  <c r="P1132" i="1"/>
  <c r="Q1131" i="1"/>
  <c r="R1130" i="1"/>
  <c r="S1129" i="1"/>
  <c r="Q1132" i="1"/>
  <c r="P1133" i="1"/>
  <c r="R1131" i="1"/>
  <c r="S1130" i="1"/>
  <c r="R1132" i="1"/>
  <c r="P1134" i="1"/>
  <c r="Q1133" i="1"/>
  <c r="S1131" i="1"/>
  <c r="S1132" i="1"/>
  <c r="Q1134" i="1"/>
  <c r="P1135" i="1"/>
  <c r="R1133" i="1"/>
  <c r="R1134" i="1"/>
  <c r="Q1135" i="1"/>
  <c r="P1136" i="1"/>
  <c r="S1133" i="1"/>
  <c r="S1134" i="1"/>
  <c r="R1135" i="1"/>
  <c r="P1137" i="1"/>
  <c r="Q1136" i="1"/>
  <c r="S1135" i="1"/>
  <c r="P1138" i="1"/>
  <c r="Q1137" i="1"/>
  <c r="R1136" i="1"/>
  <c r="Q1138" i="1"/>
  <c r="P1139" i="1"/>
  <c r="R1137" i="1"/>
  <c r="S1136" i="1"/>
  <c r="R1138" i="1"/>
  <c r="P1140" i="1"/>
  <c r="Q1139" i="1"/>
  <c r="S1137" i="1"/>
  <c r="S1138" i="1"/>
  <c r="Q1140" i="1"/>
  <c r="P1141" i="1"/>
  <c r="R1139" i="1"/>
  <c r="R1140" i="1"/>
  <c r="P1142" i="1"/>
  <c r="Q1141" i="1"/>
  <c r="S1139" i="1"/>
  <c r="S1140" i="1"/>
  <c r="Q1142" i="1"/>
  <c r="P1143" i="1"/>
  <c r="R1141" i="1"/>
  <c r="R1142" i="1"/>
  <c r="Q1143" i="1"/>
  <c r="P1144" i="1"/>
  <c r="S1141" i="1"/>
  <c r="S1142" i="1"/>
  <c r="R1143" i="1"/>
  <c r="P1145" i="1"/>
  <c r="Q1144" i="1"/>
  <c r="S1143" i="1"/>
  <c r="Q1145" i="1"/>
  <c r="P1146" i="1"/>
  <c r="R1144" i="1"/>
  <c r="R1145" i="1"/>
  <c r="Q1146" i="1"/>
  <c r="P1147" i="1"/>
  <c r="S1144" i="1"/>
  <c r="S1145" i="1"/>
  <c r="R1146" i="1"/>
  <c r="Q1147" i="1"/>
  <c r="P1148" i="1"/>
  <c r="S1146" i="1"/>
  <c r="R1147" i="1"/>
  <c r="P1149" i="1"/>
  <c r="Q1148" i="1"/>
  <c r="S1147" i="1"/>
  <c r="Q1149" i="1"/>
  <c r="P1150" i="1"/>
  <c r="R1148" i="1"/>
  <c r="R1149" i="1"/>
  <c r="P1151" i="1"/>
  <c r="Q1150" i="1"/>
  <c r="S1148" i="1"/>
  <c r="S1149" i="1"/>
  <c r="P1152" i="1"/>
  <c r="Q1151" i="1"/>
  <c r="R1150" i="1"/>
  <c r="P1153" i="1"/>
  <c r="Q1152" i="1"/>
  <c r="R1151" i="1"/>
  <c r="S1150" i="1"/>
  <c r="Q1153" i="1"/>
  <c r="P1154" i="1"/>
  <c r="R1152" i="1"/>
  <c r="S1151" i="1"/>
  <c r="R1153" i="1"/>
  <c r="P1155" i="1"/>
  <c r="Q1154" i="1"/>
  <c r="S1152" i="1"/>
  <c r="S1153" i="1"/>
  <c r="P1156" i="1"/>
  <c r="Q1155" i="1"/>
  <c r="R1154" i="1"/>
  <c r="Q1156" i="1"/>
  <c r="P1157" i="1"/>
  <c r="R1155" i="1"/>
  <c r="S1154" i="1"/>
  <c r="R1156" i="1"/>
  <c r="P1158" i="1"/>
  <c r="Q1157" i="1"/>
  <c r="S1155" i="1"/>
  <c r="S1156" i="1"/>
  <c r="P1159" i="1"/>
  <c r="Q1158" i="1"/>
  <c r="R1157" i="1"/>
  <c r="P1160" i="1"/>
  <c r="Q1159" i="1"/>
  <c r="R1158" i="1"/>
  <c r="S1157" i="1"/>
  <c r="Q1160" i="1"/>
  <c r="P1161" i="1"/>
  <c r="R1159" i="1"/>
  <c r="S1158" i="1"/>
  <c r="R1160" i="1"/>
  <c r="Q1161" i="1"/>
  <c r="P1162" i="1"/>
  <c r="S1159" i="1"/>
  <c r="S1160" i="1"/>
  <c r="R1161" i="1"/>
  <c r="Q1162" i="1"/>
  <c r="P1163" i="1"/>
  <c r="S1161" i="1"/>
  <c r="R1162" i="1"/>
  <c r="P1164" i="1"/>
  <c r="Q1163" i="1"/>
  <c r="S1162" i="1"/>
  <c r="P1165" i="1"/>
  <c r="Q1164" i="1"/>
  <c r="R1163" i="1"/>
  <c r="Q1165" i="1"/>
  <c r="P1166" i="1"/>
  <c r="R1164" i="1"/>
  <c r="S1163" i="1"/>
  <c r="R1165" i="1"/>
  <c r="Q1166" i="1"/>
  <c r="P1167" i="1"/>
  <c r="S1164" i="1"/>
  <c r="S1165" i="1"/>
  <c r="R1166" i="1"/>
  <c r="Q1167" i="1"/>
  <c r="P1168" i="1"/>
  <c r="S1166" i="1"/>
  <c r="R1167" i="1"/>
  <c r="Q1168" i="1"/>
  <c r="P1169" i="1"/>
  <c r="S1167" i="1"/>
  <c r="R1168" i="1"/>
  <c r="P1170" i="1"/>
  <c r="Q1169" i="1"/>
  <c r="S1168" i="1"/>
  <c r="Q1170" i="1"/>
  <c r="P1171" i="1"/>
  <c r="R1169" i="1"/>
  <c r="R1170" i="1"/>
  <c r="Q1171" i="1"/>
  <c r="P1172" i="1"/>
  <c r="S1169" i="1"/>
  <c r="S1170" i="1"/>
  <c r="R1171" i="1"/>
  <c r="P1173" i="1"/>
  <c r="Q1172" i="1"/>
  <c r="S1171" i="1"/>
  <c r="Q1173" i="1"/>
  <c r="P1174" i="1"/>
  <c r="R1172" i="1"/>
  <c r="R1173" i="1"/>
  <c r="Q1174" i="1"/>
  <c r="P1175" i="1"/>
  <c r="S1172" i="1"/>
  <c r="S1173" i="1"/>
  <c r="R1174" i="1"/>
  <c r="P1176" i="1"/>
  <c r="Q1175" i="1"/>
  <c r="S1174" i="1"/>
  <c r="P1177" i="1"/>
  <c r="Q1176" i="1"/>
  <c r="R1175" i="1"/>
  <c r="P1178" i="1"/>
  <c r="Q1177" i="1"/>
  <c r="R1176" i="1"/>
  <c r="S1175" i="1"/>
  <c r="P1179" i="1"/>
  <c r="Q1178" i="1"/>
  <c r="R1177" i="1"/>
  <c r="S1176" i="1"/>
  <c r="P1180" i="1"/>
  <c r="Q1179" i="1"/>
  <c r="R1178" i="1"/>
  <c r="S1177" i="1"/>
  <c r="P1181" i="1"/>
  <c r="Q1180" i="1"/>
  <c r="R1179" i="1"/>
  <c r="S1178" i="1"/>
  <c r="P1182" i="1"/>
  <c r="Q1181" i="1"/>
  <c r="R1180" i="1"/>
  <c r="S1179" i="1"/>
  <c r="Q1182" i="1"/>
  <c r="P1183" i="1"/>
  <c r="R1181" i="1"/>
  <c r="S1180" i="1"/>
  <c r="R1182" i="1"/>
  <c r="Q1183" i="1"/>
  <c r="P1184" i="1"/>
  <c r="S1181" i="1"/>
  <c r="S1182" i="1"/>
  <c r="R1183" i="1"/>
  <c r="P1185" i="1"/>
  <c r="Q1184" i="1"/>
  <c r="S1183" i="1"/>
  <c r="P1186" i="1"/>
  <c r="Q1185" i="1"/>
  <c r="R1184" i="1"/>
  <c r="P1187" i="1"/>
  <c r="Q1186" i="1"/>
  <c r="R1185" i="1"/>
  <c r="S1184" i="1"/>
  <c r="Q1187" i="1"/>
  <c r="P1188" i="1"/>
  <c r="R1186" i="1"/>
  <c r="S1185" i="1"/>
  <c r="R1187" i="1"/>
  <c r="Q1188" i="1"/>
  <c r="P1189" i="1"/>
  <c r="S1186" i="1"/>
  <c r="S1187" i="1"/>
  <c r="R1188" i="1"/>
  <c r="P1190" i="1"/>
  <c r="Q1189" i="1"/>
  <c r="S1188" i="1"/>
  <c r="P1191" i="1"/>
  <c r="Q1190" i="1"/>
  <c r="R1189" i="1"/>
  <c r="Q1191" i="1"/>
  <c r="P1192" i="1"/>
  <c r="R1190" i="1"/>
  <c r="S1189" i="1"/>
  <c r="R1191" i="1"/>
  <c r="P1193" i="1"/>
  <c r="Q1192" i="1"/>
  <c r="S1190" i="1"/>
  <c r="S1191" i="1"/>
  <c r="Q1193" i="1"/>
  <c r="P1194" i="1"/>
  <c r="R1192" i="1"/>
  <c r="R1193" i="1"/>
  <c r="P1195" i="1"/>
  <c r="Q1194" i="1"/>
  <c r="S1192" i="1"/>
  <c r="S1193" i="1"/>
  <c r="P1196" i="1"/>
  <c r="Q1195" i="1"/>
  <c r="R1194" i="1"/>
  <c r="Q1196" i="1"/>
  <c r="P1197" i="1"/>
  <c r="R1195" i="1"/>
  <c r="S1194" i="1"/>
  <c r="R1196" i="1"/>
  <c r="Q1197" i="1"/>
  <c r="P1198" i="1"/>
  <c r="S1195" i="1"/>
  <c r="S1196" i="1"/>
  <c r="R1197" i="1"/>
  <c r="Q1198" i="1"/>
  <c r="P1199" i="1"/>
  <c r="S1197" i="1"/>
  <c r="R1198" i="1"/>
  <c r="P1200" i="1"/>
  <c r="Q1199" i="1"/>
  <c r="S1198" i="1"/>
  <c r="P1201" i="1"/>
  <c r="Q1200" i="1"/>
  <c r="R1199" i="1"/>
  <c r="P1202" i="1"/>
  <c r="Q1201" i="1"/>
  <c r="R1200" i="1"/>
  <c r="S1199" i="1"/>
  <c r="P1203" i="1"/>
  <c r="Q1202" i="1"/>
  <c r="R1201" i="1"/>
  <c r="S1200" i="1"/>
  <c r="Q1203" i="1"/>
  <c r="P1204" i="1"/>
  <c r="R1202" i="1"/>
  <c r="S1201" i="1"/>
  <c r="R1203" i="1"/>
  <c r="Q1204" i="1"/>
  <c r="P1205" i="1"/>
  <c r="S1202" i="1"/>
  <c r="S1203" i="1"/>
  <c r="R1204" i="1"/>
  <c r="Q1205" i="1"/>
  <c r="P1206" i="1"/>
  <c r="S1204" i="1"/>
  <c r="R1205" i="1"/>
  <c r="P1207" i="1"/>
  <c r="Q1206" i="1"/>
  <c r="S1205" i="1"/>
  <c r="Q1207" i="1"/>
  <c r="P1208" i="1"/>
  <c r="R1206" i="1"/>
  <c r="R1207" i="1"/>
  <c r="Q1208" i="1"/>
  <c r="P1209" i="1"/>
  <c r="S1206" i="1"/>
  <c r="S1207" i="1"/>
  <c r="R1208" i="1"/>
  <c r="Q1209" i="1"/>
  <c r="P1210" i="1"/>
  <c r="S1208" i="1"/>
  <c r="R1209" i="1"/>
  <c r="Q1210" i="1"/>
  <c r="P1211" i="1"/>
  <c r="S1209" i="1"/>
  <c r="R1210" i="1"/>
  <c r="Q1211" i="1"/>
  <c r="P1212" i="1"/>
  <c r="S1210" i="1"/>
  <c r="R1211" i="1"/>
  <c r="Q1212" i="1"/>
  <c r="P1213" i="1"/>
  <c r="S1211" i="1"/>
  <c r="R1212" i="1"/>
  <c r="P1214" i="1"/>
  <c r="Q1213" i="1"/>
  <c r="S1212" i="1"/>
  <c r="P1215" i="1"/>
  <c r="Q1214" i="1"/>
  <c r="R1213" i="1"/>
  <c r="P1216" i="1"/>
  <c r="Q1215" i="1"/>
  <c r="R1214" i="1"/>
  <c r="S1213" i="1"/>
  <c r="P1217" i="1"/>
  <c r="Q1216" i="1"/>
  <c r="R1215" i="1"/>
  <c r="S1214" i="1"/>
  <c r="Q1217" i="1"/>
  <c r="P1218" i="1"/>
  <c r="R1216" i="1"/>
  <c r="S1215" i="1"/>
  <c r="R1217" i="1"/>
  <c r="Q1218" i="1"/>
  <c r="P1219" i="1"/>
  <c r="S1216" i="1"/>
  <c r="S1217" i="1"/>
  <c r="R1218" i="1"/>
  <c r="P1220" i="1"/>
  <c r="Q1219" i="1"/>
  <c r="S1218" i="1"/>
  <c r="Q1220" i="1"/>
  <c r="P1221" i="1"/>
  <c r="R1219" i="1"/>
  <c r="R1220" i="1"/>
  <c r="P1222" i="1"/>
  <c r="Q1221" i="1"/>
  <c r="S1219" i="1"/>
  <c r="S1220" i="1"/>
  <c r="Q1222" i="1"/>
  <c r="P1223" i="1"/>
  <c r="R1221" i="1"/>
  <c r="R1222" i="1"/>
  <c r="Q1223" i="1"/>
  <c r="P1224" i="1"/>
  <c r="S1221" i="1"/>
  <c r="S1222" i="1"/>
  <c r="R1223" i="1"/>
  <c r="Q1224" i="1"/>
  <c r="P1225" i="1"/>
  <c r="S1223" i="1"/>
  <c r="R1224" i="1"/>
  <c r="P1226" i="1"/>
  <c r="Q1225" i="1"/>
  <c r="S1224" i="1"/>
  <c r="P1227" i="1"/>
  <c r="Q1226" i="1"/>
  <c r="R1225" i="1"/>
  <c r="P1228" i="1"/>
  <c r="Q1227" i="1"/>
  <c r="R1226" i="1"/>
  <c r="S1225" i="1"/>
  <c r="Q1228" i="1"/>
  <c r="P1229" i="1"/>
  <c r="R1227" i="1"/>
  <c r="S1226" i="1"/>
  <c r="R1228" i="1"/>
  <c r="P1230" i="1"/>
  <c r="Q1229" i="1"/>
  <c r="S1227" i="1"/>
  <c r="S1228" i="1"/>
  <c r="Q1230" i="1"/>
  <c r="P1231" i="1"/>
  <c r="R1229" i="1"/>
  <c r="R1230" i="1"/>
  <c r="Q1231" i="1"/>
  <c r="P1232" i="1"/>
  <c r="S1229" i="1"/>
  <c r="S1230" i="1"/>
  <c r="R1231" i="1"/>
  <c r="Q1232" i="1"/>
  <c r="P1233" i="1"/>
  <c r="S1231" i="1"/>
  <c r="R1232" i="1"/>
  <c r="P1234" i="1"/>
  <c r="Q1233" i="1"/>
  <c r="S1232" i="1"/>
  <c r="P1235" i="1"/>
  <c r="Q1234" i="1"/>
  <c r="R1233" i="1"/>
  <c r="P1236" i="1"/>
  <c r="Q1235" i="1"/>
  <c r="R1234" i="1"/>
  <c r="S1233" i="1"/>
  <c r="Q1236" i="1"/>
  <c r="P1237" i="1"/>
  <c r="R1235" i="1"/>
  <c r="S1234" i="1"/>
  <c r="R1236" i="1"/>
  <c r="P1238" i="1"/>
  <c r="Q1237" i="1"/>
  <c r="S1235" i="1"/>
  <c r="S1236" i="1"/>
  <c r="Q1238" i="1"/>
  <c r="P1239" i="1"/>
  <c r="R1237" i="1"/>
  <c r="R1238" i="1"/>
  <c r="P1240" i="1"/>
  <c r="Q1239" i="1"/>
  <c r="S1237" i="1"/>
  <c r="S1238" i="1"/>
  <c r="Q1240" i="1"/>
  <c r="P1241" i="1"/>
  <c r="R1239" i="1"/>
  <c r="R1240" i="1"/>
  <c r="P1242" i="1"/>
  <c r="Q1241" i="1"/>
  <c r="S1239" i="1"/>
  <c r="S1240" i="1"/>
  <c r="P1243" i="1"/>
  <c r="Q1242" i="1"/>
  <c r="R1241" i="1"/>
  <c r="Q1243" i="1"/>
  <c r="P1244" i="1"/>
  <c r="R1242" i="1"/>
  <c r="S1241" i="1"/>
  <c r="R1243" i="1"/>
  <c r="P1245" i="1"/>
  <c r="Q1244" i="1"/>
  <c r="S1242" i="1"/>
  <c r="S1243" i="1"/>
  <c r="Q1245" i="1"/>
  <c r="P1246" i="1"/>
  <c r="R1244" i="1"/>
  <c r="R1245" i="1"/>
  <c r="P1247" i="1"/>
  <c r="Q1246" i="1"/>
  <c r="S1244" i="1"/>
  <c r="S1245" i="1"/>
  <c r="Q1247" i="1"/>
  <c r="P1248" i="1"/>
  <c r="R1246" i="1"/>
  <c r="R1247" i="1"/>
  <c r="P1249" i="1"/>
  <c r="Q1248" i="1"/>
  <c r="S1246" i="1"/>
  <c r="S1247" i="1"/>
  <c r="Q1249" i="1"/>
  <c r="P1250" i="1"/>
  <c r="R1248" i="1"/>
  <c r="R1249" i="1"/>
  <c r="Q1250" i="1"/>
  <c r="P1251" i="1"/>
  <c r="S1248" i="1"/>
  <c r="S1249" i="1"/>
  <c r="R1250" i="1"/>
  <c r="P1252" i="1"/>
  <c r="Q1251" i="1"/>
  <c r="S1250" i="1"/>
  <c r="Q1252" i="1"/>
  <c r="P1253" i="1"/>
  <c r="R1251" i="1"/>
  <c r="R1252" i="1"/>
  <c r="Q1253" i="1"/>
  <c r="P1254" i="1"/>
  <c r="S1251" i="1"/>
  <c r="S1252" i="1"/>
  <c r="R1253" i="1"/>
  <c r="P1255" i="1"/>
  <c r="Q1254" i="1"/>
  <c r="S1253" i="1"/>
  <c r="Q1255" i="1"/>
  <c r="P1256" i="1"/>
  <c r="R1254" i="1"/>
  <c r="R1255" i="1"/>
  <c r="P1257" i="1"/>
  <c r="Q1256" i="1"/>
  <c r="S1254" i="1"/>
  <c r="S1255" i="1"/>
  <c r="P1258" i="1"/>
  <c r="Q1257" i="1"/>
  <c r="R1256" i="1"/>
  <c r="P1259" i="1"/>
  <c r="Q1258" i="1"/>
  <c r="R1257" i="1"/>
  <c r="S1256" i="1"/>
  <c r="P1260" i="1"/>
  <c r="Q1259" i="1"/>
  <c r="R1258" i="1"/>
  <c r="S1257" i="1"/>
  <c r="Q1260" i="1"/>
  <c r="P1261" i="1"/>
  <c r="R1259" i="1"/>
  <c r="S1258" i="1"/>
  <c r="R1260" i="1"/>
  <c r="Q1261" i="1"/>
  <c r="P1262" i="1"/>
  <c r="S1259" i="1"/>
  <c r="S1260" i="1"/>
  <c r="R1261" i="1"/>
  <c r="Q1262" i="1"/>
  <c r="P1263" i="1"/>
  <c r="S1261" i="1"/>
  <c r="R1262" i="1"/>
  <c r="P1264" i="1"/>
  <c r="Q1263" i="1"/>
  <c r="S1262" i="1"/>
  <c r="Q1264" i="1"/>
  <c r="P1265" i="1"/>
  <c r="R1263" i="1"/>
  <c r="R1264" i="1"/>
  <c r="P1266" i="1"/>
  <c r="Q1265" i="1"/>
  <c r="S1263" i="1"/>
  <c r="S1264" i="1"/>
  <c r="P1267" i="1"/>
  <c r="Q1266" i="1"/>
  <c r="R1265" i="1"/>
  <c r="P1268" i="1"/>
  <c r="Q1267" i="1"/>
  <c r="R1266" i="1"/>
  <c r="S1265" i="1"/>
  <c r="Q1268" i="1"/>
  <c r="P1269" i="1"/>
  <c r="R1267" i="1"/>
  <c r="S1266" i="1"/>
  <c r="R1268" i="1"/>
  <c r="P1270" i="1"/>
  <c r="Q1269" i="1"/>
  <c r="S1267" i="1"/>
  <c r="S1268" i="1"/>
  <c r="P1271" i="1"/>
  <c r="Q1270" i="1"/>
  <c r="R1269" i="1"/>
  <c r="Q1271" i="1"/>
  <c r="P1272" i="1"/>
  <c r="R1270" i="1"/>
  <c r="S1269" i="1"/>
  <c r="R1271" i="1"/>
  <c r="Q1272" i="1"/>
  <c r="P1273" i="1"/>
  <c r="S1270" i="1"/>
  <c r="S1271" i="1"/>
  <c r="R1272" i="1"/>
  <c r="P1274" i="1"/>
  <c r="Q1273" i="1"/>
  <c r="S1272" i="1"/>
  <c r="P1275" i="1"/>
  <c r="Q1274" i="1"/>
  <c r="R1273" i="1"/>
  <c r="P1276" i="1"/>
  <c r="Q1275" i="1"/>
  <c r="R1274" i="1"/>
  <c r="S1273" i="1"/>
  <c r="Q1276" i="1"/>
  <c r="P1277" i="1"/>
  <c r="R1275" i="1"/>
  <c r="S1274" i="1"/>
  <c r="R1276" i="1"/>
  <c r="Q1277" i="1"/>
  <c r="P1278" i="1"/>
  <c r="S1275" i="1"/>
  <c r="S1276" i="1"/>
  <c r="R1277" i="1"/>
  <c r="Q1278" i="1"/>
  <c r="P1279" i="1"/>
  <c r="S1277" i="1"/>
  <c r="R1278" i="1"/>
  <c r="Q1279" i="1"/>
  <c r="P1280" i="1"/>
  <c r="S1278" i="1"/>
  <c r="R1279" i="1"/>
  <c r="P1281" i="1"/>
  <c r="Q1280" i="1"/>
  <c r="S1279" i="1"/>
  <c r="P1282" i="1"/>
  <c r="Q1281" i="1"/>
  <c r="R1280" i="1"/>
  <c r="P1283" i="1"/>
  <c r="Q1282" i="1"/>
  <c r="R1281" i="1"/>
  <c r="S1280" i="1"/>
  <c r="Q1283" i="1"/>
  <c r="P1284" i="1"/>
  <c r="R1282" i="1"/>
  <c r="S1281" i="1"/>
  <c r="R1283" i="1"/>
  <c r="P1285" i="1"/>
  <c r="Q1284" i="1"/>
  <c r="S1282" i="1"/>
  <c r="S1283" i="1"/>
  <c r="P1286" i="1"/>
  <c r="Q1285" i="1"/>
  <c r="R1284" i="1"/>
  <c r="P1287" i="1"/>
  <c r="Q1286" i="1"/>
  <c r="R1285" i="1"/>
  <c r="S1284" i="1"/>
  <c r="Q1287" i="1"/>
  <c r="P1288" i="1"/>
  <c r="R1286" i="1"/>
  <c r="S1285" i="1"/>
  <c r="R1287" i="1"/>
  <c r="P1289" i="1"/>
  <c r="Q1288" i="1"/>
  <c r="S1286" i="1"/>
  <c r="S1287" i="1"/>
  <c r="Q1289" i="1"/>
  <c r="P1290" i="1"/>
  <c r="R1288" i="1"/>
  <c r="R1289" i="1"/>
  <c r="Q1290" i="1"/>
  <c r="P1291" i="1"/>
  <c r="S1288" i="1"/>
  <c r="S1289" i="1"/>
  <c r="R1290" i="1"/>
  <c r="P1292" i="1"/>
  <c r="Q1291" i="1"/>
  <c r="S1290" i="1"/>
  <c r="P1293" i="1"/>
  <c r="Q1292" i="1"/>
  <c r="R1291" i="1"/>
  <c r="P1294" i="1"/>
  <c r="Q1293" i="1"/>
  <c r="R1292" i="1"/>
  <c r="S1291" i="1"/>
  <c r="Q1294" i="1"/>
  <c r="P1295" i="1"/>
  <c r="R1293" i="1"/>
  <c r="S1292" i="1"/>
  <c r="R1294" i="1"/>
  <c r="P1296" i="1"/>
  <c r="Q1295" i="1"/>
  <c r="S1293" i="1"/>
  <c r="S1294" i="1"/>
  <c r="P1297" i="1"/>
  <c r="Q1296" i="1"/>
  <c r="R1295" i="1"/>
  <c r="Q1297" i="1"/>
  <c r="P1298" i="1"/>
  <c r="R1296" i="1"/>
  <c r="S1295" i="1"/>
  <c r="R1297" i="1"/>
  <c r="Q1298" i="1"/>
  <c r="P1299" i="1"/>
  <c r="S1296" i="1"/>
  <c r="S1297" i="1"/>
  <c r="R1298" i="1"/>
  <c r="P1300" i="1"/>
  <c r="Q1299" i="1"/>
  <c r="S1298" i="1"/>
  <c r="Q1300" i="1"/>
  <c r="P1301" i="1"/>
  <c r="R1299" i="1"/>
  <c r="R1300" i="1"/>
  <c r="Q1301" i="1"/>
  <c r="P1302" i="1"/>
  <c r="S1299" i="1"/>
  <c r="S1300" i="1"/>
  <c r="R1301" i="1"/>
  <c r="Q1302" i="1"/>
  <c r="P1303" i="1"/>
  <c r="S1301" i="1"/>
  <c r="R1302" i="1"/>
  <c r="Q1303" i="1"/>
  <c r="P1304" i="1"/>
  <c r="S1302" i="1"/>
  <c r="R1303" i="1"/>
  <c r="Q1304" i="1"/>
  <c r="P1305" i="1"/>
  <c r="S1303" i="1"/>
  <c r="R1304" i="1"/>
  <c r="Q1305" i="1"/>
  <c r="P1306" i="1"/>
  <c r="S1304" i="1"/>
  <c r="R1305" i="1"/>
  <c r="P1307" i="1"/>
  <c r="Q1306" i="1"/>
  <c r="S1305" i="1"/>
  <c r="P1308" i="1"/>
  <c r="Q1307" i="1"/>
  <c r="R1306" i="1"/>
  <c r="Q1308" i="1"/>
  <c r="P1309" i="1"/>
  <c r="R1307" i="1"/>
  <c r="S1306" i="1"/>
  <c r="R1308" i="1"/>
  <c r="Q1309" i="1"/>
  <c r="P1310" i="1"/>
  <c r="S1307" i="1"/>
  <c r="S1308" i="1"/>
  <c r="R1309" i="1"/>
  <c r="Q1310" i="1"/>
  <c r="S1309" i="1"/>
  <c r="R1310" i="1"/>
  <c r="S1310" i="1"/>
  <c r="Q13" i="5"/>
  <c r="R13" i="5" s="1"/>
  <c r="AB13" i="5"/>
  <c r="S13" i="5"/>
  <c r="T13" i="5" s="1"/>
  <c r="Z13" i="5"/>
  <c r="P14" i="5"/>
  <c r="Q14" i="5"/>
  <c r="R14" i="5" s="1"/>
  <c r="AB14" i="5"/>
  <c r="S14" i="5"/>
  <c r="T14" i="5" s="1"/>
  <c r="Z14" i="5"/>
  <c r="P15" i="5"/>
  <c r="Q15" i="5"/>
  <c r="R15" i="5" s="1"/>
  <c r="AB15" i="5"/>
  <c r="S15" i="5"/>
  <c r="T15" i="5" s="1"/>
  <c r="Z15" i="5"/>
  <c r="P16" i="5"/>
  <c r="Q16" i="5"/>
  <c r="R16" i="5" s="1"/>
  <c r="AB16" i="5"/>
  <c r="S16" i="5"/>
  <c r="T16" i="5" s="1"/>
  <c r="Z16" i="5"/>
  <c r="P17" i="5"/>
  <c r="Q17" i="5"/>
  <c r="R17" i="5" s="1"/>
  <c r="AB17" i="5"/>
  <c r="S17" i="5"/>
  <c r="T17" i="5" s="1"/>
  <c r="Z17" i="5"/>
  <c r="P18" i="5"/>
  <c r="Q18" i="5"/>
  <c r="R18" i="5" s="1"/>
  <c r="AB18" i="5"/>
  <c r="S18" i="5"/>
  <c r="T18" i="5" s="1"/>
  <c r="Z18" i="5"/>
  <c r="P19" i="5"/>
  <c r="Q19" i="5"/>
  <c r="R19" i="5" s="1"/>
  <c r="AB19" i="5"/>
  <c r="S19" i="5"/>
  <c r="T19" i="5" s="1"/>
  <c r="Z19" i="5"/>
  <c r="P20" i="5"/>
  <c r="Q20" i="5"/>
  <c r="R20" i="5" s="1"/>
  <c r="AB20" i="5"/>
  <c r="S20" i="5"/>
  <c r="T20" i="5" s="1"/>
  <c r="P21" i="5"/>
  <c r="Z20" i="5"/>
  <c r="Q21" i="5"/>
  <c r="R21" i="5" s="1"/>
  <c r="AB21" i="5"/>
  <c r="S21" i="5"/>
  <c r="T21" i="5" s="1"/>
  <c r="Z21" i="5"/>
  <c r="P22" i="5"/>
  <c r="Q22" i="5"/>
  <c r="R22" i="5" s="1"/>
  <c r="AB22" i="5"/>
  <c r="S22" i="5"/>
  <c r="T22" i="5" s="1"/>
  <c r="Z22" i="5"/>
  <c r="P23" i="5"/>
  <c r="Q23" i="5"/>
  <c r="R23" i="5" s="1"/>
  <c r="AB23" i="5"/>
  <c r="S23" i="5"/>
  <c r="T23" i="5" s="1"/>
  <c r="Z23" i="5"/>
  <c r="P24" i="5"/>
  <c r="Q24" i="5"/>
  <c r="R24" i="5" s="1"/>
  <c r="AB24" i="5"/>
  <c r="S24" i="5"/>
  <c r="T24" i="5" s="1"/>
  <c r="Z24" i="5"/>
  <c r="P25" i="5"/>
  <c r="Q25" i="5"/>
  <c r="R25" i="5" s="1"/>
  <c r="AB25" i="5"/>
  <c r="S25" i="5"/>
  <c r="T25" i="5" s="1"/>
  <c r="Z25" i="5"/>
  <c r="P26" i="5"/>
  <c r="Q26" i="5"/>
  <c r="R26" i="5" s="1"/>
  <c r="AB26" i="5"/>
  <c r="S26" i="5"/>
  <c r="T26" i="5" s="1"/>
  <c r="Z26" i="5"/>
  <c r="P27" i="5"/>
  <c r="Q27" i="5"/>
  <c r="R27" i="5" s="1"/>
  <c r="AB27" i="5"/>
  <c r="S27" i="5"/>
  <c r="T27" i="5" s="1"/>
  <c r="Z27" i="5"/>
  <c r="P28" i="5"/>
  <c r="Q28" i="5"/>
  <c r="R28" i="5" s="1"/>
  <c r="AB28" i="5"/>
  <c r="S28" i="5"/>
  <c r="T28" i="5" s="1"/>
  <c r="Z28" i="5"/>
  <c r="P29" i="5"/>
  <c r="Q29" i="5"/>
  <c r="R29" i="5" s="1"/>
  <c r="AB29" i="5"/>
  <c r="S29" i="5"/>
  <c r="T29" i="5" s="1"/>
  <c r="Z29" i="5"/>
  <c r="P30" i="5"/>
  <c r="Q30" i="5"/>
  <c r="R30" i="5" s="1"/>
  <c r="AB30" i="5"/>
  <c r="S30" i="5"/>
  <c r="T30" i="5" s="1"/>
  <c r="Z30" i="5"/>
  <c r="P31" i="5"/>
  <c r="Q31" i="5"/>
  <c r="R31" i="5" s="1"/>
  <c r="AB31" i="5"/>
  <c r="S31" i="5"/>
  <c r="T31" i="5" s="1"/>
  <c r="Z31" i="5"/>
  <c r="P32" i="5"/>
  <c r="Q32" i="5"/>
  <c r="R32" i="5" s="1"/>
  <c r="AB32" i="5"/>
  <c r="S32" i="5"/>
  <c r="T32" i="5" s="1"/>
  <c r="Z32" i="5"/>
  <c r="P33" i="5"/>
  <c r="Q33" i="5"/>
  <c r="R33" i="5" s="1"/>
  <c r="AB33" i="5"/>
  <c r="S33" i="5"/>
  <c r="T33" i="5" s="1"/>
  <c r="Z33" i="5"/>
  <c r="P34" i="5"/>
  <c r="Q34" i="5"/>
  <c r="R34" i="5" s="1"/>
  <c r="AB34" i="5"/>
  <c r="S34" i="5"/>
  <c r="T34" i="5" s="1"/>
  <c r="Z34" i="5"/>
  <c r="P35" i="5"/>
  <c r="Q35" i="5"/>
  <c r="R35" i="5" s="1"/>
  <c r="AB35" i="5"/>
  <c r="S35" i="5"/>
  <c r="T35" i="5" s="1"/>
  <c r="Z35" i="5"/>
  <c r="P36" i="5"/>
  <c r="Q36" i="5"/>
  <c r="R36" i="5" s="1"/>
  <c r="AB36" i="5"/>
  <c r="S36" i="5"/>
  <c r="T36" i="5" s="1"/>
  <c r="Z36" i="5"/>
  <c r="P37" i="5"/>
  <c r="Q37" i="5"/>
  <c r="R37" i="5" s="1"/>
  <c r="AB37" i="5"/>
  <c r="S37" i="5"/>
  <c r="T37" i="5" s="1"/>
  <c r="Z37" i="5"/>
  <c r="P38" i="5"/>
  <c r="Q38" i="5"/>
  <c r="R38" i="5" s="1"/>
  <c r="AB38" i="5"/>
  <c r="S38" i="5"/>
  <c r="T38" i="5" s="1"/>
  <c r="Z38" i="5"/>
  <c r="P39" i="5"/>
  <c r="Q39" i="5"/>
  <c r="R39" i="5" s="1"/>
  <c r="AB39" i="5"/>
  <c r="S39" i="5"/>
  <c r="T39" i="5" s="1"/>
  <c r="Z39" i="5"/>
  <c r="P40" i="5"/>
  <c r="Q40" i="5"/>
  <c r="R40" i="5" s="1"/>
  <c r="AB40" i="5"/>
  <c r="S40" i="5"/>
  <c r="T40" i="5" s="1"/>
  <c r="Z40" i="5"/>
  <c r="P41" i="5"/>
  <c r="Q41" i="5"/>
  <c r="R41" i="5" s="1"/>
  <c r="AB41" i="5"/>
  <c r="S41" i="5"/>
  <c r="T41" i="5" s="1"/>
  <c r="Z41" i="5"/>
  <c r="P42" i="5"/>
  <c r="Q42" i="5"/>
  <c r="R42" i="5" s="1"/>
  <c r="AB42" i="5"/>
  <c r="S42" i="5"/>
  <c r="T42" i="5" s="1"/>
  <c r="Z42" i="5"/>
  <c r="P43" i="5"/>
  <c r="Q43" i="5"/>
  <c r="R43" i="5" s="1"/>
  <c r="AB43" i="5"/>
  <c r="S43" i="5"/>
  <c r="T43" i="5" s="1"/>
  <c r="Z43" i="5"/>
  <c r="P44" i="5"/>
  <c r="Q44" i="5"/>
  <c r="R44" i="5" s="1"/>
  <c r="AB44" i="5"/>
  <c r="S44" i="5"/>
  <c r="T44" i="5" s="1"/>
  <c r="Z44" i="5"/>
  <c r="P45" i="5"/>
  <c r="Q45" i="5"/>
  <c r="R45" i="5" s="1"/>
  <c r="AB45" i="5"/>
  <c r="S45" i="5"/>
  <c r="T45" i="5" s="1"/>
  <c r="Z45" i="5"/>
  <c r="P46" i="5"/>
  <c r="Q46" i="5"/>
  <c r="R46" i="5" s="1"/>
  <c r="AB46" i="5"/>
  <c r="S46" i="5"/>
  <c r="T46" i="5" s="1"/>
  <c r="P47" i="5"/>
  <c r="Z46" i="5"/>
  <c r="Q47" i="5"/>
  <c r="R47" i="5" s="1"/>
  <c r="AB47" i="5"/>
  <c r="S47" i="5"/>
  <c r="T47" i="5" s="1"/>
  <c r="Z47" i="5"/>
  <c r="P48" i="5"/>
  <c r="Q48" i="5"/>
  <c r="R48" i="5" s="1"/>
  <c r="AB48" i="5"/>
  <c r="S48" i="5"/>
  <c r="T48" i="5" s="1"/>
  <c r="Z48" i="5"/>
  <c r="P49" i="5"/>
  <c r="Q49" i="5"/>
  <c r="R49" i="5" s="1"/>
  <c r="AB49" i="5"/>
  <c r="S49" i="5"/>
  <c r="T49" i="5" s="1"/>
  <c r="Z49" i="5"/>
  <c r="P50" i="5"/>
  <c r="Q50" i="5"/>
  <c r="R50" i="5" s="1"/>
  <c r="AB50" i="5"/>
  <c r="S50" i="5"/>
  <c r="T50" i="5" s="1"/>
  <c r="Z50" i="5"/>
  <c r="P51" i="5"/>
  <c r="Q51" i="5"/>
  <c r="R51" i="5" s="1"/>
  <c r="AB51" i="5"/>
  <c r="S51" i="5"/>
  <c r="T51" i="5" s="1"/>
  <c r="Z51" i="5"/>
  <c r="P52" i="5"/>
  <c r="Q52" i="5"/>
  <c r="R52" i="5" s="1"/>
  <c r="AB52" i="5"/>
  <c r="S52" i="5"/>
  <c r="T52" i="5" s="1"/>
  <c r="Z52" i="5"/>
  <c r="P53" i="5"/>
  <c r="Q53" i="5"/>
  <c r="R53" i="5" s="1"/>
  <c r="AB53" i="5"/>
  <c r="S53" i="5"/>
  <c r="T53" i="5" s="1"/>
  <c r="Z53" i="5"/>
  <c r="P54" i="5"/>
  <c r="Q54" i="5"/>
  <c r="R54" i="5" s="1"/>
  <c r="AB54" i="5"/>
  <c r="S54" i="5"/>
  <c r="T54" i="5" s="1"/>
  <c r="Z54" i="5"/>
  <c r="P55" i="5"/>
  <c r="Q55" i="5"/>
  <c r="R55" i="5" s="1"/>
  <c r="AB55" i="5"/>
  <c r="S55" i="5"/>
  <c r="T55" i="5" s="1"/>
  <c r="Z55" i="5"/>
  <c r="P56" i="5"/>
  <c r="Q56" i="5"/>
  <c r="R56" i="5" s="1"/>
  <c r="AB56" i="5"/>
  <c r="S56" i="5"/>
  <c r="T56" i="5" s="1"/>
  <c r="Z56" i="5"/>
  <c r="P57" i="5"/>
  <c r="Q57" i="5"/>
  <c r="R57" i="5" s="1"/>
  <c r="AB57" i="5"/>
  <c r="S57" i="5"/>
  <c r="T57" i="5" s="1"/>
  <c r="Z57" i="5"/>
  <c r="P58" i="5"/>
  <c r="Q58" i="5"/>
  <c r="R58" i="5" s="1"/>
  <c r="AB58" i="5"/>
  <c r="S58" i="5"/>
  <c r="T58" i="5" s="1"/>
  <c r="Z58" i="5"/>
  <c r="P59" i="5"/>
  <c r="Q59" i="5"/>
  <c r="R59" i="5" s="1"/>
  <c r="AB59" i="5"/>
  <c r="S59" i="5"/>
  <c r="T59" i="5" s="1"/>
  <c r="Z59" i="5"/>
  <c r="P60" i="5"/>
  <c r="Q60" i="5"/>
  <c r="R60" i="5" s="1"/>
  <c r="AB60" i="5"/>
  <c r="S60" i="5"/>
  <c r="T60" i="5" s="1"/>
  <c r="Z60" i="5"/>
  <c r="P61" i="5"/>
  <c r="Q61" i="5"/>
  <c r="R61" i="5" s="1"/>
  <c r="AB61" i="5"/>
  <c r="S61" i="5"/>
  <c r="T61" i="5" s="1"/>
  <c r="Z61" i="5"/>
  <c r="P62" i="5"/>
  <c r="Q62" i="5"/>
  <c r="R62" i="5" s="1"/>
  <c r="AB62" i="5"/>
  <c r="S62" i="5"/>
  <c r="T62" i="5" s="1"/>
  <c r="Z62" i="5"/>
  <c r="P63" i="5"/>
  <c r="Q63" i="5"/>
  <c r="R63" i="5" s="1"/>
  <c r="AB63" i="5"/>
  <c r="S63" i="5"/>
  <c r="T63" i="5" s="1"/>
  <c r="Z63" i="5"/>
  <c r="P64" i="5"/>
  <c r="Q64" i="5"/>
  <c r="R64" i="5" s="1"/>
  <c r="AB64" i="5"/>
  <c r="S64" i="5"/>
  <c r="T64" i="5" s="1"/>
  <c r="Z64" i="5"/>
  <c r="P65" i="5"/>
  <c r="Q65" i="5"/>
  <c r="R65" i="5" s="1"/>
  <c r="AB65" i="5"/>
  <c r="S65" i="5"/>
  <c r="T65" i="5" s="1"/>
  <c r="Z65" i="5"/>
  <c r="P66" i="5"/>
  <c r="Q66" i="5"/>
  <c r="R66" i="5" s="1"/>
  <c r="AB66" i="5"/>
  <c r="S66" i="5"/>
  <c r="T66" i="5" s="1"/>
  <c r="Z66" i="5"/>
  <c r="P67" i="5"/>
  <c r="Q67" i="5"/>
  <c r="R67" i="5" s="1"/>
  <c r="AB67" i="5"/>
  <c r="S67" i="5"/>
  <c r="T67" i="5" s="1"/>
  <c r="Z67" i="5"/>
  <c r="P68" i="5"/>
  <c r="Q68" i="5"/>
  <c r="R68" i="5" s="1"/>
  <c r="AB68" i="5"/>
  <c r="S68" i="5"/>
  <c r="T68" i="5" s="1"/>
  <c r="Z68" i="5"/>
  <c r="P69" i="5"/>
  <c r="Q69" i="5"/>
  <c r="R69" i="5" s="1"/>
  <c r="AB69" i="5"/>
  <c r="S69" i="5"/>
  <c r="T69" i="5" s="1"/>
  <c r="Z69" i="5"/>
  <c r="P70" i="5"/>
  <c r="Q70" i="5"/>
  <c r="R70" i="5" s="1"/>
  <c r="AB70" i="5"/>
  <c r="S70" i="5"/>
  <c r="T70" i="5" s="1"/>
  <c r="Z70" i="5"/>
  <c r="P71" i="5"/>
  <c r="Q71" i="5"/>
  <c r="R71" i="5" s="1"/>
  <c r="AB71" i="5"/>
  <c r="S71" i="5"/>
  <c r="T71" i="5" s="1"/>
  <c r="Z71" i="5"/>
  <c r="P72" i="5"/>
  <c r="Q72" i="5"/>
  <c r="R72" i="5" s="1"/>
  <c r="AB72" i="5"/>
  <c r="S72" i="5"/>
  <c r="T72" i="5" s="1"/>
  <c r="Z72" i="5"/>
  <c r="P73" i="5"/>
  <c r="Q73" i="5"/>
  <c r="R73" i="5" s="1"/>
  <c r="AB73" i="5"/>
  <c r="S73" i="5"/>
  <c r="T73" i="5" s="1"/>
  <c r="Z73" i="5"/>
  <c r="P74" i="5"/>
  <c r="Q74" i="5"/>
  <c r="R74" i="5" s="1"/>
  <c r="AB74" i="5"/>
  <c r="S74" i="5"/>
  <c r="T74" i="5" s="1"/>
  <c r="Z74" i="5"/>
  <c r="P75" i="5"/>
  <c r="Q75" i="5"/>
  <c r="R75" i="5" s="1"/>
  <c r="AB75" i="5"/>
  <c r="S75" i="5"/>
  <c r="T75" i="5" s="1"/>
  <c r="Z75" i="5"/>
  <c r="P76" i="5"/>
  <c r="Q76" i="5"/>
  <c r="R76" i="5" s="1"/>
  <c r="AB76" i="5"/>
  <c r="S76" i="5"/>
  <c r="T76" i="5" s="1"/>
  <c r="Z76" i="5"/>
  <c r="P77" i="5"/>
  <c r="Q77" i="5"/>
  <c r="R77" i="5" s="1"/>
  <c r="AB77" i="5"/>
  <c r="S77" i="5"/>
  <c r="T77" i="5" s="1"/>
  <c r="Z77" i="5"/>
  <c r="P78" i="5"/>
  <c r="Q78" i="5"/>
  <c r="R78" i="5" s="1"/>
  <c r="AB78" i="5"/>
  <c r="S78" i="5"/>
  <c r="T78" i="5" s="1"/>
  <c r="Z78" i="5"/>
  <c r="P79" i="5"/>
  <c r="Q79" i="5"/>
  <c r="R79" i="5" s="1"/>
  <c r="AB79" i="5"/>
  <c r="S79" i="5"/>
  <c r="T79" i="5" s="1"/>
  <c r="Z79" i="5"/>
  <c r="P80" i="5"/>
  <c r="Q80" i="5"/>
  <c r="R80" i="5" s="1"/>
  <c r="AB80" i="5"/>
  <c r="S80" i="5"/>
  <c r="T80" i="5" s="1"/>
  <c r="Z80" i="5"/>
  <c r="P81" i="5"/>
  <c r="Q81" i="5"/>
  <c r="R81" i="5" s="1"/>
  <c r="AB81" i="5"/>
  <c r="S81" i="5"/>
  <c r="T81" i="5" s="1"/>
  <c r="Z81" i="5"/>
  <c r="P82" i="5"/>
  <c r="Q82" i="5"/>
  <c r="R82" i="5" s="1"/>
  <c r="AB82" i="5"/>
  <c r="S82" i="5"/>
  <c r="T82" i="5" s="1"/>
  <c r="Z82" i="5"/>
  <c r="P83" i="5"/>
  <c r="Q83" i="5"/>
  <c r="R83" i="5" s="1"/>
  <c r="AB83" i="5"/>
  <c r="S83" i="5"/>
  <c r="T83" i="5" s="1"/>
  <c r="Z83" i="5"/>
  <c r="P84" i="5"/>
  <c r="Q84" i="5"/>
  <c r="R84" i="5" s="1"/>
  <c r="AB84" i="5"/>
  <c r="S84" i="5"/>
  <c r="T84" i="5" s="1"/>
  <c r="Z84" i="5"/>
  <c r="P85" i="5"/>
  <c r="Q85" i="5"/>
  <c r="R85" i="5" s="1"/>
  <c r="AB85" i="5"/>
  <c r="S85" i="5"/>
  <c r="T85" i="5" s="1"/>
  <c r="Z85" i="5"/>
  <c r="P86" i="5"/>
  <c r="Q86" i="5"/>
  <c r="R86" i="5" s="1"/>
  <c r="AB86" i="5"/>
  <c r="S86" i="5"/>
  <c r="T86" i="5" s="1"/>
  <c r="Z86" i="5"/>
  <c r="P87" i="5"/>
  <c r="Q87" i="5"/>
  <c r="R87" i="5" s="1"/>
  <c r="AB87" i="5"/>
  <c r="S87" i="5"/>
  <c r="T87" i="5" s="1"/>
  <c r="Z87" i="5"/>
  <c r="P88" i="5"/>
  <c r="Q88" i="5"/>
  <c r="R88" i="5" s="1"/>
  <c r="AB88" i="5"/>
  <c r="S88" i="5"/>
  <c r="T88" i="5" s="1"/>
  <c r="Z88" i="5"/>
  <c r="P89" i="5"/>
  <c r="Q89" i="5"/>
  <c r="R89" i="5" s="1"/>
  <c r="AB89" i="5"/>
  <c r="S89" i="5"/>
  <c r="T89" i="5" s="1"/>
  <c r="Z89" i="5"/>
  <c r="P90" i="5"/>
  <c r="Q90" i="5"/>
  <c r="R90" i="5" s="1"/>
  <c r="AB90" i="5"/>
  <c r="S90" i="5"/>
  <c r="T90" i="5" s="1"/>
  <c r="Z90" i="5"/>
  <c r="P91" i="5"/>
  <c r="Q91" i="5"/>
  <c r="R91" i="5" s="1"/>
  <c r="AB91" i="5"/>
  <c r="S91" i="5"/>
  <c r="T91" i="5" s="1"/>
  <c r="Z91" i="5"/>
  <c r="P92" i="5"/>
  <c r="Q92" i="5"/>
  <c r="R92" i="5" s="1"/>
  <c r="AB92" i="5"/>
  <c r="S92" i="5"/>
  <c r="T92" i="5" s="1"/>
  <c r="Z92" i="5"/>
  <c r="P93" i="5"/>
  <c r="Q93" i="5"/>
  <c r="R93" i="5" s="1"/>
  <c r="AB93" i="5"/>
  <c r="S93" i="5"/>
  <c r="T93" i="5" s="1"/>
  <c r="Z93" i="5"/>
  <c r="P94" i="5"/>
  <c r="Q94" i="5"/>
  <c r="R94" i="5" s="1"/>
  <c r="AB94" i="5"/>
  <c r="S94" i="5"/>
  <c r="T94" i="5" s="1"/>
  <c r="Z94" i="5"/>
  <c r="P95" i="5"/>
  <c r="Q95" i="5"/>
  <c r="R95" i="5" s="1"/>
  <c r="AB95" i="5"/>
  <c r="S95" i="5"/>
  <c r="T95" i="5" s="1"/>
  <c r="Z95" i="5"/>
  <c r="P96" i="5"/>
  <c r="Q96" i="5"/>
  <c r="R96" i="5" s="1"/>
  <c r="AB96" i="5"/>
  <c r="S96" i="5"/>
  <c r="T96" i="5" s="1"/>
  <c r="Z96" i="5"/>
  <c r="P97" i="5"/>
  <c r="Q97" i="5"/>
  <c r="R97" i="5" s="1"/>
  <c r="AB97" i="5"/>
  <c r="S97" i="5"/>
  <c r="T97" i="5" s="1"/>
  <c r="Z97" i="5"/>
  <c r="P98" i="5"/>
  <c r="Q98" i="5"/>
  <c r="R98" i="5" s="1"/>
  <c r="AB98" i="5"/>
  <c r="S98" i="5"/>
  <c r="T98" i="5" s="1"/>
  <c r="Z98" i="5"/>
  <c r="P99" i="5"/>
  <c r="Q99" i="5"/>
  <c r="R99" i="5" s="1"/>
  <c r="AB99" i="5"/>
  <c r="S99" i="5"/>
  <c r="T99" i="5" s="1"/>
  <c r="Z99" i="5"/>
  <c r="P100" i="5"/>
  <c r="Q100" i="5"/>
  <c r="R100" i="5" s="1"/>
  <c r="AB100" i="5"/>
  <c r="S100" i="5"/>
  <c r="T100" i="5" s="1"/>
  <c r="Z100" i="5"/>
  <c r="P101" i="5"/>
  <c r="Q101" i="5"/>
  <c r="R101" i="5" s="1"/>
  <c r="AB101" i="5"/>
  <c r="S101" i="5"/>
  <c r="T101" i="5" s="1"/>
  <c r="Z101" i="5"/>
  <c r="P102" i="5"/>
  <c r="Q102" i="5"/>
  <c r="R102" i="5" s="1"/>
  <c r="S102" i="5"/>
  <c r="T102" i="5" s="1"/>
  <c r="AB102" i="5"/>
  <c r="Z102" i="5"/>
  <c r="P103" i="5"/>
  <c r="Q103" i="5"/>
  <c r="R103" i="5" s="1"/>
  <c r="AB103" i="5"/>
  <c r="S103" i="5"/>
  <c r="T103" i="5" s="1"/>
  <c r="Z103" i="5"/>
  <c r="P104" i="5"/>
  <c r="Q104" i="5"/>
  <c r="R104" i="5" s="1"/>
  <c r="AB104" i="5"/>
  <c r="S104" i="5"/>
  <c r="T104" i="5" s="1"/>
  <c r="Z104" i="5"/>
  <c r="P105" i="5"/>
  <c r="Q105" i="5"/>
  <c r="R105" i="5" s="1"/>
  <c r="AB105" i="5"/>
  <c r="S105" i="5"/>
  <c r="T105" i="5" s="1"/>
  <c r="Z105" i="5"/>
  <c r="P106" i="5"/>
  <c r="Q106" i="5"/>
  <c r="R106" i="5" s="1"/>
  <c r="AB106" i="5"/>
  <c r="S106" i="5"/>
  <c r="T106" i="5" s="1"/>
  <c r="Z106" i="5"/>
  <c r="P107" i="5"/>
  <c r="Q107" i="5"/>
  <c r="R107" i="5" s="1"/>
  <c r="AB107" i="5"/>
  <c r="S107" i="5"/>
  <c r="T107" i="5" s="1"/>
  <c r="Z107" i="5"/>
  <c r="P108" i="5"/>
  <c r="Q108" i="5"/>
  <c r="R108" i="5" s="1"/>
  <c r="AB108" i="5"/>
  <c r="S108" i="5"/>
  <c r="T108" i="5" s="1"/>
  <c r="Z108" i="5"/>
  <c r="P109" i="5" l="1"/>
  <c r="Q109" i="5"/>
  <c r="R109" i="5" s="1"/>
  <c r="AB109" i="5"/>
  <c r="S109" i="5"/>
  <c r="T109" i="5" s="1"/>
  <c r="Z109" i="5"/>
  <c r="P110" i="5" l="1"/>
  <c r="Q110" i="5"/>
  <c r="R110" i="5" s="1"/>
  <c r="AB110" i="5"/>
  <c r="S110" i="5"/>
  <c r="T110" i="5" s="1"/>
  <c r="Z110" i="5"/>
  <c r="P111" i="5" l="1"/>
  <c r="Q111" i="5"/>
  <c r="R111" i="5" s="1"/>
  <c r="AB111" i="5"/>
  <c r="S111" i="5"/>
  <c r="T111" i="5" s="1"/>
  <c r="Z111" i="5"/>
  <c r="P112" i="5" l="1"/>
  <c r="Q112" i="5"/>
  <c r="R112" i="5" s="1"/>
  <c r="AB112" i="5"/>
  <c r="S112" i="5"/>
  <c r="T112" i="5" s="1"/>
  <c r="Z112" i="5"/>
  <c r="P113" i="5" l="1"/>
  <c r="Q113" i="5"/>
  <c r="R113" i="5" s="1"/>
  <c r="AB113" i="5"/>
  <c r="S113" i="5"/>
  <c r="T113" i="5" s="1"/>
  <c r="Z113" i="5"/>
  <c r="P114" i="5" l="1"/>
  <c r="Q114" i="5"/>
  <c r="R114" i="5" s="1"/>
  <c r="AB114" i="5"/>
  <c r="S114" i="5"/>
  <c r="T114" i="5" s="1"/>
  <c r="Z114" i="5"/>
  <c r="P115" i="5" l="1"/>
  <c r="Q115" i="5"/>
  <c r="R115" i="5" s="1"/>
  <c r="AB115" i="5"/>
  <c r="S115" i="5"/>
  <c r="T115" i="5" s="1"/>
  <c r="Z115" i="5"/>
  <c r="P116" i="5" l="1"/>
  <c r="Q116" i="5"/>
  <c r="R116" i="5" s="1"/>
  <c r="AB116" i="5"/>
  <c r="S116" i="5"/>
  <c r="T116" i="5" s="1"/>
  <c r="Z116" i="5"/>
  <c r="P117" i="5" l="1"/>
  <c r="Q117" i="5"/>
  <c r="R117" i="5" s="1"/>
  <c r="AB117" i="5"/>
  <c r="S117" i="5"/>
  <c r="T117" i="5" s="1"/>
  <c r="Z117" i="5"/>
  <c r="P118" i="5" l="1"/>
  <c r="Q118" i="5"/>
  <c r="R118" i="5" s="1"/>
  <c r="AB118" i="5"/>
  <c r="S118" i="5"/>
  <c r="T118" i="5" s="1"/>
  <c r="Z118" i="5"/>
  <c r="P119" i="5" l="1"/>
  <c r="Q119" i="5"/>
  <c r="R119" i="5" s="1"/>
  <c r="S119" i="5"/>
  <c r="T119" i="5" s="1"/>
  <c r="AB119" i="5"/>
  <c r="Z119" i="5"/>
  <c r="P120" i="5" l="1"/>
  <c r="Q120" i="5"/>
  <c r="R120" i="5" s="1"/>
  <c r="AB120" i="5"/>
  <c r="S120" i="5"/>
  <c r="T120" i="5" s="1"/>
  <c r="Z120" i="5"/>
  <c r="P121" i="5" l="1"/>
  <c r="Q121" i="5"/>
  <c r="R121" i="5" s="1"/>
  <c r="AB121" i="5"/>
  <c r="S121" i="5"/>
  <c r="T121" i="5" s="1"/>
  <c r="Z121" i="5"/>
  <c r="P122" i="5" l="1"/>
  <c r="Q122" i="5"/>
  <c r="R122" i="5" s="1"/>
  <c r="AB122" i="5"/>
  <c r="S122" i="5"/>
  <c r="T122" i="5" s="1"/>
  <c r="Z122" i="5"/>
  <c r="P123" i="5" l="1"/>
  <c r="Q123" i="5"/>
  <c r="R123" i="5" s="1"/>
  <c r="AB123" i="5"/>
  <c r="S123" i="5"/>
  <c r="T123" i="5" s="1"/>
  <c r="Z123" i="5"/>
  <c r="P124" i="5" l="1"/>
  <c r="Q124" i="5"/>
  <c r="R124" i="5" s="1"/>
  <c r="AB124" i="5"/>
  <c r="S124" i="5"/>
  <c r="T124" i="5" s="1"/>
  <c r="Z124" i="5"/>
  <c r="P125" i="5" l="1"/>
  <c r="Q125" i="5"/>
  <c r="R125" i="5" s="1"/>
  <c r="AB125" i="5"/>
  <c r="S125" i="5"/>
  <c r="T125" i="5" s="1"/>
  <c r="Z125" i="5"/>
  <c r="P126" i="5" l="1"/>
  <c r="Q126" i="5"/>
  <c r="R126" i="5" s="1"/>
  <c r="AB126" i="5"/>
  <c r="S126" i="5"/>
  <c r="T126" i="5" s="1"/>
  <c r="Z126" i="5"/>
  <c r="P127" i="5" l="1"/>
  <c r="Q127" i="5"/>
  <c r="R127" i="5" s="1"/>
  <c r="S127" i="5"/>
  <c r="T127" i="5" s="1"/>
  <c r="AB127" i="5"/>
  <c r="Z127" i="5"/>
  <c r="P128" i="5" l="1"/>
  <c r="Q128" i="5"/>
  <c r="R128" i="5" s="1"/>
  <c r="AB128" i="5"/>
  <c r="S128" i="5"/>
  <c r="T128" i="5" s="1"/>
  <c r="Z128" i="5"/>
  <c r="P129" i="5" l="1"/>
  <c r="Q129" i="5"/>
  <c r="R129" i="5" s="1"/>
  <c r="AB129" i="5"/>
  <c r="S129" i="5"/>
  <c r="T129" i="5" s="1"/>
  <c r="Z129" i="5"/>
  <c r="P130" i="5" l="1"/>
  <c r="Q130" i="5"/>
  <c r="R130" i="5" s="1"/>
  <c r="AB130" i="5"/>
  <c r="S130" i="5"/>
  <c r="T130" i="5" s="1"/>
  <c r="Z130" i="5"/>
  <c r="P131" i="5" l="1"/>
  <c r="Q131" i="5"/>
  <c r="R131" i="5" s="1"/>
  <c r="S131" i="5"/>
  <c r="T131" i="5" s="1"/>
  <c r="AB131" i="5"/>
  <c r="Z131" i="5"/>
  <c r="P132" i="5" l="1"/>
  <c r="Q132" i="5"/>
  <c r="R132" i="5" s="1"/>
  <c r="AB132" i="5"/>
  <c r="S132" i="5"/>
  <c r="T132" i="5" s="1"/>
  <c r="Z132" i="5"/>
  <c r="P133" i="5" l="1"/>
  <c r="Q133" i="5"/>
  <c r="R133" i="5" s="1"/>
  <c r="AB133" i="5"/>
  <c r="S133" i="5"/>
  <c r="T133" i="5" s="1"/>
  <c r="Z133" i="5"/>
  <c r="P134" i="5" l="1"/>
  <c r="Q134" i="5"/>
  <c r="R134" i="5" s="1"/>
  <c r="AB134" i="5"/>
  <c r="S134" i="5"/>
  <c r="T134" i="5" s="1"/>
  <c r="Z134" i="5"/>
  <c r="P135" i="5" l="1"/>
  <c r="Q135" i="5" s="1"/>
  <c r="R135" i="5" s="1"/>
  <c r="S135" i="5"/>
  <c r="T135" i="5" s="1"/>
  <c r="AB135" i="5"/>
  <c r="Z135" i="5"/>
  <c r="T1" i="5" l="1"/>
  <c r="S1" i="5"/>
  <c r="U1" i="5"/>
  <c r="I7" i="4" l="1"/>
  <c r="W135" i="5"/>
  <c r="V135" i="5"/>
  <c r="U135" i="5"/>
  <c r="V134" i="5"/>
  <c r="W134" i="5"/>
  <c r="U134" i="5"/>
  <c r="W133" i="5"/>
  <c r="V133" i="5"/>
  <c r="U133" i="5"/>
  <c r="W132" i="5"/>
  <c r="V132" i="5"/>
  <c r="U132" i="5"/>
  <c r="W131" i="5"/>
  <c r="V131" i="5"/>
  <c r="U131" i="5"/>
  <c r="W130" i="5"/>
  <c r="V130" i="5"/>
  <c r="U130" i="5"/>
  <c r="W129" i="5"/>
  <c r="V129" i="5"/>
  <c r="U129" i="5"/>
  <c r="W128" i="5"/>
  <c r="V128" i="5"/>
  <c r="U128" i="5"/>
  <c r="W127" i="5"/>
  <c r="V127" i="5"/>
  <c r="U127" i="5"/>
  <c r="W126" i="5"/>
  <c r="V126" i="5"/>
  <c r="U126" i="5"/>
  <c r="W125" i="5"/>
  <c r="V125" i="5"/>
  <c r="U125" i="5"/>
  <c r="W124" i="5"/>
  <c r="V124" i="5"/>
  <c r="U124" i="5"/>
  <c r="W123" i="5"/>
  <c r="V123" i="5"/>
  <c r="U123" i="5"/>
  <c r="W122" i="5"/>
  <c r="V122" i="5"/>
  <c r="U122" i="5"/>
  <c r="W121" i="5"/>
  <c r="V121" i="5"/>
  <c r="U121" i="5"/>
  <c r="W120" i="5"/>
  <c r="V120" i="5"/>
  <c r="U120" i="5"/>
  <c r="W119" i="5"/>
  <c r="V119" i="5"/>
  <c r="U119" i="5"/>
  <c r="W118" i="5"/>
  <c r="V118" i="5"/>
  <c r="U118" i="5"/>
  <c r="W117" i="5"/>
  <c r="V117" i="5"/>
  <c r="U117" i="5"/>
  <c r="W116" i="5"/>
  <c r="V116" i="5"/>
  <c r="U116" i="5"/>
  <c r="W115" i="5"/>
  <c r="V115" i="5"/>
  <c r="U115" i="5"/>
  <c r="W114" i="5"/>
  <c r="V114" i="5"/>
  <c r="U114" i="5"/>
  <c r="W113" i="5"/>
  <c r="V113" i="5"/>
  <c r="U113" i="5"/>
  <c r="W112" i="5"/>
  <c r="V112" i="5"/>
  <c r="U112" i="5"/>
  <c r="W111" i="5"/>
  <c r="V111" i="5"/>
  <c r="U111" i="5"/>
  <c r="W110" i="5"/>
  <c r="V110" i="5"/>
  <c r="U110" i="5"/>
  <c r="W109" i="5"/>
  <c r="V109" i="5"/>
  <c r="U109" i="5"/>
  <c r="W108" i="5"/>
  <c r="V108" i="5"/>
  <c r="U108" i="5"/>
  <c r="W107" i="5"/>
  <c r="V107" i="5"/>
  <c r="U107" i="5"/>
  <c r="W106" i="5"/>
  <c r="V106" i="5"/>
  <c r="U106" i="5"/>
  <c r="W105" i="5"/>
  <c r="V105" i="5"/>
  <c r="U105" i="5"/>
  <c r="W104" i="5"/>
  <c r="V104" i="5"/>
  <c r="U104" i="5"/>
  <c r="W103" i="5"/>
  <c r="V103" i="5"/>
  <c r="U103" i="5"/>
  <c r="W102" i="5"/>
  <c r="V102" i="5"/>
  <c r="U102" i="5"/>
  <c r="W101" i="5"/>
  <c r="V101" i="5"/>
  <c r="U101" i="5"/>
  <c r="W100" i="5"/>
  <c r="V100" i="5"/>
  <c r="U100" i="5"/>
  <c r="W99" i="5"/>
  <c r="V99" i="5"/>
  <c r="U99" i="5"/>
  <c r="W98" i="5"/>
  <c r="V98" i="5"/>
  <c r="U98" i="5"/>
  <c r="W97" i="5"/>
  <c r="V97" i="5"/>
  <c r="U97" i="5"/>
  <c r="W96" i="5"/>
  <c r="V96" i="5"/>
  <c r="U96" i="5"/>
  <c r="W95" i="5"/>
  <c r="V95" i="5"/>
  <c r="U95" i="5"/>
  <c r="V94" i="5"/>
  <c r="W94" i="5"/>
  <c r="U94" i="5"/>
  <c r="W93" i="5"/>
  <c r="V93" i="5"/>
  <c r="U93" i="5"/>
  <c r="W92" i="5"/>
  <c r="V92" i="5"/>
  <c r="U92" i="5"/>
  <c r="W91" i="5"/>
  <c r="V91" i="5"/>
  <c r="U91" i="5"/>
  <c r="W90" i="5"/>
  <c r="V90" i="5"/>
  <c r="U90" i="5"/>
  <c r="W89" i="5"/>
  <c r="V89" i="5"/>
  <c r="U89" i="5"/>
  <c r="W88" i="5"/>
  <c r="V88" i="5"/>
  <c r="U88" i="5"/>
  <c r="W87" i="5"/>
  <c r="V87" i="5"/>
  <c r="U87" i="5"/>
  <c r="W86" i="5"/>
  <c r="V86" i="5"/>
  <c r="U86" i="5"/>
  <c r="W85" i="5"/>
  <c r="V85" i="5"/>
  <c r="U85" i="5"/>
  <c r="W84" i="5"/>
  <c r="V84" i="5"/>
  <c r="U84" i="5"/>
  <c r="W83" i="5"/>
  <c r="V83" i="5"/>
  <c r="U83" i="5"/>
  <c r="W82" i="5"/>
  <c r="V82" i="5"/>
  <c r="U82" i="5"/>
  <c r="W81" i="5"/>
  <c r="V81" i="5"/>
  <c r="U81" i="5"/>
  <c r="W80" i="5"/>
  <c r="V80" i="5"/>
  <c r="U80" i="5"/>
  <c r="W79" i="5"/>
  <c r="V79" i="5"/>
  <c r="U79" i="5"/>
  <c r="W78" i="5"/>
  <c r="V78" i="5"/>
  <c r="U78" i="5"/>
  <c r="W77" i="5"/>
  <c r="V77" i="5"/>
  <c r="U77" i="5"/>
  <c r="W76" i="5"/>
  <c r="V76" i="5"/>
  <c r="U76" i="5"/>
  <c r="W75" i="5"/>
  <c r="V75" i="5"/>
  <c r="U75" i="5"/>
  <c r="W74" i="5"/>
  <c r="V74" i="5"/>
  <c r="U74" i="5"/>
  <c r="W73" i="5"/>
  <c r="V73" i="5"/>
  <c r="U73" i="5"/>
  <c r="W72" i="5"/>
  <c r="V72" i="5"/>
  <c r="U72" i="5"/>
  <c r="W71" i="5"/>
  <c r="V71" i="5"/>
  <c r="U71" i="5"/>
  <c r="W70" i="5"/>
  <c r="V70" i="5"/>
  <c r="U70" i="5"/>
  <c r="W69" i="5"/>
  <c r="V69" i="5"/>
  <c r="U69" i="5"/>
  <c r="W68" i="5"/>
  <c r="V68" i="5"/>
  <c r="U68" i="5"/>
  <c r="W67" i="5"/>
  <c r="V67" i="5"/>
  <c r="U67" i="5"/>
  <c r="W66" i="5"/>
  <c r="V66" i="5"/>
  <c r="U66" i="5"/>
  <c r="W65" i="5"/>
  <c r="V65" i="5"/>
  <c r="U65" i="5"/>
  <c r="W64" i="5"/>
  <c r="V64" i="5"/>
  <c r="U64" i="5"/>
  <c r="W63" i="5"/>
  <c r="V63" i="5"/>
  <c r="U63" i="5"/>
  <c r="W62" i="5"/>
  <c r="V62" i="5"/>
  <c r="U62" i="5"/>
  <c r="W61" i="5"/>
  <c r="V61" i="5"/>
  <c r="U61" i="5"/>
  <c r="W60" i="5"/>
  <c r="V60" i="5"/>
  <c r="U60" i="5"/>
  <c r="W59" i="5"/>
  <c r="V59" i="5"/>
  <c r="U59" i="5"/>
  <c r="W58" i="5"/>
  <c r="V58" i="5"/>
  <c r="U58" i="5"/>
  <c r="W57" i="5"/>
  <c r="V57" i="5"/>
  <c r="U57" i="5"/>
  <c r="V56" i="5"/>
  <c r="W56" i="5"/>
  <c r="U56" i="5"/>
  <c r="W55" i="5"/>
  <c r="V55" i="5"/>
  <c r="U55" i="5"/>
  <c r="W54" i="5"/>
  <c r="V54" i="5"/>
  <c r="U54" i="5"/>
  <c r="W53" i="5"/>
  <c r="V53" i="5"/>
  <c r="U53" i="5"/>
  <c r="W52" i="5"/>
  <c r="V52" i="5"/>
  <c r="U52" i="5"/>
  <c r="W51" i="5"/>
  <c r="V51" i="5"/>
  <c r="U51" i="5"/>
  <c r="W50" i="5"/>
  <c r="V50" i="5"/>
  <c r="U50" i="5"/>
  <c r="W49" i="5"/>
  <c r="V49" i="5"/>
  <c r="U49" i="5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V43" i="5"/>
  <c r="W43" i="5"/>
  <c r="U43" i="5"/>
  <c r="W42" i="5"/>
  <c r="V42" i="5"/>
  <c r="U42" i="5"/>
  <c r="W41" i="5"/>
  <c r="V41" i="5"/>
  <c r="U41" i="5"/>
  <c r="V1310" i="1"/>
  <c r="U1310" i="1"/>
  <c r="V1309" i="1"/>
  <c r="T1310" i="1"/>
  <c r="U1309" i="1"/>
  <c r="V1308" i="1"/>
  <c r="V1307" i="1"/>
  <c r="T1309" i="1"/>
  <c r="U1308" i="1"/>
  <c r="V1306" i="1"/>
  <c r="U1307" i="1"/>
  <c r="T1308" i="1"/>
  <c r="U1306" i="1"/>
  <c r="T1307" i="1"/>
  <c r="V1305" i="1"/>
  <c r="T1306" i="1"/>
  <c r="U1305" i="1"/>
  <c r="V1304" i="1"/>
  <c r="T1305" i="1"/>
  <c r="U1304" i="1"/>
  <c r="V1303" i="1"/>
  <c r="T1304" i="1"/>
  <c r="U1303" i="1"/>
  <c r="V1302" i="1"/>
  <c r="T1303" i="1"/>
  <c r="U1302" i="1"/>
  <c r="V1301" i="1"/>
  <c r="T1302" i="1"/>
  <c r="U1301" i="1"/>
  <c r="V1300" i="1"/>
  <c r="V1299" i="1"/>
  <c r="T1301" i="1"/>
  <c r="U1300" i="1"/>
  <c r="U1299" i="1"/>
  <c r="T1300" i="1"/>
  <c r="V1298" i="1"/>
  <c r="T1299" i="1"/>
  <c r="U1298" i="1"/>
  <c r="V1297" i="1"/>
  <c r="V1296" i="1"/>
  <c r="T1298" i="1"/>
  <c r="U1297" i="1"/>
  <c r="V1295" i="1"/>
  <c r="U1296" i="1"/>
  <c r="T1297" i="1"/>
  <c r="U1295" i="1"/>
  <c r="T1296" i="1"/>
  <c r="V1294" i="1"/>
  <c r="V1293" i="1"/>
  <c r="T1295" i="1"/>
  <c r="U1294" i="1"/>
  <c r="V1292" i="1"/>
  <c r="U1293" i="1"/>
  <c r="T1294" i="1"/>
  <c r="V1291" i="1"/>
  <c r="U1292" i="1"/>
  <c r="T1293" i="1"/>
  <c r="U1291" i="1"/>
  <c r="T1292" i="1"/>
  <c r="V1290" i="1"/>
  <c r="T1291" i="1"/>
  <c r="U1290" i="1"/>
  <c r="V1289" i="1"/>
  <c r="V1288" i="1"/>
  <c r="T1290" i="1"/>
  <c r="U1289" i="1"/>
  <c r="U1288" i="1"/>
  <c r="T1289" i="1"/>
  <c r="V1287" i="1"/>
  <c r="V1286" i="1"/>
  <c r="T1288" i="1"/>
  <c r="U1287" i="1"/>
  <c r="V1285" i="1"/>
  <c r="U1286" i="1"/>
  <c r="T1287" i="1"/>
  <c r="V1284" i="1"/>
  <c r="U1285" i="1"/>
  <c r="T1286" i="1"/>
  <c r="U1284" i="1"/>
  <c r="T1285" i="1"/>
  <c r="V1283" i="1"/>
  <c r="V1282" i="1"/>
  <c r="T1284" i="1"/>
  <c r="U1283" i="1"/>
  <c r="V1281" i="1"/>
  <c r="U1282" i="1"/>
  <c r="T1283" i="1"/>
  <c r="V1280" i="1"/>
  <c r="U1281" i="1"/>
  <c r="T1282" i="1"/>
  <c r="U1280" i="1"/>
  <c r="T1281" i="1"/>
  <c r="V1279" i="1"/>
  <c r="T1280" i="1"/>
  <c r="U1279" i="1"/>
  <c r="V1278" i="1"/>
  <c r="T1279" i="1"/>
  <c r="U1278" i="1"/>
  <c r="V1277" i="1"/>
  <c r="T1278" i="1"/>
  <c r="U1277" i="1"/>
  <c r="V1276" i="1"/>
  <c r="V1275" i="1"/>
  <c r="T1277" i="1"/>
  <c r="U1276" i="1"/>
  <c r="V1274" i="1"/>
  <c r="U1275" i="1"/>
  <c r="T1276" i="1"/>
  <c r="V1273" i="1"/>
  <c r="U1274" i="1"/>
  <c r="T1275" i="1"/>
  <c r="U1273" i="1"/>
  <c r="T1274" i="1"/>
  <c r="V1272" i="1"/>
  <c r="T1273" i="1"/>
  <c r="U1272" i="1"/>
  <c r="V1271" i="1"/>
  <c r="V1270" i="1"/>
  <c r="T1272" i="1"/>
  <c r="U1271" i="1"/>
  <c r="V1269" i="1"/>
  <c r="U1270" i="1"/>
  <c r="T1271" i="1"/>
  <c r="U1269" i="1"/>
  <c r="T1270" i="1"/>
  <c r="V1268" i="1"/>
  <c r="V1267" i="1"/>
  <c r="T1269" i="1"/>
  <c r="U1268" i="1"/>
  <c r="V1266" i="1"/>
  <c r="U1267" i="1"/>
  <c r="T1268" i="1"/>
  <c r="V1265" i="1"/>
  <c r="U1266" i="1"/>
  <c r="T1267" i="1"/>
  <c r="U1265" i="1"/>
  <c r="T1266" i="1"/>
  <c r="V1264" i="1"/>
  <c r="V1263" i="1"/>
  <c r="T1265" i="1"/>
  <c r="U1264" i="1"/>
  <c r="U1263" i="1"/>
  <c r="T1264" i="1"/>
  <c r="V1262" i="1"/>
  <c r="T1263" i="1"/>
  <c r="U1262" i="1"/>
  <c r="V1261" i="1"/>
  <c r="T1262" i="1"/>
  <c r="U1261" i="1"/>
  <c r="V1260" i="1"/>
  <c r="V1259" i="1"/>
  <c r="T1261" i="1"/>
  <c r="U1260" i="1"/>
  <c r="V1258" i="1"/>
  <c r="U1259" i="1"/>
  <c r="T1260" i="1"/>
  <c r="V1257" i="1"/>
  <c r="U1258" i="1"/>
  <c r="T1259" i="1"/>
  <c r="V1256" i="1"/>
  <c r="U1257" i="1"/>
  <c r="T1258" i="1"/>
  <c r="U1256" i="1"/>
  <c r="T1257" i="1"/>
  <c r="V1255" i="1"/>
  <c r="V1254" i="1"/>
  <c r="T1256" i="1"/>
  <c r="U1255" i="1"/>
  <c r="U1254" i="1"/>
  <c r="T1255" i="1"/>
  <c r="V1253" i="1"/>
  <c r="T1254" i="1"/>
  <c r="U1253" i="1"/>
  <c r="V1252" i="1"/>
  <c r="V1251" i="1"/>
  <c r="T1253" i="1"/>
  <c r="U1252" i="1"/>
  <c r="U1251" i="1"/>
  <c r="T1252" i="1"/>
  <c r="V1250" i="1"/>
  <c r="T1251" i="1"/>
  <c r="U1250" i="1"/>
  <c r="V1249" i="1"/>
  <c r="V1248" i="1"/>
  <c r="T1250" i="1"/>
  <c r="U1249" i="1"/>
  <c r="U1248" i="1"/>
  <c r="T1249" i="1"/>
  <c r="V1247" i="1"/>
  <c r="V1246" i="1"/>
  <c r="T1248" i="1"/>
  <c r="U1247" i="1"/>
  <c r="U1246" i="1"/>
  <c r="T1247" i="1"/>
  <c r="V1245" i="1"/>
  <c r="V1244" i="1"/>
  <c r="T1246" i="1"/>
  <c r="U1245" i="1"/>
  <c r="U1244" i="1"/>
  <c r="T1245" i="1"/>
  <c r="V1243" i="1"/>
  <c r="V1242" i="1"/>
  <c r="T1244" i="1"/>
  <c r="U1243" i="1"/>
  <c r="V1241" i="1"/>
  <c r="U1242" i="1"/>
  <c r="T1243" i="1"/>
  <c r="U1241" i="1"/>
  <c r="T1242" i="1"/>
  <c r="V1240" i="1"/>
  <c r="V1239" i="1"/>
  <c r="T1241" i="1"/>
  <c r="U1240" i="1"/>
  <c r="U1239" i="1"/>
  <c r="T1240" i="1"/>
  <c r="V1238" i="1"/>
  <c r="V1237" i="1"/>
  <c r="T1239" i="1"/>
  <c r="U1238" i="1"/>
  <c r="U1237" i="1"/>
  <c r="T1238" i="1"/>
  <c r="V1236" i="1"/>
  <c r="V1235" i="1"/>
  <c r="T1237" i="1"/>
  <c r="U1236" i="1"/>
  <c r="V1234" i="1"/>
  <c r="U1235" i="1"/>
  <c r="T1236" i="1"/>
  <c r="V1233" i="1"/>
  <c r="U1234" i="1"/>
  <c r="T1235" i="1"/>
  <c r="U1233" i="1"/>
  <c r="T1234" i="1"/>
  <c r="V1232" i="1"/>
  <c r="T1233" i="1"/>
  <c r="U1232" i="1"/>
  <c r="V1231" i="1"/>
  <c r="T1232" i="1"/>
  <c r="U1231" i="1"/>
  <c r="V1230" i="1"/>
  <c r="V1229" i="1"/>
  <c r="T1231" i="1"/>
  <c r="U1230" i="1"/>
  <c r="U1229" i="1"/>
  <c r="T1230" i="1"/>
  <c r="V1228" i="1"/>
  <c r="V1227" i="1"/>
  <c r="T1229" i="1"/>
  <c r="U1228" i="1"/>
  <c r="V1226" i="1"/>
  <c r="U1227" i="1"/>
  <c r="T1228" i="1"/>
  <c r="V1225" i="1"/>
  <c r="U1226" i="1"/>
  <c r="T1227" i="1"/>
  <c r="U1225" i="1"/>
  <c r="T1226" i="1"/>
  <c r="V1224" i="1"/>
  <c r="T1225" i="1"/>
  <c r="U1224" i="1"/>
  <c r="V1223" i="1"/>
  <c r="T1224" i="1"/>
  <c r="U1223" i="1"/>
  <c r="V1222" i="1"/>
  <c r="V1221" i="1"/>
  <c r="T1223" i="1"/>
  <c r="U1222" i="1"/>
  <c r="U1221" i="1"/>
  <c r="T1222" i="1"/>
  <c r="V1220" i="1"/>
  <c r="V1219" i="1"/>
  <c r="T1221" i="1"/>
  <c r="U1220" i="1"/>
  <c r="U1219" i="1"/>
  <c r="T1220" i="1"/>
  <c r="V1218" i="1"/>
  <c r="T1219" i="1"/>
  <c r="U1218" i="1"/>
  <c r="V1217" i="1"/>
  <c r="V1216" i="1"/>
  <c r="T1218" i="1"/>
  <c r="U1217" i="1"/>
  <c r="V1215" i="1"/>
  <c r="U1216" i="1"/>
  <c r="T1217" i="1"/>
  <c r="V1214" i="1"/>
  <c r="U1215" i="1"/>
  <c r="T1216" i="1"/>
  <c r="V1213" i="1"/>
  <c r="U1214" i="1"/>
  <c r="T1215" i="1"/>
  <c r="U1213" i="1"/>
  <c r="T1214" i="1"/>
  <c r="V1212" i="1"/>
  <c r="T1213" i="1"/>
  <c r="U1212" i="1"/>
  <c r="V1211" i="1"/>
  <c r="T1212" i="1"/>
  <c r="U1211" i="1"/>
  <c r="V1210" i="1"/>
  <c r="T1211" i="1"/>
  <c r="U1210" i="1"/>
  <c r="V1209" i="1"/>
  <c r="T1210" i="1"/>
  <c r="U1209" i="1"/>
  <c r="V1208" i="1"/>
  <c r="T1209" i="1"/>
  <c r="U1208" i="1"/>
  <c r="V1207" i="1"/>
  <c r="V1206" i="1"/>
  <c r="T1208" i="1"/>
  <c r="U1207" i="1"/>
  <c r="U1206" i="1"/>
  <c r="T1207" i="1"/>
  <c r="V1205" i="1"/>
  <c r="T1206" i="1"/>
  <c r="U1205" i="1"/>
  <c r="V1204" i="1"/>
  <c r="T1205" i="1"/>
  <c r="U1204" i="1"/>
  <c r="V1203" i="1"/>
  <c r="V1202" i="1"/>
  <c r="T1204" i="1"/>
  <c r="U1203" i="1"/>
  <c r="V1201" i="1"/>
  <c r="U1202" i="1"/>
  <c r="T1203" i="1"/>
  <c r="V1200" i="1"/>
  <c r="U1201" i="1"/>
  <c r="T1202" i="1"/>
  <c r="V1199" i="1"/>
  <c r="U1200" i="1"/>
  <c r="T1201" i="1"/>
  <c r="U1199" i="1"/>
  <c r="T1200" i="1"/>
  <c r="V1198" i="1"/>
  <c r="T1199" i="1"/>
  <c r="U1198" i="1"/>
  <c r="V1197" i="1"/>
  <c r="T1198" i="1"/>
  <c r="U1197" i="1"/>
  <c r="V1196" i="1"/>
  <c r="V1195" i="1"/>
  <c r="T1197" i="1"/>
  <c r="U1196" i="1"/>
  <c r="V1194" i="1"/>
  <c r="U1195" i="1"/>
  <c r="T1196" i="1"/>
  <c r="U1194" i="1"/>
  <c r="T1195" i="1"/>
  <c r="V1193" i="1"/>
  <c r="V1192" i="1"/>
  <c r="T1194" i="1"/>
  <c r="U1193" i="1"/>
  <c r="U1192" i="1"/>
  <c r="T1193" i="1"/>
  <c r="V1191" i="1"/>
  <c r="V1190" i="1"/>
  <c r="T1192" i="1"/>
  <c r="U1191" i="1"/>
  <c r="V1189" i="1"/>
  <c r="U1190" i="1"/>
  <c r="T1191" i="1"/>
  <c r="U1189" i="1"/>
  <c r="T1190" i="1"/>
  <c r="V1188" i="1"/>
  <c r="T1189" i="1"/>
  <c r="U1188" i="1"/>
  <c r="V1187" i="1"/>
  <c r="V1186" i="1"/>
  <c r="T1188" i="1"/>
  <c r="U1187" i="1"/>
  <c r="V1185" i="1"/>
  <c r="U1186" i="1"/>
  <c r="T1187" i="1"/>
  <c r="V1184" i="1"/>
  <c r="U1185" i="1"/>
  <c r="T1186" i="1"/>
  <c r="U1184" i="1"/>
  <c r="T1185" i="1"/>
  <c r="V1183" i="1"/>
  <c r="T1184" i="1"/>
  <c r="U1183" i="1"/>
  <c r="V1182" i="1"/>
  <c r="V1181" i="1"/>
  <c r="T1183" i="1"/>
  <c r="U1182" i="1"/>
  <c r="V1180" i="1"/>
  <c r="U1181" i="1"/>
  <c r="T1182" i="1"/>
  <c r="V1179" i="1"/>
  <c r="U1180" i="1"/>
  <c r="T1181" i="1"/>
  <c r="V1178" i="1"/>
  <c r="U1179" i="1"/>
  <c r="T1180" i="1"/>
  <c r="V1177" i="1"/>
  <c r="U1178" i="1"/>
  <c r="T1179" i="1"/>
  <c r="V1176" i="1"/>
  <c r="U1177" i="1"/>
  <c r="T1178" i="1"/>
  <c r="V1175" i="1"/>
  <c r="U1176" i="1"/>
  <c r="T1177" i="1"/>
  <c r="U1175" i="1"/>
  <c r="T1176" i="1"/>
  <c r="V1174" i="1"/>
  <c r="T1175" i="1"/>
  <c r="U1174" i="1"/>
  <c r="V1173" i="1"/>
  <c r="V1172" i="1"/>
  <c r="T1174" i="1"/>
  <c r="U1173" i="1"/>
  <c r="U1172" i="1"/>
  <c r="T1173" i="1"/>
  <c r="V1171" i="1"/>
  <c r="T1172" i="1"/>
  <c r="U1171" i="1"/>
  <c r="V1170" i="1"/>
  <c r="V1169" i="1"/>
  <c r="T1171" i="1"/>
  <c r="U1170" i="1"/>
  <c r="U1169" i="1"/>
  <c r="T1170" i="1"/>
  <c r="V1168" i="1"/>
  <c r="T1169" i="1"/>
  <c r="U1168" i="1"/>
  <c r="V1167" i="1"/>
  <c r="T1168" i="1"/>
  <c r="U1167" i="1"/>
  <c r="V1166" i="1"/>
  <c r="T1167" i="1"/>
  <c r="U1166" i="1"/>
  <c r="V1165" i="1"/>
  <c r="V1164" i="1"/>
  <c r="T1166" i="1"/>
  <c r="U1165" i="1"/>
  <c r="V1163" i="1"/>
  <c r="U1164" i="1"/>
  <c r="T1165" i="1"/>
  <c r="U1163" i="1"/>
  <c r="T1164" i="1"/>
  <c r="V1162" i="1"/>
  <c r="T1163" i="1"/>
  <c r="U1162" i="1"/>
  <c r="V1161" i="1"/>
  <c r="T1162" i="1"/>
  <c r="U1161" i="1"/>
  <c r="V1160" i="1"/>
  <c r="V1159" i="1"/>
  <c r="T1161" i="1"/>
  <c r="U1160" i="1"/>
  <c r="V1158" i="1"/>
  <c r="U1159" i="1"/>
  <c r="T1160" i="1"/>
  <c r="V1157" i="1"/>
  <c r="U1158" i="1"/>
  <c r="T1159" i="1"/>
  <c r="U1157" i="1"/>
  <c r="T1158" i="1"/>
  <c r="V1156" i="1"/>
  <c r="V1155" i="1"/>
  <c r="T1157" i="1"/>
  <c r="U1156" i="1"/>
  <c r="V1154" i="1"/>
  <c r="U1155" i="1"/>
  <c r="T1156" i="1"/>
  <c r="U1154" i="1"/>
  <c r="T1155" i="1"/>
  <c r="V1153" i="1"/>
  <c r="V1152" i="1"/>
  <c r="T1154" i="1"/>
  <c r="U1153" i="1"/>
  <c r="V1151" i="1"/>
  <c r="U1152" i="1"/>
  <c r="T1153" i="1"/>
  <c r="V1150" i="1"/>
  <c r="U1151" i="1"/>
  <c r="T1152" i="1"/>
  <c r="U1150" i="1"/>
  <c r="T1151" i="1"/>
  <c r="V1149" i="1"/>
  <c r="V1148" i="1"/>
  <c r="T1150" i="1"/>
  <c r="U1149" i="1"/>
  <c r="U1148" i="1"/>
  <c r="T1149" i="1"/>
  <c r="V1147" i="1"/>
  <c r="T1148" i="1"/>
  <c r="U1147" i="1"/>
  <c r="V1146" i="1"/>
  <c r="T1147" i="1"/>
  <c r="U1146" i="1"/>
  <c r="V1145" i="1"/>
  <c r="V1144" i="1"/>
  <c r="T1146" i="1"/>
  <c r="U1145" i="1"/>
  <c r="U1144" i="1"/>
  <c r="T1145" i="1"/>
  <c r="V1143" i="1"/>
  <c r="T1144" i="1"/>
  <c r="U1143" i="1"/>
  <c r="V1142" i="1"/>
  <c r="V1141" i="1"/>
  <c r="T1143" i="1"/>
  <c r="U1142" i="1"/>
  <c r="U1141" i="1"/>
  <c r="T1142" i="1"/>
  <c r="V1140" i="1"/>
  <c r="V1139" i="1"/>
  <c r="T1141" i="1"/>
  <c r="U1140" i="1"/>
  <c r="U1139" i="1"/>
  <c r="T1140" i="1"/>
  <c r="V1138" i="1"/>
  <c r="V1137" i="1"/>
  <c r="T1139" i="1"/>
  <c r="U1138" i="1"/>
  <c r="V1136" i="1"/>
  <c r="U1137" i="1"/>
  <c r="T1138" i="1"/>
  <c r="U1136" i="1"/>
  <c r="T1137" i="1"/>
  <c r="V1135" i="1"/>
  <c r="T1136" i="1"/>
  <c r="U1135" i="1"/>
  <c r="V1134" i="1"/>
  <c r="V1133" i="1"/>
  <c r="T1135" i="1"/>
  <c r="U1134" i="1"/>
  <c r="U1133" i="1"/>
  <c r="T1134" i="1"/>
  <c r="V1132" i="1"/>
  <c r="V1131" i="1"/>
  <c r="T1133" i="1"/>
  <c r="U1132" i="1"/>
  <c r="V1130" i="1"/>
  <c r="U1131" i="1"/>
  <c r="T1132" i="1"/>
  <c r="V1129" i="1"/>
  <c r="U1130" i="1"/>
  <c r="T1131" i="1"/>
  <c r="V1128" i="1"/>
  <c r="U1129" i="1"/>
  <c r="T1130" i="1"/>
  <c r="V1127" i="1"/>
  <c r="U1128" i="1"/>
  <c r="T1129" i="1"/>
  <c r="U1127" i="1"/>
  <c r="T1128" i="1"/>
  <c r="V1126" i="1"/>
  <c r="T1127" i="1"/>
  <c r="U1126" i="1"/>
  <c r="V1125" i="1"/>
  <c r="V1124" i="1"/>
  <c r="T1126" i="1"/>
  <c r="U1125" i="1"/>
  <c r="U1124" i="1"/>
  <c r="T1125" i="1"/>
  <c r="V1123" i="1"/>
  <c r="T1124" i="1"/>
  <c r="U1123" i="1"/>
  <c r="V1122" i="1"/>
  <c r="V1121" i="1"/>
  <c r="T1123" i="1"/>
  <c r="U1122" i="1"/>
  <c r="V1120" i="1"/>
  <c r="U1121" i="1"/>
  <c r="T1122" i="1"/>
  <c r="V1119" i="1"/>
  <c r="U1120" i="1"/>
  <c r="T1121" i="1"/>
  <c r="U1119" i="1"/>
  <c r="T1120" i="1"/>
  <c r="V1118" i="1"/>
  <c r="T1119" i="1"/>
  <c r="U1118" i="1"/>
  <c r="V1117" i="1"/>
  <c r="T1118" i="1"/>
  <c r="U1117" i="1"/>
  <c r="V1116" i="1"/>
  <c r="T1117" i="1"/>
  <c r="U1116" i="1"/>
  <c r="V1115" i="1"/>
  <c r="T1116" i="1"/>
  <c r="U1115" i="1"/>
  <c r="V1114" i="1"/>
  <c r="T1115" i="1"/>
  <c r="U1114" i="1"/>
  <c r="V1113" i="1"/>
  <c r="V1112" i="1"/>
  <c r="T1114" i="1"/>
  <c r="U1113" i="1"/>
  <c r="V1111" i="1"/>
  <c r="U1112" i="1"/>
  <c r="T1113" i="1"/>
  <c r="U1111" i="1"/>
  <c r="T1112" i="1"/>
  <c r="V1110" i="1"/>
  <c r="T1111" i="1"/>
  <c r="U1110" i="1"/>
  <c r="V1109" i="1"/>
  <c r="T1110" i="1"/>
  <c r="U1109" i="1"/>
  <c r="V1108" i="1"/>
  <c r="T1109" i="1"/>
  <c r="U1108" i="1"/>
  <c r="V1107" i="1"/>
  <c r="V1106" i="1"/>
  <c r="T1108" i="1"/>
  <c r="U1107" i="1"/>
  <c r="V1105" i="1"/>
  <c r="U1106" i="1"/>
  <c r="T1107" i="1"/>
  <c r="V1104" i="1"/>
  <c r="U1105" i="1"/>
  <c r="T1106" i="1"/>
  <c r="V1103" i="1"/>
  <c r="U1104" i="1"/>
  <c r="T1105" i="1"/>
  <c r="U1103" i="1"/>
  <c r="T1104" i="1"/>
  <c r="V1102" i="1"/>
  <c r="T1103" i="1"/>
  <c r="U1102" i="1"/>
  <c r="V1101" i="1"/>
  <c r="V1100" i="1"/>
  <c r="T1102" i="1"/>
  <c r="U1101" i="1"/>
  <c r="V1099" i="1"/>
  <c r="U1100" i="1"/>
  <c r="T1101" i="1"/>
  <c r="U1099" i="1"/>
  <c r="T1100" i="1"/>
  <c r="V1098" i="1"/>
  <c r="V1097" i="1"/>
  <c r="T1099" i="1"/>
  <c r="U1098" i="1"/>
  <c r="V1096" i="1"/>
  <c r="U1097" i="1"/>
  <c r="T1098" i="1"/>
  <c r="V1095" i="1"/>
  <c r="U1096" i="1"/>
  <c r="T1097" i="1"/>
  <c r="U1095" i="1"/>
  <c r="T1096" i="1"/>
  <c r="V1094" i="1"/>
  <c r="V1093" i="1"/>
  <c r="T1095" i="1"/>
  <c r="U1094" i="1"/>
  <c r="V1092" i="1"/>
  <c r="U1093" i="1"/>
  <c r="T1094" i="1"/>
  <c r="U1092" i="1"/>
  <c r="T1093" i="1"/>
  <c r="V1091" i="1"/>
  <c r="T1092" i="1"/>
  <c r="U1091" i="1"/>
  <c r="V1090" i="1"/>
  <c r="V1089" i="1"/>
  <c r="T1091" i="1"/>
  <c r="U1090" i="1"/>
  <c r="V1088" i="1"/>
  <c r="U1089" i="1"/>
  <c r="T1090" i="1"/>
  <c r="U1088" i="1"/>
  <c r="T1089" i="1"/>
  <c r="V1087" i="1"/>
  <c r="T1088" i="1"/>
  <c r="U1087" i="1"/>
  <c r="V1086" i="1"/>
  <c r="T1087" i="1"/>
  <c r="U1086" i="1"/>
  <c r="V1085" i="1"/>
  <c r="V1084" i="1"/>
  <c r="T1086" i="1"/>
  <c r="U1085" i="1"/>
  <c r="U1084" i="1"/>
  <c r="T1085" i="1"/>
  <c r="V1083" i="1"/>
  <c r="V1082" i="1"/>
  <c r="T1084" i="1"/>
  <c r="U1083" i="1"/>
  <c r="U1082" i="1"/>
  <c r="T1083" i="1"/>
  <c r="V1081" i="1"/>
  <c r="T1082" i="1"/>
  <c r="U1081" i="1"/>
  <c r="V1080" i="1"/>
  <c r="V1079" i="1"/>
  <c r="T1081" i="1"/>
  <c r="U1080" i="1"/>
  <c r="V1078" i="1"/>
  <c r="U1079" i="1"/>
  <c r="T1080" i="1"/>
  <c r="U1078" i="1"/>
  <c r="T1079" i="1"/>
  <c r="V1077" i="1"/>
  <c r="T1078" i="1"/>
  <c r="U1077" i="1"/>
  <c r="V1076" i="1"/>
  <c r="V1075" i="1"/>
  <c r="T1077" i="1"/>
  <c r="U1076" i="1"/>
  <c r="U1075" i="1"/>
  <c r="T1076" i="1"/>
  <c r="V1074" i="1"/>
  <c r="V1073" i="1"/>
  <c r="T1075" i="1"/>
  <c r="U1074" i="1"/>
  <c r="V1072" i="1"/>
  <c r="U1073" i="1"/>
  <c r="T1074" i="1"/>
  <c r="U1072" i="1"/>
  <c r="T1073" i="1"/>
  <c r="V1071" i="1"/>
  <c r="V1070" i="1"/>
  <c r="T1072" i="1"/>
  <c r="U1071" i="1"/>
  <c r="U1070" i="1"/>
  <c r="T1071" i="1"/>
  <c r="V1069" i="1"/>
  <c r="V1068" i="1"/>
  <c r="T1070" i="1"/>
  <c r="U1069" i="1"/>
  <c r="V1067" i="1"/>
  <c r="U1068" i="1"/>
  <c r="T1069" i="1"/>
  <c r="V1066" i="1"/>
  <c r="U1067" i="1"/>
  <c r="T1068" i="1"/>
  <c r="V1065" i="1"/>
  <c r="U1066" i="1"/>
  <c r="T1067" i="1"/>
  <c r="U1065" i="1"/>
  <c r="T1066" i="1"/>
  <c r="V1064" i="1"/>
  <c r="T1065" i="1"/>
  <c r="U1064" i="1"/>
  <c r="V1063" i="1"/>
  <c r="V1062" i="1"/>
  <c r="T1064" i="1"/>
  <c r="U1063" i="1"/>
  <c r="V1061" i="1"/>
  <c r="U1062" i="1"/>
  <c r="T1063" i="1"/>
  <c r="U1061" i="1"/>
  <c r="T1062" i="1"/>
  <c r="V1060" i="1"/>
  <c r="V1059" i="1"/>
  <c r="T1061" i="1"/>
  <c r="U1060" i="1"/>
  <c r="V1058" i="1"/>
  <c r="U1059" i="1"/>
  <c r="T1060" i="1"/>
  <c r="U1058" i="1"/>
  <c r="T1059" i="1"/>
  <c r="V1057" i="1"/>
  <c r="T1058" i="1"/>
  <c r="U1057" i="1"/>
  <c r="V1056" i="1"/>
  <c r="T1057" i="1"/>
  <c r="U1056" i="1"/>
  <c r="V1055" i="1"/>
  <c r="T1056" i="1"/>
  <c r="U1055" i="1"/>
  <c r="V1054" i="1"/>
  <c r="T1055" i="1"/>
  <c r="U1054" i="1"/>
  <c r="V1053" i="1"/>
  <c r="V1052" i="1"/>
  <c r="T1054" i="1"/>
  <c r="U1053" i="1"/>
  <c r="V1051" i="1"/>
  <c r="U1052" i="1"/>
  <c r="T1053" i="1"/>
  <c r="V1050" i="1"/>
  <c r="U1051" i="1"/>
  <c r="T1052" i="1"/>
  <c r="V1049" i="1"/>
  <c r="U1050" i="1"/>
  <c r="T1051" i="1"/>
  <c r="V1048" i="1"/>
  <c r="U1049" i="1"/>
  <c r="T1050" i="1"/>
  <c r="U1048" i="1"/>
  <c r="T1049" i="1"/>
  <c r="V1047" i="1"/>
  <c r="T1048" i="1"/>
  <c r="U1047" i="1"/>
  <c r="V1046" i="1"/>
  <c r="V1045" i="1"/>
  <c r="T1047" i="1"/>
  <c r="U1046" i="1"/>
  <c r="V1044" i="1"/>
  <c r="U1045" i="1"/>
  <c r="T1046" i="1"/>
  <c r="V1043" i="1"/>
  <c r="U1044" i="1"/>
  <c r="T1045" i="1"/>
  <c r="U1043" i="1"/>
  <c r="T1044" i="1"/>
  <c r="V1042" i="1"/>
  <c r="T1043" i="1"/>
  <c r="U1042" i="1"/>
  <c r="V1041" i="1"/>
  <c r="T1042" i="1"/>
  <c r="U1041" i="1"/>
  <c r="V1040" i="1"/>
  <c r="V1039" i="1"/>
  <c r="T1041" i="1"/>
  <c r="U1040" i="1"/>
  <c r="U1039" i="1"/>
  <c r="T1040" i="1"/>
  <c r="V1038" i="1"/>
  <c r="V1037" i="1"/>
  <c r="T1039" i="1"/>
  <c r="U1038" i="1"/>
  <c r="V1036" i="1"/>
  <c r="U1037" i="1"/>
  <c r="T1038" i="1"/>
  <c r="U1036" i="1"/>
  <c r="T1037" i="1"/>
  <c r="V1035" i="1"/>
  <c r="T1036" i="1"/>
  <c r="U1035" i="1"/>
  <c r="V1034" i="1"/>
  <c r="V1033" i="1"/>
  <c r="T1035" i="1"/>
  <c r="U1034" i="1"/>
  <c r="U1033" i="1"/>
  <c r="T1034" i="1"/>
  <c r="V1032" i="1"/>
  <c r="T1033" i="1"/>
  <c r="U1032" i="1"/>
  <c r="V1031" i="1"/>
  <c r="V1030" i="1"/>
  <c r="T1032" i="1"/>
  <c r="U1031" i="1"/>
  <c r="U1030" i="1"/>
  <c r="T1031" i="1"/>
  <c r="V1029" i="1"/>
  <c r="T1030" i="1"/>
  <c r="U1029" i="1"/>
  <c r="V1028" i="1"/>
  <c r="V1027" i="1"/>
  <c r="T1029" i="1"/>
  <c r="U1028" i="1"/>
  <c r="V1026" i="1"/>
  <c r="U1027" i="1"/>
  <c r="T1028" i="1"/>
  <c r="U1026" i="1"/>
  <c r="T1027" i="1"/>
  <c r="V1025" i="1"/>
  <c r="V1024" i="1"/>
  <c r="T1026" i="1"/>
  <c r="U1025" i="1"/>
  <c r="V1023" i="1"/>
  <c r="U1024" i="1"/>
  <c r="T1025" i="1"/>
  <c r="V1022" i="1"/>
  <c r="U1023" i="1"/>
  <c r="T1024" i="1"/>
  <c r="U1022" i="1"/>
  <c r="T1023" i="1"/>
  <c r="V1021" i="1"/>
  <c r="V1020" i="1"/>
  <c r="T1022" i="1"/>
  <c r="U1021" i="1"/>
  <c r="V1019" i="1"/>
  <c r="U1020" i="1"/>
  <c r="T1021" i="1"/>
  <c r="V1018" i="1"/>
  <c r="U1019" i="1"/>
  <c r="T1020" i="1"/>
  <c r="V1017" i="1"/>
  <c r="U1018" i="1"/>
  <c r="T1019" i="1"/>
  <c r="V1016" i="1"/>
  <c r="U1017" i="1"/>
  <c r="T1018" i="1"/>
  <c r="V1015" i="1"/>
  <c r="U1016" i="1"/>
  <c r="T1017" i="1"/>
  <c r="V1014" i="1"/>
  <c r="U1015" i="1"/>
  <c r="T1016" i="1"/>
  <c r="V1013" i="1"/>
  <c r="U1014" i="1"/>
  <c r="T1015" i="1"/>
  <c r="V1012" i="1"/>
  <c r="U1013" i="1"/>
  <c r="T1014" i="1"/>
  <c r="U1012" i="1"/>
  <c r="T1013" i="1"/>
  <c r="V1011" i="1"/>
  <c r="T1012" i="1"/>
  <c r="U1011" i="1"/>
  <c r="V1010" i="1"/>
  <c r="T1011" i="1"/>
  <c r="U1010" i="1"/>
  <c r="V1009" i="1"/>
  <c r="V1008" i="1"/>
  <c r="T1010" i="1"/>
  <c r="U1009" i="1"/>
  <c r="U1008" i="1"/>
  <c r="T1009" i="1"/>
  <c r="V1007" i="1"/>
  <c r="V1006" i="1"/>
  <c r="T1008" i="1"/>
  <c r="U1007" i="1"/>
  <c r="U1006" i="1"/>
  <c r="T1007" i="1"/>
  <c r="V1005" i="1"/>
  <c r="V1004" i="1"/>
  <c r="T1006" i="1"/>
  <c r="U1005" i="1"/>
  <c r="V1003" i="1"/>
  <c r="U1004" i="1"/>
  <c r="T1005" i="1"/>
  <c r="U1003" i="1"/>
  <c r="T1004" i="1"/>
  <c r="V1002" i="1"/>
  <c r="V1001" i="1"/>
  <c r="T1003" i="1"/>
  <c r="U1002" i="1"/>
  <c r="V1000" i="1"/>
  <c r="U1001" i="1"/>
  <c r="T1002" i="1"/>
  <c r="V999" i="1"/>
  <c r="U1000" i="1"/>
  <c r="T1001" i="1"/>
  <c r="V998" i="1"/>
  <c r="U999" i="1"/>
  <c r="T1000" i="1"/>
  <c r="V997" i="1"/>
  <c r="U998" i="1"/>
  <c r="T999" i="1"/>
  <c r="U997" i="1"/>
  <c r="T998" i="1"/>
  <c r="V996" i="1"/>
  <c r="V995" i="1"/>
  <c r="T997" i="1"/>
  <c r="U996" i="1"/>
  <c r="V994" i="1"/>
  <c r="U995" i="1"/>
  <c r="T996" i="1"/>
  <c r="V993" i="1"/>
  <c r="U994" i="1"/>
  <c r="T995" i="1"/>
  <c r="U993" i="1"/>
  <c r="T994" i="1"/>
  <c r="V992" i="1"/>
  <c r="T993" i="1"/>
  <c r="U992" i="1"/>
  <c r="V991" i="1"/>
  <c r="T992" i="1"/>
  <c r="U991" i="1"/>
  <c r="V990" i="1"/>
  <c r="V989" i="1"/>
  <c r="T991" i="1"/>
  <c r="U990" i="1"/>
  <c r="V988" i="1"/>
  <c r="U989" i="1"/>
  <c r="T990" i="1"/>
  <c r="V987" i="1"/>
  <c r="U988" i="1"/>
  <c r="T989" i="1"/>
  <c r="U987" i="1"/>
  <c r="T988" i="1"/>
  <c r="V986" i="1"/>
  <c r="V985" i="1"/>
  <c r="T987" i="1"/>
  <c r="U986" i="1"/>
  <c r="U985" i="1"/>
  <c r="T986" i="1"/>
  <c r="V984" i="1"/>
  <c r="V983" i="1"/>
  <c r="T985" i="1"/>
  <c r="U984" i="1"/>
  <c r="U983" i="1"/>
  <c r="T984" i="1"/>
  <c r="V982" i="1"/>
  <c r="V981" i="1"/>
  <c r="T983" i="1"/>
  <c r="U982" i="1"/>
  <c r="V980" i="1"/>
  <c r="U981" i="1"/>
  <c r="T982" i="1"/>
  <c r="V979" i="1"/>
  <c r="U980" i="1"/>
  <c r="T981" i="1"/>
  <c r="V978" i="1"/>
  <c r="U979" i="1"/>
  <c r="T980" i="1"/>
  <c r="V977" i="1"/>
  <c r="U978" i="1"/>
  <c r="T979" i="1"/>
  <c r="U977" i="1"/>
  <c r="T978" i="1"/>
  <c r="V976" i="1"/>
  <c r="T977" i="1"/>
  <c r="U976" i="1"/>
  <c r="V975" i="1"/>
  <c r="V974" i="1"/>
  <c r="T976" i="1"/>
  <c r="U975" i="1"/>
  <c r="V973" i="1"/>
  <c r="U974" i="1"/>
  <c r="T975" i="1"/>
  <c r="V972" i="1"/>
  <c r="U973" i="1"/>
  <c r="T974" i="1"/>
  <c r="U972" i="1"/>
  <c r="T973" i="1"/>
  <c r="V971" i="1"/>
  <c r="V970" i="1"/>
  <c r="T972" i="1"/>
  <c r="U971" i="1"/>
  <c r="U970" i="1"/>
  <c r="T971" i="1"/>
  <c r="V969" i="1"/>
  <c r="T970" i="1"/>
  <c r="U969" i="1"/>
  <c r="V968" i="1"/>
  <c r="T969" i="1"/>
  <c r="U968" i="1"/>
  <c r="V967" i="1"/>
  <c r="V966" i="1"/>
  <c r="T968" i="1"/>
  <c r="U967" i="1"/>
  <c r="U966" i="1"/>
  <c r="T967" i="1"/>
  <c r="V965" i="1"/>
  <c r="V964" i="1"/>
  <c r="T966" i="1"/>
  <c r="U965" i="1"/>
  <c r="U964" i="1"/>
  <c r="T965" i="1"/>
  <c r="V963" i="1"/>
  <c r="V962" i="1"/>
  <c r="T964" i="1"/>
  <c r="U963" i="1"/>
  <c r="U962" i="1"/>
  <c r="T963" i="1"/>
  <c r="V961" i="1"/>
  <c r="V960" i="1"/>
  <c r="T962" i="1"/>
  <c r="U961" i="1"/>
  <c r="U960" i="1"/>
  <c r="T961" i="1"/>
  <c r="V959" i="1"/>
  <c r="T960" i="1"/>
  <c r="U959" i="1"/>
  <c r="V958" i="1"/>
  <c r="V957" i="1"/>
  <c r="T959" i="1"/>
  <c r="U958" i="1"/>
  <c r="V956" i="1"/>
  <c r="U957" i="1"/>
  <c r="T958" i="1"/>
  <c r="V955" i="1"/>
  <c r="U956" i="1"/>
  <c r="T957" i="1"/>
  <c r="U955" i="1"/>
  <c r="T956" i="1"/>
  <c r="V954" i="1"/>
  <c r="V953" i="1"/>
  <c r="T955" i="1"/>
  <c r="U954" i="1"/>
  <c r="U953" i="1"/>
  <c r="T954" i="1"/>
  <c r="V952" i="1"/>
  <c r="T953" i="1"/>
  <c r="U952" i="1"/>
  <c r="V951" i="1"/>
  <c r="V950" i="1"/>
  <c r="T952" i="1"/>
  <c r="U951" i="1"/>
  <c r="U950" i="1"/>
  <c r="T951" i="1"/>
  <c r="V949" i="1"/>
  <c r="V948" i="1"/>
  <c r="T950" i="1"/>
  <c r="U949" i="1"/>
  <c r="U948" i="1"/>
  <c r="T949" i="1"/>
  <c r="V947" i="1"/>
  <c r="V946" i="1"/>
  <c r="T948" i="1"/>
  <c r="U947" i="1"/>
  <c r="V945" i="1"/>
  <c r="U946" i="1"/>
  <c r="T947" i="1"/>
  <c r="V944" i="1"/>
  <c r="U945" i="1"/>
  <c r="T946" i="1"/>
  <c r="V943" i="1"/>
  <c r="U944" i="1"/>
  <c r="T945" i="1"/>
  <c r="V942" i="1"/>
  <c r="U943" i="1"/>
  <c r="T944" i="1"/>
  <c r="V941" i="1"/>
  <c r="U942" i="1"/>
  <c r="T943" i="1"/>
  <c r="V940" i="1"/>
  <c r="U941" i="1"/>
  <c r="T942" i="1"/>
  <c r="U940" i="1"/>
  <c r="T941" i="1"/>
  <c r="V939" i="1"/>
  <c r="V938" i="1"/>
  <c r="T940" i="1"/>
  <c r="U939" i="1"/>
  <c r="V937" i="1"/>
  <c r="U938" i="1"/>
  <c r="T939" i="1"/>
  <c r="V936" i="1"/>
  <c r="U937" i="1"/>
  <c r="T938" i="1"/>
  <c r="U936" i="1"/>
  <c r="T937" i="1"/>
  <c r="V935" i="1"/>
  <c r="V934" i="1"/>
  <c r="T936" i="1"/>
  <c r="U935" i="1"/>
  <c r="V933" i="1"/>
  <c r="U934" i="1"/>
  <c r="T935" i="1"/>
  <c r="U933" i="1"/>
  <c r="T934" i="1"/>
  <c r="V932" i="1"/>
  <c r="V931" i="1"/>
  <c r="T933" i="1"/>
  <c r="U932" i="1"/>
  <c r="U931" i="1"/>
  <c r="T932" i="1"/>
  <c r="V930" i="1"/>
  <c r="V929" i="1"/>
  <c r="T931" i="1"/>
  <c r="U930" i="1"/>
  <c r="V928" i="1"/>
  <c r="U929" i="1"/>
  <c r="T930" i="1"/>
  <c r="U928" i="1"/>
  <c r="T929" i="1"/>
  <c r="V927" i="1"/>
  <c r="T928" i="1"/>
  <c r="U927" i="1"/>
  <c r="V926" i="1"/>
  <c r="V925" i="1"/>
  <c r="T927" i="1"/>
  <c r="U926" i="1"/>
  <c r="V924" i="1"/>
  <c r="U925" i="1"/>
  <c r="T926" i="1"/>
  <c r="V923" i="1"/>
  <c r="U924" i="1"/>
  <c r="T925" i="1"/>
  <c r="U923" i="1"/>
  <c r="T924" i="1"/>
  <c r="V922" i="1"/>
  <c r="T923" i="1"/>
  <c r="U922" i="1"/>
  <c r="V921" i="1"/>
  <c r="T922" i="1"/>
  <c r="U921" i="1"/>
  <c r="V920" i="1"/>
  <c r="V919" i="1"/>
  <c r="T921" i="1"/>
  <c r="U920" i="1"/>
  <c r="U919" i="1"/>
  <c r="T920" i="1"/>
  <c r="V918" i="1"/>
  <c r="T919" i="1"/>
  <c r="U918" i="1"/>
  <c r="V917" i="1"/>
  <c r="V916" i="1"/>
  <c r="T918" i="1"/>
  <c r="U917" i="1"/>
  <c r="V915" i="1"/>
  <c r="U916" i="1"/>
  <c r="T917" i="1"/>
  <c r="V914" i="1"/>
  <c r="U915" i="1"/>
  <c r="T916" i="1"/>
  <c r="V913" i="1"/>
  <c r="U914" i="1"/>
  <c r="T915" i="1"/>
  <c r="V912" i="1"/>
  <c r="U913" i="1"/>
  <c r="T914" i="1"/>
  <c r="V911" i="1"/>
  <c r="U912" i="1"/>
  <c r="T913" i="1"/>
  <c r="V910" i="1"/>
  <c r="U911" i="1"/>
  <c r="T912" i="1"/>
  <c r="V909" i="1"/>
  <c r="U910" i="1"/>
  <c r="T911" i="1"/>
  <c r="V908" i="1"/>
  <c r="U909" i="1"/>
  <c r="T910" i="1"/>
  <c r="V907" i="1"/>
  <c r="U908" i="1"/>
  <c r="T909" i="1"/>
  <c r="U907" i="1"/>
  <c r="T908" i="1"/>
  <c r="V906" i="1"/>
  <c r="V905" i="1"/>
  <c r="T907" i="1"/>
  <c r="U906" i="1"/>
  <c r="V904" i="1"/>
  <c r="U905" i="1"/>
  <c r="T906" i="1"/>
  <c r="U904" i="1"/>
  <c r="T905" i="1"/>
  <c r="V903" i="1"/>
  <c r="V902" i="1"/>
  <c r="T904" i="1"/>
  <c r="U903" i="1"/>
  <c r="U902" i="1"/>
  <c r="T903" i="1"/>
  <c r="V901" i="1"/>
  <c r="T902" i="1"/>
  <c r="U901" i="1"/>
  <c r="V900" i="1"/>
  <c r="V899" i="1"/>
  <c r="T901" i="1"/>
  <c r="U900" i="1"/>
  <c r="U899" i="1"/>
  <c r="T900" i="1"/>
  <c r="V898" i="1"/>
  <c r="V897" i="1"/>
  <c r="T899" i="1"/>
  <c r="U898" i="1"/>
  <c r="U897" i="1"/>
  <c r="T898" i="1"/>
  <c r="V896" i="1"/>
  <c r="V895" i="1"/>
  <c r="T897" i="1"/>
  <c r="U896" i="1"/>
  <c r="U895" i="1"/>
  <c r="T896" i="1"/>
  <c r="V894" i="1"/>
  <c r="T895" i="1"/>
  <c r="U894" i="1"/>
  <c r="V893" i="1"/>
  <c r="T894" i="1"/>
  <c r="U893" i="1"/>
  <c r="V892" i="1"/>
  <c r="V891" i="1"/>
  <c r="T893" i="1"/>
  <c r="U892" i="1"/>
  <c r="V890" i="1"/>
  <c r="U891" i="1"/>
  <c r="T892" i="1"/>
  <c r="V889" i="1"/>
  <c r="U890" i="1"/>
  <c r="T891" i="1"/>
  <c r="U889" i="1"/>
  <c r="T890" i="1"/>
  <c r="V888" i="1"/>
  <c r="V887" i="1"/>
  <c r="T889" i="1"/>
  <c r="U888" i="1"/>
  <c r="U887" i="1"/>
  <c r="T888" i="1"/>
  <c r="V886" i="1"/>
  <c r="V885" i="1"/>
  <c r="T887" i="1"/>
  <c r="U886" i="1"/>
  <c r="V884" i="1"/>
  <c r="U885" i="1"/>
  <c r="T886" i="1"/>
  <c r="V883" i="1"/>
  <c r="U884" i="1"/>
  <c r="T885" i="1"/>
  <c r="U883" i="1"/>
  <c r="T884" i="1"/>
  <c r="V882" i="1"/>
  <c r="T883" i="1"/>
  <c r="U882" i="1"/>
  <c r="V881" i="1"/>
  <c r="T882" i="1"/>
  <c r="U881" i="1"/>
  <c r="V880" i="1"/>
  <c r="V879" i="1"/>
  <c r="T881" i="1"/>
  <c r="U880" i="1"/>
  <c r="U879" i="1"/>
  <c r="T880" i="1"/>
  <c r="V878" i="1"/>
  <c r="T879" i="1"/>
  <c r="U878" i="1"/>
  <c r="V877" i="1"/>
  <c r="V876" i="1"/>
  <c r="T878" i="1"/>
  <c r="U877" i="1"/>
  <c r="U876" i="1"/>
  <c r="T877" i="1"/>
  <c r="V875" i="1"/>
  <c r="V874" i="1"/>
  <c r="T876" i="1"/>
  <c r="U875" i="1"/>
  <c r="V873" i="1"/>
  <c r="U874" i="1"/>
  <c r="T875" i="1"/>
  <c r="U873" i="1"/>
  <c r="T874" i="1"/>
  <c r="V872" i="1"/>
  <c r="V871" i="1"/>
  <c r="T873" i="1"/>
  <c r="U872" i="1"/>
  <c r="V870" i="1"/>
  <c r="U871" i="1"/>
  <c r="T872" i="1"/>
  <c r="U870" i="1"/>
  <c r="T871" i="1"/>
  <c r="V869" i="1"/>
  <c r="V868" i="1"/>
  <c r="T870" i="1"/>
  <c r="U869" i="1"/>
  <c r="V867" i="1"/>
  <c r="U868" i="1"/>
  <c r="T869" i="1"/>
  <c r="V866" i="1"/>
  <c r="U867" i="1"/>
  <c r="T868" i="1"/>
  <c r="U866" i="1"/>
  <c r="T867" i="1"/>
  <c r="V865" i="1"/>
  <c r="T866" i="1"/>
  <c r="U865" i="1"/>
  <c r="V864" i="1"/>
  <c r="T865" i="1"/>
  <c r="U864" i="1"/>
  <c r="V863" i="1"/>
  <c r="V862" i="1"/>
  <c r="T864" i="1"/>
  <c r="U863" i="1"/>
  <c r="V861" i="1"/>
  <c r="U862" i="1"/>
  <c r="T863" i="1"/>
  <c r="V860" i="1"/>
  <c r="U861" i="1"/>
  <c r="T862" i="1"/>
  <c r="V859" i="1"/>
  <c r="U860" i="1"/>
  <c r="T861" i="1"/>
  <c r="V858" i="1"/>
  <c r="U859" i="1"/>
  <c r="T860" i="1"/>
  <c r="V857" i="1"/>
  <c r="U858" i="1"/>
  <c r="T859" i="1"/>
  <c r="U857" i="1"/>
  <c r="T858" i="1"/>
  <c r="V856" i="1"/>
  <c r="V855" i="1"/>
  <c r="T857" i="1"/>
  <c r="U856" i="1"/>
  <c r="U855" i="1"/>
  <c r="T856" i="1"/>
  <c r="V854" i="1"/>
  <c r="V853" i="1"/>
  <c r="T855" i="1"/>
  <c r="U854" i="1"/>
  <c r="V852" i="1"/>
  <c r="U853" i="1"/>
  <c r="T854" i="1"/>
  <c r="V851" i="1"/>
  <c r="U852" i="1"/>
  <c r="T853" i="1"/>
  <c r="U851" i="1"/>
  <c r="T852" i="1"/>
  <c r="V850" i="1"/>
  <c r="V849" i="1"/>
  <c r="T851" i="1"/>
  <c r="U850" i="1"/>
  <c r="U849" i="1"/>
  <c r="T850" i="1"/>
  <c r="V848" i="1"/>
  <c r="V847" i="1"/>
  <c r="T849" i="1"/>
  <c r="U848" i="1"/>
  <c r="U847" i="1"/>
  <c r="T848" i="1"/>
  <c r="V846" i="1"/>
  <c r="T847" i="1"/>
  <c r="U846" i="1"/>
  <c r="V845" i="1"/>
  <c r="T846" i="1"/>
  <c r="U845" i="1"/>
  <c r="V844" i="1"/>
  <c r="V843" i="1"/>
  <c r="T845" i="1"/>
  <c r="U844" i="1"/>
  <c r="U843" i="1"/>
  <c r="T844" i="1"/>
  <c r="V842" i="1"/>
  <c r="T843" i="1"/>
  <c r="U842" i="1"/>
  <c r="V841" i="1"/>
  <c r="T842" i="1"/>
  <c r="U841" i="1"/>
  <c r="V840" i="1"/>
  <c r="V839" i="1"/>
  <c r="T841" i="1"/>
  <c r="U840" i="1"/>
  <c r="U839" i="1"/>
  <c r="T840" i="1"/>
  <c r="V838" i="1"/>
  <c r="V837" i="1"/>
  <c r="T839" i="1"/>
  <c r="U838" i="1"/>
  <c r="V836" i="1"/>
  <c r="U837" i="1"/>
  <c r="T838" i="1"/>
  <c r="U836" i="1"/>
  <c r="T837" i="1"/>
  <c r="V835" i="1"/>
  <c r="T836" i="1"/>
  <c r="U835" i="1"/>
  <c r="V834" i="1"/>
  <c r="T835" i="1"/>
  <c r="U834" i="1"/>
  <c r="V833" i="1"/>
  <c r="T834" i="1"/>
  <c r="U833" i="1"/>
  <c r="V832" i="1"/>
  <c r="T833" i="1"/>
  <c r="U832" i="1"/>
  <c r="V831" i="1"/>
  <c r="V830" i="1"/>
  <c r="T832" i="1"/>
  <c r="U831" i="1"/>
  <c r="U830" i="1"/>
  <c r="T831" i="1"/>
  <c r="V829" i="1"/>
  <c r="T830" i="1"/>
  <c r="U829" i="1"/>
  <c r="V828" i="1"/>
  <c r="V827" i="1"/>
  <c r="T829" i="1"/>
  <c r="U828" i="1"/>
  <c r="U827" i="1"/>
  <c r="T828" i="1"/>
  <c r="V826" i="1"/>
  <c r="V825" i="1"/>
  <c r="T827" i="1"/>
  <c r="U826" i="1"/>
  <c r="V824" i="1"/>
  <c r="U825" i="1"/>
  <c r="T826" i="1"/>
  <c r="V823" i="1"/>
  <c r="U824" i="1"/>
  <c r="T825" i="1"/>
  <c r="U823" i="1"/>
  <c r="T824" i="1"/>
  <c r="V822" i="1"/>
  <c r="T823" i="1"/>
  <c r="U822" i="1"/>
  <c r="V821" i="1"/>
  <c r="V820" i="1"/>
  <c r="T822" i="1"/>
  <c r="U821" i="1"/>
  <c r="U820" i="1"/>
  <c r="T821" i="1"/>
  <c r="V819" i="1"/>
  <c r="V818" i="1"/>
  <c r="T820" i="1"/>
  <c r="U819" i="1"/>
  <c r="V817" i="1"/>
  <c r="U818" i="1"/>
  <c r="T819" i="1"/>
  <c r="V816" i="1"/>
  <c r="U817" i="1"/>
  <c r="T818" i="1"/>
  <c r="V815" i="1"/>
  <c r="U816" i="1"/>
  <c r="T817" i="1"/>
  <c r="U815" i="1"/>
  <c r="T816" i="1"/>
  <c r="V814" i="1"/>
  <c r="T815" i="1"/>
  <c r="U814" i="1"/>
  <c r="V813" i="1"/>
  <c r="V812" i="1"/>
  <c r="T814" i="1"/>
  <c r="U813" i="1"/>
  <c r="U812" i="1"/>
  <c r="T813" i="1"/>
  <c r="V811" i="1"/>
  <c r="V810" i="1"/>
  <c r="T812" i="1"/>
  <c r="U811" i="1"/>
  <c r="U810" i="1"/>
  <c r="T811" i="1"/>
  <c r="V809" i="1"/>
  <c r="T810" i="1"/>
  <c r="U809" i="1"/>
  <c r="V808" i="1"/>
  <c r="T809" i="1"/>
  <c r="U808" i="1"/>
  <c r="V807" i="1"/>
  <c r="V806" i="1"/>
  <c r="T808" i="1"/>
  <c r="U807" i="1"/>
  <c r="V805" i="1"/>
  <c r="U806" i="1"/>
  <c r="T807" i="1"/>
  <c r="V804" i="1"/>
  <c r="U805" i="1"/>
  <c r="T806" i="1"/>
  <c r="U804" i="1"/>
  <c r="T805" i="1"/>
  <c r="V803" i="1"/>
  <c r="T804" i="1"/>
  <c r="U803" i="1"/>
  <c r="V802" i="1"/>
  <c r="V801" i="1"/>
  <c r="T803" i="1"/>
  <c r="U802" i="1"/>
  <c r="U801" i="1"/>
  <c r="T802" i="1"/>
  <c r="V800" i="1"/>
  <c r="T801" i="1"/>
  <c r="U800" i="1"/>
  <c r="V799" i="1"/>
  <c r="T800" i="1"/>
  <c r="U799" i="1"/>
  <c r="V798" i="1"/>
  <c r="T799" i="1"/>
  <c r="U798" i="1"/>
  <c r="V797" i="1"/>
  <c r="V796" i="1"/>
  <c r="T798" i="1"/>
  <c r="U797" i="1"/>
  <c r="V795" i="1"/>
  <c r="U796" i="1"/>
  <c r="T797" i="1"/>
  <c r="U795" i="1"/>
  <c r="T796" i="1"/>
  <c r="V794" i="1"/>
  <c r="V793" i="1"/>
  <c r="T795" i="1"/>
  <c r="U794" i="1"/>
  <c r="V792" i="1"/>
  <c r="U793" i="1"/>
  <c r="T794" i="1"/>
  <c r="V791" i="1"/>
  <c r="U792" i="1"/>
  <c r="T793" i="1"/>
  <c r="U791" i="1"/>
  <c r="T792" i="1"/>
  <c r="V790" i="1"/>
  <c r="V789" i="1"/>
  <c r="T791" i="1"/>
  <c r="U790" i="1"/>
  <c r="U789" i="1"/>
  <c r="T790" i="1"/>
  <c r="V788" i="1"/>
  <c r="V787" i="1"/>
  <c r="T789" i="1"/>
  <c r="U788" i="1"/>
  <c r="U787" i="1"/>
  <c r="T788" i="1"/>
  <c r="V786" i="1"/>
  <c r="V785" i="1"/>
  <c r="T787" i="1"/>
  <c r="U786" i="1"/>
  <c r="U785" i="1"/>
  <c r="T786" i="1"/>
  <c r="V784" i="1"/>
  <c r="T785" i="1"/>
  <c r="U784" i="1"/>
  <c r="V783" i="1"/>
  <c r="V782" i="1"/>
  <c r="T784" i="1"/>
  <c r="U783" i="1"/>
  <c r="V781" i="1"/>
  <c r="U782" i="1"/>
  <c r="T783" i="1"/>
  <c r="U781" i="1"/>
  <c r="T782" i="1"/>
  <c r="V780" i="1"/>
  <c r="V779" i="1"/>
  <c r="T781" i="1"/>
  <c r="U780" i="1"/>
  <c r="V778" i="1"/>
  <c r="U779" i="1"/>
  <c r="T780" i="1"/>
  <c r="V777" i="1"/>
  <c r="U778" i="1"/>
  <c r="T779" i="1"/>
  <c r="V776" i="1"/>
  <c r="U777" i="1"/>
  <c r="T778" i="1"/>
  <c r="U776" i="1"/>
  <c r="T777" i="1"/>
  <c r="V775" i="1"/>
  <c r="V774" i="1"/>
  <c r="T776" i="1"/>
  <c r="U775" i="1"/>
  <c r="V773" i="1"/>
  <c r="U774" i="1"/>
  <c r="T775" i="1"/>
  <c r="V772" i="1"/>
  <c r="U773" i="1"/>
  <c r="T774" i="1"/>
  <c r="V771" i="1"/>
  <c r="U772" i="1"/>
  <c r="T773" i="1"/>
  <c r="V770" i="1"/>
  <c r="U771" i="1"/>
  <c r="T772" i="1"/>
  <c r="U770" i="1"/>
  <c r="T771" i="1"/>
  <c r="V769" i="1"/>
  <c r="T770" i="1"/>
  <c r="U769" i="1"/>
  <c r="V768" i="1"/>
  <c r="T769" i="1"/>
  <c r="U768" i="1"/>
  <c r="V767" i="1"/>
  <c r="T768" i="1"/>
  <c r="U767" i="1"/>
  <c r="V766" i="1"/>
  <c r="V765" i="1"/>
  <c r="T767" i="1"/>
  <c r="U766" i="1"/>
  <c r="U765" i="1"/>
  <c r="T766" i="1"/>
  <c r="V764" i="1"/>
  <c r="T765" i="1"/>
  <c r="U764" i="1"/>
  <c r="V763" i="1"/>
  <c r="T764" i="1"/>
  <c r="U763" i="1"/>
  <c r="V762" i="1"/>
  <c r="T763" i="1"/>
  <c r="U762" i="1"/>
  <c r="V761" i="1"/>
  <c r="V760" i="1"/>
  <c r="T762" i="1"/>
  <c r="U761" i="1"/>
  <c r="U760" i="1"/>
  <c r="T761" i="1"/>
  <c r="V759" i="1"/>
  <c r="V758" i="1"/>
  <c r="T760" i="1"/>
  <c r="U759" i="1"/>
  <c r="U758" i="1"/>
  <c r="T759" i="1"/>
  <c r="V757" i="1"/>
  <c r="V756" i="1"/>
  <c r="T758" i="1"/>
  <c r="U757" i="1"/>
  <c r="V755" i="1"/>
  <c r="U756" i="1"/>
  <c r="T757" i="1"/>
  <c r="V754" i="1"/>
  <c r="U755" i="1"/>
  <c r="T756" i="1"/>
  <c r="U754" i="1"/>
  <c r="T755" i="1"/>
  <c r="V753" i="1"/>
  <c r="T754" i="1"/>
  <c r="U753" i="1"/>
  <c r="V752" i="1"/>
  <c r="V751" i="1"/>
  <c r="T753" i="1"/>
  <c r="U752" i="1"/>
  <c r="U751" i="1"/>
  <c r="T752" i="1"/>
  <c r="V750" i="1"/>
  <c r="T751" i="1"/>
  <c r="U750" i="1"/>
  <c r="V749" i="1"/>
  <c r="V748" i="1"/>
  <c r="T750" i="1"/>
  <c r="U749" i="1"/>
  <c r="V747" i="1"/>
  <c r="U748" i="1"/>
  <c r="T749" i="1"/>
  <c r="V746" i="1"/>
  <c r="U747" i="1"/>
  <c r="T748" i="1"/>
  <c r="U746" i="1"/>
  <c r="T747" i="1"/>
  <c r="V745" i="1"/>
  <c r="T746" i="1"/>
  <c r="U745" i="1"/>
  <c r="V744" i="1"/>
  <c r="T745" i="1"/>
  <c r="U744" i="1"/>
  <c r="V743" i="1"/>
  <c r="V742" i="1"/>
  <c r="T744" i="1"/>
  <c r="U743" i="1"/>
  <c r="V741" i="1"/>
  <c r="U742" i="1"/>
  <c r="T743" i="1"/>
  <c r="U741" i="1"/>
  <c r="T742" i="1"/>
  <c r="V740" i="1"/>
  <c r="T741" i="1"/>
  <c r="U740" i="1"/>
  <c r="V739" i="1"/>
  <c r="V738" i="1"/>
  <c r="T740" i="1"/>
  <c r="U739" i="1"/>
  <c r="V737" i="1"/>
  <c r="U738" i="1"/>
  <c r="T739" i="1"/>
  <c r="U737" i="1"/>
  <c r="T738" i="1"/>
  <c r="V736" i="1"/>
  <c r="T737" i="1"/>
  <c r="U736" i="1"/>
  <c r="V735" i="1"/>
  <c r="V734" i="1"/>
  <c r="T736" i="1"/>
  <c r="U735" i="1"/>
  <c r="U734" i="1"/>
  <c r="T735" i="1"/>
  <c r="V733" i="1"/>
  <c r="T734" i="1"/>
  <c r="U733" i="1"/>
  <c r="V732" i="1"/>
  <c r="T733" i="1"/>
  <c r="U732" i="1"/>
  <c r="V731" i="1"/>
  <c r="T732" i="1"/>
  <c r="U731" i="1"/>
  <c r="V730" i="1"/>
  <c r="V729" i="1"/>
  <c r="T731" i="1"/>
  <c r="U730" i="1"/>
  <c r="V728" i="1"/>
  <c r="U729" i="1"/>
  <c r="T730" i="1"/>
  <c r="U728" i="1"/>
  <c r="T729" i="1"/>
  <c r="V727" i="1"/>
  <c r="T728" i="1"/>
  <c r="U727" i="1"/>
  <c r="V726" i="1"/>
  <c r="T727" i="1"/>
  <c r="U726" i="1"/>
  <c r="V725" i="1"/>
  <c r="T726" i="1"/>
  <c r="U725" i="1"/>
  <c r="V724" i="1"/>
  <c r="V723" i="1"/>
  <c r="T725" i="1"/>
  <c r="U724" i="1"/>
  <c r="V722" i="1"/>
  <c r="U723" i="1"/>
  <c r="T724" i="1"/>
  <c r="U722" i="1"/>
  <c r="T723" i="1"/>
  <c r="V721" i="1"/>
  <c r="V720" i="1"/>
  <c r="T722" i="1"/>
  <c r="U721" i="1"/>
  <c r="V719" i="1"/>
  <c r="U720" i="1"/>
  <c r="T721" i="1"/>
  <c r="U719" i="1"/>
  <c r="T720" i="1"/>
  <c r="V718" i="1"/>
  <c r="T719" i="1"/>
  <c r="U718" i="1"/>
  <c r="V717" i="1"/>
  <c r="V716" i="1"/>
  <c r="T718" i="1"/>
  <c r="U717" i="1"/>
  <c r="V715" i="1"/>
  <c r="U716" i="1"/>
  <c r="T717" i="1"/>
  <c r="V714" i="1"/>
  <c r="U715" i="1"/>
  <c r="T716" i="1"/>
  <c r="V713" i="1"/>
  <c r="U714" i="1"/>
  <c r="T715" i="1"/>
  <c r="V712" i="1"/>
  <c r="U713" i="1"/>
  <c r="T714" i="1"/>
  <c r="U712" i="1"/>
  <c r="T713" i="1"/>
  <c r="V711" i="1"/>
  <c r="V710" i="1"/>
  <c r="T712" i="1"/>
  <c r="U711" i="1"/>
  <c r="U710" i="1"/>
  <c r="T711" i="1"/>
  <c r="V709" i="1"/>
  <c r="T710" i="1"/>
  <c r="U709" i="1"/>
  <c r="V708" i="1"/>
  <c r="V707" i="1"/>
  <c r="T709" i="1"/>
  <c r="U708" i="1"/>
  <c r="U707" i="1"/>
  <c r="T708" i="1"/>
  <c r="V706" i="1"/>
  <c r="T707" i="1"/>
  <c r="U706" i="1"/>
  <c r="V705" i="1"/>
  <c r="T706" i="1"/>
  <c r="U705" i="1"/>
  <c r="V704" i="1"/>
  <c r="V703" i="1"/>
  <c r="T705" i="1"/>
  <c r="U704" i="1"/>
  <c r="U703" i="1"/>
  <c r="T704" i="1"/>
  <c r="V702" i="1"/>
  <c r="T703" i="1"/>
  <c r="U702" i="1"/>
  <c r="V701" i="1"/>
  <c r="T702" i="1"/>
  <c r="U701" i="1"/>
  <c r="V700" i="1"/>
  <c r="V699" i="1"/>
  <c r="T701" i="1"/>
  <c r="U700" i="1"/>
  <c r="U699" i="1"/>
  <c r="T700" i="1"/>
  <c r="V698" i="1"/>
  <c r="T699" i="1"/>
  <c r="U698" i="1"/>
  <c r="V697" i="1"/>
  <c r="V696" i="1"/>
  <c r="T698" i="1"/>
  <c r="U697" i="1"/>
  <c r="V695" i="1"/>
  <c r="U696" i="1"/>
  <c r="T697" i="1"/>
  <c r="U695" i="1"/>
  <c r="T696" i="1"/>
  <c r="V694" i="1"/>
  <c r="T695" i="1"/>
  <c r="U694" i="1"/>
  <c r="V693" i="1"/>
  <c r="T694" i="1"/>
  <c r="U693" i="1"/>
  <c r="V692" i="1"/>
  <c r="T693" i="1"/>
  <c r="U692" i="1"/>
  <c r="V691" i="1"/>
  <c r="T692" i="1"/>
  <c r="U691" i="1"/>
  <c r="V690" i="1"/>
  <c r="T691" i="1"/>
  <c r="U690" i="1"/>
  <c r="V689" i="1"/>
  <c r="T690" i="1"/>
  <c r="U689" i="1"/>
  <c r="V688" i="1"/>
  <c r="T689" i="1"/>
  <c r="U688" i="1"/>
  <c r="V687" i="1"/>
  <c r="V686" i="1"/>
  <c r="T688" i="1"/>
  <c r="U687" i="1"/>
  <c r="V685" i="1"/>
  <c r="U686" i="1"/>
  <c r="T687" i="1"/>
  <c r="V684" i="1"/>
  <c r="U685" i="1"/>
  <c r="T686" i="1"/>
  <c r="U684" i="1"/>
  <c r="T685" i="1"/>
  <c r="V683" i="1"/>
  <c r="V682" i="1"/>
  <c r="T684" i="1"/>
  <c r="U683" i="1"/>
  <c r="V681" i="1"/>
  <c r="U682" i="1"/>
  <c r="T683" i="1"/>
  <c r="V680" i="1"/>
  <c r="U681" i="1"/>
  <c r="T682" i="1"/>
  <c r="V679" i="1"/>
  <c r="U680" i="1"/>
  <c r="T681" i="1"/>
  <c r="U679" i="1"/>
  <c r="T680" i="1"/>
  <c r="V678" i="1"/>
  <c r="V677" i="1"/>
  <c r="T679" i="1"/>
  <c r="U678" i="1"/>
  <c r="U677" i="1"/>
  <c r="T678" i="1"/>
  <c r="V676" i="1"/>
  <c r="T677" i="1"/>
  <c r="U676" i="1"/>
  <c r="V675" i="1"/>
  <c r="V674" i="1"/>
  <c r="T676" i="1"/>
  <c r="U675" i="1"/>
  <c r="U674" i="1"/>
  <c r="T675" i="1"/>
  <c r="V673" i="1"/>
  <c r="T674" i="1"/>
  <c r="U673" i="1"/>
  <c r="V672" i="1"/>
  <c r="V671" i="1"/>
  <c r="T673" i="1"/>
  <c r="U672" i="1"/>
  <c r="U671" i="1"/>
  <c r="T672" i="1"/>
  <c r="V670" i="1"/>
  <c r="T671" i="1"/>
  <c r="U670" i="1"/>
  <c r="V669" i="1"/>
  <c r="V668" i="1"/>
  <c r="T670" i="1"/>
  <c r="U669" i="1"/>
  <c r="V667" i="1"/>
  <c r="U668" i="1"/>
  <c r="T669" i="1"/>
  <c r="U667" i="1"/>
  <c r="T668" i="1"/>
  <c r="V666" i="1"/>
  <c r="V665" i="1"/>
  <c r="T667" i="1"/>
  <c r="U666" i="1"/>
  <c r="U665" i="1"/>
  <c r="T666" i="1"/>
  <c r="V664" i="1"/>
  <c r="T665" i="1"/>
  <c r="U664" i="1"/>
  <c r="V663" i="1"/>
  <c r="V662" i="1"/>
  <c r="T664" i="1"/>
  <c r="U663" i="1"/>
  <c r="V661" i="1"/>
  <c r="U662" i="1"/>
  <c r="T663" i="1"/>
  <c r="U661" i="1"/>
  <c r="T662" i="1"/>
  <c r="V660" i="1"/>
  <c r="V659" i="1"/>
  <c r="T661" i="1"/>
  <c r="U660" i="1"/>
  <c r="U659" i="1"/>
  <c r="T660" i="1"/>
  <c r="V658" i="1"/>
  <c r="V657" i="1"/>
  <c r="T659" i="1"/>
  <c r="U658" i="1"/>
  <c r="U657" i="1"/>
  <c r="T658" i="1"/>
  <c r="V656" i="1"/>
  <c r="V655" i="1"/>
  <c r="T657" i="1"/>
  <c r="U656" i="1"/>
  <c r="U655" i="1"/>
  <c r="T656" i="1"/>
  <c r="V654" i="1"/>
  <c r="V653" i="1"/>
  <c r="T655" i="1"/>
  <c r="U654" i="1"/>
  <c r="U653" i="1"/>
  <c r="T654" i="1"/>
  <c r="V652" i="1"/>
  <c r="T653" i="1"/>
  <c r="U652" i="1"/>
  <c r="V651" i="1"/>
  <c r="T652" i="1"/>
  <c r="U651" i="1"/>
  <c r="V650" i="1"/>
  <c r="V649" i="1"/>
  <c r="T651" i="1"/>
  <c r="U650" i="1"/>
  <c r="U649" i="1"/>
  <c r="T650" i="1"/>
  <c r="V648" i="1"/>
  <c r="T649" i="1"/>
  <c r="U648" i="1"/>
  <c r="V647" i="1"/>
  <c r="V646" i="1"/>
  <c r="T648" i="1"/>
  <c r="U647" i="1"/>
  <c r="U646" i="1"/>
  <c r="T647" i="1"/>
  <c r="V645" i="1"/>
  <c r="T646" i="1"/>
  <c r="U645" i="1"/>
  <c r="V644" i="1"/>
  <c r="V643" i="1"/>
  <c r="T645" i="1"/>
  <c r="U644" i="1"/>
  <c r="V642" i="1"/>
  <c r="U643" i="1"/>
  <c r="T644" i="1"/>
  <c r="V641" i="1"/>
  <c r="U642" i="1"/>
  <c r="T643" i="1"/>
  <c r="U641" i="1"/>
  <c r="T642" i="1"/>
  <c r="V640" i="1"/>
  <c r="V639" i="1"/>
  <c r="T641" i="1"/>
  <c r="U640" i="1"/>
  <c r="V638" i="1"/>
  <c r="U639" i="1"/>
  <c r="T640" i="1"/>
  <c r="V637" i="1"/>
  <c r="U638" i="1"/>
  <c r="T639" i="1"/>
  <c r="U637" i="1"/>
  <c r="T638" i="1"/>
  <c r="V636" i="1"/>
  <c r="T637" i="1"/>
  <c r="U636" i="1"/>
  <c r="V635" i="1"/>
  <c r="V634" i="1"/>
  <c r="T636" i="1"/>
  <c r="U635" i="1"/>
  <c r="U634" i="1"/>
  <c r="T635" i="1"/>
  <c r="V633" i="1"/>
  <c r="T634" i="1"/>
  <c r="U633" i="1"/>
  <c r="V632" i="1"/>
  <c r="T633" i="1"/>
  <c r="U632" i="1"/>
  <c r="V631" i="1"/>
  <c r="V630" i="1"/>
  <c r="T632" i="1"/>
  <c r="U631" i="1"/>
  <c r="V629" i="1"/>
  <c r="U630" i="1"/>
  <c r="T631" i="1"/>
  <c r="V628" i="1"/>
  <c r="U629" i="1"/>
  <c r="T630" i="1"/>
  <c r="V627" i="1"/>
  <c r="U628" i="1"/>
  <c r="T629" i="1"/>
  <c r="V626" i="1"/>
  <c r="U627" i="1"/>
  <c r="T628" i="1"/>
  <c r="V625" i="1"/>
  <c r="U626" i="1"/>
  <c r="T627" i="1"/>
  <c r="U625" i="1"/>
  <c r="T626" i="1"/>
  <c r="V624" i="1"/>
  <c r="V623" i="1"/>
  <c r="T625" i="1"/>
  <c r="U624" i="1"/>
  <c r="U623" i="1"/>
  <c r="T624" i="1"/>
  <c r="V622" i="1"/>
  <c r="T623" i="1"/>
  <c r="U622" i="1"/>
  <c r="V621" i="1"/>
  <c r="V620" i="1"/>
  <c r="T622" i="1"/>
  <c r="U621" i="1"/>
  <c r="V619" i="1"/>
  <c r="U620" i="1"/>
  <c r="T621" i="1"/>
  <c r="U619" i="1"/>
  <c r="T620" i="1"/>
  <c r="V618" i="1"/>
  <c r="T619" i="1"/>
  <c r="U618" i="1"/>
  <c r="V617" i="1"/>
  <c r="T618" i="1"/>
  <c r="U617" i="1"/>
  <c r="V616" i="1"/>
  <c r="T617" i="1"/>
  <c r="U616" i="1"/>
  <c r="V615" i="1"/>
  <c r="T616" i="1"/>
  <c r="U615" i="1"/>
  <c r="V614" i="1"/>
  <c r="T615" i="1"/>
  <c r="U614" i="1"/>
  <c r="V613" i="1"/>
  <c r="T614" i="1"/>
  <c r="U613" i="1"/>
  <c r="V612" i="1"/>
  <c r="V611" i="1"/>
  <c r="T613" i="1"/>
  <c r="U612" i="1"/>
  <c r="U611" i="1"/>
  <c r="T612" i="1"/>
  <c r="V610" i="1"/>
  <c r="V609" i="1"/>
  <c r="T611" i="1"/>
  <c r="U610" i="1"/>
  <c r="V608" i="1"/>
  <c r="U609" i="1"/>
  <c r="T610" i="1"/>
  <c r="V607" i="1"/>
  <c r="U608" i="1"/>
  <c r="T609" i="1"/>
  <c r="U607" i="1"/>
  <c r="T608" i="1"/>
  <c r="V606" i="1"/>
  <c r="V605" i="1"/>
  <c r="T607" i="1"/>
  <c r="U606" i="1"/>
  <c r="V604" i="1"/>
  <c r="U605" i="1"/>
  <c r="T606" i="1"/>
  <c r="U604" i="1"/>
  <c r="T605" i="1"/>
  <c r="V603" i="1"/>
  <c r="V602" i="1"/>
  <c r="T604" i="1"/>
  <c r="U603" i="1"/>
  <c r="U602" i="1"/>
  <c r="T603" i="1"/>
  <c r="V601" i="1"/>
  <c r="V600" i="1"/>
  <c r="T602" i="1"/>
  <c r="U601" i="1"/>
  <c r="U600" i="1"/>
  <c r="T601" i="1"/>
  <c r="V599" i="1"/>
  <c r="T600" i="1"/>
  <c r="U599" i="1"/>
  <c r="V598" i="1"/>
  <c r="V597" i="1"/>
  <c r="T599" i="1"/>
  <c r="U598" i="1"/>
  <c r="V596" i="1"/>
  <c r="U597" i="1"/>
  <c r="T598" i="1"/>
  <c r="V595" i="1"/>
  <c r="U596" i="1"/>
  <c r="T597" i="1"/>
  <c r="V594" i="1"/>
  <c r="U595" i="1"/>
  <c r="T596" i="1"/>
  <c r="U594" i="1"/>
  <c r="T595" i="1"/>
  <c r="V593" i="1"/>
  <c r="V592" i="1"/>
  <c r="T594" i="1"/>
  <c r="U593" i="1"/>
  <c r="V591" i="1"/>
  <c r="U592" i="1"/>
  <c r="T593" i="1"/>
  <c r="U591" i="1"/>
  <c r="T592" i="1"/>
  <c r="V590" i="1"/>
  <c r="T591" i="1"/>
  <c r="U590" i="1"/>
  <c r="V589" i="1"/>
  <c r="V588" i="1"/>
  <c r="T590" i="1"/>
  <c r="U589" i="1"/>
  <c r="U588" i="1"/>
  <c r="T589" i="1"/>
  <c r="V587" i="1"/>
  <c r="V586" i="1"/>
  <c r="T588" i="1"/>
  <c r="U587" i="1"/>
  <c r="V585" i="1"/>
  <c r="U586" i="1"/>
  <c r="T587" i="1"/>
  <c r="U585" i="1"/>
  <c r="T586" i="1"/>
  <c r="V584" i="1"/>
  <c r="T585" i="1"/>
  <c r="U584" i="1"/>
  <c r="V583" i="1"/>
  <c r="T584" i="1"/>
  <c r="U583" i="1"/>
  <c r="V582" i="1"/>
  <c r="T583" i="1"/>
  <c r="U582" i="1"/>
  <c r="V581" i="1"/>
  <c r="V580" i="1"/>
  <c r="T582" i="1"/>
  <c r="U581" i="1"/>
  <c r="U580" i="1"/>
  <c r="T581" i="1"/>
  <c r="V579" i="1"/>
  <c r="V578" i="1"/>
  <c r="T580" i="1"/>
  <c r="U579" i="1"/>
  <c r="U578" i="1"/>
  <c r="T579" i="1"/>
  <c r="V577" i="1"/>
  <c r="V576" i="1"/>
  <c r="T578" i="1"/>
  <c r="U577" i="1"/>
  <c r="U576" i="1"/>
  <c r="T577" i="1"/>
  <c r="V575" i="1"/>
  <c r="T576" i="1"/>
  <c r="U575" i="1"/>
  <c r="V574" i="1"/>
  <c r="V573" i="1"/>
  <c r="T575" i="1"/>
  <c r="U574" i="1"/>
  <c r="V572" i="1"/>
  <c r="U573" i="1"/>
  <c r="T574" i="1"/>
  <c r="U572" i="1"/>
  <c r="T573" i="1"/>
  <c r="V571" i="1"/>
  <c r="V570" i="1"/>
  <c r="T572" i="1"/>
  <c r="U571" i="1"/>
  <c r="U570" i="1"/>
  <c r="T571" i="1"/>
  <c r="V569" i="1"/>
  <c r="V568" i="1"/>
  <c r="T570" i="1"/>
  <c r="U569" i="1"/>
  <c r="U568" i="1"/>
  <c r="T569" i="1"/>
  <c r="V567" i="1"/>
  <c r="T568" i="1"/>
  <c r="U567" i="1"/>
  <c r="V566" i="1"/>
  <c r="V565" i="1"/>
  <c r="T567" i="1"/>
  <c r="U566" i="1"/>
  <c r="U565" i="1"/>
  <c r="T566" i="1"/>
  <c r="V564" i="1"/>
  <c r="T565" i="1"/>
  <c r="U564" i="1"/>
  <c r="V563" i="1"/>
  <c r="T564" i="1"/>
  <c r="U563" i="1"/>
  <c r="V562" i="1"/>
  <c r="T563" i="1"/>
  <c r="U562" i="1"/>
  <c r="V561" i="1"/>
  <c r="T562" i="1"/>
  <c r="U561" i="1"/>
  <c r="V560" i="1"/>
  <c r="T561" i="1"/>
  <c r="U560" i="1"/>
  <c r="V559" i="1"/>
  <c r="T560" i="1"/>
  <c r="U559" i="1"/>
  <c r="V558" i="1"/>
  <c r="V557" i="1"/>
  <c r="T559" i="1"/>
  <c r="U558" i="1"/>
  <c r="V556" i="1"/>
  <c r="U557" i="1"/>
  <c r="T558" i="1"/>
  <c r="V555" i="1"/>
  <c r="U556" i="1"/>
  <c r="T557" i="1"/>
  <c r="U555" i="1"/>
  <c r="T556" i="1"/>
  <c r="V554" i="1"/>
  <c r="T555" i="1"/>
  <c r="U554" i="1"/>
  <c r="V553" i="1"/>
  <c r="T554" i="1"/>
  <c r="U553" i="1"/>
  <c r="V552" i="1"/>
  <c r="V551" i="1"/>
  <c r="T553" i="1"/>
  <c r="U552" i="1"/>
  <c r="V550" i="1"/>
  <c r="U551" i="1"/>
  <c r="T552" i="1"/>
  <c r="V549" i="1"/>
  <c r="U550" i="1"/>
  <c r="T551" i="1"/>
  <c r="V548" i="1"/>
  <c r="U549" i="1"/>
  <c r="T550" i="1"/>
  <c r="U548" i="1"/>
  <c r="T549" i="1"/>
  <c r="V547" i="1"/>
  <c r="T548" i="1"/>
  <c r="U547" i="1"/>
  <c r="V546" i="1"/>
  <c r="V545" i="1"/>
  <c r="T547" i="1"/>
  <c r="U546" i="1"/>
  <c r="U545" i="1"/>
  <c r="T546" i="1"/>
  <c r="V544" i="1"/>
  <c r="V543" i="1"/>
  <c r="T545" i="1"/>
  <c r="U544" i="1"/>
  <c r="V542" i="1"/>
  <c r="U543" i="1"/>
  <c r="T544" i="1"/>
  <c r="V541" i="1"/>
  <c r="U542" i="1"/>
  <c r="T543" i="1"/>
  <c r="V540" i="1"/>
  <c r="U541" i="1"/>
  <c r="T542" i="1"/>
  <c r="V539" i="1"/>
  <c r="U540" i="1"/>
  <c r="T541" i="1"/>
  <c r="U539" i="1"/>
  <c r="T540" i="1"/>
  <c r="V538" i="1"/>
  <c r="T539" i="1"/>
  <c r="U538" i="1"/>
  <c r="V537" i="1"/>
  <c r="V536" i="1"/>
  <c r="T538" i="1"/>
  <c r="U537" i="1"/>
  <c r="V535" i="1"/>
  <c r="U536" i="1"/>
  <c r="T537" i="1"/>
  <c r="V534" i="1"/>
  <c r="U535" i="1"/>
  <c r="T536" i="1"/>
  <c r="V533" i="1"/>
  <c r="U534" i="1"/>
  <c r="T535" i="1"/>
  <c r="U533" i="1"/>
  <c r="T534" i="1"/>
  <c r="V532" i="1"/>
  <c r="V531" i="1"/>
  <c r="T533" i="1"/>
  <c r="U532" i="1"/>
  <c r="U531" i="1"/>
  <c r="T532" i="1"/>
  <c r="V530" i="1"/>
  <c r="V529" i="1"/>
  <c r="T531" i="1"/>
  <c r="U530" i="1"/>
  <c r="U529" i="1"/>
  <c r="T530" i="1"/>
  <c r="V528" i="1"/>
  <c r="V527" i="1"/>
  <c r="T529" i="1"/>
  <c r="U528" i="1"/>
  <c r="V526" i="1"/>
  <c r="U527" i="1"/>
  <c r="T528" i="1"/>
  <c r="V525" i="1"/>
  <c r="U526" i="1"/>
  <c r="T527" i="1"/>
  <c r="V524" i="1"/>
  <c r="U525" i="1"/>
  <c r="T526" i="1"/>
  <c r="V523" i="1"/>
  <c r="U524" i="1"/>
  <c r="T525" i="1"/>
  <c r="V522" i="1"/>
  <c r="U523" i="1"/>
  <c r="T524" i="1"/>
  <c r="U522" i="1"/>
  <c r="T523" i="1"/>
  <c r="V521" i="1"/>
  <c r="T522" i="1"/>
  <c r="U521" i="1"/>
  <c r="V520" i="1"/>
  <c r="V519" i="1"/>
  <c r="T521" i="1"/>
  <c r="U520" i="1"/>
  <c r="V518" i="1"/>
  <c r="U519" i="1"/>
  <c r="T520" i="1"/>
  <c r="V517" i="1"/>
  <c r="U518" i="1"/>
  <c r="T519" i="1"/>
  <c r="V516" i="1"/>
  <c r="U517" i="1"/>
  <c r="T518" i="1"/>
  <c r="V515" i="1"/>
  <c r="U516" i="1"/>
  <c r="T517" i="1"/>
  <c r="U515" i="1"/>
  <c r="T516" i="1"/>
  <c r="V514" i="1"/>
  <c r="T515" i="1"/>
  <c r="U514" i="1"/>
  <c r="V513" i="1"/>
  <c r="T514" i="1"/>
  <c r="U513" i="1"/>
  <c r="V512" i="1"/>
  <c r="T513" i="1"/>
  <c r="U512" i="1"/>
  <c r="V511" i="1"/>
  <c r="V510" i="1"/>
  <c r="T512" i="1"/>
  <c r="U511" i="1"/>
  <c r="U510" i="1"/>
  <c r="T511" i="1"/>
  <c r="V509" i="1"/>
  <c r="T510" i="1"/>
  <c r="U509" i="1"/>
  <c r="V508" i="1"/>
  <c r="V507" i="1"/>
  <c r="T509" i="1"/>
  <c r="U508" i="1"/>
  <c r="U507" i="1"/>
  <c r="T508" i="1"/>
  <c r="V506" i="1"/>
  <c r="T507" i="1"/>
  <c r="U506" i="1"/>
  <c r="V505" i="1"/>
  <c r="V504" i="1"/>
  <c r="T506" i="1"/>
  <c r="U505" i="1"/>
  <c r="V503" i="1"/>
  <c r="U504" i="1"/>
  <c r="T505" i="1"/>
  <c r="U503" i="1"/>
  <c r="T504" i="1"/>
  <c r="V502" i="1"/>
  <c r="T503" i="1"/>
  <c r="U502" i="1"/>
  <c r="V501" i="1"/>
  <c r="V500" i="1"/>
  <c r="T502" i="1"/>
  <c r="U501" i="1"/>
  <c r="V499" i="1"/>
  <c r="U500" i="1"/>
  <c r="T501" i="1"/>
  <c r="V498" i="1"/>
  <c r="U499" i="1"/>
  <c r="T500" i="1"/>
  <c r="U498" i="1"/>
  <c r="T499" i="1"/>
  <c r="V497" i="1"/>
  <c r="V496" i="1"/>
  <c r="T498" i="1"/>
  <c r="U497" i="1"/>
  <c r="U496" i="1"/>
  <c r="T497" i="1"/>
  <c r="V495" i="1"/>
  <c r="V494" i="1"/>
  <c r="T496" i="1"/>
  <c r="U495" i="1"/>
  <c r="V493" i="1"/>
  <c r="U494" i="1"/>
  <c r="T495" i="1"/>
  <c r="V492" i="1"/>
  <c r="U493" i="1"/>
  <c r="T494" i="1"/>
  <c r="U492" i="1"/>
  <c r="T493" i="1"/>
  <c r="V491" i="1"/>
  <c r="V490" i="1"/>
  <c r="T492" i="1"/>
  <c r="U491" i="1"/>
  <c r="V489" i="1"/>
  <c r="U490" i="1"/>
  <c r="T491" i="1"/>
  <c r="U489" i="1"/>
  <c r="T490" i="1"/>
  <c r="V488" i="1"/>
  <c r="T489" i="1"/>
  <c r="U488" i="1"/>
  <c r="V487" i="1"/>
  <c r="V486" i="1"/>
  <c r="T488" i="1"/>
  <c r="U487" i="1"/>
  <c r="V485" i="1"/>
  <c r="U486" i="1"/>
  <c r="T487" i="1"/>
  <c r="U485" i="1"/>
  <c r="T486" i="1"/>
  <c r="V484" i="1"/>
  <c r="T485" i="1"/>
  <c r="U484" i="1"/>
  <c r="V483" i="1"/>
  <c r="T484" i="1"/>
  <c r="U483" i="1"/>
  <c r="V482" i="1"/>
  <c r="T483" i="1"/>
  <c r="U482" i="1"/>
  <c r="V481" i="1"/>
  <c r="V480" i="1"/>
  <c r="T482" i="1"/>
  <c r="U481" i="1"/>
  <c r="V479" i="1"/>
  <c r="U480" i="1"/>
  <c r="T481" i="1"/>
  <c r="U479" i="1"/>
  <c r="T480" i="1"/>
  <c r="V478" i="1"/>
  <c r="T479" i="1"/>
  <c r="U478" i="1"/>
  <c r="V477" i="1"/>
  <c r="T478" i="1"/>
  <c r="U477" i="1"/>
  <c r="V476" i="1"/>
  <c r="T477" i="1"/>
  <c r="U476" i="1"/>
  <c r="V475" i="1"/>
  <c r="T476" i="1"/>
  <c r="U475" i="1"/>
  <c r="V474" i="1"/>
  <c r="T475" i="1"/>
  <c r="U474" i="1"/>
  <c r="V473" i="1"/>
  <c r="T474" i="1"/>
  <c r="U473" i="1"/>
  <c r="V472" i="1"/>
  <c r="V471" i="1"/>
  <c r="T473" i="1"/>
  <c r="U472" i="1"/>
  <c r="U471" i="1"/>
  <c r="T472" i="1"/>
  <c r="V470" i="1"/>
  <c r="T471" i="1"/>
  <c r="U470" i="1"/>
  <c r="V469" i="1"/>
  <c r="V468" i="1"/>
  <c r="T470" i="1"/>
  <c r="U469" i="1"/>
  <c r="V467" i="1"/>
  <c r="U468" i="1"/>
  <c r="T469" i="1"/>
  <c r="V466" i="1"/>
  <c r="U467" i="1"/>
  <c r="T468" i="1"/>
  <c r="U466" i="1"/>
  <c r="T467" i="1"/>
  <c r="V465" i="1"/>
  <c r="V464" i="1"/>
  <c r="T466" i="1"/>
  <c r="U465" i="1"/>
  <c r="V463" i="1"/>
  <c r="U464" i="1"/>
  <c r="T465" i="1"/>
  <c r="V462" i="1"/>
  <c r="U463" i="1"/>
  <c r="T464" i="1"/>
  <c r="U462" i="1"/>
  <c r="T463" i="1"/>
  <c r="V461" i="1"/>
  <c r="V460" i="1"/>
  <c r="T462" i="1"/>
  <c r="U461" i="1"/>
  <c r="U460" i="1"/>
  <c r="T461" i="1"/>
  <c r="V459" i="1"/>
  <c r="V458" i="1"/>
  <c r="T460" i="1"/>
  <c r="U459" i="1"/>
  <c r="U458" i="1"/>
  <c r="T459" i="1"/>
  <c r="V457" i="1"/>
  <c r="V456" i="1"/>
  <c r="T458" i="1"/>
  <c r="U457" i="1"/>
  <c r="V455" i="1"/>
  <c r="U456" i="1"/>
  <c r="T457" i="1"/>
  <c r="U455" i="1"/>
  <c r="T456" i="1"/>
  <c r="V454" i="1"/>
  <c r="T455" i="1"/>
  <c r="U454" i="1"/>
  <c r="V453" i="1"/>
  <c r="T454" i="1"/>
  <c r="U453" i="1"/>
  <c r="V452" i="1"/>
  <c r="V451" i="1"/>
  <c r="T453" i="1"/>
  <c r="U452" i="1"/>
  <c r="V450" i="1"/>
  <c r="U451" i="1"/>
  <c r="T452" i="1"/>
  <c r="U450" i="1"/>
  <c r="T451" i="1"/>
  <c r="V449" i="1"/>
  <c r="V448" i="1"/>
  <c r="T450" i="1"/>
  <c r="U449" i="1"/>
  <c r="U448" i="1"/>
  <c r="T449" i="1"/>
  <c r="V447" i="1"/>
  <c r="V446" i="1"/>
  <c r="T448" i="1"/>
  <c r="U447" i="1"/>
  <c r="U446" i="1"/>
  <c r="T447" i="1"/>
  <c r="V445" i="1"/>
  <c r="V444" i="1"/>
  <c r="T446" i="1"/>
  <c r="U445" i="1"/>
  <c r="V443" i="1"/>
  <c r="U444" i="1"/>
  <c r="T445" i="1"/>
  <c r="U443" i="1"/>
  <c r="T444" i="1"/>
  <c r="V442" i="1"/>
  <c r="T443" i="1"/>
  <c r="U442" i="1"/>
  <c r="V441" i="1"/>
  <c r="T442" i="1"/>
  <c r="U441" i="1"/>
  <c r="V440" i="1"/>
  <c r="V439" i="1"/>
  <c r="T441" i="1"/>
  <c r="U440" i="1"/>
  <c r="V438" i="1"/>
  <c r="U439" i="1"/>
  <c r="T440" i="1"/>
  <c r="V437" i="1"/>
  <c r="U438" i="1"/>
  <c r="T439" i="1"/>
  <c r="V436" i="1"/>
  <c r="U437" i="1"/>
  <c r="T438" i="1"/>
  <c r="U436" i="1"/>
  <c r="T437" i="1"/>
  <c r="V435" i="1"/>
  <c r="V434" i="1"/>
  <c r="T436" i="1"/>
  <c r="U435" i="1"/>
  <c r="V433" i="1"/>
  <c r="U434" i="1"/>
  <c r="T435" i="1"/>
  <c r="V432" i="1"/>
  <c r="U433" i="1"/>
  <c r="T434" i="1"/>
  <c r="V431" i="1"/>
  <c r="U432" i="1"/>
  <c r="T433" i="1"/>
  <c r="U431" i="1"/>
  <c r="T432" i="1"/>
  <c r="V430" i="1"/>
  <c r="V429" i="1"/>
  <c r="T431" i="1"/>
  <c r="U430" i="1"/>
  <c r="V428" i="1"/>
  <c r="U429" i="1"/>
  <c r="T430" i="1"/>
  <c r="V427" i="1"/>
  <c r="U428" i="1"/>
  <c r="T429" i="1"/>
  <c r="U427" i="1"/>
  <c r="T428" i="1"/>
  <c r="V426" i="1"/>
  <c r="T427" i="1"/>
  <c r="U426" i="1"/>
  <c r="V425" i="1"/>
  <c r="V424" i="1"/>
  <c r="T426" i="1"/>
  <c r="U425" i="1"/>
  <c r="V423" i="1"/>
  <c r="U424" i="1"/>
  <c r="T425" i="1"/>
  <c r="V422" i="1"/>
  <c r="U423" i="1"/>
  <c r="T424" i="1"/>
  <c r="V421" i="1"/>
  <c r="U422" i="1"/>
  <c r="T423" i="1"/>
  <c r="V420" i="1"/>
  <c r="U421" i="1"/>
  <c r="T422" i="1"/>
  <c r="V419" i="1"/>
  <c r="U420" i="1"/>
  <c r="T421" i="1"/>
  <c r="V418" i="1"/>
  <c r="U419" i="1"/>
  <c r="T420" i="1"/>
  <c r="V417" i="1"/>
  <c r="U418" i="1"/>
  <c r="T419" i="1"/>
  <c r="U417" i="1"/>
  <c r="T418" i="1"/>
  <c r="V416" i="1"/>
  <c r="T417" i="1"/>
  <c r="U416" i="1"/>
  <c r="V415" i="1"/>
  <c r="T416" i="1"/>
  <c r="U415" i="1"/>
  <c r="V414" i="1"/>
  <c r="T415" i="1"/>
  <c r="U414" i="1"/>
  <c r="V413" i="1"/>
  <c r="T414" i="1"/>
  <c r="U413" i="1"/>
  <c r="V412" i="1"/>
  <c r="V411" i="1"/>
  <c r="T413" i="1"/>
  <c r="U412" i="1"/>
  <c r="U411" i="1"/>
  <c r="T412" i="1"/>
  <c r="V410" i="1"/>
  <c r="V409" i="1"/>
  <c r="T411" i="1"/>
  <c r="U410" i="1"/>
  <c r="U409" i="1"/>
  <c r="T410" i="1"/>
  <c r="V408" i="1"/>
  <c r="V407" i="1"/>
  <c r="T409" i="1"/>
  <c r="U408" i="1"/>
  <c r="V406" i="1"/>
  <c r="U407" i="1"/>
  <c r="T408" i="1"/>
  <c r="U406" i="1"/>
  <c r="T407" i="1"/>
  <c r="V405" i="1"/>
  <c r="V404" i="1"/>
  <c r="T406" i="1"/>
  <c r="U405" i="1"/>
  <c r="U404" i="1"/>
  <c r="T405" i="1"/>
  <c r="V403" i="1"/>
  <c r="T404" i="1"/>
  <c r="U403" i="1"/>
  <c r="V402" i="1"/>
  <c r="T403" i="1"/>
  <c r="U402" i="1"/>
  <c r="V401" i="1"/>
  <c r="V400" i="1"/>
  <c r="T402" i="1"/>
  <c r="U401" i="1"/>
  <c r="U400" i="1"/>
  <c r="T401" i="1"/>
  <c r="V399" i="1"/>
  <c r="V398" i="1"/>
  <c r="T400" i="1"/>
  <c r="U399" i="1"/>
  <c r="U398" i="1"/>
  <c r="T399" i="1"/>
  <c r="V397" i="1"/>
  <c r="V396" i="1"/>
  <c r="T398" i="1"/>
  <c r="U397" i="1"/>
  <c r="V395" i="1"/>
  <c r="U396" i="1"/>
  <c r="T397" i="1"/>
  <c r="U395" i="1"/>
  <c r="T396" i="1"/>
  <c r="V394" i="1"/>
  <c r="T395" i="1"/>
  <c r="U394" i="1"/>
  <c r="V393" i="1"/>
  <c r="V392" i="1"/>
  <c r="T394" i="1"/>
  <c r="U393" i="1"/>
  <c r="U392" i="1"/>
  <c r="T393" i="1"/>
  <c r="V391" i="1"/>
  <c r="V390" i="1"/>
  <c r="T392" i="1"/>
  <c r="U391" i="1"/>
  <c r="U390" i="1"/>
  <c r="T391" i="1"/>
  <c r="V389" i="1"/>
  <c r="T390" i="1"/>
  <c r="U389" i="1"/>
  <c r="V388" i="1"/>
  <c r="V387" i="1"/>
  <c r="T389" i="1"/>
  <c r="U388" i="1"/>
  <c r="U387" i="1"/>
  <c r="T388" i="1"/>
  <c r="V386" i="1"/>
  <c r="T387" i="1"/>
  <c r="U386" i="1"/>
  <c r="V385" i="1"/>
  <c r="T386" i="1"/>
  <c r="U385" i="1"/>
  <c r="V384" i="1"/>
  <c r="T385" i="1"/>
  <c r="U384" i="1"/>
  <c r="V383" i="1"/>
  <c r="T384" i="1"/>
  <c r="U383" i="1"/>
  <c r="V382" i="1"/>
  <c r="V381" i="1"/>
  <c r="T383" i="1"/>
  <c r="U382" i="1"/>
  <c r="U381" i="1"/>
  <c r="T382" i="1"/>
  <c r="V380" i="1"/>
  <c r="T381" i="1"/>
  <c r="U380" i="1"/>
  <c r="V379" i="1"/>
  <c r="T380" i="1"/>
  <c r="U379" i="1"/>
  <c r="V378" i="1"/>
  <c r="T379" i="1"/>
  <c r="U378" i="1"/>
  <c r="V377" i="1"/>
  <c r="V376" i="1"/>
  <c r="T378" i="1"/>
  <c r="U377" i="1"/>
  <c r="V375" i="1"/>
  <c r="U376" i="1"/>
  <c r="T377" i="1"/>
  <c r="V374" i="1"/>
  <c r="U375" i="1"/>
  <c r="T376" i="1"/>
  <c r="U374" i="1"/>
  <c r="T375" i="1"/>
  <c r="V373" i="1"/>
  <c r="T374" i="1"/>
  <c r="U373" i="1"/>
  <c r="V372" i="1"/>
  <c r="T373" i="1"/>
  <c r="U372" i="1"/>
  <c r="V371" i="1"/>
  <c r="T372" i="1"/>
  <c r="U371" i="1"/>
  <c r="V370" i="1"/>
  <c r="V369" i="1"/>
  <c r="T371" i="1"/>
  <c r="U370" i="1"/>
  <c r="V368" i="1"/>
  <c r="U369" i="1"/>
  <c r="T370" i="1"/>
  <c r="V367" i="1"/>
  <c r="U368" i="1"/>
  <c r="T369" i="1"/>
  <c r="V366" i="1"/>
  <c r="U367" i="1"/>
  <c r="T368" i="1"/>
  <c r="V365" i="1"/>
  <c r="U366" i="1"/>
  <c r="T367" i="1"/>
  <c r="U365" i="1"/>
  <c r="T366" i="1"/>
  <c r="V364" i="1"/>
  <c r="T365" i="1"/>
  <c r="U364" i="1"/>
  <c r="V363" i="1"/>
  <c r="T364" i="1"/>
  <c r="U363" i="1"/>
  <c r="V362" i="1"/>
  <c r="V361" i="1"/>
  <c r="T363" i="1"/>
  <c r="U362" i="1"/>
  <c r="V360" i="1"/>
  <c r="U361" i="1"/>
  <c r="T362" i="1"/>
  <c r="V359" i="1"/>
  <c r="U360" i="1"/>
  <c r="T361" i="1"/>
  <c r="U359" i="1"/>
  <c r="T360" i="1"/>
  <c r="V358" i="1"/>
  <c r="T359" i="1"/>
  <c r="U358" i="1"/>
  <c r="V357" i="1"/>
  <c r="T358" i="1"/>
  <c r="U357" i="1"/>
  <c r="V356" i="1"/>
  <c r="V355" i="1"/>
  <c r="T357" i="1"/>
  <c r="U356" i="1"/>
  <c r="V354" i="1"/>
  <c r="U355" i="1"/>
  <c r="T356" i="1"/>
  <c r="V353" i="1"/>
  <c r="U354" i="1"/>
  <c r="T355" i="1"/>
  <c r="V352" i="1"/>
  <c r="U353" i="1"/>
  <c r="T354" i="1"/>
  <c r="U352" i="1"/>
  <c r="T353" i="1"/>
  <c r="V351" i="1"/>
  <c r="V350" i="1"/>
  <c r="T352" i="1"/>
  <c r="U351" i="1"/>
  <c r="V349" i="1"/>
  <c r="U350" i="1"/>
  <c r="T351" i="1"/>
  <c r="V348" i="1"/>
  <c r="U349" i="1"/>
  <c r="T350" i="1"/>
  <c r="V347" i="1"/>
  <c r="U348" i="1"/>
  <c r="T349" i="1"/>
  <c r="V346" i="1"/>
  <c r="U347" i="1"/>
  <c r="T348" i="1"/>
  <c r="V345" i="1"/>
  <c r="U346" i="1"/>
  <c r="T347" i="1"/>
  <c r="V344" i="1"/>
  <c r="U345" i="1"/>
  <c r="T346" i="1"/>
  <c r="V343" i="1"/>
  <c r="U344" i="1"/>
  <c r="T345" i="1"/>
  <c r="V342" i="1"/>
  <c r="U343" i="1"/>
  <c r="T344" i="1"/>
  <c r="U342" i="1"/>
  <c r="T343" i="1"/>
  <c r="V341" i="1"/>
  <c r="T342" i="1"/>
  <c r="U341" i="1"/>
  <c r="V340" i="1"/>
  <c r="T341" i="1"/>
  <c r="U340" i="1"/>
  <c r="V339" i="1"/>
  <c r="V338" i="1"/>
  <c r="T340" i="1"/>
  <c r="U339" i="1"/>
  <c r="V337" i="1"/>
  <c r="U338" i="1"/>
  <c r="T339" i="1"/>
  <c r="V336" i="1"/>
  <c r="U337" i="1"/>
  <c r="T338" i="1"/>
  <c r="U336" i="1"/>
  <c r="T337" i="1"/>
  <c r="V335" i="1"/>
  <c r="V334" i="1"/>
  <c r="T336" i="1"/>
  <c r="U335" i="1"/>
  <c r="V333" i="1"/>
  <c r="U334" i="1"/>
  <c r="T335" i="1"/>
  <c r="U333" i="1"/>
  <c r="T334" i="1"/>
  <c r="V332" i="1"/>
  <c r="T333" i="1"/>
  <c r="U332" i="1"/>
  <c r="V331" i="1"/>
  <c r="T332" i="1"/>
  <c r="U331" i="1"/>
  <c r="V330" i="1"/>
  <c r="V329" i="1"/>
  <c r="T331" i="1"/>
  <c r="U330" i="1"/>
  <c r="V328" i="1"/>
  <c r="U329" i="1"/>
  <c r="T330" i="1"/>
  <c r="U328" i="1"/>
  <c r="T329" i="1"/>
  <c r="V327" i="1"/>
  <c r="V326" i="1"/>
  <c r="T328" i="1"/>
  <c r="U327" i="1"/>
  <c r="V325" i="1"/>
  <c r="U326" i="1"/>
  <c r="T327" i="1"/>
  <c r="V324" i="1"/>
  <c r="U325" i="1"/>
  <c r="T326" i="1"/>
  <c r="U324" i="1"/>
  <c r="T325" i="1"/>
  <c r="V323" i="1"/>
  <c r="T324" i="1"/>
  <c r="U323" i="1"/>
  <c r="V322" i="1"/>
  <c r="V321" i="1"/>
  <c r="T323" i="1"/>
  <c r="U322" i="1"/>
  <c r="V320" i="1"/>
  <c r="U321" i="1"/>
  <c r="T322" i="1"/>
  <c r="V319" i="1"/>
  <c r="U320" i="1"/>
  <c r="T321" i="1"/>
  <c r="V318" i="1"/>
  <c r="U319" i="1"/>
  <c r="T320" i="1"/>
  <c r="U318" i="1"/>
  <c r="T319" i="1"/>
  <c r="V317" i="1"/>
  <c r="V316" i="1"/>
  <c r="T318" i="1"/>
  <c r="U317" i="1"/>
  <c r="V315" i="1"/>
  <c r="U316" i="1"/>
  <c r="T317" i="1"/>
  <c r="V314" i="1"/>
  <c r="U315" i="1"/>
  <c r="T316" i="1"/>
  <c r="U314" i="1"/>
  <c r="T315" i="1"/>
  <c r="V313" i="1"/>
  <c r="V312" i="1"/>
  <c r="T314" i="1"/>
  <c r="U313" i="1"/>
  <c r="V311" i="1"/>
  <c r="U312" i="1"/>
  <c r="T313" i="1"/>
  <c r="U311" i="1"/>
  <c r="T312" i="1"/>
  <c r="V310" i="1"/>
  <c r="V309" i="1"/>
  <c r="T311" i="1"/>
  <c r="U310" i="1"/>
  <c r="V308" i="1"/>
  <c r="U309" i="1"/>
  <c r="T310" i="1"/>
  <c r="U308" i="1"/>
  <c r="T309" i="1"/>
  <c r="V307" i="1"/>
  <c r="V306" i="1"/>
  <c r="T308" i="1"/>
  <c r="U307" i="1"/>
  <c r="U306" i="1"/>
  <c r="T307" i="1"/>
  <c r="V305" i="1"/>
  <c r="V304" i="1"/>
  <c r="T306" i="1"/>
  <c r="U305" i="1"/>
  <c r="U304" i="1"/>
  <c r="T305" i="1"/>
  <c r="V303" i="1"/>
  <c r="V302" i="1"/>
  <c r="T304" i="1"/>
  <c r="U303" i="1"/>
  <c r="V301" i="1"/>
  <c r="U302" i="1"/>
  <c r="T303" i="1"/>
  <c r="V300" i="1"/>
  <c r="U301" i="1"/>
  <c r="T302" i="1"/>
  <c r="U300" i="1"/>
  <c r="T301" i="1"/>
  <c r="V299" i="1"/>
  <c r="V298" i="1"/>
  <c r="T300" i="1"/>
  <c r="U299" i="1"/>
  <c r="V297" i="1"/>
  <c r="U298" i="1"/>
  <c r="T299" i="1"/>
  <c r="U297" i="1"/>
  <c r="T298" i="1"/>
  <c r="V296" i="1"/>
  <c r="T297" i="1"/>
  <c r="U296" i="1"/>
  <c r="V295" i="1"/>
  <c r="V294" i="1"/>
  <c r="T296" i="1"/>
  <c r="U295" i="1"/>
  <c r="V293" i="1"/>
  <c r="U294" i="1"/>
  <c r="T295" i="1"/>
  <c r="U293" i="1"/>
  <c r="T294" i="1"/>
  <c r="V292" i="1"/>
  <c r="T293" i="1"/>
  <c r="U292" i="1"/>
  <c r="V291" i="1"/>
  <c r="V290" i="1"/>
  <c r="T292" i="1"/>
  <c r="U291" i="1"/>
  <c r="V289" i="1"/>
  <c r="U290" i="1"/>
  <c r="T291" i="1"/>
  <c r="V288" i="1"/>
  <c r="U289" i="1"/>
  <c r="T290" i="1"/>
  <c r="U288" i="1"/>
  <c r="T289" i="1"/>
  <c r="V287" i="1"/>
  <c r="T288" i="1"/>
  <c r="U287" i="1"/>
  <c r="V286" i="1"/>
  <c r="T287" i="1"/>
  <c r="U286" i="1"/>
  <c r="V285" i="1"/>
  <c r="V284" i="1"/>
  <c r="T286" i="1"/>
  <c r="U285" i="1"/>
  <c r="V283" i="1"/>
  <c r="U284" i="1"/>
  <c r="T285" i="1"/>
  <c r="U283" i="1"/>
  <c r="T284" i="1"/>
  <c r="V282" i="1"/>
  <c r="V281" i="1"/>
  <c r="T283" i="1"/>
  <c r="U282" i="1"/>
  <c r="V280" i="1"/>
  <c r="U281" i="1"/>
  <c r="T282" i="1"/>
  <c r="V279" i="1"/>
  <c r="U280" i="1"/>
  <c r="T281" i="1"/>
  <c r="U279" i="1"/>
  <c r="T280" i="1"/>
  <c r="V278" i="1"/>
  <c r="V277" i="1"/>
  <c r="T279" i="1"/>
  <c r="U278" i="1"/>
  <c r="U277" i="1"/>
  <c r="T278" i="1"/>
  <c r="V276" i="1"/>
  <c r="T277" i="1"/>
  <c r="U276" i="1"/>
  <c r="V275" i="1"/>
  <c r="T276" i="1"/>
  <c r="U275" i="1"/>
  <c r="V274" i="1"/>
  <c r="V273" i="1"/>
  <c r="T275" i="1"/>
  <c r="U274" i="1"/>
  <c r="V272" i="1"/>
  <c r="U273" i="1"/>
  <c r="T274" i="1"/>
  <c r="U272" i="1"/>
  <c r="T273" i="1"/>
  <c r="V271" i="1"/>
  <c r="V270" i="1"/>
  <c r="T272" i="1"/>
  <c r="U271" i="1"/>
  <c r="V269" i="1"/>
  <c r="U270" i="1"/>
  <c r="T271" i="1"/>
  <c r="V268" i="1"/>
  <c r="U269" i="1"/>
  <c r="T270" i="1"/>
  <c r="V267" i="1"/>
  <c r="U268" i="1"/>
  <c r="T269" i="1"/>
  <c r="U267" i="1"/>
  <c r="T268" i="1"/>
  <c r="V266" i="1"/>
  <c r="V265" i="1"/>
  <c r="T267" i="1"/>
  <c r="U266" i="1"/>
  <c r="U265" i="1"/>
  <c r="T266" i="1"/>
  <c r="V264" i="1"/>
  <c r="V263" i="1"/>
  <c r="T265" i="1"/>
  <c r="U264" i="1"/>
  <c r="U263" i="1"/>
  <c r="T264" i="1"/>
  <c r="V262" i="1"/>
  <c r="T263" i="1"/>
  <c r="U262" i="1"/>
  <c r="V261" i="1"/>
  <c r="T262" i="1"/>
  <c r="U261" i="1"/>
  <c r="V260" i="1"/>
  <c r="T261" i="1"/>
  <c r="U260" i="1"/>
  <c r="V259" i="1"/>
  <c r="T260" i="1"/>
  <c r="U259" i="1"/>
  <c r="V258" i="1"/>
  <c r="V257" i="1"/>
  <c r="T259" i="1"/>
  <c r="U258" i="1"/>
  <c r="U257" i="1"/>
  <c r="T258" i="1"/>
  <c r="V256" i="1"/>
  <c r="T257" i="1"/>
  <c r="U256" i="1"/>
  <c r="V255" i="1"/>
  <c r="V254" i="1"/>
  <c r="T256" i="1"/>
  <c r="U255" i="1"/>
  <c r="V253" i="1"/>
  <c r="U254" i="1"/>
  <c r="T255" i="1"/>
  <c r="V252" i="1"/>
  <c r="U253" i="1"/>
  <c r="T254" i="1"/>
  <c r="V251" i="1"/>
  <c r="U252" i="1"/>
  <c r="T253" i="1"/>
  <c r="U251" i="1"/>
  <c r="T252" i="1"/>
  <c r="V250" i="1"/>
  <c r="T251" i="1"/>
  <c r="U250" i="1"/>
  <c r="V249" i="1"/>
  <c r="V248" i="1"/>
  <c r="T250" i="1"/>
  <c r="U249" i="1"/>
  <c r="V247" i="1"/>
  <c r="U248" i="1"/>
  <c r="T249" i="1"/>
  <c r="V246" i="1"/>
  <c r="U247" i="1"/>
  <c r="T248" i="1"/>
  <c r="U246" i="1"/>
  <c r="T247" i="1"/>
  <c r="V245" i="1"/>
  <c r="V244" i="1"/>
  <c r="T246" i="1"/>
  <c r="U245" i="1"/>
  <c r="U244" i="1"/>
  <c r="T245" i="1"/>
  <c r="V243" i="1"/>
  <c r="V242" i="1"/>
  <c r="T244" i="1"/>
  <c r="U243" i="1"/>
  <c r="V241" i="1"/>
  <c r="U242" i="1"/>
  <c r="T243" i="1"/>
  <c r="U241" i="1"/>
  <c r="T242" i="1"/>
  <c r="V240" i="1"/>
  <c r="V239" i="1"/>
  <c r="T241" i="1"/>
  <c r="U240" i="1"/>
  <c r="U239" i="1"/>
  <c r="T240" i="1"/>
  <c r="V238" i="1"/>
  <c r="V237" i="1"/>
  <c r="T239" i="1"/>
  <c r="U238" i="1"/>
  <c r="U237" i="1"/>
  <c r="T238" i="1"/>
  <c r="V236" i="1"/>
  <c r="T237" i="1"/>
  <c r="U236" i="1"/>
  <c r="V235" i="1"/>
  <c r="T236" i="1"/>
  <c r="U235" i="1"/>
  <c r="V234" i="1"/>
  <c r="T235" i="1"/>
  <c r="U234" i="1"/>
  <c r="V233" i="1"/>
  <c r="V232" i="1"/>
  <c r="T234" i="1"/>
  <c r="U233" i="1"/>
  <c r="V231" i="1"/>
  <c r="U232" i="1"/>
  <c r="T233" i="1"/>
  <c r="U231" i="1"/>
  <c r="T232" i="1"/>
  <c r="V230" i="1"/>
  <c r="V229" i="1"/>
  <c r="T231" i="1"/>
  <c r="U230" i="1"/>
  <c r="U229" i="1"/>
  <c r="T230" i="1"/>
  <c r="V228" i="1"/>
  <c r="V227" i="1"/>
  <c r="T229" i="1"/>
  <c r="U228" i="1"/>
  <c r="V226" i="1"/>
  <c r="U227" i="1"/>
  <c r="T228" i="1"/>
  <c r="U226" i="1"/>
  <c r="T227" i="1"/>
  <c r="V225" i="1"/>
  <c r="T226" i="1"/>
  <c r="U225" i="1"/>
  <c r="V224" i="1"/>
  <c r="V223" i="1"/>
  <c r="T225" i="1"/>
  <c r="U224" i="1"/>
  <c r="V222" i="1"/>
  <c r="U223" i="1"/>
  <c r="T224" i="1"/>
  <c r="U222" i="1"/>
  <c r="T223" i="1"/>
  <c r="V221" i="1"/>
  <c r="V220" i="1"/>
  <c r="T222" i="1"/>
  <c r="U221" i="1"/>
  <c r="V219" i="1"/>
  <c r="U220" i="1"/>
  <c r="T221" i="1"/>
  <c r="V218" i="1"/>
  <c r="U219" i="1"/>
  <c r="T220" i="1"/>
  <c r="V217" i="1"/>
  <c r="U218" i="1"/>
  <c r="T219" i="1"/>
  <c r="U217" i="1"/>
  <c r="T218" i="1"/>
  <c r="V216" i="1"/>
  <c r="V215" i="1"/>
  <c r="T217" i="1"/>
  <c r="U216" i="1"/>
  <c r="U215" i="1"/>
  <c r="T216" i="1"/>
  <c r="V214" i="1"/>
  <c r="T215" i="1"/>
  <c r="U214" i="1"/>
  <c r="V213" i="1"/>
  <c r="V212" i="1"/>
  <c r="T214" i="1"/>
  <c r="U213" i="1"/>
  <c r="V211" i="1"/>
  <c r="U212" i="1"/>
  <c r="T213" i="1"/>
  <c r="V210" i="1"/>
  <c r="U211" i="1"/>
  <c r="T212" i="1"/>
  <c r="V209" i="1"/>
  <c r="U210" i="1"/>
  <c r="T211" i="1"/>
  <c r="V208" i="1"/>
  <c r="U209" i="1"/>
  <c r="T210" i="1"/>
  <c r="V207" i="1"/>
  <c r="U208" i="1"/>
  <c r="T209" i="1"/>
  <c r="U207" i="1"/>
  <c r="T208" i="1"/>
  <c r="V206" i="1"/>
  <c r="V205" i="1"/>
  <c r="T207" i="1"/>
  <c r="U206" i="1"/>
  <c r="V204" i="1"/>
  <c r="U205" i="1"/>
  <c r="T206" i="1"/>
  <c r="U204" i="1"/>
  <c r="T205" i="1"/>
  <c r="V203" i="1"/>
  <c r="V202" i="1"/>
  <c r="T204" i="1"/>
  <c r="U203" i="1"/>
  <c r="U202" i="1"/>
  <c r="T203" i="1"/>
  <c r="V201" i="1"/>
  <c r="V200" i="1"/>
  <c r="T202" i="1"/>
  <c r="U201" i="1"/>
  <c r="V199" i="1"/>
  <c r="U200" i="1"/>
  <c r="T201" i="1"/>
  <c r="V198" i="1"/>
  <c r="U199" i="1"/>
  <c r="T200" i="1"/>
  <c r="V197" i="1"/>
  <c r="U198" i="1"/>
  <c r="T199" i="1"/>
  <c r="U197" i="1"/>
  <c r="T198" i="1"/>
  <c r="V196" i="1"/>
  <c r="V195" i="1"/>
  <c r="T197" i="1"/>
  <c r="U196" i="1"/>
  <c r="V194" i="1"/>
  <c r="U195" i="1"/>
  <c r="T196" i="1"/>
  <c r="V193" i="1"/>
  <c r="U194" i="1"/>
  <c r="T195" i="1"/>
  <c r="U193" i="1"/>
  <c r="T194" i="1"/>
  <c r="V192" i="1"/>
  <c r="V191" i="1"/>
  <c r="T193" i="1"/>
  <c r="U192" i="1"/>
  <c r="U191" i="1"/>
  <c r="T192" i="1"/>
  <c r="V190" i="1"/>
  <c r="V189" i="1"/>
  <c r="T191" i="1"/>
  <c r="U190" i="1"/>
  <c r="U189" i="1"/>
  <c r="T190" i="1"/>
  <c r="V188" i="1"/>
  <c r="V187" i="1"/>
  <c r="T189" i="1"/>
  <c r="U188" i="1"/>
  <c r="V186" i="1"/>
  <c r="U187" i="1"/>
  <c r="T188" i="1"/>
  <c r="V185" i="1"/>
  <c r="U186" i="1"/>
  <c r="T187" i="1"/>
  <c r="V184" i="1"/>
  <c r="U185" i="1"/>
  <c r="T186" i="1"/>
  <c r="U184" i="1"/>
  <c r="T185" i="1"/>
  <c r="V183" i="1"/>
  <c r="T184" i="1"/>
  <c r="U183" i="1"/>
  <c r="V182" i="1"/>
  <c r="T183" i="1"/>
  <c r="U182" i="1"/>
  <c r="V181" i="1"/>
  <c r="T182" i="1"/>
  <c r="U181" i="1"/>
  <c r="V180" i="1"/>
  <c r="T181" i="1"/>
  <c r="U180" i="1"/>
  <c r="V179" i="1"/>
  <c r="T180" i="1"/>
  <c r="U179" i="1"/>
  <c r="V178" i="1"/>
  <c r="V177" i="1"/>
  <c r="T179" i="1"/>
  <c r="U178" i="1"/>
  <c r="V176" i="1"/>
  <c r="U177" i="1"/>
  <c r="T178" i="1"/>
  <c r="U176" i="1"/>
  <c r="T177" i="1"/>
  <c r="V175" i="1"/>
  <c r="T176" i="1"/>
  <c r="U175" i="1"/>
  <c r="V174" i="1"/>
  <c r="V173" i="1"/>
  <c r="T175" i="1"/>
  <c r="U174" i="1"/>
  <c r="V172" i="1"/>
  <c r="U173" i="1"/>
  <c r="T174" i="1"/>
  <c r="U172" i="1"/>
  <c r="T173" i="1"/>
  <c r="V171" i="1"/>
  <c r="V170" i="1"/>
  <c r="T172" i="1"/>
  <c r="U171" i="1"/>
  <c r="U170" i="1"/>
  <c r="T171" i="1"/>
  <c r="V169" i="1"/>
  <c r="T170" i="1"/>
  <c r="U169" i="1"/>
  <c r="V168" i="1"/>
  <c r="V167" i="1"/>
  <c r="T169" i="1"/>
  <c r="U168" i="1"/>
  <c r="U167" i="1"/>
  <c r="T168" i="1"/>
  <c r="V166" i="1"/>
  <c r="T167" i="1"/>
  <c r="U166" i="1"/>
  <c r="V165" i="1"/>
  <c r="V164" i="1"/>
  <c r="T166" i="1"/>
  <c r="U165" i="1"/>
  <c r="U164" i="1"/>
  <c r="T165" i="1"/>
  <c r="V163" i="1"/>
  <c r="T164" i="1"/>
  <c r="U163" i="1"/>
  <c r="V162" i="1"/>
  <c r="T163" i="1"/>
  <c r="U162" i="1"/>
  <c r="V161" i="1"/>
  <c r="T162" i="1"/>
  <c r="U161" i="1"/>
  <c r="V160" i="1"/>
  <c r="T161" i="1"/>
  <c r="U160" i="1"/>
  <c r="V159" i="1"/>
  <c r="T160" i="1"/>
  <c r="U159" i="1"/>
  <c r="V158" i="1"/>
  <c r="T159" i="1"/>
  <c r="U158" i="1"/>
  <c r="V157" i="1"/>
  <c r="T158" i="1"/>
  <c r="U157" i="1"/>
  <c r="V156" i="1"/>
  <c r="T157" i="1"/>
  <c r="U156" i="1"/>
  <c r="V155" i="1"/>
  <c r="V154" i="1"/>
  <c r="T156" i="1"/>
  <c r="U155" i="1"/>
  <c r="V153" i="1"/>
  <c r="U154" i="1"/>
  <c r="T155" i="1"/>
  <c r="V152" i="1"/>
  <c r="U153" i="1"/>
  <c r="T154" i="1"/>
  <c r="U152" i="1"/>
  <c r="T153" i="1"/>
  <c r="V151" i="1"/>
  <c r="V150" i="1"/>
  <c r="T152" i="1"/>
  <c r="U151" i="1"/>
  <c r="V149" i="1"/>
  <c r="U150" i="1"/>
  <c r="T151" i="1"/>
  <c r="V148" i="1"/>
  <c r="U149" i="1"/>
  <c r="T150" i="1"/>
  <c r="V147" i="1"/>
  <c r="U148" i="1"/>
  <c r="T149" i="1"/>
  <c r="V146" i="1"/>
  <c r="U147" i="1"/>
  <c r="T148" i="1"/>
  <c r="V145" i="1"/>
  <c r="U146" i="1"/>
  <c r="T147" i="1"/>
  <c r="U145" i="1"/>
  <c r="T146" i="1"/>
  <c r="V144" i="1"/>
  <c r="V143" i="1"/>
  <c r="T145" i="1"/>
  <c r="U144" i="1"/>
  <c r="V142" i="1"/>
  <c r="U143" i="1"/>
  <c r="T144" i="1"/>
  <c r="V141" i="1"/>
  <c r="U142" i="1"/>
  <c r="T143" i="1"/>
  <c r="V140" i="1"/>
  <c r="U141" i="1"/>
  <c r="T142" i="1"/>
  <c r="V139" i="1"/>
  <c r="U140" i="1"/>
  <c r="T141" i="1"/>
  <c r="U139" i="1"/>
  <c r="T140" i="1"/>
  <c r="V138" i="1"/>
  <c r="T139" i="1"/>
  <c r="U138" i="1"/>
  <c r="V137" i="1"/>
  <c r="T138" i="1"/>
  <c r="U137" i="1"/>
  <c r="V136" i="1"/>
  <c r="T137" i="1"/>
  <c r="U136" i="1"/>
  <c r="V135" i="1"/>
  <c r="V134" i="1"/>
  <c r="T136" i="1"/>
  <c r="U135" i="1"/>
  <c r="U134" i="1"/>
  <c r="T135" i="1"/>
  <c r="V133" i="1"/>
  <c r="V132" i="1"/>
  <c r="T134" i="1"/>
  <c r="U133" i="1"/>
  <c r="V131" i="1"/>
  <c r="U132" i="1"/>
  <c r="T133" i="1"/>
  <c r="U131" i="1"/>
  <c r="T132" i="1"/>
  <c r="V130" i="1"/>
  <c r="V129" i="1"/>
  <c r="T131" i="1"/>
  <c r="U130" i="1"/>
  <c r="U129" i="1"/>
  <c r="T130" i="1"/>
  <c r="V128" i="1"/>
  <c r="T129" i="1"/>
  <c r="U128" i="1"/>
  <c r="V127" i="1"/>
  <c r="T128" i="1"/>
  <c r="U127" i="1"/>
  <c r="V126" i="1"/>
  <c r="T127" i="1"/>
  <c r="U126" i="1"/>
  <c r="V125" i="1"/>
  <c r="V124" i="1"/>
  <c r="T126" i="1"/>
  <c r="U125" i="1"/>
  <c r="U124" i="1"/>
  <c r="T125" i="1"/>
  <c r="V123" i="1"/>
  <c r="T124" i="1"/>
  <c r="U123" i="1"/>
  <c r="V122" i="1"/>
  <c r="V121" i="1"/>
  <c r="T123" i="1"/>
  <c r="U122" i="1"/>
  <c r="U121" i="1"/>
  <c r="T122" i="1"/>
  <c r="V120" i="1"/>
  <c r="T121" i="1"/>
  <c r="U120" i="1"/>
  <c r="V119" i="1"/>
  <c r="V118" i="1"/>
  <c r="T120" i="1"/>
  <c r="U119" i="1"/>
  <c r="V117" i="1"/>
  <c r="U118" i="1"/>
  <c r="T119" i="1"/>
  <c r="V116" i="1"/>
  <c r="U117" i="1"/>
  <c r="T118" i="1"/>
  <c r="V115" i="1"/>
  <c r="U116" i="1"/>
  <c r="T117" i="1"/>
  <c r="U115" i="1"/>
  <c r="T116" i="1"/>
  <c r="V114" i="1"/>
  <c r="T115" i="1"/>
  <c r="U114" i="1"/>
  <c r="V113" i="1"/>
  <c r="T114" i="1"/>
  <c r="U113" i="1"/>
  <c r="V112" i="1"/>
  <c r="V111" i="1"/>
  <c r="T113" i="1"/>
  <c r="U112" i="1"/>
  <c r="V110" i="1"/>
  <c r="U111" i="1"/>
  <c r="T112" i="1"/>
  <c r="U110" i="1"/>
  <c r="T111" i="1"/>
  <c r="V109" i="1"/>
  <c r="T110" i="1"/>
  <c r="U109" i="1"/>
  <c r="V108" i="1"/>
  <c r="V107" i="1"/>
  <c r="T109" i="1"/>
  <c r="U108" i="1"/>
  <c r="U107" i="1"/>
  <c r="T108" i="1"/>
  <c r="V106" i="1"/>
  <c r="T107" i="1"/>
  <c r="U106" i="1"/>
  <c r="V105" i="1"/>
  <c r="V104" i="1"/>
  <c r="T106" i="1"/>
  <c r="U105" i="1"/>
  <c r="U104" i="1"/>
  <c r="T105" i="1"/>
  <c r="V103" i="1"/>
  <c r="V102" i="1"/>
  <c r="T104" i="1"/>
  <c r="U103" i="1"/>
  <c r="U102" i="1"/>
  <c r="T103" i="1"/>
  <c r="V101" i="1"/>
  <c r="V100" i="1"/>
  <c r="T102" i="1"/>
  <c r="U101" i="1"/>
  <c r="V99" i="1"/>
  <c r="U100" i="1"/>
  <c r="T101" i="1"/>
  <c r="V98" i="1"/>
  <c r="U99" i="1"/>
  <c r="T100" i="1"/>
  <c r="V97" i="1"/>
  <c r="U98" i="1"/>
  <c r="T99" i="1"/>
  <c r="V96" i="1"/>
  <c r="U97" i="1"/>
  <c r="T98" i="1"/>
  <c r="U96" i="1"/>
  <c r="T97" i="1"/>
  <c r="V95" i="1"/>
  <c r="V94" i="1"/>
  <c r="T96" i="1"/>
  <c r="U95" i="1"/>
  <c r="V93" i="1"/>
  <c r="U94" i="1"/>
  <c r="T95" i="1"/>
  <c r="V92" i="1"/>
  <c r="U93" i="1"/>
  <c r="T94" i="1"/>
  <c r="U92" i="1"/>
  <c r="T93" i="1"/>
  <c r="V91" i="1"/>
  <c r="V90" i="1"/>
  <c r="T92" i="1"/>
  <c r="U91" i="1"/>
  <c r="U90" i="1"/>
  <c r="T91" i="1"/>
  <c r="V89" i="1"/>
  <c r="V88" i="1"/>
  <c r="T90" i="1"/>
  <c r="U89" i="1"/>
  <c r="U88" i="1"/>
  <c r="T89" i="1"/>
  <c r="V87" i="1"/>
  <c r="V86" i="1"/>
  <c r="T88" i="1"/>
  <c r="U87" i="1"/>
  <c r="V85" i="1"/>
  <c r="U86" i="1"/>
  <c r="T87" i="1"/>
  <c r="V84" i="1"/>
  <c r="U85" i="1"/>
  <c r="T86" i="1"/>
  <c r="U84" i="1"/>
  <c r="T85" i="1"/>
  <c r="V83" i="1"/>
  <c r="T84" i="1"/>
  <c r="U83" i="1"/>
  <c r="V82" i="1"/>
  <c r="T83" i="1"/>
  <c r="U82" i="1"/>
  <c r="V81" i="1"/>
  <c r="T82" i="1"/>
  <c r="U81" i="1"/>
  <c r="V80" i="1"/>
  <c r="V79" i="1"/>
  <c r="T81" i="1"/>
  <c r="U80" i="1"/>
  <c r="V78" i="1"/>
  <c r="U79" i="1"/>
  <c r="T80" i="1"/>
  <c r="V77" i="1"/>
  <c r="U78" i="1"/>
  <c r="T79" i="1"/>
  <c r="U77" i="1"/>
  <c r="T78" i="1"/>
  <c r="V76" i="1"/>
  <c r="V75" i="1"/>
  <c r="T77" i="1"/>
  <c r="U76" i="1"/>
  <c r="U75" i="1"/>
  <c r="T76" i="1"/>
  <c r="V74" i="1"/>
  <c r="T75" i="1"/>
  <c r="U74" i="1"/>
  <c r="V73" i="1"/>
  <c r="T74" i="1"/>
  <c r="U73" i="1"/>
  <c r="V72" i="1"/>
  <c r="V71" i="1"/>
  <c r="T73" i="1"/>
  <c r="U72" i="1"/>
  <c r="U71" i="1"/>
  <c r="T72" i="1"/>
  <c r="V70" i="1"/>
  <c r="T71" i="1"/>
  <c r="U70" i="1"/>
  <c r="V69" i="1"/>
  <c r="V68" i="1"/>
  <c r="T70" i="1"/>
  <c r="U69" i="1"/>
  <c r="U68" i="1"/>
  <c r="T69" i="1"/>
  <c r="V67" i="1"/>
  <c r="T68" i="1"/>
  <c r="U67" i="1"/>
  <c r="V66" i="1"/>
  <c r="V65" i="1"/>
  <c r="T67" i="1"/>
  <c r="U66" i="1"/>
  <c r="U65" i="1"/>
  <c r="T66" i="1"/>
  <c r="V64" i="1"/>
  <c r="T65" i="1"/>
  <c r="U64" i="1"/>
  <c r="V63" i="1"/>
  <c r="V62" i="1"/>
  <c r="T64" i="1"/>
  <c r="U63" i="1"/>
  <c r="U62" i="1"/>
  <c r="T63" i="1"/>
  <c r="V61" i="1"/>
  <c r="T62" i="1"/>
  <c r="U61" i="1"/>
  <c r="V60" i="1"/>
  <c r="T61" i="1"/>
  <c r="U60" i="1"/>
  <c r="V59" i="1"/>
  <c r="V58" i="1"/>
  <c r="T60" i="1"/>
  <c r="U59" i="1"/>
  <c r="U58" i="1"/>
  <c r="T59" i="1"/>
  <c r="V57" i="1"/>
  <c r="V56" i="1"/>
  <c r="T58" i="1"/>
  <c r="U57" i="1"/>
  <c r="U56" i="1"/>
  <c r="T57" i="1"/>
  <c r="V55" i="1"/>
  <c r="T56" i="1"/>
  <c r="U55" i="1"/>
  <c r="V54" i="1"/>
  <c r="T55" i="1"/>
  <c r="U54" i="1"/>
  <c r="V53" i="1"/>
  <c r="V52" i="1"/>
  <c r="T54" i="1"/>
  <c r="U53" i="1"/>
  <c r="V51" i="1"/>
  <c r="U52" i="1"/>
  <c r="T53" i="1"/>
  <c r="V50" i="1"/>
  <c r="U51" i="1"/>
  <c r="T52" i="1"/>
  <c r="V49" i="1"/>
  <c r="U50" i="1"/>
  <c r="T51" i="1"/>
  <c r="U49" i="1"/>
  <c r="T50" i="1"/>
  <c r="V48" i="1"/>
  <c r="T49" i="1"/>
  <c r="U48" i="1"/>
  <c r="V47" i="1"/>
  <c r="V46" i="1"/>
  <c r="T48" i="1"/>
  <c r="U47" i="1"/>
  <c r="V45" i="1"/>
  <c r="U46" i="1"/>
  <c r="T47" i="1"/>
  <c r="V44" i="1"/>
  <c r="U45" i="1"/>
  <c r="T46" i="1"/>
  <c r="U44" i="1"/>
  <c r="T45" i="1"/>
  <c r="V43" i="1"/>
  <c r="V42" i="1"/>
  <c r="T44" i="1"/>
  <c r="U43" i="1"/>
  <c r="U42" i="1"/>
  <c r="T43" i="1"/>
  <c r="V41" i="1"/>
  <c r="T42" i="1"/>
  <c r="U41" i="1"/>
  <c r="V40" i="1"/>
  <c r="V39" i="1"/>
  <c r="T41" i="1"/>
  <c r="U40" i="1"/>
  <c r="U39" i="1"/>
  <c r="T40" i="1"/>
  <c r="V38" i="1"/>
  <c r="V37" i="1"/>
  <c r="T39" i="1"/>
  <c r="U38" i="1"/>
  <c r="V36" i="1"/>
  <c r="U37" i="1"/>
  <c r="T38" i="1"/>
  <c r="U36" i="1"/>
  <c r="T37" i="1"/>
  <c r="V35" i="1"/>
  <c r="T36" i="1"/>
  <c r="U35" i="1"/>
  <c r="V34" i="1"/>
  <c r="T35" i="1"/>
  <c r="U34" i="1"/>
  <c r="V33" i="1"/>
  <c r="T34" i="1"/>
  <c r="U33" i="1"/>
  <c r="V32" i="1"/>
  <c r="V31" i="1"/>
  <c r="T33" i="1"/>
  <c r="U32" i="1"/>
  <c r="V30" i="1"/>
  <c r="U31" i="1"/>
  <c r="T32" i="1"/>
  <c r="V29" i="1"/>
  <c r="U30" i="1"/>
  <c r="T31" i="1"/>
  <c r="V28" i="1"/>
  <c r="U29" i="1"/>
  <c r="T30" i="1"/>
  <c r="V27" i="1"/>
  <c r="U28" i="1"/>
  <c r="T29" i="1"/>
  <c r="U27" i="1"/>
  <c r="T28" i="1"/>
  <c r="V26" i="1"/>
  <c r="T27" i="1"/>
  <c r="U26" i="1"/>
  <c r="V25" i="1"/>
  <c r="V24" i="1"/>
  <c r="T26" i="1"/>
  <c r="U25" i="1"/>
  <c r="V23" i="1"/>
  <c r="U24" i="1"/>
  <c r="T25" i="1"/>
  <c r="U23" i="1"/>
  <c r="T24" i="1"/>
  <c r="V22" i="1"/>
  <c r="T23" i="1"/>
  <c r="U22" i="1"/>
  <c r="V21" i="1"/>
  <c r="T22" i="1"/>
  <c r="U21" i="1"/>
  <c r="V20" i="1"/>
  <c r="V19" i="1"/>
  <c r="T21" i="1"/>
  <c r="U20" i="1"/>
  <c r="U19" i="1"/>
  <c r="T20" i="1"/>
  <c r="V18" i="1"/>
  <c r="T19" i="1"/>
  <c r="U18" i="1"/>
  <c r="V17" i="1"/>
  <c r="T18" i="1"/>
  <c r="U17" i="1"/>
  <c r="V16" i="1"/>
  <c r="T17" i="1"/>
  <c r="U16" i="1"/>
  <c r="V15" i="1"/>
  <c r="T16" i="1"/>
  <c r="U15" i="1"/>
  <c r="V14" i="1"/>
  <c r="T15" i="1"/>
  <c r="U14" i="1"/>
  <c r="V13" i="1"/>
  <c r="V12" i="1"/>
  <c r="T14" i="1"/>
  <c r="U13" i="1"/>
  <c r="V11" i="1"/>
  <c r="U12" i="1"/>
  <c r="T13" i="1"/>
  <c r="U11" i="1"/>
  <c r="T12" i="1"/>
  <c r="V10" i="1"/>
  <c r="T11" i="1"/>
  <c r="U10" i="1"/>
  <c r="V9" i="1"/>
  <c r="V8" i="1"/>
  <c r="T10" i="1"/>
  <c r="U9" i="1"/>
  <c r="W40" i="5"/>
  <c r="U8" i="1"/>
  <c r="T9" i="1"/>
  <c r="V6" i="1"/>
  <c r="V40" i="5"/>
  <c r="V7" i="1"/>
  <c r="T8" i="1"/>
  <c r="U40" i="5"/>
  <c r="U7" i="1"/>
  <c r="U6" i="1"/>
  <c r="T7" i="1"/>
  <c r="W39" i="5"/>
  <c r="T6" i="1"/>
  <c r="V5" i="1"/>
  <c r="V39" i="5"/>
  <c r="U39" i="5"/>
  <c r="U5" i="1"/>
  <c r="T5" i="1"/>
  <c r="V3" i="1"/>
  <c r="W38" i="5"/>
  <c r="V38" i="5"/>
  <c r="U38" i="5"/>
  <c r="W36" i="5"/>
  <c r="V36" i="5"/>
  <c r="W30" i="5"/>
  <c r="W22" i="5"/>
  <c r="W6" i="5"/>
  <c r="W33" i="5"/>
  <c r="W29" i="5"/>
  <c r="W14" i="5"/>
  <c r="W15" i="5"/>
  <c r="W27" i="5"/>
  <c r="W11" i="5"/>
  <c r="V37" i="5"/>
  <c r="W19" i="5"/>
  <c r="W12" i="5"/>
  <c r="W32" i="5"/>
  <c r="W8" i="5"/>
  <c r="U36" i="5"/>
  <c r="V34" i="5"/>
  <c r="V30" i="5"/>
  <c r="V24" i="5"/>
  <c r="V22" i="5"/>
  <c r="W4" i="5"/>
  <c r="V32" i="5"/>
  <c r="V26" i="5"/>
  <c r="V8" i="5"/>
  <c r="V15" i="5"/>
  <c r="V23" i="5"/>
  <c r="V19" i="5"/>
  <c r="U3" i="1"/>
  <c r="V12" i="5"/>
  <c r="V6" i="5"/>
  <c r="V9" i="5"/>
  <c r="V3" i="5"/>
  <c r="V33" i="5"/>
  <c r="V14" i="5"/>
  <c r="V25" i="5"/>
  <c r="W7" i="5"/>
  <c r="W17" i="5"/>
  <c r="W31" i="5"/>
  <c r="W37" i="5"/>
  <c r="U37" i="5"/>
  <c r="W16" i="5"/>
  <c r="W25" i="5"/>
  <c r="W13" i="5"/>
  <c r="W23" i="5"/>
  <c r="W26" i="5"/>
  <c r="W28" i="5"/>
  <c r="W24" i="5"/>
  <c r="V4" i="1"/>
  <c r="W34" i="5"/>
  <c r="W9" i="5"/>
  <c r="W21" i="5"/>
  <c r="W35" i="5"/>
  <c r="U18" i="5"/>
  <c r="V4" i="5"/>
  <c r="U24" i="5"/>
  <c r="V17" i="5"/>
  <c r="V5" i="5"/>
  <c r="V27" i="5"/>
  <c r="U22" i="5"/>
  <c r="W10" i="5"/>
  <c r="V29" i="5"/>
  <c r="U20" i="5"/>
  <c r="U8" i="5"/>
  <c r="W18" i="5"/>
  <c r="V7" i="5"/>
  <c r="U4" i="1"/>
  <c r="U34" i="5"/>
  <c r="U32" i="5"/>
  <c r="U30" i="5"/>
  <c r="V18" i="5"/>
  <c r="U15" i="5"/>
  <c r="U10" i="5"/>
  <c r="U7" i="5"/>
  <c r="W3" i="5"/>
  <c r="U23" i="5"/>
  <c r="U19" i="5"/>
  <c r="U14" i="5"/>
  <c r="U35" i="5"/>
  <c r="V28" i="5"/>
  <c r="V13" i="5"/>
  <c r="V31" i="5"/>
  <c r="U12" i="5"/>
  <c r="U28" i="5"/>
  <c r="W20" i="5"/>
  <c r="U9" i="5"/>
  <c r="U4" i="5"/>
  <c r="U33" i="5"/>
  <c r="U29" i="5"/>
  <c r="U17" i="5"/>
  <c r="U13" i="5"/>
  <c r="T4" i="1"/>
  <c r="U6" i="5"/>
  <c r="U3" i="5"/>
  <c r="U27" i="5"/>
  <c r="U26" i="5"/>
  <c r="V21" i="5"/>
  <c r="V20" i="5"/>
  <c r="V16" i="5"/>
  <c r="V11" i="5"/>
  <c r="V10" i="5"/>
  <c r="T3" i="1"/>
  <c r="W5" i="5"/>
  <c r="V35" i="5"/>
  <c r="U31" i="5"/>
  <c r="U25" i="5"/>
  <c r="U16" i="5"/>
  <c r="U21" i="5"/>
  <c r="U11" i="5"/>
  <c r="U5" i="5"/>
  <c r="X35" i="5" l="1"/>
  <c r="Y35" i="5" s="1"/>
  <c r="AA35" i="5" s="1"/>
  <c r="X10" i="5"/>
  <c r="Y10" i="5" s="1"/>
  <c r="AA10" i="5" s="1"/>
  <c r="X11" i="5"/>
  <c r="Y11" i="5" s="1"/>
  <c r="AA11" i="5" s="1"/>
  <c r="X16" i="5"/>
  <c r="Y16" i="5" s="1"/>
  <c r="AA16" i="5" s="1"/>
  <c r="X20" i="5"/>
  <c r="Y20" i="5" s="1"/>
  <c r="AA20" i="5" s="1"/>
  <c r="X21" i="5"/>
  <c r="Y21" i="5" s="1"/>
  <c r="AA21" i="5" s="1"/>
  <c r="X31" i="5"/>
  <c r="Y31" i="5" s="1"/>
  <c r="AA31" i="5" s="1"/>
  <c r="X13" i="5"/>
  <c r="Y13" i="5" s="1"/>
  <c r="AA13" i="5" s="1"/>
  <c r="X28" i="5"/>
  <c r="Y28" i="5" s="1"/>
  <c r="AA28" i="5" s="1"/>
  <c r="X18" i="5"/>
  <c r="Y18" i="5" s="1"/>
  <c r="AA18" i="5" s="1"/>
  <c r="W4" i="1"/>
  <c r="X4" i="1" s="1"/>
  <c r="X7" i="5"/>
  <c r="Y7" i="5" s="1"/>
  <c r="AA7" i="5" s="1"/>
  <c r="X29" i="5"/>
  <c r="Y29" i="5" s="1"/>
  <c r="AA29" i="5" s="1"/>
  <c r="X27" i="5"/>
  <c r="Y27" i="5" s="1"/>
  <c r="AA27" i="5" s="1"/>
  <c r="X5" i="5"/>
  <c r="Y5" i="5" s="1"/>
  <c r="AA5" i="5" s="1"/>
  <c r="X17" i="5"/>
  <c r="Y17" i="5" s="1"/>
  <c r="AA17" i="5" s="1"/>
  <c r="X4" i="5"/>
  <c r="Y4" i="5" s="1"/>
  <c r="AA4" i="5" s="1"/>
  <c r="X25" i="5"/>
  <c r="Y25" i="5" s="1"/>
  <c r="AA25" i="5" s="1"/>
  <c r="X14" i="5"/>
  <c r="Y14" i="5" s="1"/>
  <c r="AA14" i="5" s="1"/>
  <c r="X33" i="5"/>
  <c r="Y33" i="5" s="1"/>
  <c r="AA33" i="5" s="1"/>
  <c r="X3" i="5"/>
  <c r="Y3" i="5" s="1"/>
  <c r="AA3" i="5" s="1"/>
  <c r="X9" i="5"/>
  <c r="Y9" i="5" s="1"/>
  <c r="AA9" i="5" s="1"/>
  <c r="X6" i="5"/>
  <c r="Y6" i="5" s="1"/>
  <c r="AA6" i="5" s="1"/>
  <c r="X12" i="5"/>
  <c r="Y12" i="5" s="1"/>
  <c r="AA12" i="5" s="1"/>
  <c r="W3" i="1"/>
  <c r="Y3" i="1" s="1"/>
  <c r="X19" i="5"/>
  <c r="Y19" i="5" s="1"/>
  <c r="AA19" i="5" s="1"/>
  <c r="X23" i="5"/>
  <c r="Y23" i="5" s="1"/>
  <c r="AA23" i="5" s="1"/>
  <c r="X15" i="5"/>
  <c r="Y15" i="5" s="1"/>
  <c r="AA15" i="5" s="1"/>
  <c r="X8" i="5"/>
  <c r="Y8" i="5" s="1"/>
  <c r="AA8" i="5" s="1"/>
  <c r="X26" i="5"/>
  <c r="Y26" i="5" s="1"/>
  <c r="AA26" i="5" s="1"/>
  <c r="X32" i="5"/>
  <c r="Y32" i="5" s="1"/>
  <c r="AA32" i="5" s="1"/>
  <c r="X22" i="5"/>
  <c r="Y22" i="5" s="1"/>
  <c r="AA22" i="5" s="1"/>
  <c r="X24" i="5"/>
  <c r="Y24" i="5" s="1"/>
  <c r="AA24" i="5" s="1"/>
  <c r="X30" i="5"/>
  <c r="Y30" i="5" s="1"/>
  <c r="AA30" i="5" s="1"/>
  <c r="X34" i="5"/>
  <c r="Y34" i="5" s="1"/>
  <c r="AA34" i="5" s="1"/>
  <c r="X37" i="5"/>
  <c r="Y37" i="5" s="1"/>
  <c r="AA37" i="5" s="1"/>
  <c r="X36" i="5"/>
  <c r="Y36" i="5" s="1"/>
  <c r="AA36" i="5" s="1"/>
  <c r="X38" i="5"/>
  <c r="Y38" i="5" s="1"/>
  <c r="AA38" i="5" s="1"/>
  <c r="W5" i="1"/>
  <c r="Y5" i="1" s="1"/>
  <c r="X39" i="5"/>
  <c r="Y39" i="5" s="1"/>
  <c r="AA39" i="5" s="1"/>
  <c r="W6" i="1"/>
  <c r="Y6" i="1" s="1"/>
  <c r="W7" i="1"/>
  <c r="X40" i="5"/>
  <c r="Y40" i="5" s="1"/>
  <c r="AA40" i="5" s="1"/>
  <c r="W8" i="1"/>
  <c r="X8" i="1" s="1"/>
  <c r="W9" i="1"/>
  <c r="Y9" i="1" s="1"/>
  <c r="W10" i="1"/>
  <c r="Y10" i="1" s="1"/>
  <c r="W11" i="1"/>
  <c r="W12" i="1"/>
  <c r="Y12" i="1" s="1"/>
  <c r="W13" i="1"/>
  <c r="Y13" i="1" s="1"/>
  <c r="W14" i="1"/>
  <c r="X14" i="1" s="1"/>
  <c r="W15" i="1"/>
  <c r="Y15" i="1" s="1"/>
  <c r="W16" i="1"/>
  <c r="W17" i="1"/>
  <c r="X17" i="1" s="1"/>
  <c r="W18" i="1"/>
  <c r="Y18" i="1" s="1"/>
  <c r="W19" i="1"/>
  <c r="Y19" i="1" s="1"/>
  <c r="W20" i="1"/>
  <c r="Y20" i="1" s="1"/>
  <c r="W21" i="1"/>
  <c r="W22" i="1"/>
  <c r="Y22" i="1" s="1"/>
  <c r="W23" i="1"/>
  <c r="X23" i="1" s="1"/>
  <c r="W24" i="1"/>
  <c r="X24" i="1" s="1"/>
  <c r="W25" i="1"/>
  <c r="Y25" i="1" s="1"/>
  <c r="W26" i="1"/>
  <c r="Y26" i="1" s="1"/>
  <c r="W27" i="1"/>
  <c r="Y27" i="1" s="1"/>
  <c r="W28" i="1"/>
  <c r="X28" i="1" s="1"/>
  <c r="W29" i="1"/>
  <c r="Y29" i="1" s="1"/>
  <c r="W30" i="1"/>
  <c r="Y30" i="1" s="1"/>
  <c r="W31" i="1"/>
  <c r="Y31" i="1" s="1"/>
  <c r="W32" i="1"/>
  <c r="Y32" i="1" s="1"/>
  <c r="W33" i="1"/>
  <c r="Y33" i="1" s="1"/>
  <c r="W34" i="1"/>
  <c r="Y34" i="1" s="1"/>
  <c r="W35" i="1"/>
  <c r="Y35" i="1" s="1"/>
  <c r="W36" i="1"/>
  <c r="Y36" i="1" s="1"/>
  <c r="W37" i="1"/>
  <c r="W38" i="1"/>
  <c r="Y38" i="1" s="1"/>
  <c r="W39" i="1"/>
  <c r="X39" i="1" s="1"/>
  <c r="W40" i="1"/>
  <c r="Y40" i="1" s="1"/>
  <c r="W41" i="1"/>
  <c r="Y41" i="1" s="1"/>
  <c r="W42" i="1"/>
  <c r="Y42" i="1" s="1"/>
  <c r="W43" i="1"/>
  <c r="Y43" i="1" s="1"/>
  <c r="W44" i="1"/>
  <c r="Y44" i="1" s="1"/>
  <c r="W45" i="1"/>
  <c r="Y45" i="1" s="1"/>
  <c r="W46" i="1"/>
  <c r="Y46" i="1" s="1"/>
  <c r="W47" i="1"/>
  <c r="W48" i="1"/>
  <c r="Y48" i="1" s="1"/>
  <c r="W49" i="1"/>
  <c r="X49" i="1" s="1"/>
  <c r="W50" i="1"/>
  <c r="X50" i="1" s="1"/>
  <c r="W51" i="1"/>
  <c r="Y51" i="1" s="1"/>
  <c r="W52" i="1"/>
  <c r="Y52" i="1" s="1"/>
  <c r="W53" i="1"/>
  <c r="Y53" i="1" s="1"/>
  <c r="W54" i="1"/>
  <c r="Y54" i="1" s="1"/>
  <c r="W55" i="1"/>
  <c r="Y55" i="1" s="1"/>
  <c r="W56" i="1"/>
  <c r="Y56" i="1" s="1"/>
  <c r="W57" i="1"/>
  <c r="W58" i="1"/>
  <c r="X58" i="1" s="1"/>
  <c r="W59" i="1"/>
  <c r="Y59" i="1" s="1"/>
  <c r="W60" i="1"/>
  <c r="Y60" i="1" s="1"/>
  <c r="W61" i="1"/>
  <c r="Y61" i="1" s="1"/>
  <c r="W62" i="1"/>
  <c r="Y62" i="1" s="1"/>
  <c r="W63" i="1"/>
  <c r="X63" i="1" s="1"/>
  <c r="W64" i="1"/>
  <c r="Y64" i="1" s="1"/>
  <c r="W65" i="1"/>
  <c r="Y65" i="1" s="1"/>
  <c r="W66" i="1"/>
  <c r="Y66" i="1" s="1"/>
  <c r="W67" i="1"/>
  <c r="W68" i="1"/>
  <c r="X68" i="1" s="1"/>
  <c r="W69" i="1"/>
  <c r="W70" i="1"/>
  <c r="Y70" i="1" s="1"/>
  <c r="W71" i="1"/>
  <c r="Y71" i="1" s="1"/>
  <c r="W72" i="1"/>
  <c r="Y72" i="1" s="1"/>
  <c r="W73" i="1"/>
  <c r="Y73" i="1" s="1"/>
  <c r="W74" i="1"/>
  <c r="Y74" i="1" s="1"/>
  <c r="W75" i="1"/>
  <c r="X75" i="1" s="1"/>
  <c r="W76" i="1"/>
  <c r="X76" i="1" s="1"/>
  <c r="W77" i="1"/>
  <c r="W78" i="1"/>
  <c r="X78" i="1" s="1"/>
  <c r="W79" i="1"/>
  <c r="X79" i="1" s="1"/>
  <c r="W80" i="1"/>
  <c r="X80" i="1" s="1"/>
  <c r="W81" i="1"/>
  <c r="Y81" i="1" s="1"/>
  <c r="W82" i="1"/>
  <c r="Y82" i="1" s="1"/>
  <c r="W83" i="1"/>
  <c r="X83" i="1" s="1"/>
  <c r="W84" i="1"/>
  <c r="Y84" i="1" s="1"/>
  <c r="W85" i="1"/>
  <c r="X85" i="1" s="1"/>
  <c r="W86" i="1"/>
  <c r="X86" i="1" s="1"/>
  <c r="W87" i="1"/>
  <c r="W88" i="1"/>
  <c r="X88" i="1" s="1"/>
  <c r="W89" i="1"/>
  <c r="W90" i="1"/>
  <c r="X90" i="1" s="1"/>
  <c r="W91" i="1"/>
  <c r="X91" i="1" s="1"/>
  <c r="W92" i="1"/>
  <c r="W93" i="1"/>
  <c r="X93" i="1" s="1"/>
  <c r="W94" i="1"/>
  <c r="Y94" i="1" s="1"/>
  <c r="W95" i="1"/>
  <c r="X95" i="1" s="1"/>
  <c r="W96" i="1"/>
  <c r="Y96" i="1" s="1"/>
  <c r="W97" i="1"/>
  <c r="W98" i="1"/>
  <c r="Y98" i="1" s="1"/>
  <c r="W99" i="1"/>
  <c r="Y99" i="1" s="1"/>
  <c r="W100" i="1"/>
  <c r="Y100" i="1" s="1"/>
  <c r="W101" i="1"/>
  <c r="Y101" i="1" s="1"/>
  <c r="W102" i="1"/>
  <c r="Y102" i="1" s="1"/>
  <c r="W103" i="1"/>
  <c r="Y103" i="1" s="1"/>
  <c r="W104" i="1"/>
  <c r="Y104" i="1" s="1"/>
  <c r="W105" i="1"/>
  <c r="X105" i="1" s="1"/>
  <c r="W106" i="1"/>
  <c r="Y106" i="1" s="1"/>
  <c r="W107" i="1"/>
  <c r="W108" i="1"/>
  <c r="Y108" i="1" s="1"/>
  <c r="W109" i="1"/>
  <c r="Y109" i="1" s="1"/>
  <c r="W110" i="1"/>
  <c r="W111" i="1"/>
  <c r="W112" i="1"/>
  <c r="Y112" i="1" s="1"/>
  <c r="W113" i="1"/>
  <c r="Y113" i="1" s="1"/>
  <c r="W114" i="1"/>
  <c r="Y114" i="1" s="1"/>
  <c r="W115" i="1"/>
  <c r="Y115" i="1" s="1"/>
  <c r="W116" i="1"/>
  <c r="X116" i="1" s="1"/>
  <c r="W117" i="1"/>
  <c r="Y117" i="1" s="1"/>
  <c r="W118" i="1"/>
  <c r="Y118" i="1" s="1"/>
  <c r="W119" i="1"/>
  <c r="X119" i="1" s="1"/>
  <c r="W120" i="1"/>
  <c r="W121" i="1"/>
  <c r="Y121" i="1" s="1"/>
  <c r="W122" i="1"/>
  <c r="X122" i="1" s="1"/>
  <c r="W123" i="1"/>
  <c r="Y123" i="1" s="1"/>
  <c r="W124" i="1"/>
  <c r="X124" i="1" s="1"/>
  <c r="W125" i="1"/>
  <c r="W126" i="1"/>
  <c r="X126" i="1" s="1"/>
  <c r="W127" i="1"/>
  <c r="Y127" i="1" s="1"/>
  <c r="W128" i="1"/>
  <c r="X128" i="1" s="1"/>
  <c r="W129" i="1"/>
  <c r="W130" i="1"/>
  <c r="W131" i="1"/>
  <c r="Y131" i="1" s="1"/>
  <c r="W132" i="1"/>
  <c r="X132" i="1" s="1"/>
  <c r="W133" i="1"/>
  <c r="Y133" i="1" s="1"/>
  <c r="W134" i="1"/>
  <c r="Y134" i="1" s="1"/>
  <c r="W135" i="1"/>
  <c r="Y135" i="1" s="1"/>
  <c r="W136" i="1"/>
  <c r="X136" i="1" s="1"/>
  <c r="W137" i="1"/>
  <c r="Y137" i="1" s="1"/>
  <c r="W138" i="1"/>
  <c r="W139" i="1"/>
  <c r="X139" i="1" s="1"/>
  <c r="W140" i="1"/>
  <c r="X140" i="1" s="1"/>
  <c r="W141" i="1"/>
  <c r="X141" i="1" s="1"/>
  <c r="W142" i="1"/>
  <c r="Y142" i="1" s="1"/>
  <c r="W143" i="1"/>
  <c r="W144" i="1"/>
  <c r="Y144" i="1" s="1"/>
  <c r="W145" i="1"/>
  <c r="Y145" i="1" s="1"/>
  <c r="W146" i="1"/>
  <c r="Y146" i="1" s="1"/>
  <c r="W147" i="1"/>
  <c r="Y147" i="1" s="1"/>
  <c r="W148" i="1"/>
  <c r="Y148" i="1" s="1"/>
  <c r="W149" i="1"/>
  <c r="Y149" i="1" s="1"/>
  <c r="W150" i="1"/>
  <c r="W151" i="1"/>
  <c r="Y151" i="1" s="1"/>
  <c r="W152" i="1"/>
  <c r="W153" i="1"/>
  <c r="Y153" i="1" s="1"/>
  <c r="W154" i="1"/>
  <c r="Y154" i="1" s="1"/>
  <c r="W155" i="1"/>
  <c r="Y155" i="1" s="1"/>
  <c r="W156" i="1"/>
  <c r="W157" i="1"/>
  <c r="Y157" i="1" s="1"/>
  <c r="W158" i="1"/>
  <c r="Y158" i="1" s="1"/>
  <c r="W159" i="1"/>
  <c r="X159" i="1" s="1"/>
  <c r="W160" i="1"/>
  <c r="W161" i="1"/>
  <c r="Y161" i="1" s="1"/>
  <c r="W162" i="1"/>
  <c r="Y162" i="1" s="1"/>
  <c r="W163" i="1"/>
  <c r="Y163" i="1" s="1"/>
  <c r="W164" i="1"/>
  <c r="X164" i="1" s="1"/>
  <c r="W165" i="1"/>
  <c r="X165" i="1" s="1"/>
  <c r="W166" i="1"/>
  <c r="W167" i="1"/>
  <c r="Y167" i="1" s="1"/>
  <c r="W168" i="1"/>
  <c r="Y168" i="1" s="1"/>
  <c r="W169" i="1"/>
  <c r="Y169" i="1" s="1"/>
  <c r="W170" i="1"/>
  <c r="Y170" i="1" s="1"/>
  <c r="W171" i="1"/>
  <c r="W172" i="1"/>
  <c r="Y172" i="1" s="1"/>
  <c r="W173" i="1"/>
  <c r="Y173" i="1" s="1"/>
  <c r="W174" i="1"/>
  <c r="Y174" i="1" s="1"/>
  <c r="W175" i="1"/>
  <c r="W176" i="1"/>
  <c r="Y176" i="1" s="1"/>
  <c r="W177" i="1"/>
  <c r="Y177" i="1" s="1"/>
  <c r="W178" i="1"/>
  <c r="X178" i="1" s="1"/>
  <c r="W179" i="1"/>
  <c r="Y179" i="1" s="1"/>
  <c r="W180" i="1"/>
  <c r="Y180" i="1" s="1"/>
  <c r="W181" i="1"/>
  <c r="Y181" i="1" s="1"/>
  <c r="W182" i="1"/>
  <c r="W183" i="1"/>
  <c r="Y183" i="1" s="1"/>
  <c r="W184" i="1"/>
  <c r="Y184" i="1" s="1"/>
  <c r="W185" i="1"/>
  <c r="W186" i="1"/>
  <c r="Y186" i="1" s="1"/>
  <c r="W187" i="1"/>
  <c r="Y187" i="1" s="1"/>
  <c r="W188" i="1"/>
  <c r="Y188" i="1" s="1"/>
  <c r="W189" i="1"/>
  <c r="W190" i="1"/>
  <c r="Y190" i="1" s="1"/>
  <c r="W191" i="1"/>
  <c r="X191" i="1" s="1"/>
  <c r="W192" i="1"/>
  <c r="X192" i="1" s="1"/>
  <c r="W193" i="1"/>
  <c r="X193" i="1" s="1"/>
  <c r="W194" i="1"/>
  <c r="X194" i="1" s="1"/>
  <c r="W195" i="1"/>
  <c r="W196" i="1"/>
  <c r="W197" i="1"/>
  <c r="Y197" i="1" s="1"/>
  <c r="W198" i="1"/>
  <c r="Y198" i="1" s="1"/>
  <c r="W199" i="1"/>
  <c r="X199" i="1" s="1"/>
  <c r="W200" i="1"/>
  <c r="W201" i="1"/>
  <c r="W202" i="1"/>
  <c r="X202" i="1" s="1"/>
  <c r="W203" i="1"/>
  <c r="W204" i="1"/>
  <c r="Y204" i="1" s="1"/>
  <c r="W205" i="1"/>
  <c r="X205" i="1" s="1"/>
  <c r="W206" i="1"/>
  <c r="W207" i="1"/>
  <c r="Y207" i="1" s="1"/>
  <c r="W208" i="1"/>
  <c r="Y208" i="1" s="1"/>
  <c r="W209" i="1"/>
  <c r="Y209" i="1" s="1"/>
  <c r="W210" i="1"/>
  <c r="Y210" i="1" s="1"/>
  <c r="W211" i="1"/>
  <c r="W212" i="1"/>
  <c r="Y212" i="1" s="1"/>
  <c r="W213" i="1"/>
  <c r="X213" i="1" s="1"/>
  <c r="W214" i="1"/>
  <c r="X214" i="1" s="1"/>
  <c r="W215" i="1"/>
  <c r="X215" i="1" s="1"/>
  <c r="W216" i="1"/>
  <c r="W217" i="1"/>
  <c r="W218" i="1"/>
  <c r="Y218" i="1" s="1"/>
  <c r="W219" i="1"/>
  <c r="Y219" i="1" s="1"/>
  <c r="W220" i="1"/>
  <c r="X220" i="1" s="1"/>
  <c r="W221" i="1"/>
  <c r="Y221" i="1" s="1"/>
  <c r="W222" i="1"/>
  <c r="X222" i="1" s="1"/>
  <c r="W223" i="1"/>
  <c r="W224" i="1"/>
  <c r="Y224" i="1" s="1"/>
  <c r="W225" i="1"/>
  <c r="X225" i="1" s="1"/>
  <c r="W226" i="1"/>
  <c r="Y226" i="1" s="1"/>
  <c r="W227" i="1"/>
  <c r="X227" i="1" s="1"/>
  <c r="W228" i="1"/>
  <c r="Y228" i="1" s="1"/>
  <c r="W229" i="1"/>
  <c r="Y229" i="1" s="1"/>
  <c r="W230" i="1"/>
  <c r="Y230" i="1" s="1"/>
  <c r="W231" i="1"/>
  <c r="W232" i="1"/>
  <c r="Y232" i="1" s="1"/>
  <c r="W233" i="1"/>
  <c r="X233" i="1" s="1"/>
  <c r="W234" i="1"/>
  <c r="Y234" i="1" s="1"/>
  <c r="W235" i="1"/>
  <c r="Y235" i="1" s="1"/>
  <c r="W236" i="1"/>
  <c r="X236" i="1" s="1"/>
  <c r="W237" i="1"/>
  <c r="W238" i="1"/>
  <c r="X238" i="1" s="1"/>
  <c r="W239" i="1"/>
  <c r="X239" i="1" s="1"/>
  <c r="W240" i="1"/>
  <c r="X240" i="1" s="1"/>
  <c r="W241" i="1"/>
  <c r="W242" i="1"/>
  <c r="Y242" i="1" s="1"/>
  <c r="W243" i="1"/>
  <c r="X243" i="1" s="1"/>
  <c r="W244" i="1"/>
  <c r="Y244" i="1" s="1"/>
  <c r="W245" i="1"/>
  <c r="Y245" i="1" s="1"/>
  <c r="W246" i="1"/>
  <c r="Y246" i="1" s="1"/>
  <c r="W247" i="1"/>
  <c r="W248" i="1"/>
  <c r="Y248" i="1" s="1"/>
  <c r="W249" i="1"/>
  <c r="Y249" i="1" s="1"/>
  <c r="W250" i="1"/>
  <c r="Y250" i="1" s="1"/>
  <c r="W251" i="1"/>
  <c r="Y251" i="1" s="1"/>
  <c r="W252" i="1"/>
  <c r="Y252" i="1" s="1"/>
  <c r="W253" i="1"/>
  <c r="W254" i="1"/>
  <c r="X254" i="1" s="1"/>
  <c r="W255" i="1"/>
  <c r="Y255" i="1" s="1"/>
  <c r="W256" i="1"/>
  <c r="X256" i="1" s="1"/>
  <c r="W257" i="1"/>
  <c r="X257" i="1" s="1"/>
  <c r="W258" i="1"/>
  <c r="X258" i="1" s="1"/>
  <c r="W259" i="1"/>
  <c r="Y259" i="1" s="1"/>
  <c r="W260" i="1"/>
  <c r="Y260" i="1" s="1"/>
  <c r="W261" i="1"/>
  <c r="Y261" i="1" s="1"/>
  <c r="W262" i="1"/>
  <c r="X262" i="1" s="1"/>
  <c r="W263" i="1"/>
  <c r="X263" i="1" s="1"/>
  <c r="W264" i="1"/>
  <c r="Y264" i="1" s="1"/>
  <c r="W265" i="1"/>
  <c r="X265" i="1" s="1"/>
  <c r="W266" i="1"/>
  <c r="Y266" i="1" s="1"/>
  <c r="W267" i="1"/>
  <c r="X267" i="1" s="1"/>
  <c r="W268" i="1"/>
  <c r="Y268" i="1" s="1"/>
  <c r="W269" i="1"/>
  <c r="W270" i="1"/>
  <c r="Y270" i="1" s="1"/>
  <c r="W271" i="1"/>
  <c r="Y271" i="1" s="1"/>
  <c r="W272" i="1"/>
  <c r="W273" i="1"/>
  <c r="W274" i="1"/>
  <c r="Y274" i="1" s="1"/>
  <c r="W275" i="1"/>
  <c r="Y275" i="1" s="1"/>
  <c r="W276" i="1"/>
  <c r="X276" i="1" s="1"/>
  <c r="W277" i="1"/>
  <c r="W278" i="1"/>
  <c r="Y278" i="1" s="1"/>
  <c r="W279" i="1"/>
  <c r="Y279" i="1" s="1"/>
  <c r="W280" i="1"/>
  <c r="Y280" i="1" s="1"/>
  <c r="W281" i="1"/>
  <c r="Y281" i="1" s="1"/>
  <c r="W282" i="1"/>
  <c r="Y282" i="1" s="1"/>
  <c r="W283" i="1"/>
  <c r="Y283" i="1" s="1"/>
  <c r="W284" i="1"/>
  <c r="X284" i="1" s="1"/>
  <c r="W285" i="1"/>
  <c r="X285" i="1" s="1"/>
  <c r="W286" i="1"/>
  <c r="Y286" i="1" s="1"/>
  <c r="W287" i="1"/>
  <c r="Y287" i="1" s="1"/>
  <c r="W288" i="1"/>
  <c r="Y288" i="1" s="1"/>
  <c r="W289" i="1"/>
  <c r="X289" i="1" s="1"/>
  <c r="W290" i="1"/>
  <c r="X290" i="1" s="1"/>
  <c r="W291" i="1"/>
  <c r="X291" i="1" s="1"/>
  <c r="W292" i="1"/>
  <c r="W293" i="1"/>
  <c r="X293" i="1" s="1"/>
  <c r="W294" i="1"/>
  <c r="X294" i="1" s="1"/>
  <c r="W295" i="1"/>
  <c r="X295" i="1" s="1"/>
  <c r="W296" i="1"/>
  <c r="X296" i="1" s="1"/>
  <c r="W297" i="1"/>
  <c r="W298" i="1"/>
  <c r="W299" i="1"/>
  <c r="X299" i="1" s="1"/>
  <c r="W300" i="1"/>
  <c r="X300" i="1" s="1"/>
  <c r="W301" i="1"/>
  <c r="X301" i="1" s="1"/>
  <c r="W302" i="1"/>
  <c r="Y302" i="1" s="1"/>
  <c r="W303" i="1"/>
  <c r="W304" i="1"/>
  <c r="Y304" i="1" s="1"/>
  <c r="W305" i="1"/>
  <c r="Y305" i="1" s="1"/>
  <c r="W306" i="1"/>
  <c r="X306" i="1" s="1"/>
  <c r="W307" i="1"/>
  <c r="Y307" i="1" s="1"/>
  <c r="W308" i="1"/>
  <c r="W309" i="1"/>
  <c r="W310" i="1"/>
  <c r="Y310" i="1" s="1"/>
  <c r="W311" i="1"/>
  <c r="Y311" i="1" s="1"/>
  <c r="W312" i="1"/>
  <c r="Y312" i="1" s="1"/>
  <c r="W313" i="1"/>
  <c r="X313" i="1" s="1"/>
  <c r="W314" i="1"/>
  <c r="Y314" i="1" s="1"/>
  <c r="W315" i="1"/>
  <c r="X315" i="1" s="1"/>
  <c r="W316" i="1"/>
  <c r="X316" i="1" s="1"/>
  <c r="W317" i="1"/>
  <c r="X317" i="1" s="1"/>
  <c r="W318" i="1"/>
  <c r="Y318" i="1" s="1"/>
  <c r="W319" i="1"/>
  <c r="Y319" i="1" s="1"/>
  <c r="W320" i="1"/>
  <c r="Y320" i="1" s="1"/>
  <c r="W321" i="1"/>
  <c r="W322" i="1"/>
  <c r="W323" i="1"/>
  <c r="Y323" i="1" s="1"/>
  <c r="W324" i="1"/>
  <c r="W325" i="1"/>
  <c r="Y325" i="1" s="1"/>
  <c r="W326" i="1"/>
  <c r="X326" i="1" s="1"/>
  <c r="W327" i="1"/>
  <c r="X327" i="1" s="1"/>
  <c r="W328" i="1"/>
  <c r="Y328" i="1" s="1"/>
  <c r="W329" i="1"/>
  <c r="W330" i="1"/>
  <c r="Y330" i="1" s="1"/>
  <c r="W331" i="1"/>
  <c r="Y331" i="1" s="1"/>
  <c r="W332" i="1"/>
  <c r="Y332" i="1" s="1"/>
  <c r="W333" i="1"/>
  <c r="Y333" i="1" s="1"/>
  <c r="W334" i="1"/>
  <c r="Y334" i="1" s="1"/>
  <c r="W335" i="1"/>
  <c r="W336" i="1"/>
  <c r="X336" i="1" s="1"/>
  <c r="W337" i="1"/>
  <c r="X337" i="1" s="1"/>
  <c r="W338" i="1"/>
  <c r="Y338" i="1" s="1"/>
  <c r="W339" i="1"/>
  <c r="Y339" i="1" s="1"/>
  <c r="W340" i="1"/>
  <c r="W341" i="1"/>
  <c r="Y341" i="1" s="1"/>
  <c r="W342" i="1"/>
  <c r="Y342" i="1" s="1"/>
  <c r="W343" i="1"/>
  <c r="W344" i="1"/>
  <c r="X344" i="1" s="1"/>
  <c r="W345" i="1"/>
  <c r="Y345" i="1" s="1"/>
  <c r="W346" i="1"/>
  <c r="W347" i="1"/>
  <c r="W348" i="1"/>
  <c r="Y348" i="1" s="1"/>
  <c r="W349" i="1"/>
  <c r="X349" i="1" s="1"/>
  <c r="W350" i="1"/>
  <c r="W351" i="1"/>
  <c r="W352" i="1"/>
  <c r="X352" i="1" s="1"/>
  <c r="W353" i="1"/>
  <c r="Y353" i="1" s="1"/>
  <c r="W354" i="1"/>
  <c r="Y354" i="1" s="1"/>
  <c r="W355" i="1"/>
  <c r="Y355" i="1" s="1"/>
  <c r="W356" i="1"/>
  <c r="X356" i="1" s="1"/>
  <c r="W357" i="1"/>
  <c r="X357" i="1" s="1"/>
  <c r="W358" i="1"/>
  <c r="X358" i="1" s="1"/>
  <c r="W359" i="1"/>
  <c r="X359" i="1" s="1"/>
  <c r="W360" i="1"/>
  <c r="W361" i="1"/>
  <c r="X361" i="1" s="1"/>
  <c r="W362" i="1"/>
  <c r="Y362" i="1" s="1"/>
  <c r="W363" i="1"/>
  <c r="Y363" i="1" s="1"/>
  <c r="W364" i="1"/>
  <c r="Y364" i="1" s="1"/>
  <c r="W365" i="1"/>
  <c r="W366" i="1"/>
  <c r="Y366" i="1" s="1"/>
  <c r="W367" i="1"/>
  <c r="Y367" i="1" s="1"/>
  <c r="W368" i="1"/>
  <c r="Y368" i="1" s="1"/>
  <c r="W369" i="1"/>
  <c r="W370" i="1"/>
  <c r="W371" i="1"/>
  <c r="Y371" i="1" s="1"/>
  <c r="W372" i="1"/>
  <c r="W373" i="1"/>
  <c r="Y373" i="1" s="1"/>
  <c r="W374" i="1"/>
  <c r="Y374" i="1" s="1"/>
  <c r="W375" i="1"/>
  <c r="W376" i="1"/>
  <c r="Y376" i="1" s="1"/>
  <c r="W377" i="1"/>
  <c r="Y377" i="1" s="1"/>
  <c r="W378" i="1"/>
  <c r="Y378" i="1" s="1"/>
  <c r="W379" i="1"/>
  <c r="Y379" i="1" s="1"/>
  <c r="W380" i="1"/>
  <c r="X380" i="1" s="1"/>
  <c r="W381" i="1"/>
  <c r="Y381" i="1" s="1"/>
  <c r="W382" i="1"/>
  <c r="Y382" i="1" s="1"/>
  <c r="W383" i="1"/>
  <c r="W384" i="1"/>
  <c r="Y384" i="1" s="1"/>
  <c r="W385" i="1"/>
  <c r="X385" i="1" s="1"/>
  <c r="W386" i="1"/>
  <c r="X386" i="1" s="1"/>
  <c r="W387" i="1"/>
  <c r="Y387" i="1" s="1"/>
  <c r="W388" i="1"/>
  <c r="Y388" i="1" s="1"/>
  <c r="W389" i="1"/>
  <c r="X389" i="1" s="1"/>
  <c r="W390" i="1"/>
  <c r="Y390" i="1" s="1"/>
  <c r="W391" i="1"/>
  <c r="X391" i="1" s="1"/>
  <c r="W392" i="1"/>
  <c r="X392" i="1" s="1"/>
  <c r="W393" i="1"/>
  <c r="W394" i="1"/>
  <c r="X394" i="1" s="1"/>
  <c r="W395" i="1"/>
  <c r="Y395" i="1" s="1"/>
  <c r="W396" i="1"/>
  <c r="Y396" i="1" s="1"/>
  <c r="W397" i="1"/>
  <c r="Y397" i="1" s="1"/>
  <c r="W398" i="1"/>
  <c r="Y398" i="1" s="1"/>
  <c r="W399" i="1"/>
  <c r="X399" i="1" s="1"/>
  <c r="W400" i="1"/>
  <c r="X400" i="1" s="1"/>
  <c r="W401" i="1"/>
  <c r="Y401" i="1" s="1"/>
  <c r="W402" i="1"/>
  <c r="W403" i="1"/>
  <c r="W404" i="1"/>
  <c r="X404" i="1" s="1"/>
  <c r="W405" i="1"/>
  <c r="Y405" i="1" s="1"/>
  <c r="W406" i="1"/>
  <c r="Y406" i="1" s="1"/>
  <c r="W407" i="1"/>
  <c r="W408" i="1"/>
  <c r="W409" i="1"/>
  <c r="Y409" i="1" s="1"/>
  <c r="W410" i="1"/>
  <c r="Y410" i="1" s="1"/>
  <c r="W411" i="1"/>
  <c r="X411" i="1" s="1"/>
  <c r="W412" i="1"/>
  <c r="Y412" i="1" s="1"/>
  <c r="W413" i="1"/>
  <c r="X413" i="1" s="1"/>
  <c r="W414" i="1"/>
  <c r="Y414" i="1" s="1"/>
  <c r="W415" i="1"/>
  <c r="W416" i="1"/>
  <c r="Y416" i="1" s="1"/>
  <c r="W417" i="1"/>
  <c r="X417" i="1" s="1"/>
  <c r="W418" i="1"/>
  <c r="X418" i="1" s="1"/>
  <c r="W419" i="1"/>
  <c r="X419" i="1" s="1"/>
  <c r="W420" i="1"/>
  <c r="X420" i="1" s="1"/>
  <c r="W421" i="1"/>
  <c r="W422" i="1"/>
  <c r="Y422" i="1" s="1"/>
  <c r="W423" i="1"/>
  <c r="W424" i="1"/>
  <c r="W425" i="1"/>
  <c r="Y425" i="1" s="1"/>
  <c r="W426" i="1"/>
  <c r="Y426" i="1" s="1"/>
  <c r="W427" i="1"/>
  <c r="Y427" i="1" s="1"/>
  <c r="W428" i="1"/>
  <c r="W429" i="1"/>
  <c r="W430" i="1"/>
  <c r="W431" i="1"/>
  <c r="Y431" i="1" s="1"/>
  <c r="W432" i="1"/>
  <c r="X432" i="1" s="1"/>
  <c r="W433" i="1"/>
  <c r="W434" i="1"/>
  <c r="W435" i="1"/>
  <c r="Y435" i="1" s="1"/>
  <c r="W436" i="1"/>
  <c r="X436" i="1" s="1"/>
  <c r="W437" i="1"/>
  <c r="W438" i="1"/>
  <c r="Y438" i="1" s="1"/>
  <c r="W439" i="1"/>
  <c r="W440" i="1"/>
  <c r="X440" i="1" s="1"/>
  <c r="W441" i="1"/>
  <c r="Y441" i="1" s="1"/>
  <c r="W442" i="1"/>
  <c r="W443" i="1"/>
  <c r="Y443" i="1" s="1"/>
  <c r="W444" i="1"/>
  <c r="W445" i="1"/>
  <c r="Y445" i="1" s="1"/>
  <c r="W446" i="1"/>
  <c r="Y446" i="1" s="1"/>
  <c r="W447" i="1"/>
  <c r="X447" i="1" s="1"/>
  <c r="W448" i="1"/>
  <c r="Y448" i="1" s="1"/>
  <c r="W449" i="1"/>
  <c r="X449" i="1" s="1"/>
  <c r="W450" i="1"/>
  <c r="W451" i="1"/>
  <c r="Y451" i="1" s="1"/>
  <c r="W452" i="1"/>
  <c r="X452" i="1" s="1"/>
  <c r="W453" i="1"/>
  <c r="Y453" i="1" s="1"/>
  <c r="W454" i="1"/>
  <c r="Y454" i="1" s="1"/>
  <c r="W455" i="1"/>
  <c r="X455" i="1" s="1"/>
  <c r="W456" i="1"/>
  <c r="Y456" i="1" s="1"/>
  <c r="W457" i="1"/>
  <c r="X457" i="1" s="1"/>
  <c r="W458" i="1"/>
  <c r="Y458" i="1" s="1"/>
  <c r="W459" i="1"/>
  <c r="X459" i="1" s="1"/>
  <c r="W460" i="1"/>
  <c r="X460" i="1" s="1"/>
  <c r="W461" i="1"/>
  <c r="Y461" i="1" s="1"/>
  <c r="W462" i="1"/>
  <c r="W463" i="1"/>
  <c r="W464" i="1"/>
  <c r="W465" i="1"/>
  <c r="Y465" i="1" s="1"/>
  <c r="W466" i="1"/>
  <c r="Y466" i="1" s="1"/>
  <c r="W467" i="1"/>
  <c r="W468" i="1"/>
  <c r="Y468" i="1" s="1"/>
  <c r="W469" i="1"/>
  <c r="Y469" i="1" s="1"/>
  <c r="W470" i="1"/>
  <c r="Y470" i="1" s="1"/>
  <c r="W471" i="1"/>
  <c r="Y471" i="1" s="1"/>
  <c r="W472" i="1"/>
  <c r="Y472" i="1" s="1"/>
  <c r="W473" i="1"/>
  <c r="Y473" i="1" s="1"/>
  <c r="W474" i="1"/>
  <c r="Y474" i="1" s="1"/>
  <c r="W475" i="1"/>
  <c r="X475" i="1" s="1"/>
  <c r="W476" i="1"/>
  <c r="Y476" i="1" s="1"/>
  <c r="W477" i="1"/>
  <c r="X477" i="1" s="1"/>
  <c r="W478" i="1"/>
  <c r="W479" i="1"/>
  <c r="W480" i="1"/>
  <c r="Y480" i="1" s="1"/>
  <c r="W481" i="1"/>
  <c r="Y481" i="1" s="1"/>
  <c r="W482" i="1"/>
  <c r="X482" i="1" s="1"/>
  <c r="W483" i="1"/>
  <c r="Y483" i="1" s="1"/>
  <c r="W484" i="1"/>
  <c r="Y484" i="1" s="1"/>
  <c r="W485" i="1"/>
  <c r="X485" i="1" s="1"/>
  <c r="W486" i="1"/>
  <c r="W487" i="1"/>
  <c r="Y487" i="1" s="1"/>
  <c r="W488" i="1"/>
  <c r="W489" i="1"/>
  <c r="Y489" i="1" s="1"/>
  <c r="W490" i="1"/>
  <c r="Y490" i="1" s="1"/>
  <c r="W491" i="1"/>
  <c r="X491" i="1" s="1"/>
  <c r="W492" i="1"/>
  <c r="W493" i="1"/>
  <c r="W494" i="1"/>
  <c r="Y494" i="1" s="1"/>
  <c r="W495" i="1"/>
  <c r="W496" i="1"/>
  <c r="X496" i="1" s="1"/>
  <c r="W497" i="1"/>
  <c r="W498" i="1"/>
  <c r="Y498" i="1" s="1"/>
  <c r="W499" i="1"/>
  <c r="Y499" i="1" s="1"/>
  <c r="W500" i="1"/>
  <c r="Y500" i="1" s="1"/>
  <c r="W501" i="1"/>
  <c r="Y501" i="1" s="1"/>
  <c r="W502" i="1"/>
  <c r="Y502" i="1" s="1"/>
  <c r="W503" i="1"/>
  <c r="Y503" i="1" s="1"/>
  <c r="W504" i="1"/>
  <c r="Y504" i="1" s="1"/>
  <c r="W505" i="1"/>
  <c r="Y505" i="1" s="1"/>
  <c r="W506" i="1"/>
  <c r="W507" i="1"/>
  <c r="Y507" i="1" s="1"/>
  <c r="W508" i="1"/>
  <c r="X508" i="1" s="1"/>
  <c r="W509" i="1"/>
  <c r="X509" i="1" s="1"/>
  <c r="W510" i="1"/>
  <c r="W511" i="1"/>
  <c r="X511" i="1" s="1"/>
  <c r="W512" i="1"/>
  <c r="W513" i="1"/>
  <c r="Y513" i="1" s="1"/>
  <c r="W514" i="1"/>
  <c r="Y514" i="1" s="1"/>
  <c r="W515" i="1"/>
  <c r="W516" i="1"/>
  <c r="Y516" i="1" s="1"/>
  <c r="W517" i="1"/>
  <c r="X517" i="1" s="1"/>
  <c r="W518" i="1"/>
  <c r="X518" i="1" s="1"/>
  <c r="W519" i="1"/>
  <c r="X519" i="1" s="1"/>
  <c r="W520" i="1"/>
  <c r="W521" i="1"/>
  <c r="W522" i="1"/>
  <c r="X522" i="1" s="1"/>
  <c r="W523" i="1"/>
  <c r="Y523" i="1" s="1"/>
  <c r="W524" i="1"/>
  <c r="Y524" i="1" s="1"/>
  <c r="W525" i="1"/>
  <c r="W526" i="1"/>
  <c r="W527" i="1"/>
  <c r="X527" i="1" s="1"/>
  <c r="W528" i="1"/>
  <c r="Y528" i="1" s="1"/>
  <c r="W529" i="1"/>
  <c r="W530" i="1"/>
  <c r="Y530" i="1" s="1"/>
  <c r="W531" i="1"/>
  <c r="Y531" i="1" s="1"/>
  <c r="W532" i="1"/>
  <c r="W533" i="1"/>
  <c r="X533" i="1" s="1"/>
  <c r="W534" i="1"/>
  <c r="Y534" i="1" s="1"/>
  <c r="W535" i="1"/>
  <c r="Y535" i="1" s="1"/>
  <c r="W536" i="1"/>
  <c r="Y536" i="1" s="1"/>
  <c r="W537" i="1"/>
  <c r="X537" i="1" s="1"/>
  <c r="W538" i="1"/>
  <c r="X538" i="1" s="1"/>
  <c r="W539" i="1"/>
  <c r="X539" i="1" s="1"/>
  <c r="W540" i="1"/>
  <c r="X540" i="1" s="1"/>
  <c r="W541" i="1"/>
  <c r="Y541" i="1" s="1"/>
  <c r="W542" i="1"/>
  <c r="Y542" i="1" s="1"/>
  <c r="W543" i="1"/>
  <c r="Y543" i="1" s="1"/>
  <c r="W544" i="1"/>
  <c r="Y544" i="1" s="1"/>
  <c r="W545" i="1"/>
  <c r="W546" i="1"/>
  <c r="Y546" i="1" s="1"/>
  <c r="W547" i="1"/>
  <c r="Y547" i="1" s="1"/>
  <c r="W548" i="1"/>
  <c r="Y548" i="1" s="1"/>
  <c r="W549" i="1"/>
  <c r="W550" i="1"/>
  <c r="Y550" i="1" s="1"/>
  <c r="W551" i="1"/>
  <c r="W552" i="1"/>
  <c r="X552" i="1" s="1"/>
  <c r="W553" i="1"/>
  <c r="X553" i="1" s="1"/>
  <c r="W554" i="1"/>
  <c r="X554" i="1" s="1"/>
  <c r="W555" i="1"/>
  <c r="Y555" i="1" s="1"/>
  <c r="W556" i="1"/>
  <c r="Y556" i="1" s="1"/>
  <c r="W557" i="1"/>
  <c r="X557" i="1" s="1"/>
  <c r="W558" i="1"/>
  <c r="W559" i="1"/>
  <c r="Y559" i="1" s="1"/>
  <c r="W560" i="1"/>
  <c r="X560" i="1" s="1"/>
  <c r="W561" i="1"/>
  <c r="X561" i="1" s="1"/>
  <c r="W562" i="1"/>
  <c r="Y562" i="1" s="1"/>
  <c r="W563" i="1"/>
  <c r="W564" i="1"/>
  <c r="Y564" i="1" s="1"/>
  <c r="W565" i="1"/>
  <c r="Y565" i="1" s="1"/>
  <c r="W566" i="1"/>
  <c r="Y566" i="1" s="1"/>
  <c r="W567" i="1"/>
  <c r="W568" i="1"/>
  <c r="Y568" i="1" s="1"/>
  <c r="W569" i="1"/>
  <c r="Y569" i="1" s="1"/>
  <c r="W570" i="1"/>
  <c r="Y570" i="1" s="1"/>
  <c r="W571" i="1"/>
  <c r="W572" i="1"/>
  <c r="Y572" i="1" s="1"/>
  <c r="W573" i="1"/>
  <c r="Y573" i="1" s="1"/>
  <c r="W574" i="1"/>
  <c r="X574" i="1" s="1"/>
  <c r="W575" i="1"/>
  <c r="W576" i="1"/>
  <c r="W577" i="1"/>
  <c r="X577" i="1" s="1"/>
  <c r="W578" i="1"/>
  <c r="X578" i="1" s="1"/>
  <c r="W579" i="1"/>
  <c r="X579" i="1" s="1"/>
  <c r="W580" i="1"/>
  <c r="X580" i="1" s="1"/>
  <c r="W581" i="1"/>
  <c r="Y581" i="1" s="1"/>
  <c r="W582" i="1"/>
  <c r="Y582" i="1" s="1"/>
  <c r="W583" i="1"/>
  <c r="W584" i="1"/>
  <c r="Y584" i="1" s="1"/>
  <c r="W585" i="1"/>
  <c r="X585" i="1" s="1"/>
  <c r="W586" i="1"/>
  <c r="W587" i="1"/>
  <c r="X587" i="1" s="1"/>
  <c r="W588" i="1"/>
  <c r="Y588" i="1" s="1"/>
  <c r="W589" i="1"/>
  <c r="Y589" i="1" s="1"/>
  <c r="W590" i="1"/>
  <c r="W591" i="1"/>
  <c r="Y591" i="1" s="1"/>
  <c r="W592" i="1"/>
  <c r="X592" i="1" s="1"/>
  <c r="W593" i="1"/>
  <c r="Y593" i="1" s="1"/>
  <c r="W594" i="1"/>
  <c r="Y594" i="1" s="1"/>
  <c r="W595" i="1"/>
  <c r="W596" i="1"/>
  <c r="Y596" i="1" s="1"/>
  <c r="W597" i="1"/>
  <c r="W598" i="1"/>
  <c r="W599" i="1"/>
  <c r="Y599" i="1" s="1"/>
  <c r="W600" i="1"/>
  <c r="Y600" i="1" s="1"/>
  <c r="W601" i="1"/>
  <c r="X601" i="1" s="1"/>
  <c r="W602" i="1"/>
  <c r="Y602" i="1" s="1"/>
  <c r="W603" i="1"/>
  <c r="W604" i="1"/>
  <c r="Y604" i="1" s="1"/>
  <c r="W605" i="1"/>
  <c r="W606" i="1"/>
  <c r="W607" i="1"/>
  <c r="Y607" i="1" s="1"/>
  <c r="W608" i="1"/>
  <c r="X608" i="1" s="1"/>
  <c r="W609" i="1"/>
  <c r="W610" i="1"/>
  <c r="W611" i="1"/>
  <c r="Y611" i="1" s="1"/>
  <c r="W612" i="1"/>
  <c r="X612" i="1" s="1"/>
  <c r="W613" i="1"/>
  <c r="Y613" i="1" s="1"/>
  <c r="W614" i="1"/>
  <c r="Y614" i="1" s="1"/>
  <c r="W615" i="1"/>
  <c r="X615" i="1" s="1"/>
  <c r="W616" i="1"/>
  <c r="X616" i="1" s="1"/>
  <c r="W617" i="1"/>
  <c r="X617" i="1" s="1"/>
  <c r="W618" i="1"/>
  <c r="X618" i="1" s="1"/>
  <c r="W619" i="1"/>
  <c r="W620" i="1"/>
  <c r="Y620" i="1" s="1"/>
  <c r="W621" i="1"/>
  <c r="Y621" i="1" s="1"/>
  <c r="W622" i="1"/>
  <c r="X622" i="1" s="1"/>
  <c r="W623" i="1"/>
  <c r="W624" i="1"/>
  <c r="W625" i="1"/>
  <c r="X625" i="1" s="1"/>
  <c r="W626" i="1"/>
  <c r="X626" i="1" s="1"/>
  <c r="W627" i="1"/>
  <c r="X627" i="1" s="1"/>
  <c r="W628" i="1"/>
  <c r="W629" i="1"/>
  <c r="W630" i="1"/>
  <c r="Y630" i="1" s="1"/>
  <c r="W631" i="1"/>
  <c r="Y631" i="1" s="1"/>
  <c r="W632" i="1"/>
  <c r="Y632" i="1" s="1"/>
  <c r="W633" i="1"/>
  <c r="Y633" i="1" s="1"/>
  <c r="W634" i="1"/>
  <c r="Y634" i="1" s="1"/>
  <c r="W635" i="1"/>
  <c r="Y635" i="1" s="1"/>
  <c r="W636" i="1"/>
  <c r="X636" i="1" s="1"/>
  <c r="W637" i="1"/>
  <c r="W638" i="1"/>
  <c r="Y638" i="1" s="1"/>
  <c r="W639" i="1"/>
  <c r="X639" i="1" s="1"/>
  <c r="W640" i="1"/>
  <c r="Y640" i="1" s="1"/>
  <c r="W641" i="1"/>
  <c r="X641" i="1" s="1"/>
  <c r="W642" i="1"/>
  <c r="W643" i="1"/>
  <c r="Y643" i="1" s="1"/>
  <c r="W644" i="1"/>
  <c r="X644" i="1" s="1"/>
  <c r="W645" i="1"/>
  <c r="X645" i="1" s="1"/>
  <c r="W646" i="1"/>
  <c r="X646" i="1" s="1"/>
  <c r="W647" i="1"/>
  <c r="W648" i="1"/>
  <c r="Y648" i="1" s="1"/>
  <c r="W649" i="1"/>
  <c r="W650" i="1"/>
  <c r="W651" i="1"/>
  <c r="Y651" i="1" s="1"/>
  <c r="W652" i="1"/>
  <c r="Y652" i="1" s="1"/>
  <c r="W653" i="1"/>
  <c r="X653" i="1" s="1"/>
  <c r="W654" i="1"/>
  <c r="W655" i="1"/>
  <c r="Y655" i="1" s="1"/>
  <c r="W656" i="1"/>
  <c r="X656" i="1" s="1"/>
  <c r="W657" i="1"/>
  <c r="Y657" i="1" s="1"/>
  <c r="W658" i="1"/>
  <c r="Y658" i="1" s="1"/>
  <c r="W659" i="1"/>
  <c r="W660" i="1"/>
  <c r="W661" i="1"/>
  <c r="Y661" i="1" s="1"/>
  <c r="W662" i="1"/>
  <c r="Y662" i="1" s="1"/>
  <c r="W663" i="1"/>
  <c r="W664" i="1"/>
  <c r="W665" i="1"/>
  <c r="X665" i="1" s="1"/>
  <c r="W666" i="1"/>
  <c r="Y666" i="1" s="1"/>
  <c r="W667" i="1"/>
  <c r="Y667" i="1" s="1"/>
  <c r="W668" i="1"/>
  <c r="W669" i="1"/>
  <c r="W670" i="1"/>
  <c r="X670" i="1" s="1"/>
  <c r="W671" i="1"/>
  <c r="Y671" i="1" s="1"/>
  <c r="W672" i="1"/>
  <c r="W673" i="1"/>
  <c r="Y673" i="1" s="1"/>
  <c r="W674" i="1"/>
  <c r="X674" i="1" s="1"/>
  <c r="W675" i="1"/>
  <c r="Y675" i="1" s="1"/>
  <c r="W676" i="1"/>
  <c r="X676" i="1" s="1"/>
  <c r="W677" i="1"/>
  <c r="Y677" i="1" s="1"/>
  <c r="W678" i="1"/>
  <c r="X678" i="1" s="1"/>
  <c r="W679" i="1"/>
  <c r="Y679" i="1" s="1"/>
  <c r="W680" i="1"/>
  <c r="W681" i="1"/>
  <c r="W682" i="1"/>
  <c r="Y682" i="1" s="1"/>
  <c r="W683" i="1"/>
  <c r="Y683" i="1" s="1"/>
  <c r="W684" i="1"/>
  <c r="Y684" i="1" s="1"/>
  <c r="W685" i="1"/>
  <c r="Y685" i="1" s="1"/>
  <c r="W686" i="1"/>
  <c r="X686" i="1" s="1"/>
  <c r="W687" i="1"/>
  <c r="W688" i="1"/>
  <c r="W689" i="1"/>
  <c r="X689" i="1" s="1"/>
  <c r="W690" i="1"/>
  <c r="W691" i="1"/>
  <c r="Y691" i="1" s="1"/>
  <c r="W692" i="1"/>
  <c r="Y692" i="1" s="1"/>
  <c r="W693" i="1"/>
  <c r="Y693" i="1" s="1"/>
  <c r="W694" i="1"/>
  <c r="Y694" i="1" s="1"/>
  <c r="W695" i="1"/>
  <c r="W696" i="1"/>
  <c r="W697" i="1"/>
  <c r="W698" i="1"/>
  <c r="X698" i="1" s="1"/>
  <c r="W699" i="1"/>
  <c r="X699" i="1" s="1"/>
  <c r="W700" i="1"/>
  <c r="W701" i="1"/>
  <c r="X701" i="1" s="1"/>
  <c r="W702" i="1"/>
  <c r="Y702" i="1" s="1"/>
  <c r="W703" i="1"/>
  <c r="X703" i="1" s="1"/>
  <c r="W704" i="1"/>
  <c r="X704" i="1" s="1"/>
  <c r="W705" i="1"/>
  <c r="W706" i="1"/>
  <c r="Y706" i="1" s="1"/>
  <c r="W707" i="1"/>
  <c r="X707" i="1" s="1"/>
  <c r="W708" i="1"/>
  <c r="X708" i="1" s="1"/>
  <c r="W709" i="1"/>
  <c r="Y709" i="1" s="1"/>
  <c r="W710" i="1"/>
  <c r="W711" i="1"/>
  <c r="W712" i="1"/>
  <c r="X712" i="1" s="1"/>
  <c r="W713" i="1"/>
  <c r="X713" i="1" s="1"/>
  <c r="W714" i="1"/>
  <c r="W715" i="1"/>
  <c r="Y715" i="1" s="1"/>
  <c r="W716" i="1"/>
  <c r="X716" i="1" s="1"/>
  <c r="W717" i="1"/>
  <c r="W718" i="1"/>
  <c r="Y718" i="1" s="1"/>
  <c r="W719" i="1"/>
  <c r="X719" i="1" s="1"/>
  <c r="W720" i="1"/>
  <c r="Y720" i="1" s="1"/>
  <c r="W721" i="1"/>
  <c r="Y721" i="1" s="1"/>
  <c r="W722" i="1"/>
  <c r="X722" i="1" s="1"/>
  <c r="W723" i="1"/>
  <c r="X723" i="1" s="1"/>
  <c r="W724" i="1"/>
  <c r="Y724" i="1" s="1"/>
  <c r="W725" i="1"/>
  <c r="X725" i="1" s="1"/>
  <c r="W726" i="1"/>
  <c r="Y726" i="1" s="1"/>
  <c r="W727" i="1"/>
  <c r="Y727" i="1" s="1"/>
  <c r="W728" i="1"/>
  <c r="W729" i="1"/>
  <c r="W730" i="1"/>
  <c r="W731" i="1"/>
  <c r="Y731" i="1" s="1"/>
  <c r="W732" i="1"/>
  <c r="Y732" i="1" s="1"/>
  <c r="W733" i="1"/>
  <c r="Y733" i="1" s="1"/>
  <c r="W734" i="1"/>
  <c r="Y734" i="1" s="1"/>
  <c r="W735" i="1"/>
  <c r="Y735" i="1" s="1"/>
  <c r="W736" i="1"/>
  <c r="Y736" i="1" s="1"/>
  <c r="W737" i="1"/>
  <c r="W738" i="1"/>
  <c r="Y738" i="1" s="1"/>
  <c r="W739" i="1"/>
  <c r="X739" i="1" s="1"/>
  <c r="W740" i="1"/>
  <c r="X740" i="1" s="1"/>
  <c r="W741" i="1"/>
  <c r="Y741" i="1" s="1"/>
  <c r="W742" i="1"/>
  <c r="W743" i="1"/>
  <c r="W744" i="1"/>
  <c r="W745" i="1"/>
  <c r="X745" i="1" s="1"/>
  <c r="W746" i="1"/>
  <c r="W747" i="1"/>
  <c r="W748" i="1"/>
  <c r="Y748" i="1" s="1"/>
  <c r="W749" i="1"/>
  <c r="W750" i="1"/>
  <c r="X750" i="1" s="1"/>
  <c r="W751" i="1"/>
  <c r="W752" i="1"/>
  <c r="Y752" i="1" s="1"/>
  <c r="W753" i="1"/>
  <c r="X753" i="1" s="1"/>
  <c r="W754" i="1"/>
  <c r="X754" i="1" s="1"/>
  <c r="W755" i="1"/>
  <c r="W756" i="1"/>
  <c r="W757" i="1"/>
  <c r="W758" i="1"/>
  <c r="Y758" i="1" s="1"/>
  <c r="W759" i="1"/>
  <c r="W760" i="1"/>
  <c r="Y760" i="1" s="1"/>
  <c r="W761" i="1"/>
  <c r="X761" i="1" s="1"/>
  <c r="W762" i="1"/>
  <c r="Y762" i="1" s="1"/>
  <c r="W763" i="1"/>
  <c r="X763" i="1" s="1"/>
  <c r="W764" i="1"/>
  <c r="Y764" i="1" s="1"/>
  <c r="W765" i="1"/>
  <c r="Y765" i="1" s="1"/>
  <c r="W766" i="1"/>
  <c r="Y766" i="1" s="1"/>
  <c r="W767" i="1"/>
  <c r="Y767" i="1" s="1"/>
  <c r="W768" i="1"/>
  <c r="Y768" i="1" s="1"/>
  <c r="W769" i="1"/>
  <c r="Y769" i="1" s="1"/>
  <c r="W770" i="1"/>
  <c r="W771" i="1"/>
  <c r="Y771" i="1" s="1"/>
  <c r="W772" i="1"/>
  <c r="Y772" i="1" s="1"/>
  <c r="W773" i="1"/>
  <c r="Y773" i="1" s="1"/>
  <c r="W774" i="1"/>
  <c r="W775" i="1"/>
  <c r="W776" i="1"/>
  <c r="W777" i="1"/>
  <c r="Y777" i="1" s="1"/>
  <c r="W778" i="1"/>
  <c r="W779" i="1"/>
  <c r="Y779" i="1" s="1"/>
  <c r="W780" i="1"/>
  <c r="X780" i="1" s="1"/>
  <c r="W781" i="1"/>
  <c r="W782" i="1"/>
  <c r="X782" i="1" s="1"/>
  <c r="W783" i="1"/>
  <c r="Y783" i="1" s="1"/>
  <c r="W784" i="1"/>
  <c r="W785" i="1"/>
  <c r="Y785" i="1" s="1"/>
  <c r="W786" i="1"/>
  <c r="Y786" i="1" s="1"/>
  <c r="W787" i="1"/>
  <c r="Y787" i="1" s="1"/>
  <c r="W788" i="1"/>
  <c r="Y788" i="1" s="1"/>
  <c r="W789" i="1"/>
  <c r="Y789" i="1" s="1"/>
  <c r="W790" i="1"/>
  <c r="W791" i="1"/>
  <c r="Y791" i="1" s="1"/>
  <c r="W792" i="1"/>
  <c r="Y792" i="1" s="1"/>
  <c r="W793" i="1"/>
  <c r="W794" i="1"/>
  <c r="W795" i="1"/>
  <c r="W796" i="1"/>
  <c r="W797" i="1"/>
  <c r="Y797" i="1" s="1"/>
  <c r="W798" i="1"/>
  <c r="Y798" i="1" s="1"/>
  <c r="W799" i="1"/>
  <c r="Y799" i="1" s="1"/>
  <c r="W800" i="1"/>
  <c r="Y800" i="1" s="1"/>
  <c r="W801" i="1"/>
  <c r="Y801" i="1" s="1"/>
  <c r="W802" i="1"/>
  <c r="W803" i="1"/>
  <c r="W804" i="1"/>
  <c r="Y804" i="1" s="1"/>
  <c r="W805" i="1"/>
  <c r="X805" i="1" s="1"/>
  <c r="W806" i="1"/>
  <c r="W807" i="1"/>
  <c r="W808" i="1"/>
  <c r="Y808" i="1" s="1"/>
  <c r="W809" i="1"/>
  <c r="X809" i="1" s="1"/>
  <c r="W810" i="1"/>
  <c r="W811" i="1"/>
  <c r="W812" i="1"/>
  <c r="Y812" i="1" s="1"/>
  <c r="W813" i="1"/>
  <c r="Y813" i="1" s="1"/>
  <c r="W814" i="1"/>
  <c r="Y814" i="1" s="1"/>
  <c r="W815" i="1"/>
  <c r="W816" i="1"/>
  <c r="W817" i="1"/>
  <c r="Y817" i="1" s="1"/>
  <c r="W818" i="1"/>
  <c r="X818" i="1" s="1"/>
  <c r="W819" i="1"/>
  <c r="Y819" i="1" s="1"/>
  <c r="W820" i="1"/>
  <c r="W821" i="1"/>
  <c r="X821" i="1" s="1"/>
  <c r="W822" i="1"/>
  <c r="W823" i="1"/>
  <c r="X823" i="1" s="1"/>
  <c r="W824" i="1"/>
  <c r="W825" i="1"/>
  <c r="W826" i="1"/>
  <c r="Y826" i="1" s="1"/>
  <c r="W827" i="1"/>
  <c r="X827" i="1" s="1"/>
  <c r="W828" i="1"/>
  <c r="Y828" i="1" s="1"/>
  <c r="W829" i="1"/>
  <c r="W830" i="1"/>
  <c r="Y830" i="1" s="1"/>
  <c r="W831" i="1"/>
  <c r="Y831" i="1" s="1"/>
  <c r="W832" i="1"/>
  <c r="Y832" i="1" s="1"/>
  <c r="W833" i="1"/>
  <c r="Y833" i="1" s="1"/>
  <c r="W834" i="1"/>
  <c r="Y834" i="1" s="1"/>
  <c r="W835" i="1"/>
  <c r="X835" i="1" s="1"/>
  <c r="W836" i="1"/>
  <c r="Y836" i="1" s="1"/>
  <c r="W837" i="1"/>
  <c r="W838" i="1"/>
  <c r="W839" i="1"/>
  <c r="Y839" i="1" s="1"/>
  <c r="W840" i="1"/>
  <c r="W841" i="1"/>
  <c r="Y841" i="1" s="1"/>
  <c r="W842" i="1"/>
  <c r="Y842" i="1" s="1"/>
  <c r="W843" i="1"/>
  <c r="W844" i="1"/>
  <c r="Y844" i="1" s="1"/>
  <c r="W845" i="1"/>
  <c r="X845" i="1" s="1"/>
  <c r="W846" i="1"/>
  <c r="W847" i="1"/>
  <c r="W848" i="1"/>
  <c r="X848" i="1" s="1"/>
  <c r="W849" i="1"/>
  <c r="Y849" i="1" s="1"/>
  <c r="W850" i="1"/>
  <c r="W851" i="1"/>
  <c r="Y851" i="1" s="1"/>
  <c r="W852" i="1"/>
  <c r="W853" i="1"/>
  <c r="Y853" i="1" s="1"/>
  <c r="W854" i="1"/>
  <c r="Y854" i="1" s="1"/>
  <c r="W855" i="1"/>
  <c r="W856" i="1"/>
  <c r="W857" i="1"/>
  <c r="Y857" i="1" s="1"/>
  <c r="W858" i="1"/>
  <c r="Y858" i="1" s="1"/>
  <c r="W859" i="1"/>
  <c r="W860" i="1"/>
  <c r="W861" i="1"/>
  <c r="Y861" i="1" s="1"/>
  <c r="W862" i="1"/>
  <c r="X862" i="1" s="1"/>
  <c r="W863" i="1"/>
  <c r="W864" i="1"/>
  <c r="W865" i="1"/>
  <c r="X865" i="1" s="1"/>
  <c r="W866" i="1"/>
  <c r="Y866" i="1" s="1"/>
  <c r="W867" i="1"/>
  <c r="Y867" i="1" s="1"/>
  <c r="W868" i="1"/>
  <c r="W869" i="1"/>
  <c r="W870" i="1"/>
  <c r="X870" i="1" s="1"/>
  <c r="W871" i="1"/>
  <c r="X871" i="1" s="1"/>
  <c r="W872" i="1"/>
  <c r="X872" i="1" s="1"/>
  <c r="W873" i="1"/>
  <c r="W874" i="1"/>
  <c r="W875" i="1"/>
  <c r="W876" i="1"/>
  <c r="Y876" i="1" s="1"/>
  <c r="W877" i="1"/>
  <c r="X877" i="1" s="1"/>
  <c r="W878" i="1"/>
  <c r="W879" i="1"/>
  <c r="Y879" i="1" s="1"/>
  <c r="W880" i="1"/>
  <c r="Y880" i="1" s="1"/>
  <c r="W881" i="1"/>
  <c r="X881" i="1" s="1"/>
  <c r="W882" i="1"/>
  <c r="Y882" i="1" s="1"/>
  <c r="W883" i="1"/>
  <c r="W884" i="1"/>
  <c r="W885" i="1"/>
  <c r="Y885" i="1" s="1"/>
  <c r="W886" i="1"/>
  <c r="Y886" i="1" s="1"/>
  <c r="W887" i="1"/>
  <c r="W888" i="1"/>
  <c r="Y888" i="1" s="1"/>
  <c r="W889" i="1"/>
  <c r="Y889" i="1" s="1"/>
  <c r="W890" i="1"/>
  <c r="Y890" i="1" s="1"/>
  <c r="W891" i="1"/>
  <c r="W892" i="1"/>
  <c r="Y892" i="1" s="1"/>
  <c r="W893" i="1"/>
  <c r="Y893" i="1" s="1"/>
  <c r="W894" i="1"/>
  <c r="Y894" i="1" s="1"/>
  <c r="W895" i="1"/>
  <c r="Y895" i="1" s="1"/>
  <c r="W896" i="1"/>
  <c r="Y896" i="1" s="1"/>
  <c r="W897" i="1"/>
  <c r="Y897" i="1" s="1"/>
  <c r="W898" i="1"/>
  <c r="W899" i="1"/>
  <c r="X899" i="1" s="1"/>
  <c r="W900" i="1"/>
  <c r="W901" i="1"/>
  <c r="Y901" i="1" s="1"/>
  <c r="W902" i="1"/>
  <c r="Y902" i="1" s="1"/>
  <c r="W903" i="1"/>
  <c r="X903" i="1" s="1"/>
  <c r="W904" i="1"/>
  <c r="X904" i="1" s="1"/>
  <c r="W905" i="1"/>
  <c r="W906" i="1"/>
  <c r="W907" i="1"/>
  <c r="Y907" i="1" s="1"/>
  <c r="W908" i="1"/>
  <c r="X908" i="1" s="1"/>
  <c r="W909" i="1"/>
  <c r="W910" i="1"/>
  <c r="W911" i="1"/>
  <c r="X911" i="1" s="1"/>
  <c r="W912" i="1"/>
  <c r="W913" i="1"/>
  <c r="Y913" i="1" s="1"/>
  <c r="W914" i="1"/>
  <c r="W915" i="1"/>
  <c r="Y915" i="1" s="1"/>
  <c r="W916" i="1"/>
  <c r="W917" i="1"/>
  <c r="Y917" i="1" s="1"/>
  <c r="W918" i="1"/>
  <c r="X918" i="1" s="1"/>
  <c r="W919" i="1"/>
  <c r="X919" i="1" s="1"/>
  <c r="W920" i="1"/>
  <c r="X920" i="1" s="1"/>
  <c r="W921" i="1"/>
  <c r="X921" i="1" s="1"/>
  <c r="W922" i="1"/>
  <c r="Y922" i="1" s="1"/>
  <c r="W923" i="1"/>
  <c r="W924" i="1"/>
  <c r="X924" i="1" s="1"/>
  <c r="W925" i="1"/>
  <c r="W926" i="1"/>
  <c r="W927" i="1"/>
  <c r="X927" i="1" s="1"/>
  <c r="W928" i="1"/>
  <c r="W929" i="1"/>
  <c r="X929" i="1" s="1"/>
  <c r="W930" i="1"/>
  <c r="X930" i="1" s="1"/>
  <c r="W931" i="1"/>
  <c r="Y931" i="1" s="1"/>
  <c r="W932" i="1"/>
  <c r="W933" i="1"/>
  <c r="X933" i="1" s="1"/>
  <c r="W934" i="1"/>
  <c r="W935" i="1"/>
  <c r="W936" i="1"/>
  <c r="X936" i="1" s="1"/>
  <c r="W937" i="1"/>
  <c r="W938" i="1"/>
  <c r="W939" i="1"/>
  <c r="W940" i="1"/>
  <c r="X940" i="1" s="1"/>
  <c r="W941" i="1"/>
  <c r="W942" i="1"/>
  <c r="X942" i="1" s="1"/>
  <c r="W943" i="1"/>
  <c r="W944" i="1"/>
  <c r="Y944" i="1" s="1"/>
  <c r="W945" i="1"/>
  <c r="Y945" i="1" s="1"/>
  <c r="W946" i="1"/>
  <c r="Y946" i="1" s="1"/>
  <c r="W947" i="1"/>
  <c r="X947" i="1" s="1"/>
  <c r="W948" i="1"/>
  <c r="X948" i="1" s="1"/>
  <c r="W949" i="1"/>
  <c r="W950" i="1"/>
  <c r="W951" i="1"/>
  <c r="Y951" i="1" s="1"/>
  <c r="W952" i="1"/>
  <c r="Y952" i="1" s="1"/>
  <c r="W953" i="1"/>
  <c r="W954" i="1"/>
  <c r="Y954" i="1" s="1"/>
  <c r="W955" i="1"/>
  <c r="Y955" i="1" s="1"/>
  <c r="W956" i="1"/>
  <c r="Y956" i="1" s="1"/>
  <c r="W957" i="1"/>
  <c r="Y957" i="1" s="1"/>
  <c r="W958" i="1"/>
  <c r="W959" i="1"/>
  <c r="X959" i="1" s="1"/>
  <c r="W960" i="1"/>
  <c r="Y960" i="1" s="1"/>
  <c r="W961" i="1"/>
  <c r="Y961" i="1" s="1"/>
  <c r="W962" i="1"/>
  <c r="W963" i="1"/>
  <c r="W964" i="1"/>
  <c r="W965" i="1"/>
  <c r="W966" i="1"/>
  <c r="X966" i="1" s="1"/>
  <c r="W967" i="1"/>
  <c r="Y967" i="1" s="1"/>
  <c r="W968" i="1"/>
  <c r="X968" i="1" s="1"/>
  <c r="W969" i="1"/>
  <c r="W970" i="1"/>
  <c r="W971" i="1"/>
  <c r="X971" i="1" s="1"/>
  <c r="W972" i="1"/>
  <c r="Y972" i="1" s="1"/>
  <c r="W973" i="1"/>
  <c r="X973" i="1" s="1"/>
  <c r="W974" i="1"/>
  <c r="W975" i="1"/>
  <c r="W976" i="1"/>
  <c r="W977" i="1"/>
  <c r="W978" i="1"/>
  <c r="W979" i="1"/>
  <c r="X979" i="1" s="1"/>
  <c r="W980" i="1"/>
  <c r="Y980" i="1" s="1"/>
  <c r="W981" i="1"/>
  <c r="W982" i="1"/>
  <c r="Y982" i="1" s="1"/>
  <c r="W983" i="1"/>
  <c r="X983" i="1" s="1"/>
  <c r="W984" i="1"/>
  <c r="W985" i="1"/>
  <c r="X985" i="1" s="1"/>
  <c r="W986" i="1"/>
  <c r="Y986" i="1" s="1"/>
  <c r="W987" i="1"/>
  <c r="W988" i="1"/>
  <c r="Y988" i="1" s="1"/>
  <c r="W989" i="1"/>
  <c r="W990" i="1"/>
  <c r="W991" i="1"/>
  <c r="X991" i="1" s="1"/>
  <c r="W992" i="1"/>
  <c r="X992" i="1" s="1"/>
  <c r="W993" i="1"/>
  <c r="Y993" i="1" s="1"/>
  <c r="W994" i="1"/>
  <c r="Y994" i="1" s="1"/>
  <c r="W995" i="1"/>
  <c r="W996" i="1"/>
  <c r="Y996" i="1" s="1"/>
  <c r="W997" i="1"/>
  <c r="W998" i="1"/>
  <c r="W999" i="1"/>
  <c r="X999" i="1" s="1"/>
  <c r="W1000" i="1"/>
  <c r="W1001" i="1"/>
  <c r="Y1001" i="1" s="1"/>
  <c r="W1002" i="1"/>
  <c r="X1002" i="1" s="1"/>
  <c r="W1003" i="1"/>
  <c r="Y1003" i="1" s="1"/>
  <c r="W1004" i="1"/>
  <c r="Y1004" i="1" s="1"/>
  <c r="W1005" i="1"/>
  <c r="W1006" i="1"/>
  <c r="Y1006" i="1" s="1"/>
  <c r="W1007" i="1"/>
  <c r="X1007" i="1" s="1"/>
  <c r="W1008" i="1"/>
  <c r="X1008" i="1" s="1"/>
  <c r="W1009" i="1"/>
  <c r="W1010" i="1"/>
  <c r="X1010" i="1" s="1"/>
  <c r="W1011" i="1"/>
  <c r="X1011" i="1" s="1"/>
  <c r="W1012" i="1"/>
  <c r="Y1012" i="1" s="1"/>
  <c r="W1013" i="1"/>
  <c r="X1013" i="1" s="1"/>
  <c r="W1014" i="1"/>
  <c r="W1015" i="1"/>
  <c r="W1016" i="1"/>
  <c r="W1017" i="1"/>
  <c r="W1018" i="1"/>
  <c r="W1019" i="1"/>
  <c r="X1019" i="1" s="1"/>
  <c r="W1020" i="1"/>
  <c r="Y1020" i="1" s="1"/>
  <c r="W1021" i="1"/>
  <c r="X1021" i="1" s="1"/>
  <c r="W1022" i="1"/>
  <c r="Y1022" i="1" s="1"/>
  <c r="W1023" i="1"/>
  <c r="W1024" i="1"/>
  <c r="W1025" i="1"/>
  <c r="Y1025" i="1" s="1"/>
  <c r="W1026" i="1"/>
  <c r="Y1026" i="1" s="1"/>
  <c r="W1027" i="1"/>
  <c r="X1027" i="1" s="1"/>
  <c r="W1028" i="1"/>
  <c r="Y1028" i="1" s="1"/>
  <c r="W1029" i="1"/>
  <c r="Y1029" i="1" s="1"/>
  <c r="W1030" i="1"/>
  <c r="Y1030" i="1" s="1"/>
  <c r="W1031" i="1"/>
  <c r="X1031" i="1" s="1"/>
  <c r="W1032" i="1"/>
  <c r="Y1032" i="1" s="1"/>
  <c r="W1033" i="1"/>
  <c r="W1034" i="1"/>
  <c r="Y1034" i="1" s="1"/>
  <c r="W1035" i="1"/>
  <c r="X1035" i="1" s="1"/>
  <c r="W1036" i="1"/>
  <c r="X1036" i="1" s="1"/>
  <c r="W1037" i="1"/>
  <c r="W1038" i="1"/>
  <c r="X1038" i="1" s="1"/>
  <c r="W1039" i="1"/>
  <c r="X1039" i="1" s="1"/>
  <c r="W1040" i="1"/>
  <c r="X1040" i="1" s="1"/>
  <c r="W1041" i="1"/>
  <c r="W1042" i="1"/>
  <c r="W1043" i="1"/>
  <c r="W1044" i="1"/>
  <c r="Y1044" i="1" s="1"/>
  <c r="W1045" i="1"/>
  <c r="Y1045" i="1" s="1"/>
  <c r="W1046" i="1"/>
  <c r="Y1046" i="1" s="1"/>
  <c r="W1047" i="1"/>
  <c r="Y1047" i="1" s="1"/>
  <c r="W1048" i="1"/>
  <c r="W1049" i="1"/>
  <c r="Y1049" i="1" s="1"/>
  <c r="W1050" i="1"/>
  <c r="Y1050" i="1" s="1"/>
  <c r="W1051" i="1"/>
  <c r="Y1051" i="1" s="1"/>
  <c r="W1052" i="1"/>
  <c r="W1053" i="1"/>
  <c r="Y1053" i="1" s="1"/>
  <c r="W1054" i="1"/>
  <c r="X1054" i="1" s="1"/>
  <c r="W1055" i="1"/>
  <c r="Y1055" i="1" s="1"/>
  <c r="W1056" i="1"/>
  <c r="W1057" i="1"/>
  <c r="X1057" i="1" s="1"/>
  <c r="W1058" i="1"/>
  <c r="Y1058" i="1" s="1"/>
  <c r="W1059" i="1"/>
  <c r="W1060" i="1"/>
  <c r="W1061" i="1"/>
  <c r="W1062" i="1"/>
  <c r="Y1062" i="1" s="1"/>
  <c r="W1063" i="1"/>
  <c r="W1064" i="1"/>
  <c r="X1064" i="1" s="1"/>
  <c r="W1065" i="1"/>
  <c r="X1065" i="1" s="1"/>
  <c r="W1066" i="1"/>
  <c r="W1067" i="1"/>
  <c r="X1067" i="1" s="1"/>
  <c r="W1068" i="1"/>
  <c r="W1069" i="1"/>
  <c r="Y1069" i="1" s="1"/>
  <c r="W1070" i="1"/>
  <c r="W1071" i="1"/>
  <c r="X1071" i="1" s="1"/>
  <c r="W1072" i="1"/>
  <c r="Y1072" i="1" s="1"/>
  <c r="W1073" i="1"/>
  <c r="W1074" i="1"/>
  <c r="X1074" i="1" s="1"/>
  <c r="W1075" i="1"/>
  <c r="W1076" i="1"/>
  <c r="Y1076" i="1" s="1"/>
  <c r="W1077" i="1"/>
  <c r="Y1077" i="1" s="1"/>
  <c r="W1078" i="1"/>
  <c r="Y1078" i="1" s="1"/>
  <c r="W1079" i="1"/>
  <c r="W1080" i="1"/>
  <c r="W1081" i="1"/>
  <c r="Y1081" i="1" s="1"/>
  <c r="W1082" i="1"/>
  <c r="Y1082" i="1" s="1"/>
  <c r="W1083" i="1"/>
  <c r="X1083" i="1" s="1"/>
  <c r="W1084" i="1"/>
  <c r="X1084" i="1" s="1"/>
  <c r="W1085" i="1"/>
  <c r="X1085" i="1" s="1"/>
  <c r="W1086" i="1"/>
  <c r="Y1086" i="1" s="1"/>
  <c r="W1087" i="1"/>
  <c r="W1088" i="1"/>
  <c r="W1089" i="1"/>
  <c r="W1090" i="1"/>
  <c r="W1091" i="1"/>
  <c r="Y1091" i="1" s="1"/>
  <c r="W1092" i="1"/>
  <c r="X1092" i="1" s="1"/>
  <c r="W1093" i="1"/>
  <c r="X1093" i="1" s="1"/>
  <c r="W1094" i="1"/>
  <c r="W1095" i="1"/>
  <c r="X1095" i="1" s="1"/>
  <c r="W1096" i="1"/>
  <c r="Y1096" i="1" s="1"/>
  <c r="M20" i="5"/>
  <c r="X9" i="1"/>
  <c r="Y14" i="1"/>
  <c r="X45" i="1"/>
  <c r="Y165" i="1"/>
  <c r="Y189" i="1"/>
  <c r="X189" i="1"/>
  <c r="Y239" i="1"/>
  <c r="Y285" i="1"/>
  <c r="X405" i="1"/>
  <c r="Y413" i="1"/>
  <c r="X693" i="1"/>
  <c r="W1097" i="1"/>
  <c r="W1098" i="1"/>
  <c r="X1098" i="1" s="1"/>
  <c r="W1099" i="1"/>
  <c r="Y1099" i="1" s="1"/>
  <c r="W1100" i="1"/>
  <c r="W1101" i="1"/>
  <c r="X1101" i="1" s="1"/>
  <c r="W1102" i="1"/>
  <c r="Y1102" i="1" s="1"/>
  <c r="W1103" i="1"/>
  <c r="W1104" i="1"/>
  <c r="W1105" i="1"/>
  <c r="Y1105" i="1" s="1"/>
  <c r="W1106" i="1"/>
  <c r="X1106" i="1" s="1"/>
  <c r="W1107" i="1"/>
  <c r="X1107" i="1" s="1"/>
  <c r="W1108" i="1"/>
  <c r="Y1108" i="1" s="1"/>
  <c r="W1109" i="1"/>
  <c r="Y1109" i="1" s="1"/>
  <c r="W1110" i="1"/>
  <c r="Y1110" i="1" s="1"/>
  <c r="W1111" i="1"/>
  <c r="W1112" i="1"/>
  <c r="Y1112" i="1" s="1"/>
  <c r="W1113" i="1"/>
  <c r="Y1113" i="1" s="1"/>
  <c r="W1114" i="1"/>
  <c r="Y1114" i="1" s="1"/>
  <c r="W1115" i="1"/>
  <c r="W1116" i="1"/>
  <c r="Y1116" i="1" s="1"/>
  <c r="W1117" i="1"/>
  <c r="Y1117" i="1" s="1"/>
  <c r="W1118" i="1"/>
  <c r="Y1118" i="1" s="1"/>
  <c r="W1119" i="1"/>
  <c r="Y1119" i="1" s="1"/>
  <c r="W1120" i="1"/>
  <c r="X1120" i="1" s="1"/>
  <c r="W1121" i="1"/>
  <c r="Y1121" i="1" s="1"/>
  <c r="W1122" i="1"/>
  <c r="W1123" i="1"/>
  <c r="X1123" i="1" s="1"/>
  <c r="W1124" i="1"/>
  <c r="Y1124" i="1" s="1"/>
  <c r="W1125" i="1"/>
  <c r="W1126" i="1"/>
  <c r="W1127" i="1"/>
  <c r="Y1127" i="1" s="1"/>
  <c r="W1128" i="1"/>
  <c r="Y1128" i="1" s="1"/>
  <c r="W1129" i="1"/>
  <c r="W1130" i="1"/>
  <c r="X1130" i="1" s="1"/>
  <c r="W1131" i="1"/>
  <c r="W1132" i="1"/>
  <c r="Y1132" i="1" s="1"/>
  <c r="W1133" i="1"/>
  <c r="W1134" i="1"/>
  <c r="X1134" i="1" s="1"/>
  <c r="W1135" i="1"/>
  <c r="W1136" i="1"/>
  <c r="W1137" i="1"/>
  <c r="X1137" i="1" s="1"/>
  <c r="W1138" i="1"/>
  <c r="Y1138" i="1" s="1"/>
  <c r="W1139" i="1"/>
  <c r="X1139" i="1" s="1"/>
  <c r="W1140" i="1"/>
  <c r="X1140" i="1" s="1"/>
  <c r="W1141" i="1"/>
  <c r="Y1141" i="1" s="1"/>
  <c r="W1142" i="1"/>
  <c r="W1143" i="1"/>
  <c r="X1143" i="1" s="1"/>
  <c r="W1144" i="1"/>
  <c r="Y1144" i="1" s="1"/>
  <c r="W1145" i="1"/>
  <c r="Y1145" i="1" s="1"/>
  <c r="W1146" i="1"/>
  <c r="X1146" i="1" s="1"/>
  <c r="W1147" i="1"/>
  <c r="Y1147" i="1" s="1"/>
  <c r="W1148" i="1"/>
  <c r="X1148" i="1" s="1"/>
  <c r="W1149" i="1"/>
  <c r="X1149" i="1" s="1"/>
  <c r="W1150" i="1"/>
  <c r="X1150" i="1" s="1"/>
  <c r="W1151" i="1"/>
  <c r="W1152" i="1"/>
  <c r="W1153" i="1"/>
  <c r="Y1153" i="1" s="1"/>
  <c r="W1154" i="1"/>
  <c r="Y1154" i="1" s="1"/>
  <c r="W1155" i="1"/>
  <c r="X1155" i="1" s="1"/>
  <c r="W1156" i="1"/>
  <c r="W1157" i="1"/>
  <c r="Y1157" i="1" s="1"/>
  <c r="W1158" i="1"/>
  <c r="X1158" i="1" s="1"/>
  <c r="W1159" i="1"/>
  <c r="W1160" i="1"/>
  <c r="W1161" i="1"/>
  <c r="X1161" i="1" s="1"/>
  <c r="W1162" i="1"/>
  <c r="X1162" i="1" s="1"/>
  <c r="W1163" i="1"/>
  <c r="W1164" i="1"/>
  <c r="W1165" i="1"/>
  <c r="W1166" i="1"/>
  <c r="Y1166" i="1" s="1"/>
  <c r="W1167" i="1"/>
  <c r="X1167" i="1" s="1"/>
  <c r="W1168" i="1"/>
  <c r="Y1168" i="1" s="1"/>
  <c r="W1169" i="1"/>
  <c r="Y1169" i="1" s="1"/>
  <c r="W1170" i="1"/>
  <c r="Y1170" i="1" s="1"/>
  <c r="W1171" i="1"/>
  <c r="Y1171" i="1" s="1"/>
  <c r="W1172" i="1"/>
  <c r="X1172" i="1" s="1"/>
  <c r="W1173" i="1"/>
  <c r="Y1173" i="1" s="1"/>
  <c r="W1174" i="1"/>
  <c r="W1175" i="1"/>
  <c r="Y1175" i="1" s="1"/>
  <c r="W1176" i="1"/>
  <c r="W1177" i="1"/>
  <c r="Y1177" i="1" s="1"/>
  <c r="W1178" i="1"/>
  <c r="W1179" i="1"/>
  <c r="X1179" i="1" s="1"/>
  <c r="W1180" i="1"/>
  <c r="W1181" i="1"/>
  <c r="W1182" i="1"/>
  <c r="W1183" i="1"/>
  <c r="W1184" i="1"/>
  <c r="X1184" i="1" s="1"/>
  <c r="W1185" i="1"/>
  <c r="Y1185" i="1" s="1"/>
  <c r="W1186" i="1"/>
  <c r="Y1186" i="1" s="1"/>
  <c r="W1187" i="1"/>
  <c r="W1188" i="1"/>
  <c r="X1188" i="1" s="1"/>
  <c r="W1189" i="1"/>
  <c r="Y1189" i="1" s="1"/>
  <c r="W1190" i="1"/>
  <c r="W1191" i="1"/>
  <c r="Y1191" i="1" s="1"/>
  <c r="W1192" i="1"/>
  <c r="Y1192" i="1" s="1"/>
  <c r="W1193" i="1"/>
  <c r="W1194" i="1"/>
  <c r="Y1194" i="1" s="1"/>
  <c r="W1195" i="1"/>
  <c r="X1195" i="1" s="1"/>
  <c r="W1196" i="1"/>
  <c r="X1196" i="1" s="1"/>
  <c r="W1197" i="1"/>
  <c r="Y1197" i="1" s="1"/>
  <c r="W1198" i="1"/>
  <c r="X1198" i="1" s="1"/>
  <c r="W1199" i="1"/>
  <c r="Y1199" i="1" s="1"/>
  <c r="W1200" i="1"/>
  <c r="W1201" i="1"/>
  <c r="W1202" i="1"/>
  <c r="W1203" i="1"/>
  <c r="X1203" i="1" s="1"/>
  <c r="W1204" i="1"/>
  <c r="Y1204" i="1" s="1"/>
  <c r="W1205" i="1"/>
  <c r="X1205" i="1" s="1"/>
  <c r="W1206" i="1"/>
  <c r="X1206" i="1" s="1"/>
  <c r="W1207" i="1"/>
  <c r="W1208" i="1"/>
  <c r="X1208" i="1" s="1"/>
  <c r="W1209" i="1"/>
  <c r="X1209" i="1" s="1"/>
  <c r="W1210" i="1"/>
  <c r="X1210" i="1" s="1"/>
  <c r="W1211" i="1"/>
  <c r="Y1211" i="1" s="1"/>
  <c r="W1212" i="1"/>
  <c r="Y1212" i="1" s="1"/>
  <c r="W1213" i="1"/>
  <c r="W1214" i="1"/>
  <c r="X1214" i="1" s="1"/>
  <c r="W1215" i="1"/>
  <c r="W1216" i="1"/>
  <c r="W1217" i="1"/>
  <c r="W1218" i="1"/>
  <c r="Y1218" i="1" s="1"/>
  <c r="W1219" i="1"/>
  <c r="Y1219" i="1" s="1"/>
  <c r="W1220" i="1"/>
  <c r="Y1220" i="1" s="1"/>
  <c r="W1221" i="1"/>
  <c r="Y1221" i="1" s="1"/>
  <c r="W1222" i="1"/>
  <c r="Y1222" i="1" s="1"/>
  <c r="W1223" i="1"/>
  <c r="W1224" i="1"/>
  <c r="Y1224" i="1" s="1"/>
  <c r="W1225" i="1"/>
  <c r="X1225" i="1" s="1"/>
  <c r="W1226" i="1"/>
  <c r="W1227" i="1"/>
  <c r="X1227" i="1" s="1"/>
  <c r="W1228" i="1"/>
  <c r="X1228" i="1" s="1"/>
  <c r="W1229" i="1"/>
  <c r="Y1229" i="1" s="1"/>
  <c r="W1230" i="1"/>
  <c r="W1231" i="1"/>
  <c r="X1231" i="1" s="1"/>
  <c r="W1232" i="1"/>
  <c r="Y1232" i="1" s="1"/>
  <c r="W1233" i="1"/>
  <c r="W1234" i="1"/>
  <c r="W1235" i="1"/>
  <c r="W1236" i="1"/>
  <c r="Y1236" i="1" s="1"/>
  <c r="W1237" i="1"/>
  <c r="Y1237" i="1" s="1"/>
  <c r="W1238" i="1"/>
  <c r="Y1238" i="1" s="1"/>
  <c r="W1239" i="1"/>
  <c r="Y1239" i="1" s="1"/>
  <c r="W1240" i="1"/>
  <c r="W1241" i="1"/>
  <c r="Y1241" i="1" s="1"/>
  <c r="W1242" i="1"/>
  <c r="Y1242" i="1" s="1"/>
  <c r="W1243" i="1"/>
  <c r="Y1243" i="1" s="1"/>
  <c r="W1244" i="1"/>
  <c r="W1245" i="1"/>
  <c r="X1245" i="1" s="1"/>
  <c r="W1246" i="1"/>
  <c r="W1247" i="1"/>
  <c r="W1248" i="1"/>
  <c r="X1248" i="1" s="1"/>
  <c r="W1249" i="1"/>
  <c r="X1249" i="1" s="1"/>
  <c r="W1250" i="1"/>
  <c r="W1251" i="1"/>
  <c r="W1252" i="1"/>
  <c r="X1252" i="1" s="1"/>
  <c r="W1253" i="1"/>
  <c r="W1254" i="1"/>
  <c r="X1254" i="1" s="1"/>
  <c r="W1255" i="1"/>
  <c r="W1256" i="1"/>
  <c r="W1257" i="1"/>
  <c r="W1258" i="1"/>
  <c r="X1258" i="1" s="1"/>
  <c r="W1259" i="1"/>
  <c r="Y1259" i="1" s="1"/>
  <c r="W1260" i="1"/>
  <c r="W1261" i="1"/>
  <c r="Y1261" i="1" s="1"/>
  <c r="W1262" i="1"/>
  <c r="Y1262" i="1" s="1"/>
  <c r="W1263" i="1"/>
  <c r="W1264" i="1"/>
  <c r="W1265" i="1"/>
  <c r="W1266" i="1"/>
  <c r="W1267" i="1"/>
  <c r="W1268" i="1"/>
  <c r="X1268" i="1" s="1"/>
  <c r="W1269" i="1"/>
  <c r="X1269" i="1" s="1"/>
  <c r="W1270" i="1"/>
  <c r="W1271" i="1"/>
  <c r="W1272" i="1"/>
  <c r="Y1272" i="1" s="1"/>
  <c r="W1273" i="1"/>
  <c r="Y1273" i="1" s="1"/>
  <c r="W1274" i="1"/>
  <c r="W1275" i="1"/>
  <c r="W1276" i="1"/>
  <c r="Y1276" i="1" s="1"/>
  <c r="W1277" i="1"/>
  <c r="Y1277" i="1" s="1"/>
  <c r="W1278" i="1"/>
  <c r="X1278" i="1" s="1"/>
  <c r="W1279" i="1"/>
  <c r="X1279" i="1" s="1"/>
  <c r="W1280" i="1"/>
  <c r="Y1280" i="1" s="1"/>
  <c r="W1281" i="1"/>
  <c r="W1282" i="1"/>
  <c r="W1283" i="1"/>
  <c r="Y1283" i="1" s="1"/>
  <c r="W1284" i="1"/>
  <c r="W1285" i="1"/>
  <c r="W1286" i="1"/>
  <c r="Y1286" i="1" s="1"/>
  <c r="W1287" i="1"/>
  <c r="X1287" i="1" s="1"/>
  <c r="W1288" i="1"/>
  <c r="W1289" i="1"/>
  <c r="Y1289" i="1" s="1"/>
  <c r="W1290" i="1"/>
  <c r="X1290" i="1" s="1"/>
  <c r="W1291" i="1"/>
  <c r="W1292" i="1"/>
  <c r="X1292" i="1" s="1"/>
  <c r="W1293" i="1"/>
  <c r="Y1293" i="1" s="1"/>
  <c r="W1294" i="1"/>
  <c r="X1294" i="1" s="1"/>
  <c r="W1295" i="1"/>
  <c r="X1295" i="1" s="1"/>
  <c r="W1296" i="1"/>
  <c r="W1297" i="1"/>
  <c r="Y1297" i="1" s="1"/>
  <c r="W1298" i="1"/>
  <c r="W1299" i="1"/>
  <c r="W1300" i="1"/>
  <c r="W1301" i="1"/>
  <c r="W1302" i="1"/>
  <c r="X1302" i="1" s="1"/>
  <c r="W1303" i="1"/>
  <c r="Y1303" i="1" s="1"/>
  <c r="W1304" i="1"/>
  <c r="X1304" i="1" s="1"/>
  <c r="W1305" i="1"/>
  <c r="Y1305" i="1" s="1"/>
  <c r="W1306" i="1"/>
  <c r="X1306" i="1" s="1"/>
  <c r="W1307" i="1"/>
  <c r="W1308" i="1"/>
  <c r="W1309" i="1"/>
  <c r="Y1309" i="1" s="1"/>
  <c r="W1310" i="1"/>
  <c r="Y1310" i="1" s="1"/>
  <c r="X41" i="5"/>
  <c r="Y41" i="5" s="1"/>
  <c r="AA41" i="5" s="1"/>
  <c r="X42" i="5"/>
  <c r="Y42" i="5" s="1"/>
  <c r="AA42" i="5" s="1"/>
  <c r="X43" i="5"/>
  <c r="Y43" i="5" s="1"/>
  <c r="AA43" i="5" s="1"/>
  <c r="X44" i="5"/>
  <c r="Y44" i="5" s="1"/>
  <c r="AA44" i="5" s="1"/>
  <c r="X45" i="5"/>
  <c r="Y45" i="5" s="1"/>
  <c r="AA45" i="5" s="1"/>
  <c r="X46" i="5"/>
  <c r="Y46" i="5" s="1"/>
  <c r="AA46" i="5" s="1"/>
  <c r="X47" i="5"/>
  <c r="Y47" i="5" s="1"/>
  <c r="AA47" i="5" s="1"/>
  <c r="X48" i="5"/>
  <c r="Y48" i="5" s="1"/>
  <c r="AA48" i="5" s="1"/>
  <c r="X49" i="5"/>
  <c r="Y49" i="5" s="1"/>
  <c r="AA49" i="5" s="1"/>
  <c r="X50" i="5"/>
  <c r="Y50" i="5" s="1"/>
  <c r="AA50" i="5" s="1"/>
  <c r="X51" i="5"/>
  <c r="Y51" i="5" s="1"/>
  <c r="AA51" i="5" s="1"/>
  <c r="X52" i="5"/>
  <c r="Y52" i="5" s="1"/>
  <c r="AA52" i="5" s="1"/>
  <c r="X53" i="5"/>
  <c r="Y53" i="5" s="1"/>
  <c r="AA53" i="5" s="1"/>
  <c r="X54" i="5"/>
  <c r="Y54" i="5" s="1"/>
  <c r="AA54" i="5" s="1"/>
  <c r="X55" i="5"/>
  <c r="Y55" i="5" s="1"/>
  <c r="AA55" i="5" s="1"/>
  <c r="X56" i="5"/>
  <c r="Y56" i="5" s="1"/>
  <c r="AA56" i="5" s="1"/>
  <c r="X57" i="5"/>
  <c r="Y57" i="5" s="1"/>
  <c r="AA57" i="5" s="1"/>
  <c r="X58" i="5"/>
  <c r="Y58" i="5" s="1"/>
  <c r="AA58" i="5" s="1"/>
  <c r="X59" i="5"/>
  <c r="Y59" i="5" s="1"/>
  <c r="AA59" i="5" s="1"/>
  <c r="X60" i="5"/>
  <c r="Y60" i="5" s="1"/>
  <c r="AA60" i="5" s="1"/>
  <c r="X61" i="5"/>
  <c r="Y61" i="5" s="1"/>
  <c r="AA61" i="5" s="1"/>
  <c r="X62" i="5"/>
  <c r="Y62" i="5" s="1"/>
  <c r="AA62" i="5" s="1"/>
  <c r="X63" i="5"/>
  <c r="Y63" i="5" s="1"/>
  <c r="AA63" i="5" s="1"/>
  <c r="X64" i="5"/>
  <c r="Y64" i="5" s="1"/>
  <c r="AA64" i="5" s="1"/>
  <c r="X65" i="5"/>
  <c r="Y65" i="5" s="1"/>
  <c r="AA65" i="5" s="1"/>
  <c r="X66" i="5"/>
  <c r="Y66" i="5" s="1"/>
  <c r="AA66" i="5" s="1"/>
  <c r="X67" i="5"/>
  <c r="Y67" i="5" s="1"/>
  <c r="AA67" i="5" s="1"/>
  <c r="X68" i="5"/>
  <c r="Y68" i="5" s="1"/>
  <c r="AA68" i="5" s="1"/>
  <c r="X69" i="5"/>
  <c r="Y69" i="5" s="1"/>
  <c r="AA69" i="5" s="1"/>
  <c r="X70" i="5"/>
  <c r="Y70" i="5" s="1"/>
  <c r="AA70" i="5" s="1"/>
  <c r="X71" i="5"/>
  <c r="Y71" i="5" s="1"/>
  <c r="AA71" i="5" s="1"/>
  <c r="X72" i="5"/>
  <c r="Y72" i="5" s="1"/>
  <c r="AA72" i="5" s="1"/>
  <c r="X73" i="5"/>
  <c r="Y73" i="5" s="1"/>
  <c r="AA73" i="5" s="1"/>
  <c r="X74" i="5"/>
  <c r="Y74" i="5" s="1"/>
  <c r="AA74" i="5" s="1"/>
  <c r="X75" i="5"/>
  <c r="Y75" i="5" s="1"/>
  <c r="AA75" i="5" s="1"/>
  <c r="X76" i="5"/>
  <c r="Y76" i="5" s="1"/>
  <c r="AA76" i="5" s="1"/>
  <c r="X77" i="5"/>
  <c r="Y77" i="5" s="1"/>
  <c r="AA77" i="5" s="1"/>
  <c r="X78" i="5"/>
  <c r="Y78" i="5" s="1"/>
  <c r="AA78" i="5" s="1"/>
  <c r="X79" i="5"/>
  <c r="Y79" i="5" s="1"/>
  <c r="AA79" i="5" s="1"/>
  <c r="X80" i="5"/>
  <c r="Y80" i="5" s="1"/>
  <c r="AA80" i="5" s="1"/>
  <c r="X81" i="5"/>
  <c r="Y81" i="5" s="1"/>
  <c r="AA81" i="5" s="1"/>
  <c r="X82" i="5"/>
  <c r="Y82" i="5" s="1"/>
  <c r="AA82" i="5" s="1"/>
  <c r="X83" i="5"/>
  <c r="Y83" i="5" s="1"/>
  <c r="AA83" i="5" s="1"/>
  <c r="X84" i="5"/>
  <c r="Y84" i="5" s="1"/>
  <c r="AA84" i="5" s="1"/>
  <c r="X85" i="5"/>
  <c r="Y85" i="5" s="1"/>
  <c r="AA85" i="5" s="1"/>
  <c r="X86" i="5"/>
  <c r="Y86" i="5" s="1"/>
  <c r="AA86" i="5" s="1"/>
  <c r="X87" i="5"/>
  <c r="Y87" i="5" s="1"/>
  <c r="AA87" i="5" s="1"/>
  <c r="X88" i="5"/>
  <c r="Y88" i="5" s="1"/>
  <c r="AA88" i="5" s="1"/>
  <c r="X89" i="5"/>
  <c r="Y89" i="5" s="1"/>
  <c r="AA89" i="5" s="1"/>
  <c r="X90" i="5"/>
  <c r="Y90" i="5" s="1"/>
  <c r="AA90" i="5" s="1"/>
  <c r="X91" i="5"/>
  <c r="Y91" i="5" s="1"/>
  <c r="AA91" i="5" s="1"/>
  <c r="X92" i="5"/>
  <c r="Y92" i="5" s="1"/>
  <c r="AA92" i="5" s="1"/>
  <c r="X93" i="5"/>
  <c r="Y93" i="5" s="1"/>
  <c r="AA93" i="5" s="1"/>
  <c r="X94" i="5"/>
  <c r="Y94" i="5" s="1"/>
  <c r="AA94" i="5" s="1"/>
  <c r="X95" i="5"/>
  <c r="Y95" i="5" s="1"/>
  <c r="AA95" i="5" s="1"/>
  <c r="X96" i="5"/>
  <c r="Y96" i="5" s="1"/>
  <c r="AA96" i="5" s="1"/>
  <c r="X97" i="5"/>
  <c r="Y97" i="5" s="1"/>
  <c r="AA97" i="5" s="1"/>
  <c r="X98" i="5"/>
  <c r="Y98" i="5" s="1"/>
  <c r="AA98" i="5" s="1"/>
  <c r="X99" i="5"/>
  <c r="Y99" i="5" s="1"/>
  <c r="AA99" i="5" s="1"/>
  <c r="X100" i="5"/>
  <c r="Y100" i="5" s="1"/>
  <c r="AA100" i="5" s="1"/>
  <c r="X101" i="5"/>
  <c r="Y101" i="5" s="1"/>
  <c r="AA101" i="5" s="1"/>
  <c r="X102" i="5"/>
  <c r="Y102" i="5" s="1"/>
  <c r="AA102" i="5" s="1"/>
  <c r="X103" i="5"/>
  <c r="Y103" i="5" s="1"/>
  <c r="AA103" i="5" s="1"/>
  <c r="X104" i="5"/>
  <c r="Y104" i="5" s="1"/>
  <c r="AA104" i="5" s="1"/>
  <c r="X105" i="5"/>
  <c r="Y105" i="5" s="1"/>
  <c r="AA105" i="5" s="1"/>
  <c r="X106" i="5"/>
  <c r="Y106" i="5" s="1"/>
  <c r="AA106" i="5" s="1"/>
  <c r="X107" i="5"/>
  <c r="Y107" i="5" s="1"/>
  <c r="AA107" i="5" s="1"/>
  <c r="X108" i="5"/>
  <c r="Y108" i="5" s="1"/>
  <c r="AA108" i="5" s="1"/>
  <c r="X109" i="5"/>
  <c r="Y109" i="5" s="1"/>
  <c r="AA109" i="5" s="1"/>
  <c r="X110" i="5"/>
  <c r="Y110" i="5" s="1"/>
  <c r="AA110" i="5" s="1"/>
  <c r="X111" i="5"/>
  <c r="Y111" i="5" s="1"/>
  <c r="AA111" i="5" s="1"/>
  <c r="X112" i="5"/>
  <c r="Y112" i="5" s="1"/>
  <c r="AA112" i="5" s="1"/>
  <c r="X113" i="5"/>
  <c r="Y113" i="5" s="1"/>
  <c r="AA113" i="5" s="1"/>
  <c r="X114" i="5"/>
  <c r="Y114" i="5" s="1"/>
  <c r="AA114" i="5" s="1"/>
  <c r="X115" i="5"/>
  <c r="Y115" i="5" s="1"/>
  <c r="AA115" i="5" s="1"/>
  <c r="X116" i="5"/>
  <c r="Y116" i="5" s="1"/>
  <c r="AA116" i="5" s="1"/>
  <c r="X117" i="5"/>
  <c r="Y117" i="5" s="1"/>
  <c r="AA117" i="5" s="1"/>
  <c r="X118" i="5"/>
  <c r="Y118" i="5" s="1"/>
  <c r="AA118" i="5" s="1"/>
  <c r="X119" i="5"/>
  <c r="Y119" i="5" s="1"/>
  <c r="AA119" i="5" s="1"/>
  <c r="X120" i="5"/>
  <c r="Y120" i="5" s="1"/>
  <c r="AA120" i="5" s="1"/>
  <c r="X121" i="5"/>
  <c r="Y121" i="5" s="1"/>
  <c r="AA121" i="5" s="1"/>
  <c r="X122" i="5"/>
  <c r="Y122" i="5" s="1"/>
  <c r="AA122" i="5" s="1"/>
  <c r="X123" i="5"/>
  <c r="Y123" i="5" s="1"/>
  <c r="AA123" i="5" s="1"/>
  <c r="X124" i="5"/>
  <c r="Y124" i="5" s="1"/>
  <c r="AA124" i="5" s="1"/>
  <c r="X125" i="5"/>
  <c r="Y125" i="5" s="1"/>
  <c r="AA125" i="5" s="1"/>
  <c r="X126" i="5"/>
  <c r="Y126" i="5" s="1"/>
  <c r="AA126" i="5" s="1"/>
  <c r="X127" i="5"/>
  <c r="Y127" i="5" s="1"/>
  <c r="AA127" i="5" s="1"/>
  <c r="X128" i="5"/>
  <c r="Y128" i="5" s="1"/>
  <c r="AA128" i="5" s="1"/>
  <c r="X129" i="5"/>
  <c r="Y129" i="5" s="1"/>
  <c r="AA129" i="5" s="1"/>
  <c r="X130" i="5"/>
  <c r="Y130" i="5" s="1"/>
  <c r="AA130" i="5" s="1"/>
  <c r="X131" i="5"/>
  <c r="Y131" i="5" s="1"/>
  <c r="AA131" i="5" s="1"/>
  <c r="X132" i="5"/>
  <c r="Y132" i="5" s="1"/>
  <c r="AA132" i="5" s="1"/>
  <c r="X133" i="5"/>
  <c r="Y133" i="5" s="1"/>
  <c r="AA133" i="5" s="1"/>
  <c r="X134" i="5"/>
  <c r="Y134" i="5" s="1"/>
  <c r="AA134" i="5" s="1"/>
  <c r="X135" i="5"/>
  <c r="Y135" i="5" s="1"/>
  <c r="AA135" i="5" s="1"/>
  <c r="M24" i="5"/>
  <c r="M26" i="5"/>
  <c r="AC135" i="5"/>
  <c r="AC127" i="5"/>
  <c r="AC119" i="5"/>
  <c r="AC111" i="5"/>
  <c r="AC103" i="5"/>
  <c r="AC95" i="5"/>
  <c r="AC87" i="5"/>
  <c r="AC79" i="5"/>
  <c r="AC71" i="5"/>
  <c r="AC63" i="5"/>
  <c r="AC55" i="5"/>
  <c r="AC47" i="5"/>
  <c r="AC39" i="5"/>
  <c r="AC31" i="5"/>
  <c r="AC23" i="5"/>
  <c r="AC15" i="5"/>
  <c r="AC7" i="5"/>
  <c r="AC134" i="5"/>
  <c r="AC126" i="5"/>
  <c r="AC118" i="5"/>
  <c r="AC110" i="5"/>
  <c r="AC102" i="5"/>
  <c r="AC94" i="5"/>
  <c r="AC86" i="5"/>
  <c r="AC78" i="5"/>
  <c r="AC70" i="5"/>
  <c r="AC62" i="5"/>
  <c r="AC54" i="5"/>
  <c r="AC46" i="5"/>
  <c r="AC38" i="5"/>
  <c r="AC30" i="5"/>
  <c r="AC22" i="5"/>
  <c r="AC14" i="5"/>
  <c r="AC6" i="5"/>
  <c r="AC133" i="5"/>
  <c r="AC125" i="5"/>
  <c r="AC117" i="5"/>
  <c r="AC109" i="5"/>
  <c r="AC101" i="5"/>
  <c r="AC93" i="5"/>
  <c r="AC85" i="5"/>
  <c r="AC77" i="5"/>
  <c r="AC69" i="5"/>
  <c r="AC61" i="5"/>
  <c r="AC53" i="5"/>
  <c r="AC45" i="5"/>
  <c r="AC37" i="5"/>
  <c r="AC29" i="5"/>
  <c r="AC21" i="5"/>
  <c r="AC13" i="5"/>
  <c r="AC5" i="5"/>
  <c r="AC132" i="5"/>
  <c r="AC124" i="5"/>
  <c r="AC116" i="5"/>
  <c r="AC108" i="5"/>
  <c r="AC100" i="5"/>
  <c r="AC92" i="5"/>
  <c r="AC84" i="5"/>
  <c r="AC76" i="5"/>
  <c r="AC68" i="5"/>
  <c r="AC60" i="5"/>
  <c r="AC52" i="5"/>
  <c r="AC44" i="5"/>
  <c r="AC36" i="5"/>
  <c r="AC28" i="5"/>
  <c r="AC20" i="5"/>
  <c r="AC12" i="5"/>
  <c r="AC4" i="5"/>
  <c r="AC131" i="5"/>
  <c r="AC123" i="5"/>
  <c r="AC115" i="5"/>
  <c r="AC107" i="5"/>
  <c r="AC99" i="5"/>
  <c r="AC91" i="5"/>
  <c r="AC83" i="5"/>
  <c r="AC75" i="5"/>
  <c r="AC67" i="5"/>
  <c r="AC59" i="5"/>
  <c r="AC51" i="5"/>
  <c r="AC43" i="5"/>
  <c r="AC35" i="5"/>
  <c r="AC27" i="5"/>
  <c r="AC19" i="5"/>
  <c r="AC11" i="5"/>
  <c r="AC130" i="5"/>
  <c r="AC122" i="5"/>
  <c r="AC114" i="5"/>
  <c r="AC106" i="5"/>
  <c r="AC98" i="5"/>
  <c r="AC90" i="5"/>
  <c r="AC82" i="5"/>
  <c r="AC74" i="5"/>
  <c r="AC66" i="5"/>
  <c r="AC58" i="5"/>
  <c r="AC50" i="5"/>
  <c r="AC42" i="5"/>
  <c r="AC34" i="5"/>
  <c r="AC26" i="5"/>
  <c r="AC18" i="5"/>
  <c r="AC10" i="5"/>
  <c r="AC129" i="5"/>
  <c r="AC121" i="5"/>
  <c r="AC113" i="5"/>
  <c r="AC105" i="5"/>
  <c r="AC97" i="5"/>
  <c r="AC89" i="5"/>
  <c r="AC81" i="5"/>
  <c r="AC73" i="5"/>
  <c r="AC65" i="5"/>
  <c r="AC57" i="5"/>
  <c r="AC49" i="5"/>
  <c r="AC41" i="5"/>
  <c r="AC33" i="5"/>
  <c r="AC25" i="5"/>
  <c r="AC17" i="5"/>
  <c r="AC9" i="5"/>
  <c r="AC128" i="5"/>
  <c r="AC120" i="5"/>
  <c r="AC112" i="5"/>
  <c r="AC104" i="5"/>
  <c r="AC96" i="5"/>
  <c r="AC88" i="5"/>
  <c r="AC80" i="5"/>
  <c r="AC72" i="5"/>
  <c r="AC64" i="5"/>
  <c r="AC56" i="5"/>
  <c r="AC48" i="5"/>
  <c r="AC40" i="5"/>
  <c r="AC32" i="5"/>
  <c r="AC24" i="5"/>
  <c r="AC16" i="5"/>
  <c r="AC8" i="5"/>
  <c r="AC3" i="5"/>
  <c r="X62" i="1" l="1"/>
  <c r="X55" i="1"/>
  <c r="X46" i="1"/>
  <c r="X374" i="1"/>
  <c r="X342" i="1"/>
  <c r="X333" i="1"/>
  <c r="X117" i="1"/>
  <c r="X255" i="1"/>
  <c r="X100" i="1"/>
  <c r="Y460" i="1"/>
  <c r="X84" i="1"/>
  <c r="Y68" i="1"/>
  <c r="X412" i="1"/>
  <c r="Y973" i="1"/>
  <c r="X180" i="1"/>
  <c r="Y300" i="1"/>
  <c r="X956" i="1"/>
  <c r="Y780" i="1"/>
  <c r="Y132" i="1"/>
  <c r="Y716" i="1"/>
  <c r="X692" i="1"/>
  <c r="X348" i="1"/>
  <c r="X52" i="1"/>
  <c r="X244" i="1"/>
  <c r="Y540" i="1"/>
  <c r="X212" i="1"/>
  <c r="Y116" i="1"/>
  <c r="Y136" i="1"/>
  <c r="X789" i="1"/>
  <c r="Y294" i="1"/>
  <c r="Y823" i="1"/>
  <c r="Y293" i="1"/>
  <c r="X1053" i="1"/>
  <c r="Y391" i="1"/>
  <c r="X867" i="1"/>
  <c r="X581" i="1"/>
  <c r="X1047" i="1"/>
  <c r="Y265" i="1"/>
  <c r="X311" i="1"/>
  <c r="Y256" i="1"/>
  <c r="X307" i="1"/>
  <c r="X169" i="1"/>
  <c r="X426" i="1"/>
  <c r="X82" i="1"/>
  <c r="Y326" i="1"/>
  <c r="X278" i="1"/>
  <c r="X209" i="1"/>
  <c r="Y78" i="1"/>
  <c r="X345" i="1"/>
  <c r="X395" i="1"/>
  <c r="X187" i="1"/>
  <c r="Y80" i="1"/>
  <c r="Y707" i="1"/>
  <c r="X451" i="1"/>
  <c r="Y240" i="1"/>
  <c r="X31" i="1"/>
  <c r="Y539" i="1"/>
  <c r="Y538" i="1"/>
  <c r="Y419" i="1"/>
  <c r="Y299" i="1"/>
  <c r="Y753" i="1"/>
  <c r="X648" i="1"/>
  <c r="X474" i="1"/>
  <c r="X251" i="1"/>
  <c r="Y192" i="1"/>
  <c r="Y75" i="1"/>
  <c r="X514" i="1"/>
  <c r="X657" i="1"/>
  <c r="X320" i="1"/>
  <c r="X27" i="1"/>
  <c r="Y475" i="1"/>
  <c r="X330" i="1"/>
  <c r="X954" i="1"/>
  <c r="Y457" i="1"/>
  <c r="Y313" i="1"/>
  <c r="Y243" i="1"/>
  <c r="X163" i="1"/>
  <c r="X830" i="1"/>
  <c r="Y122" i="1"/>
  <c r="Y560" i="1"/>
  <c r="Y561" i="1"/>
  <c r="X367" i="1"/>
  <c r="X162" i="1"/>
  <c r="Y979" i="1"/>
  <c r="X638" i="1"/>
  <c r="Y927" i="1"/>
  <c r="Y676" i="1"/>
  <c r="X480" i="1"/>
  <c r="Y361" i="1"/>
  <c r="Y301" i="1"/>
  <c r="X281" i="1"/>
  <c r="X218" i="1"/>
  <c r="Y49" i="1"/>
  <c r="X26" i="1"/>
  <c r="X1049" i="1"/>
  <c r="X270" i="1"/>
  <c r="X986" i="1"/>
  <c r="Y903" i="1"/>
  <c r="X661" i="1"/>
  <c r="X543" i="1"/>
  <c r="Y477" i="1"/>
  <c r="Y352" i="1"/>
  <c r="X279" i="1"/>
  <c r="X250" i="1"/>
  <c r="X145" i="1"/>
  <c r="X103" i="1"/>
  <c r="X25" i="1"/>
  <c r="X957" i="1"/>
  <c r="Y1010" i="1"/>
  <c r="X724" i="1"/>
  <c r="Y392" i="1"/>
  <c r="Y17" i="1"/>
  <c r="X721" i="1"/>
  <c r="Y674" i="1"/>
  <c r="X572" i="1"/>
  <c r="X425" i="1"/>
  <c r="Y394" i="1"/>
  <c r="X416" i="1"/>
  <c r="X135" i="1"/>
  <c r="X1046" i="1"/>
  <c r="X851" i="1"/>
  <c r="Y1287" i="1"/>
  <c r="X555" i="1"/>
  <c r="Y447" i="1"/>
  <c r="Y999" i="1"/>
  <c r="X787" i="1"/>
  <c r="X720" i="1"/>
  <c r="Y517" i="1"/>
  <c r="X188" i="1"/>
  <c r="Y1258" i="1"/>
  <c r="Y971" i="1"/>
  <c r="X363" i="1"/>
  <c r="X735" i="1"/>
  <c r="Y306" i="1"/>
  <c r="Y205" i="1"/>
  <c r="Y1008" i="1"/>
  <c r="X922" i="1"/>
  <c r="X611" i="1"/>
  <c r="X228" i="1"/>
  <c r="Y128" i="1"/>
  <c r="Y1083" i="1"/>
  <c r="X772" i="1"/>
  <c r="Y1092" i="1"/>
  <c r="X465" i="1"/>
  <c r="X388" i="1"/>
  <c r="X314" i="1"/>
  <c r="Y258" i="1"/>
  <c r="X204" i="1"/>
  <c r="X19" i="1"/>
  <c r="X546" i="1"/>
  <c r="X516" i="1"/>
  <c r="Y948" i="1"/>
  <c r="X1099" i="1"/>
  <c r="Y698" i="1"/>
  <c r="Y968" i="1"/>
  <c r="X760" i="1"/>
  <c r="Y626" i="1"/>
  <c r="X1293" i="1"/>
  <c r="Y845" i="1"/>
  <c r="X96" i="1"/>
  <c r="X41" i="1"/>
  <c r="X1112" i="1"/>
  <c r="X994" i="1"/>
  <c r="Y966" i="1"/>
  <c r="X826" i="1"/>
  <c r="Y587" i="1"/>
  <c r="Y553" i="1"/>
  <c r="Y511" i="1"/>
  <c r="Y432" i="1"/>
  <c r="X355" i="1"/>
  <c r="X339" i="1"/>
  <c r="X304" i="1"/>
  <c r="Y290" i="1"/>
  <c r="X249" i="1"/>
  <c r="X184" i="1"/>
  <c r="X121" i="1"/>
  <c r="Y93" i="1"/>
  <c r="Y50" i="1"/>
  <c r="X1028" i="1"/>
  <c r="Y1071" i="1"/>
  <c r="X988" i="1"/>
  <c r="X915" i="1"/>
  <c r="X501" i="1"/>
  <c r="X410" i="1"/>
  <c r="Y225" i="1"/>
  <c r="Y193" i="1"/>
  <c r="Y76" i="1"/>
  <c r="X35" i="1"/>
  <c r="X951" i="1"/>
  <c r="X264" i="1"/>
  <c r="Y233" i="1"/>
  <c r="X53" i="1"/>
  <c r="Y1306" i="1"/>
  <c r="X1138" i="1"/>
  <c r="X1096" i="1"/>
  <c r="X1082" i="1"/>
  <c r="X1069" i="1"/>
  <c r="X888" i="1"/>
  <c r="X792" i="1"/>
  <c r="X643" i="1"/>
  <c r="X305" i="1"/>
  <c r="X149" i="1"/>
  <c r="Y126" i="1"/>
  <c r="X1144" i="1"/>
  <c r="X1105" i="1"/>
  <c r="X446" i="1"/>
  <c r="Y940" i="1"/>
  <c r="X841" i="1"/>
  <c r="X791" i="1"/>
  <c r="X591" i="1"/>
  <c r="Y577" i="1"/>
  <c r="X536" i="1"/>
  <c r="X73" i="1"/>
  <c r="X29" i="1"/>
  <c r="X1238" i="1"/>
  <c r="X1117" i="1"/>
  <c r="X896" i="1"/>
  <c r="Y719" i="1"/>
  <c r="X362" i="1"/>
  <c r="X325" i="1"/>
  <c r="X310" i="1"/>
  <c r="Y289" i="1"/>
  <c r="X274" i="1"/>
  <c r="X260" i="1"/>
  <c r="Y222" i="1"/>
  <c r="X154" i="1"/>
  <c r="X42" i="1"/>
  <c r="X13" i="1"/>
  <c r="Y1179" i="1"/>
  <c r="X895" i="1"/>
  <c r="X741" i="1"/>
  <c r="Y1095" i="1"/>
  <c r="Y1137" i="1"/>
  <c r="X1081" i="1"/>
  <c r="X275" i="1"/>
  <c r="X59" i="1"/>
  <c r="X996" i="1"/>
  <c r="X804" i="1"/>
  <c r="Y656" i="1"/>
  <c r="X499" i="1"/>
  <c r="Y1248" i="1"/>
  <c r="X1189" i="1"/>
  <c r="Y1162" i="1"/>
  <c r="Y1149" i="1"/>
  <c r="Y1074" i="1"/>
  <c r="Y1039" i="1"/>
  <c r="Y959" i="1"/>
  <c r="Y947" i="1"/>
  <c r="X907" i="1"/>
  <c r="Y881" i="1"/>
  <c r="X764" i="1"/>
  <c r="Y740" i="1"/>
  <c r="Y703" i="1"/>
  <c r="X666" i="1"/>
  <c r="Y636" i="1"/>
  <c r="Y522" i="1"/>
  <c r="X494" i="1"/>
  <c r="X470" i="1"/>
  <c r="X438" i="1"/>
  <c r="X414" i="1"/>
  <c r="Y356" i="1"/>
  <c r="X332" i="1"/>
  <c r="Y317" i="1"/>
  <c r="Y284" i="1"/>
  <c r="Y254" i="1"/>
  <c r="X232" i="1"/>
  <c r="Y215" i="1"/>
  <c r="Y202" i="1"/>
  <c r="X168" i="1"/>
  <c r="Y141" i="1"/>
  <c r="Y28" i="1"/>
  <c r="X952" i="1"/>
  <c r="Y908" i="1"/>
  <c r="X738" i="1"/>
  <c r="X569" i="1"/>
  <c r="X562" i="1"/>
  <c r="X556" i="1"/>
  <c r="Y527" i="1"/>
  <c r="X498" i="1"/>
  <c r="X376" i="1"/>
  <c r="Y295" i="1"/>
  <c r="X167" i="1"/>
  <c r="X1280" i="1"/>
  <c r="X1286" i="1"/>
  <c r="X1237" i="1"/>
  <c r="X1185" i="1"/>
  <c r="Y991" i="1"/>
  <c r="X779" i="1"/>
  <c r="Y585" i="1"/>
  <c r="X1109" i="1"/>
  <c r="X982" i="1"/>
  <c r="X1127" i="1"/>
  <c r="Y1013" i="1"/>
  <c r="X945" i="1"/>
  <c r="X879" i="1"/>
  <c r="Y818" i="1"/>
  <c r="Y761" i="1"/>
  <c r="X734" i="1"/>
  <c r="Y578" i="1"/>
  <c r="Y519" i="1"/>
  <c r="X484" i="1"/>
  <c r="X454" i="1"/>
  <c r="Y399" i="1"/>
  <c r="Y296" i="1"/>
  <c r="X252" i="1"/>
  <c r="X229" i="1"/>
  <c r="Y88" i="1"/>
  <c r="Y4" i="1"/>
  <c r="Y1038" i="1"/>
  <c r="X853" i="1"/>
  <c r="X767" i="1"/>
  <c r="X633" i="1"/>
  <c r="X620" i="1"/>
  <c r="X568" i="1"/>
  <c r="Y404" i="1"/>
  <c r="X353" i="1"/>
  <c r="X94" i="1"/>
  <c r="X3" i="1"/>
  <c r="Y1292" i="1"/>
  <c r="Y1249" i="1"/>
  <c r="Y1184" i="1"/>
  <c r="Y848" i="1"/>
  <c r="X621" i="1"/>
  <c r="X1242" i="1"/>
  <c r="X1194" i="1"/>
  <c r="X1119" i="1"/>
  <c r="Y1065" i="1"/>
  <c r="Y904" i="1"/>
  <c r="Y725" i="1"/>
  <c r="X702" i="1"/>
  <c r="X630" i="1"/>
  <c r="X548" i="1"/>
  <c r="X469" i="1"/>
  <c r="X198" i="1"/>
  <c r="X186" i="1"/>
  <c r="X1078" i="1"/>
  <c r="Y1064" i="1"/>
  <c r="X1050" i="1"/>
  <c r="X1044" i="1"/>
  <c r="X1022" i="1"/>
  <c r="X993" i="1"/>
  <c r="X980" i="1"/>
  <c r="X831" i="1"/>
  <c r="X817" i="1"/>
  <c r="Y639" i="1"/>
  <c r="Y337" i="1"/>
  <c r="X108" i="1"/>
  <c r="Y1080" i="1"/>
  <c r="X1080" i="1"/>
  <c r="Y925" i="1"/>
  <c r="X925" i="1"/>
  <c r="X829" i="1"/>
  <c r="Y829" i="1"/>
  <c r="X688" i="1"/>
  <c r="Y688" i="1"/>
  <c r="Y642" i="1"/>
  <c r="X642" i="1"/>
  <c r="X402" i="1"/>
  <c r="Y402" i="1"/>
  <c r="Y372" i="1"/>
  <c r="X372" i="1"/>
  <c r="Y551" i="1"/>
  <c r="X551" i="1"/>
  <c r="X486" i="1"/>
  <c r="Y486" i="1"/>
  <c r="Y430" i="1"/>
  <c r="X430" i="1"/>
  <c r="X893" i="1"/>
  <c r="Y576" i="1"/>
  <c r="X576" i="1"/>
  <c r="X429" i="1"/>
  <c r="Y429" i="1"/>
  <c r="X1043" i="1"/>
  <c r="Y1043" i="1"/>
  <c r="Y1023" i="1"/>
  <c r="X1023" i="1"/>
  <c r="Y938" i="1"/>
  <c r="X938" i="1"/>
  <c r="X840" i="1"/>
  <c r="Y840" i="1"/>
  <c r="Y796" i="1"/>
  <c r="X796" i="1"/>
  <c r="Y717" i="1"/>
  <c r="X717" i="1"/>
  <c r="Y647" i="1"/>
  <c r="X647" i="1"/>
  <c r="Y583" i="1"/>
  <c r="X583" i="1"/>
  <c r="Y492" i="1"/>
  <c r="X492" i="1"/>
  <c r="X444" i="1"/>
  <c r="Y444" i="1"/>
  <c r="X965" i="1"/>
  <c r="Y965" i="1"/>
  <c r="Y898" i="1"/>
  <c r="X898" i="1"/>
  <c r="Y852" i="1"/>
  <c r="X852" i="1"/>
  <c r="X803" i="1"/>
  <c r="Y803" i="1"/>
  <c r="Y744" i="1"/>
  <c r="X744" i="1"/>
  <c r="Y590" i="1"/>
  <c r="X590" i="1"/>
  <c r="X1272" i="1"/>
  <c r="X1251" i="1"/>
  <c r="Y1251" i="1"/>
  <c r="X1135" i="1"/>
  <c r="Y1135" i="1"/>
  <c r="Y784" i="1"/>
  <c r="X784" i="1"/>
  <c r="X1297" i="1"/>
  <c r="Y1217" i="1"/>
  <c r="X1217" i="1"/>
  <c r="Y1198" i="1"/>
  <c r="X795" i="1"/>
  <c r="Y795" i="1"/>
  <c r="X471" i="1"/>
  <c r="X1055" i="1"/>
  <c r="Y1048" i="1"/>
  <c r="X1048" i="1"/>
  <c r="Y1036" i="1"/>
  <c r="X998" i="1"/>
  <c r="Y998" i="1"/>
  <c r="X964" i="1"/>
  <c r="Y964" i="1"/>
  <c r="X950" i="1"/>
  <c r="Y950" i="1"/>
  <c r="X912" i="1"/>
  <c r="Y912" i="1"/>
  <c r="Y743" i="1"/>
  <c r="X743" i="1"/>
  <c r="Y660" i="1"/>
  <c r="X660" i="1"/>
  <c r="X512" i="1"/>
  <c r="Y512" i="1"/>
  <c r="Y450" i="1"/>
  <c r="X450" i="1"/>
  <c r="X1265" i="1"/>
  <c r="Y1265" i="1"/>
  <c r="X1212" i="1"/>
  <c r="Y1296" i="1"/>
  <c r="X1296" i="1"/>
  <c r="Y1148" i="1"/>
  <c r="X1086" i="1"/>
  <c r="Y776" i="1"/>
  <c r="X776" i="1"/>
  <c r="X1192" i="1"/>
  <c r="X785" i="1"/>
  <c r="X1216" i="1"/>
  <c r="Y1216" i="1"/>
  <c r="X1204" i="1"/>
  <c r="Y1172" i="1"/>
  <c r="X1030" i="1"/>
  <c r="Y1300" i="1"/>
  <c r="X1300" i="1"/>
  <c r="X1261" i="1"/>
  <c r="Y1255" i="1"/>
  <c r="X1255" i="1"/>
  <c r="Y1208" i="1"/>
  <c r="Y1202" i="1"/>
  <c r="X1202" i="1"/>
  <c r="Y1164" i="1"/>
  <c r="X1164" i="1"/>
  <c r="X1131" i="1"/>
  <c r="Y1131" i="1"/>
  <c r="Y722" i="1"/>
  <c r="Y612" i="1"/>
  <c r="Y518" i="1"/>
  <c r="X409" i="1"/>
  <c r="Y659" i="1"/>
  <c r="X659" i="1"/>
  <c r="Y625" i="1"/>
  <c r="Y603" i="1"/>
  <c r="X603" i="1"/>
  <c r="Y532" i="1"/>
  <c r="X532" i="1"/>
  <c r="Y525" i="1"/>
  <c r="X525" i="1"/>
  <c r="Y329" i="1"/>
  <c r="X329" i="1"/>
  <c r="Y322" i="1"/>
  <c r="X322" i="1"/>
  <c r="Y1235" i="1"/>
  <c r="X1235" i="1"/>
  <c r="Y1176" i="1"/>
  <c r="X1176" i="1"/>
  <c r="Y1187" i="1"/>
  <c r="X1187" i="1"/>
  <c r="X770" i="1"/>
  <c r="Y770" i="1"/>
  <c r="Y1024" i="1"/>
  <c r="X1024" i="1"/>
  <c r="X1017" i="1"/>
  <c r="Y1017" i="1"/>
  <c r="Y1252" i="1"/>
  <c r="X1262" i="1"/>
  <c r="X1232" i="1"/>
  <c r="Y1120" i="1"/>
  <c r="X1223" i="1"/>
  <c r="Y1223" i="1"/>
  <c r="Y1165" i="1"/>
  <c r="X1165" i="1"/>
  <c r="Y1299" i="1"/>
  <c r="X1299" i="1"/>
  <c r="Y1266" i="1"/>
  <c r="X1266" i="1"/>
  <c r="X1087" i="1"/>
  <c r="Y1087" i="1"/>
  <c r="Y1060" i="1"/>
  <c r="X1060" i="1"/>
  <c r="Y997" i="1"/>
  <c r="X997" i="1"/>
  <c r="Y970" i="1"/>
  <c r="X970" i="1"/>
  <c r="Y822" i="1"/>
  <c r="X822" i="1"/>
  <c r="Y757" i="1"/>
  <c r="X757" i="1"/>
  <c r="Y749" i="1"/>
  <c r="X749" i="1"/>
  <c r="X637" i="1"/>
  <c r="Y637" i="1"/>
  <c r="Y464" i="1"/>
  <c r="X464" i="1"/>
  <c r="Y343" i="1"/>
  <c r="X343" i="1"/>
  <c r="Y217" i="1"/>
  <c r="X217" i="1"/>
  <c r="Y237" i="1"/>
  <c r="X237" i="1"/>
  <c r="Y223" i="1"/>
  <c r="X223" i="1"/>
  <c r="Y69" i="1"/>
  <c r="X69" i="1"/>
  <c r="X415" i="1"/>
  <c r="Y415" i="1"/>
  <c r="Y321" i="1"/>
  <c r="X321" i="1"/>
  <c r="X280" i="1"/>
  <c r="Y238" i="1"/>
  <c r="X173" i="1"/>
  <c r="Y140" i="1"/>
  <c r="X112" i="1"/>
  <c r="X98" i="1"/>
  <c r="Y1059" i="1"/>
  <c r="X1059" i="1"/>
  <c r="X1041" i="1"/>
  <c r="Y1041" i="1"/>
  <c r="X857" i="1"/>
  <c r="X833" i="1"/>
  <c r="X762" i="1"/>
  <c r="Y665" i="1"/>
  <c r="Y595" i="1"/>
  <c r="X595" i="1"/>
  <c r="Y434" i="1"/>
  <c r="X434" i="1"/>
  <c r="Y421" i="1"/>
  <c r="X421" i="1"/>
  <c r="Y385" i="1"/>
  <c r="X371" i="1"/>
  <c r="X172" i="1"/>
  <c r="X153" i="1"/>
  <c r="Y89" i="1"/>
  <c r="X89" i="1"/>
  <c r="Y872" i="1"/>
  <c r="Y843" i="1"/>
  <c r="X843" i="1"/>
  <c r="Y827" i="1"/>
  <c r="X800" i="1"/>
  <c r="X781" i="1"/>
  <c r="Y781" i="1"/>
  <c r="Y708" i="1"/>
  <c r="X677" i="1"/>
  <c r="X652" i="1"/>
  <c r="Y646" i="1"/>
  <c r="Y641" i="1"/>
  <c r="X550" i="1"/>
  <c r="X504" i="1"/>
  <c r="Y449" i="1"/>
  <c r="X435" i="1"/>
  <c r="X157" i="1"/>
  <c r="Y130" i="1"/>
  <c r="X130" i="1"/>
  <c r="X106" i="1"/>
  <c r="Y1146" i="1"/>
  <c r="Y1123" i="1"/>
  <c r="Y871" i="1"/>
  <c r="X813" i="1"/>
  <c r="X783" i="1"/>
  <c r="X769" i="1"/>
  <c r="X441" i="1"/>
  <c r="Y344" i="1"/>
  <c r="Y327" i="1"/>
  <c r="Y199" i="1"/>
  <c r="Y178" i="1"/>
  <c r="Y124" i="1"/>
  <c r="Y105" i="1"/>
  <c r="X54" i="1"/>
  <c r="X1058" i="1"/>
  <c r="Y949" i="1"/>
  <c r="X949" i="1"/>
  <c r="Y930" i="1"/>
  <c r="X916" i="1"/>
  <c r="Y916" i="1"/>
  <c r="X885" i="1"/>
  <c r="Y869" i="1"/>
  <c r="X869" i="1"/>
  <c r="X844" i="1"/>
  <c r="X748" i="1"/>
  <c r="Y670" i="1"/>
  <c r="X490" i="1"/>
  <c r="X483" i="1"/>
  <c r="X448" i="1"/>
  <c r="X176" i="1"/>
  <c r="X150" i="1"/>
  <c r="Y150" i="1"/>
  <c r="Y336" i="1"/>
  <c r="Y1084" i="1"/>
  <c r="X839" i="1"/>
  <c r="X1283" i="1"/>
  <c r="Y1205" i="1"/>
  <c r="X1191" i="1"/>
  <c r="X1175" i="1"/>
  <c r="X1128" i="1"/>
  <c r="X1113" i="1"/>
  <c r="Y1021" i="1"/>
  <c r="Y782" i="1"/>
  <c r="Y686" i="1"/>
  <c r="X542" i="1"/>
  <c r="Y420" i="1"/>
  <c r="X266" i="1"/>
  <c r="X221" i="1"/>
  <c r="X208" i="1"/>
  <c r="Y164" i="1"/>
  <c r="Y139" i="1"/>
  <c r="Y90" i="1"/>
  <c r="Y63" i="1"/>
  <c r="X12" i="1"/>
  <c r="Y1007" i="1"/>
  <c r="X1001" i="1"/>
  <c r="X961" i="1"/>
  <c r="Y942" i="1"/>
  <c r="Y924" i="1"/>
  <c r="X917" i="1"/>
  <c r="X902" i="1"/>
  <c r="X889" i="1"/>
  <c r="X876" i="1"/>
  <c r="Y805" i="1"/>
  <c r="Y712" i="1"/>
  <c r="X706" i="1"/>
  <c r="X690" i="1"/>
  <c r="Y690" i="1"/>
  <c r="Y508" i="1"/>
  <c r="Y495" i="1"/>
  <c r="X495" i="1"/>
  <c r="X489" i="1"/>
  <c r="X468" i="1"/>
  <c r="X453" i="1"/>
  <c r="Y439" i="1"/>
  <c r="X439" i="1"/>
  <c r="Y213" i="1"/>
  <c r="X197" i="1"/>
  <c r="Y182" i="1"/>
  <c r="X182" i="1"/>
  <c r="X38" i="1"/>
  <c r="Y1269" i="1"/>
  <c r="Y1254" i="1"/>
  <c r="Y1228" i="1"/>
  <c r="Y1209" i="1"/>
  <c r="Y1195" i="1"/>
  <c r="Y1158" i="1"/>
  <c r="Y1134" i="1"/>
  <c r="Y1040" i="1"/>
  <c r="Y870" i="1"/>
  <c r="X651" i="1"/>
  <c r="Y616" i="1"/>
  <c r="X503" i="1"/>
  <c r="Y485" i="1"/>
  <c r="Y400" i="1"/>
  <c r="X246" i="1"/>
  <c r="X177" i="1"/>
  <c r="X30" i="1"/>
  <c r="X1032" i="1"/>
  <c r="Y1027" i="1"/>
  <c r="X1012" i="1"/>
  <c r="X1006" i="1"/>
  <c r="X967" i="1"/>
  <c r="Y934" i="1"/>
  <c r="X934" i="1"/>
  <c r="Y929" i="1"/>
  <c r="X861" i="1"/>
  <c r="Y739" i="1"/>
  <c r="X697" i="1"/>
  <c r="Y697" i="1"/>
  <c r="X599" i="1"/>
  <c r="X573" i="1"/>
  <c r="X541" i="1"/>
  <c r="X535" i="1"/>
  <c r="Y526" i="1"/>
  <c r="X526" i="1"/>
  <c r="X507" i="1"/>
  <c r="X331" i="1"/>
  <c r="X248" i="1"/>
  <c r="Y203" i="1"/>
  <c r="X203" i="1"/>
  <c r="Y79" i="1"/>
  <c r="X64" i="1"/>
  <c r="X43" i="1"/>
  <c r="Y8" i="1"/>
  <c r="X709" i="1"/>
  <c r="X634" i="1"/>
  <c r="X607" i="1"/>
  <c r="AD3" i="5"/>
  <c r="AD8" i="5"/>
  <c r="AD16" i="5"/>
  <c r="AD24" i="5"/>
  <c r="AD32" i="5"/>
  <c r="AD40" i="5"/>
  <c r="AD48" i="5"/>
  <c r="AD56" i="5"/>
  <c r="AD64" i="5"/>
  <c r="AD72" i="5"/>
  <c r="AD80" i="5"/>
  <c r="AD88" i="5"/>
  <c r="AD96" i="5"/>
  <c r="AD104" i="5"/>
  <c r="AD112" i="5"/>
  <c r="AD120" i="5"/>
  <c r="AD128" i="5"/>
  <c r="AD9" i="5"/>
  <c r="AD17" i="5"/>
  <c r="AD25" i="5"/>
  <c r="AD33" i="5"/>
  <c r="AD41" i="5"/>
  <c r="AD49" i="5"/>
  <c r="AD57" i="5"/>
  <c r="AD65" i="5"/>
  <c r="AD73" i="5"/>
  <c r="AD81" i="5"/>
  <c r="AD89" i="5"/>
  <c r="AD97" i="5"/>
  <c r="AD105" i="5"/>
  <c r="AD113" i="5"/>
  <c r="AD121" i="5"/>
  <c r="AD129" i="5"/>
  <c r="AD10" i="5"/>
  <c r="AD18" i="5"/>
  <c r="AD26" i="5"/>
  <c r="AD34" i="5"/>
  <c r="AD42" i="5"/>
  <c r="AD50" i="5"/>
  <c r="AD58" i="5"/>
  <c r="AD66" i="5"/>
  <c r="AD74" i="5"/>
  <c r="AD82" i="5"/>
  <c r="AD90" i="5"/>
  <c r="AD98" i="5"/>
  <c r="AD106" i="5"/>
  <c r="AD114" i="5"/>
  <c r="AD122" i="5"/>
  <c r="AD130" i="5"/>
  <c r="AD11" i="5"/>
  <c r="AD19" i="5"/>
  <c r="AD27" i="5"/>
  <c r="AD35" i="5"/>
  <c r="AD43" i="5"/>
  <c r="AD51" i="5"/>
  <c r="AD59" i="5"/>
  <c r="AD67" i="5"/>
  <c r="AD75" i="5"/>
  <c r="AD83" i="5"/>
  <c r="AD91" i="5"/>
  <c r="AD99" i="5"/>
  <c r="AD107" i="5"/>
  <c r="AD115" i="5"/>
  <c r="AD123" i="5"/>
  <c r="AD131" i="5"/>
  <c r="AD4" i="5"/>
  <c r="AD12" i="5"/>
  <c r="AD20" i="5"/>
  <c r="AD28" i="5"/>
  <c r="AD36" i="5"/>
  <c r="AD44" i="5"/>
  <c r="AD52" i="5"/>
  <c r="AD60" i="5"/>
  <c r="AD68" i="5"/>
  <c r="AD76" i="5"/>
  <c r="AD84" i="5"/>
  <c r="AD92" i="5"/>
  <c r="AD100" i="5"/>
  <c r="AD108" i="5"/>
  <c r="AD116" i="5"/>
  <c r="AD124" i="5"/>
  <c r="AD132" i="5"/>
  <c r="AD5" i="5"/>
  <c r="AD13" i="5"/>
  <c r="AD21" i="5"/>
  <c r="AD29" i="5"/>
  <c r="AD37" i="5"/>
  <c r="AD45" i="5"/>
  <c r="AD53" i="5"/>
  <c r="AD61" i="5"/>
  <c r="AD69" i="5"/>
  <c r="AD77" i="5"/>
  <c r="AD85" i="5"/>
  <c r="AD93" i="5"/>
  <c r="AD101" i="5"/>
  <c r="AD109" i="5"/>
  <c r="AD117" i="5"/>
  <c r="AD125" i="5"/>
  <c r="AD133" i="5"/>
  <c r="AD6" i="5"/>
  <c r="AD14" i="5"/>
  <c r="AD22" i="5"/>
  <c r="AD30" i="5"/>
  <c r="AD38" i="5"/>
  <c r="AD46" i="5"/>
  <c r="AD54" i="5"/>
  <c r="AD62" i="5"/>
  <c r="AD70" i="5"/>
  <c r="AD78" i="5"/>
  <c r="AD86" i="5"/>
  <c r="AD94" i="5"/>
  <c r="AD102" i="5"/>
  <c r="AD110" i="5"/>
  <c r="AD118" i="5"/>
  <c r="AD126" i="5"/>
  <c r="AD134" i="5"/>
  <c r="AD7" i="5"/>
  <c r="AD15" i="5"/>
  <c r="AD23" i="5"/>
  <c r="AD31" i="5"/>
  <c r="AD39" i="5"/>
  <c r="AD47" i="5"/>
  <c r="AD55" i="5"/>
  <c r="AD63" i="5"/>
  <c r="AD71" i="5"/>
  <c r="AD79" i="5"/>
  <c r="AD87" i="5"/>
  <c r="AD95" i="5"/>
  <c r="AD103" i="5"/>
  <c r="AD111" i="5"/>
  <c r="AD119" i="5"/>
  <c r="AD127" i="5"/>
  <c r="AD135" i="5"/>
  <c r="Y1291" i="1"/>
  <c r="X1291" i="1"/>
  <c r="X1271" i="1"/>
  <c r="Y1271" i="1"/>
  <c r="Y1247" i="1"/>
  <c r="X1247" i="1"/>
  <c r="Y1163" i="1"/>
  <c r="X1163" i="1"/>
  <c r="X1301" i="1"/>
  <c r="Y1301" i="1"/>
  <c r="X1256" i="1"/>
  <c r="Y1256" i="1"/>
  <c r="X1233" i="1"/>
  <c r="Y1233" i="1"/>
  <c r="X1178" i="1"/>
  <c r="Y1178" i="1"/>
  <c r="Y1174" i="1"/>
  <c r="X1174" i="1"/>
  <c r="Y1160" i="1"/>
  <c r="X1160" i="1"/>
  <c r="Y1133" i="1"/>
  <c r="X1133" i="1"/>
  <c r="Y1068" i="1"/>
  <c r="X1068" i="1"/>
  <c r="Y1000" i="1"/>
  <c r="X1000" i="1"/>
  <c r="Y810" i="1"/>
  <c r="X810" i="1"/>
  <c r="Y1103" i="1"/>
  <c r="X1103" i="1"/>
  <c r="Y987" i="1"/>
  <c r="X987" i="1"/>
  <c r="X1305" i="1"/>
  <c r="X1270" i="1"/>
  <c r="Y1270" i="1"/>
  <c r="Y1142" i="1"/>
  <c r="X1142" i="1"/>
  <c r="X816" i="1"/>
  <c r="Y816" i="1"/>
  <c r="Y1281" i="1"/>
  <c r="X1281" i="1"/>
  <c r="Y1260" i="1"/>
  <c r="X1260" i="1"/>
  <c r="X1226" i="1"/>
  <c r="Y1226" i="1"/>
  <c r="X1201" i="1"/>
  <c r="Y1201" i="1"/>
  <c r="Y1136" i="1"/>
  <c r="X1136" i="1"/>
  <c r="X1073" i="1"/>
  <c r="Y1073" i="1"/>
  <c r="Y1042" i="1"/>
  <c r="X1042" i="1"/>
  <c r="Y1011" i="1"/>
  <c r="X1005" i="1"/>
  <c r="Y1005" i="1"/>
  <c r="Y935" i="1"/>
  <c r="X935" i="1"/>
  <c r="Y923" i="1"/>
  <c r="X923" i="1"/>
  <c r="X834" i="1"/>
  <c r="X624" i="1"/>
  <c r="Y624" i="1"/>
  <c r="Y610" i="1"/>
  <c r="X610" i="1"/>
  <c r="Y1275" i="1"/>
  <c r="X1275" i="1"/>
  <c r="Y1250" i="1"/>
  <c r="X1250" i="1"/>
  <c r="Y1231" i="1"/>
  <c r="Y1167" i="1"/>
  <c r="Y1111" i="1"/>
  <c r="X1111" i="1"/>
  <c r="X1100" i="1"/>
  <c r="Y1100" i="1"/>
  <c r="X798" i="1"/>
  <c r="X1016" i="1"/>
  <c r="Y1016" i="1"/>
  <c r="X928" i="1"/>
  <c r="Y928" i="1"/>
  <c r="Y856" i="1"/>
  <c r="X856" i="1"/>
  <c r="Y850" i="1"/>
  <c r="X850" i="1"/>
  <c r="X664" i="1"/>
  <c r="Y664" i="1"/>
  <c r="Y623" i="1"/>
  <c r="X623" i="1"/>
  <c r="Y1097" i="1"/>
  <c r="X1097" i="1"/>
  <c r="X1309" i="1"/>
  <c r="X1183" i="1"/>
  <c r="Y1183" i="1"/>
  <c r="X1276" i="1"/>
  <c r="Y1244" i="1"/>
  <c r="X1244" i="1"/>
  <c r="Y1182" i="1"/>
  <c r="X1182" i="1"/>
  <c r="X1141" i="1"/>
  <c r="X711" i="1"/>
  <c r="Y711" i="1"/>
  <c r="X1307" i="1"/>
  <c r="Y1307" i="1"/>
  <c r="X1288" i="1"/>
  <c r="Y1288" i="1"/>
  <c r="Y1284" i="1"/>
  <c r="X1284" i="1"/>
  <c r="Y1263" i="1"/>
  <c r="X1263" i="1"/>
  <c r="Y1257" i="1"/>
  <c r="X1257" i="1"/>
  <c r="Y1245" i="1"/>
  <c r="Y1234" i="1"/>
  <c r="X1234" i="1"/>
  <c r="Y1230" i="1"/>
  <c r="X1230" i="1"/>
  <c r="X1220" i="1"/>
  <c r="Y1190" i="1"/>
  <c r="X1190" i="1"/>
  <c r="X1181" i="1"/>
  <c r="Y1181" i="1"/>
  <c r="Y1126" i="1"/>
  <c r="X1126" i="1"/>
  <c r="Y1101" i="1"/>
  <c r="X1090" i="1"/>
  <c r="Y1090" i="1"/>
  <c r="Y1052" i="1"/>
  <c r="X1052" i="1"/>
  <c r="Y1015" i="1"/>
  <c r="X1015" i="1"/>
  <c r="X958" i="1"/>
  <c r="Y958" i="1"/>
  <c r="X855" i="1"/>
  <c r="Y855" i="1"/>
  <c r="Y742" i="1"/>
  <c r="X742" i="1"/>
  <c r="X730" i="1"/>
  <c r="Y730" i="1"/>
  <c r="X710" i="1"/>
  <c r="Y710" i="1"/>
  <c r="Y1159" i="1"/>
  <c r="X1159" i="1"/>
  <c r="X1168" i="1"/>
  <c r="X1152" i="1"/>
  <c r="Y1152" i="1"/>
  <c r="X1108" i="1"/>
  <c r="X1285" i="1"/>
  <c r="Y1285" i="1"/>
  <c r="X1241" i="1"/>
  <c r="Y1227" i="1"/>
  <c r="Y1215" i="1"/>
  <c r="X1215" i="1"/>
  <c r="X1211" i="1"/>
  <c r="X1197" i="1"/>
  <c r="X1153" i="1"/>
  <c r="X1122" i="1"/>
  <c r="Y1122" i="1"/>
  <c r="Y1098" i="1"/>
  <c r="Y1151" i="1"/>
  <c r="X1151" i="1"/>
  <c r="Y1089" i="1"/>
  <c r="X1089" i="1"/>
  <c r="Y977" i="1"/>
  <c r="X977" i="1"/>
  <c r="X875" i="1"/>
  <c r="Y875" i="1"/>
  <c r="Y860" i="1"/>
  <c r="X860" i="1"/>
  <c r="X729" i="1"/>
  <c r="Y729" i="1"/>
  <c r="X1193" i="1"/>
  <c r="Y1193" i="1"/>
  <c r="Y1246" i="1"/>
  <c r="X1246" i="1"/>
  <c r="Y1308" i="1"/>
  <c r="X1308" i="1"/>
  <c r="Y1295" i="1"/>
  <c r="X1264" i="1"/>
  <c r="Y1264" i="1"/>
  <c r="Y1240" i="1"/>
  <c r="X1240" i="1"/>
  <c r="X1274" i="1"/>
  <c r="Y1274" i="1"/>
  <c r="X1157" i="1"/>
  <c r="Y1302" i="1"/>
  <c r="Y1298" i="1"/>
  <c r="X1298" i="1"/>
  <c r="X1289" i="1"/>
  <c r="Y1279" i="1"/>
  <c r="X1267" i="1"/>
  <c r="Y1267" i="1"/>
  <c r="Y1253" i="1"/>
  <c r="X1253" i="1"/>
  <c r="X1224" i="1"/>
  <c r="X1219" i="1"/>
  <c r="X1200" i="1"/>
  <c r="Y1200" i="1"/>
  <c r="X1186" i="1"/>
  <c r="X1171" i="1"/>
  <c r="Y1156" i="1"/>
  <c r="X1156" i="1"/>
  <c r="X1129" i="1"/>
  <c r="Y1129" i="1"/>
  <c r="X1116" i="1"/>
  <c r="X1282" i="1"/>
  <c r="Y1282" i="1"/>
  <c r="Y1268" i="1"/>
  <c r="Y1161" i="1"/>
  <c r="X1145" i="1"/>
  <c r="Y1130" i="1"/>
  <c r="X1115" i="1"/>
  <c r="Y1115" i="1"/>
  <c r="Y1104" i="1"/>
  <c r="X1104" i="1"/>
  <c r="X1063" i="1"/>
  <c r="Y1063" i="1"/>
  <c r="X981" i="1"/>
  <c r="Y981" i="1"/>
  <c r="Y976" i="1"/>
  <c r="X976" i="1"/>
  <c r="Y969" i="1"/>
  <c r="X969" i="1"/>
  <c r="Y467" i="1"/>
  <c r="X467" i="1"/>
  <c r="Y408" i="1"/>
  <c r="X408" i="1"/>
  <c r="Y231" i="1"/>
  <c r="X231" i="1"/>
  <c r="Y211" i="1"/>
  <c r="X211" i="1"/>
  <c r="Y171" i="1"/>
  <c r="X171" i="1"/>
  <c r="Y16" i="1"/>
  <c r="X16" i="1"/>
  <c r="Y506" i="1"/>
  <c r="X506" i="1"/>
  <c r="Y488" i="1"/>
  <c r="X488" i="1"/>
  <c r="Y428" i="1"/>
  <c r="X428" i="1"/>
  <c r="Y407" i="1"/>
  <c r="X407" i="1"/>
  <c r="Y277" i="1"/>
  <c r="X277" i="1"/>
  <c r="Y196" i="1"/>
  <c r="X196" i="1"/>
  <c r="Y92" i="1"/>
  <c r="X92" i="1"/>
  <c r="Y37" i="1"/>
  <c r="X37" i="1"/>
  <c r="Y1094" i="1"/>
  <c r="X1094" i="1"/>
  <c r="Y1088" i="1"/>
  <c r="X1088" i="1"/>
  <c r="Y975" i="1"/>
  <c r="X975" i="1"/>
  <c r="Y874" i="1"/>
  <c r="X874" i="1"/>
  <c r="Y747" i="1"/>
  <c r="X747" i="1"/>
  <c r="Y663" i="1"/>
  <c r="X663" i="1"/>
  <c r="X629" i="1"/>
  <c r="Y629" i="1"/>
  <c r="Y529" i="1"/>
  <c r="X529" i="1"/>
  <c r="Y493" i="1"/>
  <c r="X493" i="1"/>
  <c r="X473" i="1"/>
  <c r="X351" i="1"/>
  <c r="Y351" i="1"/>
  <c r="Y309" i="1"/>
  <c r="X309" i="1"/>
  <c r="Y303" i="1"/>
  <c r="X303" i="1"/>
  <c r="X283" i="1"/>
  <c r="Y269" i="1"/>
  <c r="X269" i="1"/>
  <c r="Y241" i="1"/>
  <c r="X241" i="1"/>
  <c r="Y216" i="1"/>
  <c r="X216" i="1"/>
  <c r="Y195" i="1"/>
  <c r="X195" i="1"/>
  <c r="Y97" i="1"/>
  <c r="X97" i="1"/>
  <c r="Y57" i="1"/>
  <c r="X57" i="1"/>
  <c r="Y1061" i="1"/>
  <c r="X1061" i="1"/>
  <c r="Y1056" i="1"/>
  <c r="X1056" i="1"/>
  <c r="Y1014" i="1"/>
  <c r="X1014" i="1"/>
  <c r="X1009" i="1"/>
  <c r="Y1009" i="1"/>
  <c r="Y974" i="1"/>
  <c r="X974" i="1"/>
  <c r="Y939" i="1"/>
  <c r="X939" i="1"/>
  <c r="Y909" i="1"/>
  <c r="X909" i="1"/>
  <c r="Y891" i="1"/>
  <c r="X891" i="1"/>
  <c r="Y873" i="1"/>
  <c r="X873" i="1"/>
  <c r="Y859" i="1"/>
  <c r="X859" i="1"/>
  <c r="Y759" i="1"/>
  <c r="X759" i="1"/>
  <c r="Y728" i="1"/>
  <c r="X728" i="1"/>
  <c r="Y669" i="1"/>
  <c r="X669" i="1"/>
  <c r="X571" i="1"/>
  <c r="Y571" i="1"/>
  <c r="Y554" i="1"/>
  <c r="X530" i="1"/>
  <c r="Y510" i="1"/>
  <c r="X510" i="1"/>
  <c r="Y479" i="1"/>
  <c r="X479" i="1"/>
  <c r="Y357" i="1"/>
  <c r="X350" i="1"/>
  <c r="Y350" i="1"/>
  <c r="Y247" i="1"/>
  <c r="X247" i="1"/>
  <c r="X242" i="1"/>
  <c r="Y129" i="1"/>
  <c r="X129" i="1"/>
  <c r="Y110" i="1"/>
  <c r="X110" i="1"/>
  <c r="Y77" i="1"/>
  <c r="X77" i="1"/>
  <c r="Y21" i="1"/>
  <c r="X21" i="1"/>
  <c r="Y1066" i="1"/>
  <c r="X1066" i="1"/>
  <c r="X1051" i="1"/>
  <c r="Y1035" i="1"/>
  <c r="Y943" i="1"/>
  <c r="X943" i="1"/>
  <c r="Y932" i="1"/>
  <c r="X932" i="1"/>
  <c r="X897" i="1"/>
  <c r="X892" i="1"/>
  <c r="X880" i="1"/>
  <c r="Y847" i="1"/>
  <c r="X847" i="1"/>
  <c r="Y806" i="1"/>
  <c r="X806" i="1"/>
  <c r="Y790" i="1"/>
  <c r="X790" i="1"/>
  <c r="X765" i="1"/>
  <c r="X746" i="1"/>
  <c r="Y746" i="1"/>
  <c r="Y668" i="1"/>
  <c r="X668" i="1"/>
  <c r="X559" i="1"/>
  <c r="X515" i="1"/>
  <c r="Y515" i="1"/>
  <c r="Y370" i="1"/>
  <c r="X370" i="1"/>
  <c r="X335" i="1"/>
  <c r="Y335" i="1"/>
  <c r="Y308" i="1"/>
  <c r="X308" i="1"/>
  <c r="X288" i="1"/>
  <c r="Y160" i="1"/>
  <c r="X160" i="1"/>
  <c r="Y83" i="1"/>
  <c r="Y7" i="1"/>
  <c r="X7" i="1"/>
  <c r="Y1207" i="1"/>
  <c r="X1207" i="1"/>
  <c r="X1072" i="1"/>
  <c r="Y751" i="1"/>
  <c r="X751" i="1"/>
  <c r="Y1278" i="1"/>
  <c r="X1218" i="1"/>
  <c r="Y1188" i="1"/>
  <c r="Y1125" i="1"/>
  <c r="X1125" i="1"/>
  <c r="X1118" i="1"/>
  <c r="X1114" i="1"/>
  <c r="X1110" i="1"/>
  <c r="Y1107" i="1"/>
  <c r="X1026" i="1"/>
  <c r="X1020" i="1"/>
  <c r="Y985" i="1"/>
  <c r="Y865" i="1"/>
  <c r="X766" i="1"/>
  <c r="X683" i="1"/>
  <c r="Y459" i="1"/>
  <c r="Y316" i="1"/>
  <c r="X148" i="1"/>
  <c r="Y1093" i="1"/>
  <c r="Y1067" i="1"/>
  <c r="X1018" i="1"/>
  <c r="Y1018" i="1"/>
  <c r="Y984" i="1"/>
  <c r="X984" i="1"/>
  <c r="X955" i="1"/>
  <c r="X944" i="1"/>
  <c r="Y937" i="1"/>
  <c r="X937" i="1"/>
  <c r="Y884" i="1"/>
  <c r="X884" i="1"/>
  <c r="Y878" i="1"/>
  <c r="X878" i="1"/>
  <c r="Y864" i="1"/>
  <c r="X864" i="1"/>
  <c r="X771" i="1"/>
  <c r="X752" i="1"/>
  <c r="Y695" i="1"/>
  <c r="X695" i="1"/>
  <c r="Y680" i="1"/>
  <c r="X680" i="1"/>
  <c r="Y606" i="1"/>
  <c r="X606" i="1"/>
  <c r="X594" i="1"/>
  <c r="X575" i="1"/>
  <c r="Y575" i="1"/>
  <c r="X564" i="1"/>
  <c r="X558" i="1"/>
  <c r="Y558" i="1"/>
  <c r="Y521" i="1"/>
  <c r="X521" i="1"/>
  <c r="Y437" i="1"/>
  <c r="X437" i="1"/>
  <c r="X424" i="1"/>
  <c r="Y424" i="1"/>
  <c r="Y383" i="1"/>
  <c r="X383" i="1"/>
  <c r="X375" i="1"/>
  <c r="Y375" i="1"/>
  <c r="Y369" i="1"/>
  <c r="X369" i="1"/>
  <c r="X341" i="1"/>
  <c r="X273" i="1"/>
  <c r="Y273" i="1"/>
  <c r="X115" i="1"/>
  <c r="X102" i="1"/>
  <c r="Y47" i="1"/>
  <c r="X47" i="1"/>
  <c r="X1077" i="1"/>
  <c r="Y1294" i="1"/>
  <c r="X1239" i="1"/>
  <c r="X1236" i="1"/>
  <c r="X1229" i="1"/>
  <c r="X1222" i="1"/>
  <c r="Y1213" i="1"/>
  <c r="X1213" i="1"/>
  <c r="Y1210" i="1"/>
  <c r="Y1206" i="1"/>
  <c r="Y1203" i="1"/>
  <c r="Y1196" i="1"/>
  <c r="Y1180" i="1"/>
  <c r="X1180" i="1"/>
  <c r="X1170" i="1"/>
  <c r="X1166" i="1"/>
  <c r="Y1155" i="1"/>
  <c r="X1147" i="1"/>
  <c r="Y1140" i="1"/>
  <c r="X1102" i="1"/>
  <c r="Y1057" i="1"/>
  <c r="X1004" i="1"/>
  <c r="Y992" i="1"/>
  <c r="Y933" i="1"/>
  <c r="Y645" i="1"/>
  <c r="X534" i="1"/>
  <c r="X384" i="1"/>
  <c r="Y315" i="1"/>
  <c r="X268" i="1"/>
  <c r="Y236" i="1"/>
  <c r="Y227" i="1"/>
  <c r="X72" i="1"/>
  <c r="X22" i="1"/>
  <c r="X1075" i="1"/>
  <c r="Y1075" i="1"/>
  <c r="Y1070" i="1"/>
  <c r="X1070" i="1"/>
  <c r="X1045" i="1"/>
  <c r="X1033" i="1"/>
  <c r="Y1033" i="1"/>
  <c r="X1029" i="1"/>
  <c r="X1025" i="1"/>
  <c r="Y1019" i="1"/>
  <c r="X990" i="1"/>
  <c r="Y990" i="1"/>
  <c r="X960" i="1"/>
  <c r="Y920" i="1"/>
  <c r="Y914" i="1"/>
  <c r="X914" i="1"/>
  <c r="X901" i="1"/>
  <c r="Y825" i="1"/>
  <c r="X825" i="1"/>
  <c r="X812" i="1"/>
  <c r="X794" i="1"/>
  <c r="Y794" i="1"/>
  <c r="Y775" i="1"/>
  <c r="X775" i="1"/>
  <c r="X756" i="1"/>
  <c r="Y756" i="1"/>
  <c r="Y701" i="1"/>
  <c r="Y687" i="1"/>
  <c r="X687" i="1"/>
  <c r="X654" i="1"/>
  <c r="Y654" i="1"/>
  <c r="Y619" i="1"/>
  <c r="X619" i="1"/>
  <c r="X605" i="1"/>
  <c r="Y605" i="1"/>
  <c r="Y580" i="1"/>
  <c r="Y563" i="1"/>
  <c r="X563" i="1"/>
  <c r="Y545" i="1"/>
  <c r="X545" i="1"/>
  <c r="X443" i="1"/>
  <c r="Y403" i="1"/>
  <c r="X403" i="1"/>
  <c r="Y389" i="1"/>
  <c r="X347" i="1"/>
  <c r="Y347" i="1"/>
  <c r="Y185" i="1"/>
  <c r="X185" i="1"/>
  <c r="X166" i="1"/>
  <c r="Y166" i="1"/>
  <c r="Y152" i="1"/>
  <c r="X152" i="1"/>
  <c r="X134" i="1"/>
  <c r="Y107" i="1"/>
  <c r="X107" i="1"/>
  <c r="Y263" i="1"/>
  <c r="X1062" i="1"/>
  <c r="Y1031" i="1"/>
  <c r="Y681" i="1"/>
  <c r="X681" i="1"/>
  <c r="Y1304" i="1"/>
  <c r="M12" i="5"/>
  <c r="X1310" i="1"/>
  <c r="X1303" i="1"/>
  <c r="Y1290" i="1"/>
  <c r="X1277" i="1"/>
  <c r="X1273" i="1"/>
  <c r="X1259" i="1"/>
  <c r="X1243" i="1"/>
  <c r="Y1225" i="1"/>
  <c r="X1221" i="1"/>
  <c r="Y1214" i="1"/>
  <c r="X1199" i="1"/>
  <c r="X1177" i="1"/>
  <c r="X1173" i="1"/>
  <c r="X1169" i="1"/>
  <c r="X1154" i="1"/>
  <c r="Y1150" i="1"/>
  <c r="Y1143" i="1"/>
  <c r="Y1139" i="1"/>
  <c r="X1132" i="1"/>
  <c r="X1124" i="1"/>
  <c r="X1121" i="1"/>
  <c r="Y1106" i="1"/>
  <c r="X682" i="1"/>
  <c r="Y380" i="1"/>
  <c r="Y58" i="1"/>
  <c r="X1091" i="1"/>
  <c r="Y1085" i="1"/>
  <c r="X1079" i="1"/>
  <c r="Y1079" i="1"/>
  <c r="X1076" i="1"/>
  <c r="Y1054" i="1"/>
  <c r="Y1037" i="1"/>
  <c r="X1037" i="1"/>
  <c r="X1034" i="1"/>
  <c r="Y1002" i="1"/>
  <c r="Y995" i="1"/>
  <c r="X995" i="1"/>
  <c r="Y989" i="1"/>
  <c r="X989" i="1"/>
  <c r="Y953" i="1"/>
  <c r="X953" i="1"/>
  <c r="Y941" i="1"/>
  <c r="X941" i="1"/>
  <c r="Y919" i="1"/>
  <c r="Y906" i="1"/>
  <c r="X906" i="1"/>
  <c r="Y835" i="1"/>
  <c r="X824" i="1"/>
  <c r="Y824" i="1"/>
  <c r="X811" i="1"/>
  <c r="Y811" i="1"/>
  <c r="X799" i="1"/>
  <c r="Y793" i="1"/>
  <c r="X793" i="1"/>
  <c r="X774" i="1"/>
  <c r="Y774" i="1"/>
  <c r="Y700" i="1"/>
  <c r="X700" i="1"/>
  <c r="Y598" i="1"/>
  <c r="X598" i="1"/>
  <c r="Y586" i="1"/>
  <c r="X586" i="1"/>
  <c r="Y462" i="1"/>
  <c r="X462" i="1"/>
  <c r="X442" i="1"/>
  <c r="Y442" i="1"/>
  <c r="Y423" i="1"/>
  <c r="X423" i="1"/>
  <c r="Y191" i="1"/>
  <c r="Y120" i="1"/>
  <c r="X120" i="1"/>
  <c r="Y963" i="1"/>
  <c r="X963" i="1"/>
  <c r="X905" i="1"/>
  <c r="Y905" i="1"/>
  <c r="X900" i="1"/>
  <c r="Y900" i="1"/>
  <c r="Y883" i="1"/>
  <c r="X883" i="1"/>
  <c r="Y838" i="1"/>
  <c r="X838" i="1"/>
  <c r="X815" i="1"/>
  <c r="Y815" i="1"/>
  <c r="Y705" i="1"/>
  <c r="X705" i="1"/>
  <c r="X650" i="1"/>
  <c r="Y650" i="1"/>
  <c r="X628" i="1"/>
  <c r="Y628" i="1"/>
  <c r="X609" i="1"/>
  <c r="Y609" i="1"/>
  <c r="Y597" i="1"/>
  <c r="X597" i="1"/>
  <c r="X433" i="1"/>
  <c r="Y433" i="1"/>
  <c r="Y393" i="1"/>
  <c r="X393" i="1"/>
  <c r="X360" i="1"/>
  <c r="Y360" i="1"/>
  <c r="X346" i="1"/>
  <c r="Y346" i="1"/>
  <c r="Y340" i="1"/>
  <c r="X340" i="1"/>
  <c r="Y292" i="1"/>
  <c r="X292" i="1"/>
  <c r="Y253" i="1"/>
  <c r="X253" i="1"/>
  <c r="Y201" i="1"/>
  <c r="X201" i="1"/>
  <c r="Y175" i="1"/>
  <c r="X175" i="1"/>
  <c r="Y156" i="1"/>
  <c r="X156" i="1"/>
  <c r="Y138" i="1"/>
  <c r="X138" i="1"/>
  <c r="Y962" i="1"/>
  <c r="X962" i="1"/>
  <c r="X910" i="1"/>
  <c r="Y910" i="1"/>
  <c r="X863" i="1"/>
  <c r="Y863" i="1"/>
  <c r="X842" i="1"/>
  <c r="X837" i="1"/>
  <c r="Y837" i="1"/>
  <c r="Y820" i="1"/>
  <c r="X820" i="1"/>
  <c r="X808" i="1"/>
  <c r="Y802" i="1"/>
  <c r="X802" i="1"/>
  <c r="X755" i="1"/>
  <c r="Y755" i="1"/>
  <c r="X733" i="1"/>
  <c r="X714" i="1"/>
  <c r="Y714" i="1"/>
  <c r="X691" i="1"/>
  <c r="X673" i="1"/>
  <c r="Y649" i="1"/>
  <c r="X649" i="1"/>
  <c r="Y520" i="1"/>
  <c r="X520" i="1"/>
  <c r="Y497" i="1"/>
  <c r="X497" i="1"/>
  <c r="Y478" i="1"/>
  <c r="X478" i="1"/>
  <c r="X458" i="1"/>
  <c r="X379" i="1"/>
  <c r="Y365" i="1"/>
  <c r="X365" i="1"/>
  <c r="X298" i="1"/>
  <c r="Y298" i="1"/>
  <c r="X272" i="1"/>
  <c r="Y272" i="1"/>
  <c r="X226" i="1"/>
  <c r="X207" i="1"/>
  <c r="Y200" i="1"/>
  <c r="X200" i="1"/>
  <c r="X181" i="1"/>
  <c r="Y143" i="1"/>
  <c r="X143" i="1"/>
  <c r="Y125" i="1"/>
  <c r="X125" i="1"/>
  <c r="X87" i="1"/>
  <c r="Y87" i="1"/>
  <c r="Y67" i="1"/>
  <c r="X67" i="1"/>
  <c r="X33" i="1"/>
  <c r="Y11" i="1"/>
  <c r="X11" i="1"/>
  <c r="X1003" i="1"/>
  <c r="Y983" i="1"/>
  <c r="Y978" i="1"/>
  <c r="X978" i="1"/>
  <c r="X946" i="1"/>
  <c r="Y936" i="1"/>
  <c r="X931" i="1"/>
  <c r="Y926" i="1"/>
  <c r="X926" i="1"/>
  <c r="Y911" i="1"/>
  <c r="X887" i="1"/>
  <c r="Y887" i="1"/>
  <c r="Y868" i="1"/>
  <c r="X868" i="1"/>
  <c r="X846" i="1"/>
  <c r="Y846" i="1"/>
  <c r="Y821" i="1"/>
  <c r="Y807" i="1"/>
  <c r="X807" i="1"/>
  <c r="X786" i="1"/>
  <c r="X778" i="1"/>
  <c r="Y778" i="1"/>
  <c r="X737" i="1"/>
  <c r="Y737" i="1"/>
  <c r="X726" i="1"/>
  <c r="X715" i="1"/>
  <c r="Y696" i="1"/>
  <c r="X696" i="1"/>
  <c r="Y678" i="1"/>
  <c r="Y672" i="1"/>
  <c r="X672" i="1"/>
  <c r="X655" i="1"/>
  <c r="Y615" i="1"/>
  <c r="X602" i="1"/>
  <c r="Y567" i="1"/>
  <c r="X567" i="1"/>
  <c r="Y549" i="1"/>
  <c r="X549" i="1"/>
  <c r="X502" i="1"/>
  <c r="X463" i="1"/>
  <c r="Y463" i="1"/>
  <c r="X398" i="1"/>
  <c r="X366" i="1"/>
  <c r="X324" i="1"/>
  <c r="Y324" i="1"/>
  <c r="Y297" i="1"/>
  <c r="X297" i="1"/>
  <c r="X259" i="1"/>
  <c r="Y206" i="1"/>
  <c r="X206" i="1"/>
  <c r="X161" i="1"/>
  <c r="X144" i="1"/>
  <c r="Y111" i="1"/>
  <c r="X111" i="1"/>
  <c r="X71" i="1"/>
  <c r="X632" i="1"/>
  <c r="X614" i="1"/>
  <c r="X584" i="1"/>
  <c r="Y533" i="1"/>
  <c r="Y482" i="1"/>
  <c r="X387" i="1"/>
  <c r="X378" i="1"/>
  <c r="X287" i="1"/>
  <c r="Y262" i="1"/>
  <c r="X235" i="1"/>
  <c r="X114" i="1"/>
  <c r="X101" i="1"/>
  <c r="X81" i="1"/>
  <c r="X61" i="1"/>
  <c r="X56" i="1"/>
  <c r="X51" i="1"/>
  <c r="X36" i="1"/>
  <c r="X32" i="1"/>
  <c r="X15" i="1"/>
  <c r="X10" i="1"/>
  <c r="X6" i="1"/>
  <c r="Y918" i="1"/>
  <c r="Y750" i="1"/>
  <c r="X732" i="1"/>
  <c r="X718" i="1"/>
  <c r="Y622" i="1"/>
  <c r="Y618" i="1"/>
  <c r="Y601" i="1"/>
  <c r="X593" i="1"/>
  <c r="X589" i="1"/>
  <c r="Y579" i="1"/>
  <c r="X570" i="1"/>
  <c r="X544" i="1"/>
  <c r="X524" i="1"/>
  <c r="Y509" i="1"/>
  <c r="Y496" i="1"/>
  <c r="X472" i="1"/>
  <c r="X466" i="1"/>
  <c r="Y452" i="1"/>
  <c r="Y436" i="1"/>
  <c r="X427" i="1"/>
  <c r="Y418" i="1"/>
  <c r="X397" i="1"/>
  <c r="X373" i="1"/>
  <c r="X364" i="1"/>
  <c r="Y359" i="1"/>
  <c r="X328" i="1"/>
  <c r="X323" i="1"/>
  <c r="X319" i="1"/>
  <c r="X282" i="1"/>
  <c r="Y276" i="1"/>
  <c r="Y267" i="1"/>
  <c r="Y257" i="1"/>
  <c r="Y220" i="1"/>
  <c r="X190" i="1"/>
  <c r="X179" i="1"/>
  <c r="X170" i="1"/>
  <c r="Y159" i="1"/>
  <c r="X147" i="1"/>
  <c r="X137" i="1"/>
  <c r="X133" i="1"/>
  <c r="X123" i="1"/>
  <c r="Y119" i="1"/>
  <c r="Y91" i="1"/>
  <c r="Y86" i="1"/>
  <c r="X70" i="1"/>
  <c r="X66" i="1"/>
  <c r="X44" i="1"/>
  <c r="X40" i="1"/>
  <c r="X20" i="1"/>
  <c r="Y899" i="1"/>
  <c r="X894" i="1"/>
  <c r="X882" i="1"/>
  <c r="X854" i="1"/>
  <c r="X849" i="1"/>
  <c r="X814" i="1"/>
  <c r="X801" i="1"/>
  <c r="X797" i="1"/>
  <c r="X768" i="1"/>
  <c r="Y763" i="1"/>
  <c r="X758" i="1"/>
  <c r="Y754" i="1"/>
  <c r="X736" i="1"/>
  <c r="Y723" i="1"/>
  <c r="Y699" i="1"/>
  <c r="X685" i="1"/>
  <c r="X671" i="1"/>
  <c r="X667" i="1"/>
  <c r="X658" i="1"/>
  <c r="Y653" i="1"/>
  <c r="Y644" i="1"/>
  <c r="X640" i="1"/>
  <c r="Y627" i="1"/>
  <c r="X613" i="1"/>
  <c r="X604" i="1"/>
  <c r="X600" i="1"/>
  <c r="X588" i="1"/>
  <c r="Y574" i="1"/>
  <c r="X566" i="1"/>
  <c r="Y557" i="1"/>
  <c r="Y552" i="1"/>
  <c r="X547" i="1"/>
  <c r="Y537" i="1"/>
  <c r="X528" i="1"/>
  <c r="X513" i="1"/>
  <c r="X505" i="1"/>
  <c r="X500" i="1"/>
  <c r="Y491" i="1"/>
  <c r="X487" i="1"/>
  <c r="X476" i="1"/>
  <c r="X456" i="1"/>
  <c r="X431" i="1"/>
  <c r="Y417" i="1"/>
  <c r="Y411" i="1"/>
  <c r="X406" i="1"/>
  <c r="Y386" i="1"/>
  <c r="X382" i="1"/>
  <c r="X354" i="1"/>
  <c r="X334" i="1"/>
  <c r="X318" i="1"/>
  <c r="X312" i="1"/>
  <c r="X302" i="1"/>
  <c r="Y291" i="1"/>
  <c r="X286" i="1"/>
  <c r="X261" i="1"/>
  <c r="X245" i="1"/>
  <c r="X234" i="1"/>
  <c r="X230" i="1"/>
  <c r="X224" i="1"/>
  <c r="Y214" i="1"/>
  <c r="X210" i="1"/>
  <c r="X183" i="1"/>
  <c r="X174" i="1"/>
  <c r="X155" i="1"/>
  <c r="X151" i="1"/>
  <c r="X142" i="1"/>
  <c r="X127" i="1"/>
  <c r="X113" i="1"/>
  <c r="X109" i="1"/>
  <c r="X104" i="1"/>
  <c r="Y95" i="1"/>
  <c r="X74" i="1"/>
  <c r="X65" i="1"/>
  <c r="X60" i="1"/>
  <c r="Y39" i="1"/>
  <c r="Y24" i="1"/>
  <c r="X972" i="1"/>
  <c r="Y921" i="1"/>
  <c r="X913" i="1"/>
  <c r="X890" i="1"/>
  <c r="X886" i="1"/>
  <c r="Y877" i="1"/>
  <c r="X866" i="1"/>
  <c r="Y862" i="1"/>
  <c r="X858" i="1"/>
  <c r="X836" i="1"/>
  <c r="X832" i="1"/>
  <c r="X828" i="1"/>
  <c r="X819" i="1"/>
  <c r="Y809" i="1"/>
  <c r="X788" i="1"/>
  <c r="X777" i="1"/>
  <c r="X773" i="1"/>
  <c r="Y745" i="1"/>
  <c r="X731" i="1"/>
  <c r="X727" i="1"/>
  <c r="Y713" i="1"/>
  <c r="Y704" i="1"/>
  <c r="X694" i="1"/>
  <c r="Y689" i="1"/>
  <c r="X684" i="1"/>
  <c r="X679" i="1"/>
  <c r="X675" i="1"/>
  <c r="X662" i="1"/>
  <c r="X635" i="1"/>
  <c r="X631" i="1"/>
  <c r="Y617" i="1"/>
  <c r="Y608" i="1"/>
  <c r="X596" i="1"/>
  <c r="Y592" i="1"/>
  <c r="X582" i="1"/>
  <c r="X565" i="1"/>
  <c r="X531" i="1"/>
  <c r="X523" i="1"/>
  <c r="X481" i="1"/>
  <c r="X461" i="1"/>
  <c r="Y455" i="1"/>
  <c r="X445" i="1"/>
  <c r="Y440" i="1"/>
  <c r="X422" i="1"/>
  <c r="X401" i="1"/>
  <c r="X396" i="1"/>
  <c r="X390" i="1"/>
  <c r="X381" i="1"/>
  <c r="X377" i="1"/>
  <c r="X368" i="1"/>
  <c r="Y358" i="1"/>
  <c r="Y349" i="1"/>
  <c r="X338" i="1"/>
  <c r="X271" i="1"/>
  <c r="X219" i="1"/>
  <c r="Y194" i="1"/>
  <c r="X158" i="1"/>
  <c r="X146" i="1"/>
  <c r="X131" i="1"/>
  <c r="X118" i="1"/>
  <c r="X99" i="1"/>
  <c r="Y85" i="1"/>
  <c r="X48" i="1"/>
  <c r="X34" i="1"/>
  <c r="Y23" i="1"/>
  <c r="X18" i="1"/>
  <c r="X5" i="1"/>
  <c r="M25" i="5" l="1"/>
  <c r="I16" i="1" l="1"/>
  <c r="J16" i="1"/>
  <c r="I9" i="1"/>
  <c r="J9" i="1"/>
  <c r="G9" i="1"/>
  <c r="F9" i="1"/>
  <c r="G16" i="1"/>
  <c r="F16" i="1"/>
  <c r="I6" i="5"/>
  <c r="J3" i="5"/>
  <c r="I3" i="5"/>
  <c r="J6" i="5"/>
  <c r="J4" i="5"/>
  <c r="J7" i="5"/>
  <c r="I7" i="5"/>
  <c r="J5" i="5"/>
  <c r="I5" i="5"/>
  <c r="I4" i="5"/>
  <c r="J8" i="5"/>
  <c r="I8" i="5"/>
  <c r="I9" i="5"/>
  <c r="J9" i="5"/>
  <c r="H16" i="1" l="1"/>
  <c r="H9" i="1"/>
  <c r="G4" i="5"/>
  <c r="F7" i="5"/>
  <c r="G5" i="5"/>
  <c r="G8" i="5"/>
  <c r="G6" i="5"/>
  <c r="F6" i="5"/>
  <c r="G3" i="5"/>
  <c r="F4" i="5"/>
  <c r="G7" i="5"/>
  <c r="F8" i="5"/>
  <c r="F5" i="5"/>
  <c r="G9" i="5"/>
  <c r="F9" i="5"/>
  <c r="F3" i="5"/>
  <c r="J5" i="1"/>
  <c r="I7" i="1"/>
  <c r="J4" i="1"/>
  <c r="I15" i="1"/>
  <c r="J10" i="5"/>
  <c r="J8" i="1"/>
  <c r="J11" i="5"/>
  <c r="I6" i="1"/>
  <c r="I12" i="5"/>
  <c r="J12" i="1"/>
  <c r="J13" i="5"/>
  <c r="J10" i="1"/>
  <c r="I13" i="5"/>
  <c r="I13" i="1"/>
  <c r="J15" i="5"/>
  <c r="J15" i="1"/>
  <c r="J7" i="1"/>
  <c r="I4" i="1"/>
  <c r="I8" i="1"/>
  <c r="I10" i="5"/>
  <c r="J14" i="1"/>
  <c r="J12" i="5"/>
  <c r="I12" i="1"/>
  <c r="I11" i="5"/>
  <c r="J6" i="1"/>
  <c r="J16" i="5"/>
  <c r="I3" i="1"/>
  <c r="I10" i="1"/>
  <c r="J3" i="1"/>
  <c r="J14" i="5"/>
  <c r="I14" i="5"/>
  <c r="I5" i="1"/>
  <c r="I11" i="1"/>
  <c r="J11" i="1"/>
  <c r="I16" i="5"/>
  <c r="I14" i="1"/>
  <c r="J13" i="1"/>
  <c r="I15" i="5"/>
  <c r="H8" i="5" l="1"/>
  <c r="H5" i="5"/>
  <c r="F14" i="5"/>
  <c r="F12" i="1"/>
  <c r="G15" i="5"/>
  <c r="H15" i="5" s="1"/>
  <c r="G11" i="5"/>
  <c r="H7" i="5"/>
  <c r="G8" i="1"/>
  <c r="H8" i="1" s="1"/>
  <c r="G10" i="5"/>
  <c r="F10" i="1"/>
  <c r="H6" i="5"/>
  <c r="G13" i="5"/>
  <c r="G16" i="5"/>
  <c r="F7" i="1"/>
  <c r="G7" i="1"/>
  <c r="H7" i="1"/>
  <c r="G5" i="1"/>
  <c r="F11" i="5"/>
  <c r="H4" i="5"/>
  <c r="F15" i="5"/>
  <c r="G14" i="5"/>
  <c r="G12" i="5"/>
  <c r="H12" i="5" s="1"/>
  <c r="F13" i="1"/>
  <c r="H3" i="5"/>
  <c r="H9" i="5"/>
  <c r="F10" i="5"/>
  <c r="F15" i="1"/>
  <c r="F8" i="1"/>
  <c r="G11" i="1"/>
  <c r="H11" i="1" s="1"/>
  <c r="G12" i="1"/>
  <c r="H12" i="1" s="1"/>
  <c r="G6" i="1"/>
  <c r="F5" i="1"/>
  <c r="F6" i="1"/>
  <c r="G13" i="1"/>
  <c r="G3" i="1"/>
  <c r="G14" i="1"/>
  <c r="F13" i="5"/>
  <c r="H13" i="5" s="1"/>
  <c r="G10" i="1"/>
  <c r="F3" i="1"/>
  <c r="G4" i="1"/>
  <c r="F4" i="1"/>
  <c r="F11" i="1"/>
  <c r="F12" i="5"/>
  <c r="G15" i="1"/>
  <c r="H15" i="1" s="1"/>
  <c r="F14" i="1"/>
  <c r="F16" i="5"/>
  <c r="H14" i="5"/>
  <c r="H10" i="1" l="1"/>
  <c r="H4" i="1"/>
  <c r="H10" i="5"/>
  <c r="H13" i="1"/>
  <c r="H11" i="5"/>
  <c r="H5" i="1"/>
  <c r="H6" i="1"/>
  <c r="H16" i="5"/>
  <c r="H14" i="1"/>
  <c r="H3" i="1"/>
</calcChain>
</file>

<file path=xl/sharedStrings.xml><?xml version="1.0" encoding="utf-8"?>
<sst xmlns="http://schemas.openxmlformats.org/spreadsheetml/2006/main" count="1401" uniqueCount="58">
  <si>
    <t>3M</t>
  </si>
  <si>
    <t>EUR</t>
  </si>
  <si>
    <t>IborType</t>
  </si>
  <si>
    <t>General Settings</t>
  </si>
  <si>
    <t>Currency</t>
  </si>
  <si>
    <t>Calendar</t>
  </si>
  <si>
    <t>TARGET</t>
  </si>
  <si>
    <t>OvenightIndex</t>
  </si>
  <si>
    <t>Eonia</t>
  </si>
  <si>
    <t>Discounting</t>
  </si>
  <si>
    <t>EURON</t>
  </si>
  <si>
    <t>Daycounter</t>
  </si>
  <si>
    <t>Actual/360</t>
  </si>
  <si>
    <t>Triggers</t>
  </si>
  <si>
    <t>SettlementDate</t>
  </si>
  <si>
    <t>Trigger</t>
  </si>
  <si>
    <t>Evaluation Date</t>
  </si>
  <si>
    <t>Interest Rates Trigger</t>
  </si>
  <si>
    <t>LastFixingsTrigger</t>
  </si>
  <si>
    <t>1M</t>
  </si>
  <si>
    <t>Index</t>
  </si>
  <si>
    <t>Tenor</t>
  </si>
  <si>
    <t>fixing date</t>
  </si>
  <si>
    <t>value date</t>
  </si>
  <si>
    <t>maturity date</t>
  </si>
  <si>
    <t>3M quote</t>
  </si>
  <si>
    <t>P(d)</t>
  </si>
  <si>
    <t>F ON</t>
  </si>
  <si>
    <t>tau</t>
  </si>
  <si>
    <t>Delta</t>
  </si>
  <si>
    <t>1D</t>
  </si>
  <si>
    <t>1W</t>
  </si>
  <si>
    <t>Time Axis</t>
  </si>
  <si>
    <t>Rate Axis</t>
  </si>
  <si>
    <t>Years</t>
  </si>
  <si>
    <t>Min</t>
  </si>
  <si>
    <t>Months</t>
  </si>
  <si>
    <t>Max</t>
  </si>
  <si>
    <t>Major unit</t>
  </si>
  <si>
    <t>Min value</t>
  </si>
  <si>
    <t>Max value</t>
  </si>
  <si>
    <t>6M</t>
  </si>
  <si>
    <t>6M quote</t>
  </si>
  <si>
    <t>Basis</t>
  </si>
  <si>
    <t>a</t>
  </si>
  <si>
    <t>b</t>
  </si>
  <si>
    <t>c</t>
  </si>
  <si>
    <t>d</t>
  </si>
  <si>
    <t>error</t>
  </si>
  <si>
    <t>Calibrated Basis</t>
  </si>
  <si>
    <t>Market Basis</t>
  </si>
  <si>
    <t>Error</t>
  </si>
  <si>
    <t>simple basis</t>
  </si>
  <si>
    <t>cont. basis</t>
  </si>
  <si>
    <t>cont</t>
  </si>
  <si>
    <t>Time</t>
  </si>
  <si>
    <t>simple</t>
  </si>
  <si>
    <t>max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</si>
</sst>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\,\ dd\-mmm\-yyyy\ h:mm:ss"/>
    <numFmt numFmtId="165" formatCode="ddd\,\ d\-mmm\-yyyy"/>
    <numFmt numFmtId="167" formatCode="0.0000%"/>
    <numFmt numFmtId="168" formatCode="0.0000"/>
    <numFmt numFmtId="169" formatCode="ddd\,\ dd\-mmm\-yyyy"/>
    <numFmt numFmtId="170" formatCode="0.000000000"/>
    <numFmt numFmtId="171" formatCode="dd\-mmm\-yy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theme="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4" fillId="0" borderId="0"/>
    <xf numFmtId="0" fontId="2" fillId="0" borderId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0" fontId="3" fillId="2" borderId="0" xfId="1" applyFont="1" applyFill="1"/>
    <xf numFmtId="0" fontId="5" fillId="3" borderId="1" xfId="2" applyFont="1" applyFill="1" applyBorder="1" applyAlignment="1">
      <alignment horizontal="centerContinuous" vertical="center"/>
    </xf>
    <xf numFmtId="0" fontId="5" fillId="3" borderId="2" xfId="2" applyFont="1" applyFill="1" applyBorder="1" applyAlignment="1">
      <alignment horizontal="centerContinuous" vertical="center"/>
    </xf>
    <xf numFmtId="0" fontId="3" fillId="4" borderId="3" xfId="1" applyFont="1" applyFill="1" applyBorder="1"/>
    <xf numFmtId="0" fontId="3" fillId="4" borderId="0" xfId="1" applyFont="1" applyFill="1" applyBorder="1"/>
    <xf numFmtId="0" fontId="3" fillId="4" borderId="4" xfId="1" applyFont="1" applyFill="1" applyBorder="1"/>
    <xf numFmtId="0" fontId="3" fillId="5" borderId="5" xfId="1" applyFont="1" applyFill="1" applyBorder="1" applyAlignment="1">
      <alignment horizontal="right"/>
    </xf>
    <xf numFmtId="0" fontId="3" fillId="4" borderId="5" xfId="1" applyFont="1" applyFill="1" applyBorder="1" applyAlignment="1">
      <alignment horizontal="center"/>
    </xf>
    <xf numFmtId="164" fontId="3" fillId="4" borderId="5" xfId="1" applyNumberFormat="1" applyFont="1" applyFill="1" applyBorder="1" applyAlignment="1">
      <alignment horizontal="center"/>
    </xf>
    <xf numFmtId="0" fontId="3" fillId="2" borderId="0" xfId="2" applyFont="1" applyFill="1"/>
    <xf numFmtId="165" fontId="3" fillId="4" borderId="5" xfId="4" applyNumberFormat="1" applyFont="1" applyFill="1" applyBorder="1" applyAlignment="1">
      <alignment horizontal="center"/>
    </xf>
    <xf numFmtId="165" fontId="3" fillId="4" borderId="6" xfId="4" applyNumberFormat="1" applyFont="1" applyFill="1" applyBorder="1" applyAlignment="1">
      <alignment horizontal="center"/>
    </xf>
    <xf numFmtId="0" fontId="3" fillId="4" borderId="9" xfId="1" applyFont="1" applyFill="1" applyBorder="1"/>
    <xf numFmtId="0" fontId="3" fillId="2" borderId="0" xfId="1" applyFont="1" applyFill="1" applyBorder="1"/>
    <xf numFmtId="0" fontId="3" fillId="4" borderId="3" xfId="0" applyFont="1" applyFill="1" applyBorder="1"/>
    <xf numFmtId="0" fontId="3" fillId="4" borderId="4" xfId="0" applyFont="1" applyFill="1" applyBorder="1"/>
    <xf numFmtId="0" fontId="3" fillId="5" borderId="5" xfId="1" applyFont="1" applyFill="1" applyBorder="1" applyAlignment="1">
      <alignment horizontal="right" vertical="center"/>
    </xf>
    <xf numFmtId="169" fontId="3" fillId="4" borderId="6" xfId="4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center"/>
    </xf>
    <xf numFmtId="1" fontId="3" fillId="4" borderId="5" xfId="4" applyNumberFormat="1" applyFont="1" applyFill="1" applyBorder="1" applyAlignment="1">
      <alignment horizontal="center"/>
    </xf>
    <xf numFmtId="1" fontId="3" fillId="4" borderId="6" xfId="4" applyNumberFormat="1" applyFont="1" applyFill="1" applyBorder="1" applyAlignment="1">
      <alignment horizontal="center"/>
    </xf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169" fontId="3" fillId="4" borderId="7" xfId="4" applyNumberFormat="1" applyFont="1" applyFill="1" applyBorder="1" applyAlignment="1">
      <alignment horizontal="center"/>
    </xf>
    <xf numFmtId="169" fontId="3" fillId="4" borderId="8" xfId="4" applyNumberFormat="1" applyFont="1" applyFill="1" applyBorder="1" applyAlignment="1">
      <alignment horizontal="center"/>
    </xf>
    <xf numFmtId="169" fontId="3" fillId="4" borderId="9" xfId="4" applyNumberFormat="1" applyFont="1" applyFill="1" applyBorder="1" applyAlignment="1">
      <alignment horizontal="center"/>
    </xf>
    <xf numFmtId="0" fontId="1" fillId="7" borderId="5" xfId="0" applyFont="1" applyFill="1" applyBorder="1"/>
    <xf numFmtId="0" fontId="0" fillId="0" borderId="5" xfId="0" applyBorder="1"/>
    <xf numFmtId="0" fontId="1" fillId="7" borderId="5" xfId="0" applyFont="1" applyFill="1" applyBorder="1" applyAlignment="1">
      <alignment horizontal="center" vertical="center" wrapText="1"/>
    </xf>
    <xf numFmtId="169" fontId="0" fillId="0" borderId="15" xfId="0" applyNumberFormat="1" applyBorder="1"/>
    <xf numFmtId="168" fontId="0" fillId="0" borderId="15" xfId="0" applyNumberFormat="1" applyBorder="1"/>
    <xf numFmtId="167" fontId="0" fillId="0" borderId="15" xfId="0" applyNumberFormat="1" applyBorder="1"/>
    <xf numFmtId="170" fontId="0" fillId="0" borderId="15" xfId="0" applyNumberFormat="1" applyBorder="1"/>
    <xf numFmtId="0" fontId="0" fillId="0" borderId="15" xfId="0" applyBorder="1"/>
    <xf numFmtId="0" fontId="0" fillId="0" borderId="10" xfId="0" applyBorder="1"/>
    <xf numFmtId="0" fontId="0" fillId="0" borderId="15" xfId="0" applyFill="1" applyBorder="1"/>
    <xf numFmtId="169" fontId="3" fillId="8" borderId="15" xfId="3" applyNumberFormat="1" applyFont="1" applyFill="1" applyBorder="1"/>
    <xf numFmtId="0" fontId="3" fillId="6" borderId="15" xfId="3" applyFont="1" applyFill="1" applyBorder="1"/>
    <xf numFmtId="0" fontId="3" fillId="8" borderId="17" xfId="3" applyNumberFormat="1" applyFont="1" applyFill="1" applyBorder="1"/>
    <xf numFmtId="0" fontId="7" fillId="8" borderId="17" xfId="0" applyFont="1" applyFill="1" applyBorder="1"/>
    <xf numFmtId="0" fontId="8" fillId="7" borderId="5" xfId="3" applyFont="1" applyFill="1" applyBorder="1" applyAlignment="1">
      <alignment horizontal="centerContinuous"/>
    </xf>
    <xf numFmtId="0" fontId="8" fillId="7" borderId="5" xfId="3" applyFont="1" applyFill="1" applyBorder="1" applyAlignment="1">
      <alignment horizontal="center" vertical="center" wrapText="1"/>
    </xf>
    <xf numFmtId="0" fontId="3" fillId="8" borderId="16" xfId="3" applyNumberFormat="1" applyFont="1" applyFill="1" applyBorder="1"/>
    <xf numFmtId="0" fontId="3" fillId="8" borderId="15" xfId="3" applyNumberFormat="1" applyFont="1" applyFill="1" applyBorder="1"/>
    <xf numFmtId="0" fontId="3" fillId="8" borderId="15" xfId="3" applyFont="1" applyFill="1" applyBorder="1"/>
    <xf numFmtId="0" fontId="3" fillId="8" borderId="11" xfId="3" applyFont="1" applyFill="1" applyBorder="1"/>
    <xf numFmtId="169" fontId="3" fillId="8" borderId="11" xfId="3" applyNumberFormat="1" applyFont="1" applyFill="1" applyBorder="1"/>
    <xf numFmtId="0" fontId="3" fillId="6" borderId="11" xfId="3" applyFont="1" applyFill="1" applyBorder="1"/>
    <xf numFmtId="0" fontId="7" fillId="8" borderId="18" xfId="0" applyFont="1" applyFill="1" applyBorder="1"/>
    <xf numFmtId="0" fontId="3" fillId="8" borderId="19" xfId="3" applyNumberFormat="1" applyFont="1" applyFill="1" applyBorder="1"/>
    <xf numFmtId="0" fontId="3" fillId="8" borderId="11" xfId="3" applyNumberFormat="1" applyFont="1" applyFill="1" applyBorder="1"/>
    <xf numFmtId="0" fontId="3" fillId="8" borderId="18" xfId="3" applyNumberFormat="1" applyFont="1" applyFill="1" applyBorder="1"/>
    <xf numFmtId="0" fontId="0" fillId="0" borderId="0" xfId="0" applyBorder="1"/>
    <xf numFmtId="0" fontId="7" fillId="0" borderId="10" xfId="0" applyFont="1" applyBorder="1"/>
    <xf numFmtId="0" fontId="7" fillId="0" borderId="15" xfId="0" applyFont="1" applyBorder="1"/>
    <xf numFmtId="169" fontId="7" fillId="0" borderId="15" xfId="0" applyNumberFormat="1" applyFont="1" applyBorder="1"/>
    <xf numFmtId="168" fontId="7" fillId="0" borderId="15" xfId="0" applyNumberFormat="1" applyFont="1" applyBorder="1"/>
    <xf numFmtId="167" fontId="7" fillId="0" borderId="15" xfId="0" applyNumberFormat="1" applyFont="1" applyBorder="1"/>
    <xf numFmtId="170" fontId="7" fillId="0" borderId="15" xfId="0" applyNumberFormat="1" applyFont="1" applyBorder="1"/>
    <xf numFmtId="169" fontId="7" fillId="0" borderId="11" xfId="0" applyNumberFormat="1" applyFont="1" applyBorder="1"/>
    <xf numFmtId="168" fontId="7" fillId="0" borderId="11" xfId="0" applyNumberFormat="1" applyFont="1" applyBorder="1"/>
    <xf numFmtId="167" fontId="7" fillId="0" borderId="11" xfId="0" applyNumberFormat="1" applyFont="1" applyBorder="1"/>
    <xf numFmtId="170" fontId="7" fillId="0" borderId="11" xfId="0" applyNumberFormat="1" applyFont="1" applyBorder="1"/>
    <xf numFmtId="0" fontId="7" fillId="9" borderId="0" xfId="0" applyFont="1" applyFill="1"/>
    <xf numFmtId="167" fontId="7" fillId="9" borderId="0" xfId="0" applyNumberFormat="1" applyFont="1" applyFill="1"/>
    <xf numFmtId="0" fontId="7" fillId="0" borderId="5" xfId="0" applyFont="1" applyBorder="1"/>
    <xf numFmtId="0" fontId="7" fillId="9" borderId="0" xfId="0" applyFont="1" applyFill="1" applyBorder="1"/>
    <xf numFmtId="0" fontId="7" fillId="9" borderId="20" xfId="0" applyFont="1" applyFill="1" applyBorder="1"/>
    <xf numFmtId="169" fontId="7" fillId="9" borderId="20" xfId="0" applyNumberFormat="1" applyFont="1" applyFill="1" applyBorder="1"/>
    <xf numFmtId="168" fontId="7" fillId="9" borderId="20" xfId="0" applyNumberFormat="1" applyFont="1" applyFill="1" applyBorder="1"/>
    <xf numFmtId="167" fontId="7" fillId="9" borderId="20" xfId="0" applyNumberFormat="1" applyFont="1" applyFill="1" applyBorder="1"/>
    <xf numFmtId="170" fontId="7" fillId="9" borderId="20" xfId="0" applyNumberFormat="1" applyFont="1" applyFill="1" applyBorder="1"/>
    <xf numFmtId="169" fontId="7" fillId="9" borderId="0" xfId="0" applyNumberFormat="1" applyFont="1" applyFill="1" applyBorder="1"/>
    <xf numFmtId="168" fontId="7" fillId="9" borderId="0" xfId="0" applyNumberFormat="1" applyFont="1" applyFill="1" applyBorder="1"/>
    <xf numFmtId="167" fontId="7" fillId="9" borderId="0" xfId="0" applyNumberFormat="1" applyFont="1" applyFill="1" applyBorder="1"/>
    <xf numFmtId="170" fontId="7" fillId="9" borderId="0" xfId="0" applyNumberFormat="1" applyFont="1" applyFill="1" applyBorder="1"/>
    <xf numFmtId="168" fontId="7" fillId="9" borderId="0" xfId="0" applyNumberFormat="1" applyFont="1" applyFill="1"/>
    <xf numFmtId="167" fontId="7" fillId="0" borderId="5" xfId="0" applyNumberFormat="1" applyFont="1" applyBorder="1"/>
    <xf numFmtId="168" fontId="7" fillId="0" borderId="5" xfId="0" applyNumberFormat="1" applyFont="1" applyBorder="1"/>
    <xf numFmtId="171" fontId="7" fillId="0" borderId="5" xfId="0" applyNumberFormat="1" applyFont="1" applyBorder="1"/>
    <xf numFmtId="0" fontId="3" fillId="6" borderId="7" xfId="1" applyFont="1" applyFill="1" applyBorder="1"/>
    <xf numFmtId="0" fontId="3" fillId="6" borderId="8" xfId="1" applyFont="1" applyFill="1" applyBorder="1"/>
    <xf numFmtId="0" fontId="3" fillId="10" borderId="5" xfId="0" applyFont="1" applyFill="1" applyBorder="1" applyAlignment="1">
      <alignment horizontal="center" vertical="center" wrapText="1"/>
    </xf>
    <xf numFmtId="0" fontId="3" fillId="10" borderId="5" xfId="0" applyFont="1" applyFill="1" applyBorder="1"/>
  </cellXfs>
  <cellStyles count="6">
    <cellStyle name="Normal" xfId="0" builtinId="0"/>
    <cellStyle name="Normal 2 2" xfId="3"/>
    <cellStyle name="Normal_InterestRateQuotesFeed" xfId="1"/>
    <cellStyle name="Normal_SwaptionATMVols" xfId="2"/>
    <cellStyle name="Percent 2" xfId="5"/>
    <cellStyle name="Percent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Delta'!$X$2</c:f>
              <c:strCache>
                <c:ptCount val="1"/>
                <c:pt idx="0">
                  <c:v>Delta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42123</c:v>
                </c:pt>
                <c:pt idx="1">
                  <c:v>42124</c:v>
                </c:pt>
                <c:pt idx="2">
                  <c:v>42128</c:v>
                </c:pt>
                <c:pt idx="3">
                  <c:v>42129</c:v>
                </c:pt>
                <c:pt idx="4">
                  <c:v>42130</c:v>
                </c:pt>
                <c:pt idx="5">
                  <c:v>42131</c:v>
                </c:pt>
                <c:pt idx="6">
                  <c:v>42132</c:v>
                </c:pt>
                <c:pt idx="7">
                  <c:v>42135</c:v>
                </c:pt>
                <c:pt idx="8">
                  <c:v>42136</c:v>
                </c:pt>
                <c:pt idx="9">
                  <c:v>42137</c:v>
                </c:pt>
                <c:pt idx="10">
                  <c:v>42138</c:v>
                </c:pt>
                <c:pt idx="11">
                  <c:v>42139</c:v>
                </c:pt>
                <c:pt idx="12">
                  <c:v>42142</c:v>
                </c:pt>
                <c:pt idx="13">
                  <c:v>42143</c:v>
                </c:pt>
                <c:pt idx="14">
                  <c:v>42144</c:v>
                </c:pt>
                <c:pt idx="15">
                  <c:v>42145</c:v>
                </c:pt>
                <c:pt idx="16">
                  <c:v>42146</c:v>
                </c:pt>
                <c:pt idx="17">
                  <c:v>42149</c:v>
                </c:pt>
                <c:pt idx="18">
                  <c:v>42150</c:v>
                </c:pt>
                <c:pt idx="19">
                  <c:v>42151</c:v>
                </c:pt>
                <c:pt idx="20">
                  <c:v>42152</c:v>
                </c:pt>
                <c:pt idx="21">
                  <c:v>42153</c:v>
                </c:pt>
                <c:pt idx="22">
                  <c:v>42156</c:v>
                </c:pt>
                <c:pt idx="23">
                  <c:v>42157</c:v>
                </c:pt>
                <c:pt idx="24">
                  <c:v>42158</c:v>
                </c:pt>
                <c:pt idx="25">
                  <c:v>42159</c:v>
                </c:pt>
                <c:pt idx="26">
                  <c:v>42160</c:v>
                </c:pt>
                <c:pt idx="27">
                  <c:v>42163</c:v>
                </c:pt>
                <c:pt idx="28">
                  <c:v>42164</c:v>
                </c:pt>
                <c:pt idx="29">
                  <c:v>42165</c:v>
                </c:pt>
                <c:pt idx="30">
                  <c:v>42166</c:v>
                </c:pt>
                <c:pt idx="31">
                  <c:v>42167</c:v>
                </c:pt>
                <c:pt idx="32">
                  <c:v>42170</c:v>
                </c:pt>
                <c:pt idx="33">
                  <c:v>42171</c:v>
                </c:pt>
                <c:pt idx="34">
                  <c:v>42172</c:v>
                </c:pt>
                <c:pt idx="35">
                  <c:v>42173</c:v>
                </c:pt>
                <c:pt idx="36">
                  <c:v>42174</c:v>
                </c:pt>
                <c:pt idx="37">
                  <c:v>42177</c:v>
                </c:pt>
                <c:pt idx="38">
                  <c:v>42178</c:v>
                </c:pt>
                <c:pt idx="39">
                  <c:v>42179</c:v>
                </c:pt>
                <c:pt idx="40">
                  <c:v>42180</c:v>
                </c:pt>
                <c:pt idx="41">
                  <c:v>42181</c:v>
                </c:pt>
                <c:pt idx="42">
                  <c:v>42184</c:v>
                </c:pt>
                <c:pt idx="43">
                  <c:v>42185</c:v>
                </c:pt>
                <c:pt idx="44">
                  <c:v>42186</c:v>
                </c:pt>
                <c:pt idx="45">
                  <c:v>42187</c:v>
                </c:pt>
                <c:pt idx="46">
                  <c:v>42188</c:v>
                </c:pt>
                <c:pt idx="47">
                  <c:v>42191</c:v>
                </c:pt>
                <c:pt idx="48">
                  <c:v>42192</c:v>
                </c:pt>
                <c:pt idx="49">
                  <c:v>42193</c:v>
                </c:pt>
                <c:pt idx="50">
                  <c:v>42194</c:v>
                </c:pt>
                <c:pt idx="51">
                  <c:v>42195</c:v>
                </c:pt>
                <c:pt idx="52">
                  <c:v>42198</c:v>
                </c:pt>
                <c:pt idx="53">
                  <c:v>42199</c:v>
                </c:pt>
                <c:pt idx="54">
                  <c:v>42200</c:v>
                </c:pt>
                <c:pt idx="55">
                  <c:v>42201</c:v>
                </c:pt>
                <c:pt idx="56">
                  <c:v>42202</c:v>
                </c:pt>
                <c:pt idx="57">
                  <c:v>42205</c:v>
                </c:pt>
                <c:pt idx="58">
                  <c:v>42206</c:v>
                </c:pt>
                <c:pt idx="59">
                  <c:v>42207</c:v>
                </c:pt>
                <c:pt idx="60">
                  <c:v>42208</c:v>
                </c:pt>
                <c:pt idx="61">
                  <c:v>42209</c:v>
                </c:pt>
                <c:pt idx="62">
                  <c:v>42212</c:v>
                </c:pt>
                <c:pt idx="63">
                  <c:v>42213</c:v>
                </c:pt>
                <c:pt idx="64">
                  <c:v>42214</c:v>
                </c:pt>
                <c:pt idx="65">
                  <c:v>42215</c:v>
                </c:pt>
                <c:pt idx="66">
                  <c:v>42216</c:v>
                </c:pt>
                <c:pt idx="67">
                  <c:v>42219</c:v>
                </c:pt>
                <c:pt idx="68">
                  <c:v>42220</c:v>
                </c:pt>
                <c:pt idx="69">
                  <c:v>42221</c:v>
                </c:pt>
                <c:pt idx="70">
                  <c:v>42222</c:v>
                </c:pt>
                <c:pt idx="71">
                  <c:v>42223</c:v>
                </c:pt>
                <c:pt idx="72">
                  <c:v>42226</c:v>
                </c:pt>
                <c:pt idx="73">
                  <c:v>42227</c:v>
                </c:pt>
                <c:pt idx="74">
                  <c:v>42228</c:v>
                </c:pt>
                <c:pt idx="75">
                  <c:v>42229</c:v>
                </c:pt>
                <c:pt idx="76">
                  <c:v>42230</c:v>
                </c:pt>
                <c:pt idx="77">
                  <c:v>42233</c:v>
                </c:pt>
                <c:pt idx="78">
                  <c:v>42234</c:v>
                </c:pt>
                <c:pt idx="79">
                  <c:v>42235</c:v>
                </c:pt>
                <c:pt idx="80">
                  <c:v>42236</c:v>
                </c:pt>
                <c:pt idx="81">
                  <c:v>42237</c:v>
                </c:pt>
                <c:pt idx="82">
                  <c:v>42240</c:v>
                </c:pt>
                <c:pt idx="83">
                  <c:v>42241</c:v>
                </c:pt>
                <c:pt idx="84">
                  <c:v>42242</c:v>
                </c:pt>
                <c:pt idx="85">
                  <c:v>42243</c:v>
                </c:pt>
                <c:pt idx="86">
                  <c:v>42244</c:v>
                </c:pt>
                <c:pt idx="87">
                  <c:v>42247</c:v>
                </c:pt>
                <c:pt idx="88">
                  <c:v>42248</c:v>
                </c:pt>
                <c:pt idx="89">
                  <c:v>42249</c:v>
                </c:pt>
                <c:pt idx="90">
                  <c:v>42250</c:v>
                </c:pt>
                <c:pt idx="91">
                  <c:v>42251</c:v>
                </c:pt>
                <c:pt idx="92">
                  <c:v>42254</c:v>
                </c:pt>
                <c:pt idx="93">
                  <c:v>42255</c:v>
                </c:pt>
                <c:pt idx="94">
                  <c:v>42256</c:v>
                </c:pt>
                <c:pt idx="95">
                  <c:v>42257</c:v>
                </c:pt>
                <c:pt idx="96">
                  <c:v>42258</c:v>
                </c:pt>
                <c:pt idx="97">
                  <c:v>42261</c:v>
                </c:pt>
                <c:pt idx="98">
                  <c:v>42262</c:v>
                </c:pt>
                <c:pt idx="99">
                  <c:v>42263</c:v>
                </c:pt>
                <c:pt idx="100">
                  <c:v>42264</c:v>
                </c:pt>
                <c:pt idx="101">
                  <c:v>42265</c:v>
                </c:pt>
                <c:pt idx="102">
                  <c:v>42268</c:v>
                </c:pt>
                <c:pt idx="103">
                  <c:v>42269</c:v>
                </c:pt>
                <c:pt idx="104">
                  <c:v>42270</c:v>
                </c:pt>
                <c:pt idx="105">
                  <c:v>42271</c:v>
                </c:pt>
                <c:pt idx="106">
                  <c:v>42272</c:v>
                </c:pt>
                <c:pt idx="107">
                  <c:v>42275</c:v>
                </c:pt>
                <c:pt idx="108">
                  <c:v>42276</c:v>
                </c:pt>
                <c:pt idx="109">
                  <c:v>42277</c:v>
                </c:pt>
                <c:pt idx="110">
                  <c:v>42278</c:v>
                </c:pt>
                <c:pt idx="111">
                  <c:v>42279</c:v>
                </c:pt>
                <c:pt idx="112">
                  <c:v>42282</c:v>
                </c:pt>
                <c:pt idx="113">
                  <c:v>42283</c:v>
                </c:pt>
                <c:pt idx="114">
                  <c:v>42284</c:v>
                </c:pt>
                <c:pt idx="115">
                  <c:v>42285</c:v>
                </c:pt>
                <c:pt idx="116">
                  <c:v>42286</c:v>
                </c:pt>
                <c:pt idx="117">
                  <c:v>42289</c:v>
                </c:pt>
                <c:pt idx="118">
                  <c:v>42290</c:v>
                </c:pt>
                <c:pt idx="119">
                  <c:v>42291</c:v>
                </c:pt>
                <c:pt idx="120">
                  <c:v>42292</c:v>
                </c:pt>
                <c:pt idx="121">
                  <c:v>42293</c:v>
                </c:pt>
                <c:pt idx="122">
                  <c:v>42296</c:v>
                </c:pt>
                <c:pt idx="123">
                  <c:v>42297</c:v>
                </c:pt>
                <c:pt idx="124">
                  <c:v>42298</c:v>
                </c:pt>
                <c:pt idx="125">
                  <c:v>42299</c:v>
                </c:pt>
                <c:pt idx="126">
                  <c:v>42300</c:v>
                </c:pt>
                <c:pt idx="127">
                  <c:v>42303</c:v>
                </c:pt>
                <c:pt idx="128">
                  <c:v>42304</c:v>
                </c:pt>
                <c:pt idx="129">
                  <c:v>42305</c:v>
                </c:pt>
                <c:pt idx="130">
                  <c:v>42306</c:v>
                </c:pt>
                <c:pt idx="131">
                  <c:v>42307</c:v>
                </c:pt>
                <c:pt idx="132">
                  <c:v>42310</c:v>
                </c:pt>
                <c:pt idx="133">
                  <c:v>42311</c:v>
                </c:pt>
                <c:pt idx="134">
                  <c:v>42312</c:v>
                </c:pt>
                <c:pt idx="135">
                  <c:v>42313</c:v>
                </c:pt>
                <c:pt idx="136">
                  <c:v>42314</c:v>
                </c:pt>
                <c:pt idx="137">
                  <c:v>42317</c:v>
                </c:pt>
                <c:pt idx="138">
                  <c:v>42318</c:v>
                </c:pt>
                <c:pt idx="139">
                  <c:v>42319</c:v>
                </c:pt>
                <c:pt idx="140">
                  <c:v>42320</c:v>
                </c:pt>
                <c:pt idx="141">
                  <c:v>42321</c:v>
                </c:pt>
                <c:pt idx="142">
                  <c:v>42324</c:v>
                </c:pt>
                <c:pt idx="143">
                  <c:v>42325</c:v>
                </c:pt>
                <c:pt idx="144">
                  <c:v>42326</c:v>
                </c:pt>
                <c:pt idx="145">
                  <c:v>42327</c:v>
                </c:pt>
                <c:pt idx="146">
                  <c:v>42328</c:v>
                </c:pt>
                <c:pt idx="147">
                  <c:v>42331</c:v>
                </c:pt>
                <c:pt idx="148">
                  <c:v>42332</c:v>
                </c:pt>
                <c:pt idx="149">
                  <c:v>42333</c:v>
                </c:pt>
                <c:pt idx="150">
                  <c:v>42334</c:v>
                </c:pt>
                <c:pt idx="151">
                  <c:v>42335</c:v>
                </c:pt>
                <c:pt idx="152">
                  <c:v>42338</c:v>
                </c:pt>
                <c:pt idx="153">
                  <c:v>42339</c:v>
                </c:pt>
                <c:pt idx="154">
                  <c:v>42340</c:v>
                </c:pt>
                <c:pt idx="155">
                  <c:v>42341</c:v>
                </c:pt>
                <c:pt idx="156">
                  <c:v>42342</c:v>
                </c:pt>
                <c:pt idx="157">
                  <c:v>42345</c:v>
                </c:pt>
                <c:pt idx="158">
                  <c:v>42346</c:v>
                </c:pt>
                <c:pt idx="159">
                  <c:v>42347</c:v>
                </c:pt>
                <c:pt idx="160">
                  <c:v>42348</c:v>
                </c:pt>
                <c:pt idx="161">
                  <c:v>42349</c:v>
                </c:pt>
                <c:pt idx="162">
                  <c:v>42352</c:v>
                </c:pt>
                <c:pt idx="163">
                  <c:v>42353</c:v>
                </c:pt>
                <c:pt idx="164">
                  <c:v>42354</c:v>
                </c:pt>
                <c:pt idx="165">
                  <c:v>42355</c:v>
                </c:pt>
                <c:pt idx="166">
                  <c:v>42356</c:v>
                </c:pt>
                <c:pt idx="167">
                  <c:v>42359</c:v>
                </c:pt>
                <c:pt idx="168">
                  <c:v>42360</c:v>
                </c:pt>
                <c:pt idx="169">
                  <c:v>42361</c:v>
                </c:pt>
                <c:pt idx="170">
                  <c:v>42362</c:v>
                </c:pt>
                <c:pt idx="171">
                  <c:v>42366</c:v>
                </c:pt>
                <c:pt idx="172">
                  <c:v>42367</c:v>
                </c:pt>
                <c:pt idx="173">
                  <c:v>42368</c:v>
                </c:pt>
                <c:pt idx="174">
                  <c:v>42369</c:v>
                </c:pt>
                <c:pt idx="175">
                  <c:v>42373</c:v>
                </c:pt>
                <c:pt idx="176">
                  <c:v>42374</c:v>
                </c:pt>
                <c:pt idx="177">
                  <c:v>42375</c:v>
                </c:pt>
                <c:pt idx="178">
                  <c:v>42376</c:v>
                </c:pt>
                <c:pt idx="179">
                  <c:v>42377</c:v>
                </c:pt>
                <c:pt idx="180">
                  <c:v>42380</c:v>
                </c:pt>
                <c:pt idx="181">
                  <c:v>42381</c:v>
                </c:pt>
                <c:pt idx="182">
                  <c:v>42382</c:v>
                </c:pt>
                <c:pt idx="183">
                  <c:v>42383</c:v>
                </c:pt>
                <c:pt idx="184">
                  <c:v>42384</c:v>
                </c:pt>
                <c:pt idx="185">
                  <c:v>42387</c:v>
                </c:pt>
                <c:pt idx="186">
                  <c:v>42388</c:v>
                </c:pt>
                <c:pt idx="187">
                  <c:v>42389</c:v>
                </c:pt>
                <c:pt idx="188">
                  <c:v>42390</c:v>
                </c:pt>
                <c:pt idx="189">
                  <c:v>42391</c:v>
                </c:pt>
                <c:pt idx="190">
                  <c:v>42394</c:v>
                </c:pt>
                <c:pt idx="191">
                  <c:v>42395</c:v>
                </c:pt>
                <c:pt idx="192">
                  <c:v>42396</c:v>
                </c:pt>
                <c:pt idx="193">
                  <c:v>42397</c:v>
                </c:pt>
                <c:pt idx="194">
                  <c:v>42398</c:v>
                </c:pt>
                <c:pt idx="195">
                  <c:v>42401</c:v>
                </c:pt>
                <c:pt idx="196">
                  <c:v>42402</c:v>
                </c:pt>
                <c:pt idx="197">
                  <c:v>42403</c:v>
                </c:pt>
                <c:pt idx="198">
                  <c:v>42404</c:v>
                </c:pt>
                <c:pt idx="199">
                  <c:v>42405</c:v>
                </c:pt>
                <c:pt idx="200">
                  <c:v>42408</c:v>
                </c:pt>
                <c:pt idx="201">
                  <c:v>42409</c:v>
                </c:pt>
                <c:pt idx="202">
                  <c:v>42410</c:v>
                </c:pt>
                <c:pt idx="203">
                  <c:v>42411</c:v>
                </c:pt>
                <c:pt idx="204">
                  <c:v>42412</c:v>
                </c:pt>
                <c:pt idx="205">
                  <c:v>42415</c:v>
                </c:pt>
                <c:pt idx="206">
                  <c:v>42416</c:v>
                </c:pt>
                <c:pt idx="207">
                  <c:v>42417</c:v>
                </c:pt>
                <c:pt idx="208">
                  <c:v>42418</c:v>
                </c:pt>
                <c:pt idx="209">
                  <c:v>42419</c:v>
                </c:pt>
                <c:pt idx="210">
                  <c:v>42422</c:v>
                </c:pt>
                <c:pt idx="211">
                  <c:v>42423</c:v>
                </c:pt>
                <c:pt idx="212">
                  <c:v>42424</c:v>
                </c:pt>
                <c:pt idx="213">
                  <c:v>42425</c:v>
                </c:pt>
                <c:pt idx="214">
                  <c:v>42426</c:v>
                </c:pt>
                <c:pt idx="215">
                  <c:v>42429</c:v>
                </c:pt>
                <c:pt idx="216">
                  <c:v>42430</c:v>
                </c:pt>
                <c:pt idx="217">
                  <c:v>42431</c:v>
                </c:pt>
                <c:pt idx="218">
                  <c:v>42432</c:v>
                </c:pt>
                <c:pt idx="219">
                  <c:v>42433</c:v>
                </c:pt>
                <c:pt idx="220">
                  <c:v>42436</c:v>
                </c:pt>
                <c:pt idx="221">
                  <c:v>42437</c:v>
                </c:pt>
                <c:pt idx="222">
                  <c:v>42438</c:v>
                </c:pt>
                <c:pt idx="223">
                  <c:v>42439</c:v>
                </c:pt>
                <c:pt idx="224">
                  <c:v>42440</c:v>
                </c:pt>
                <c:pt idx="225">
                  <c:v>42443</c:v>
                </c:pt>
                <c:pt idx="226">
                  <c:v>42444</c:v>
                </c:pt>
                <c:pt idx="227">
                  <c:v>42445</c:v>
                </c:pt>
                <c:pt idx="228">
                  <c:v>42446</c:v>
                </c:pt>
                <c:pt idx="229">
                  <c:v>42447</c:v>
                </c:pt>
                <c:pt idx="230">
                  <c:v>42450</c:v>
                </c:pt>
                <c:pt idx="231">
                  <c:v>42451</c:v>
                </c:pt>
                <c:pt idx="232">
                  <c:v>42452</c:v>
                </c:pt>
                <c:pt idx="233">
                  <c:v>42453</c:v>
                </c:pt>
                <c:pt idx="234">
                  <c:v>42458</c:v>
                </c:pt>
                <c:pt idx="235">
                  <c:v>42459</c:v>
                </c:pt>
                <c:pt idx="236">
                  <c:v>42460</c:v>
                </c:pt>
                <c:pt idx="237">
                  <c:v>42461</c:v>
                </c:pt>
                <c:pt idx="238">
                  <c:v>42464</c:v>
                </c:pt>
                <c:pt idx="239">
                  <c:v>42465</c:v>
                </c:pt>
                <c:pt idx="240">
                  <c:v>42466</c:v>
                </c:pt>
                <c:pt idx="241">
                  <c:v>42467</c:v>
                </c:pt>
                <c:pt idx="242">
                  <c:v>42468</c:v>
                </c:pt>
                <c:pt idx="243">
                  <c:v>42471</c:v>
                </c:pt>
                <c:pt idx="244">
                  <c:v>42472</c:v>
                </c:pt>
                <c:pt idx="245">
                  <c:v>42473</c:v>
                </c:pt>
                <c:pt idx="246">
                  <c:v>42474</c:v>
                </c:pt>
                <c:pt idx="247">
                  <c:v>42475</c:v>
                </c:pt>
                <c:pt idx="248">
                  <c:v>42478</c:v>
                </c:pt>
                <c:pt idx="249">
                  <c:v>42479</c:v>
                </c:pt>
                <c:pt idx="250">
                  <c:v>42480</c:v>
                </c:pt>
                <c:pt idx="251">
                  <c:v>42481</c:v>
                </c:pt>
                <c:pt idx="252">
                  <c:v>42482</c:v>
                </c:pt>
                <c:pt idx="253">
                  <c:v>42485</c:v>
                </c:pt>
                <c:pt idx="254">
                  <c:v>42486</c:v>
                </c:pt>
                <c:pt idx="255">
                  <c:v>42487</c:v>
                </c:pt>
                <c:pt idx="256">
                  <c:v>42488</c:v>
                </c:pt>
                <c:pt idx="257">
                  <c:v>42495</c:v>
                </c:pt>
                <c:pt idx="258">
                  <c:v>42502</c:v>
                </c:pt>
                <c:pt idx="259">
                  <c:v>42509</c:v>
                </c:pt>
                <c:pt idx="260">
                  <c:v>42516</c:v>
                </c:pt>
                <c:pt idx="261">
                  <c:v>42523</c:v>
                </c:pt>
                <c:pt idx="262">
                  <c:v>42530</c:v>
                </c:pt>
                <c:pt idx="263">
                  <c:v>42537</c:v>
                </c:pt>
                <c:pt idx="264">
                  <c:v>42544</c:v>
                </c:pt>
                <c:pt idx="265">
                  <c:v>42551</c:v>
                </c:pt>
                <c:pt idx="266">
                  <c:v>42558</c:v>
                </c:pt>
                <c:pt idx="267">
                  <c:v>42565</c:v>
                </c:pt>
                <c:pt idx="268">
                  <c:v>42572</c:v>
                </c:pt>
                <c:pt idx="269">
                  <c:v>42579</c:v>
                </c:pt>
                <c:pt idx="270">
                  <c:v>42586</c:v>
                </c:pt>
                <c:pt idx="271">
                  <c:v>42593</c:v>
                </c:pt>
                <c:pt idx="272">
                  <c:v>42600</c:v>
                </c:pt>
                <c:pt idx="273">
                  <c:v>42607</c:v>
                </c:pt>
                <c:pt idx="274">
                  <c:v>42614</c:v>
                </c:pt>
                <c:pt idx="275">
                  <c:v>42621</c:v>
                </c:pt>
                <c:pt idx="276">
                  <c:v>42628</c:v>
                </c:pt>
                <c:pt idx="277">
                  <c:v>42635</c:v>
                </c:pt>
                <c:pt idx="278">
                  <c:v>42642</c:v>
                </c:pt>
                <c:pt idx="279">
                  <c:v>42649</c:v>
                </c:pt>
                <c:pt idx="280">
                  <c:v>42656</c:v>
                </c:pt>
                <c:pt idx="281">
                  <c:v>42663</c:v>
                </c:pt>
                <c:pt idx="282">
                  <c:v>42670</c:v>
                </c:pt>
                <c:pt idx="283">
                  <c:v>42677</c:v>
                </c:pt>
                <c:pt idx="284">
                  <c:v>42684</c:v>
                </c:pt>
                <c:pt idx="285">
                  <c:v>42691</c:v>
                </c:pt>
                <c:pt idx="286">
                  <c:v>42698</c:v>
                </c:pt>
                <c:pt idx="287">
                  <c:v>42705</c:v>
                </c:pt>
                <c:pt idx="288">
                  <c:v>42712</c:v>
                </c:pt>
                <c:pt idx="289">
                  <c:v>42719</c:v>
                </c:pt>
                <c:pt idx="290">
                  <c:v>42726</c:v>
                </c:pt>
                <c:pt idx="291">
                  <c:v>42733</c:v>
                </c:pt>
                <c:pt idx="292">
                  <c:v>42740</c:v>
                </c:pt>
                <c:pt idx="293">
                  <c:v>42747</c:v>
                </c:pt>
                <c:pt idx="294">
                  <c:v>42754</c:v>
                </c:pt>
                <c:pt idx="295">
                  <c:v>42761</c:v>
                </c:pt>
                <c:pt idx="296">
                  <c:v>42768</c:v>
                </c:pt>
                <c:pt idx="297">
                  <c:v>42775</c:v>
                </c:pt>
                <c:pt idx="298">
                  <c:v>42782</c:v>
                </c:pt>
                <c:pt idx="299">
                  <c:v>42789</c:v>
                </c:pt>
                <c:pt idx="300">
                  <c:v>42796</c:v>
                </c:pt>
                <c:pt idx="301">
                  <c:v>42803</c:v>
                </c:pt>
                <c:pt idx="302">
                  <c:v>42810</c:v>
                </c:pt>
                <c:pt idx="303">
                  <c:v>42817</c:v>
                </c:pt>
                <c:pt idx="304">
                  <c:v>42824</c:v>
                </c:pt>
                <c:pt idx="305">
                  <c:v>42831</c:v>
                </c:pt>
                <c:pt idx="306">
                  <c:v>42838</c:v>
                </c:pt>
                <c:pt idx="307">
                  <c:v>42845</c:v>
                </c:pt>
                <c:pt idx="308">
                  <c:v>42852</c:v>
                </c:pt>
                <c:pt idx="309">
                  <c:v>42859</c:v>
                </c:pt>
                <c:pt idx="310">
                  <c:v>42866</c:v>
                </c:pt>
                <c:pt idx="311">
                  <c:v>42873</c:v>
                </c:pt>
                <c:pt idx="312">
                  <c:v>42880</c:v>
                </c:pt>
                <c:pt idx="313">
                  <c:v>42887</c:v>
                </c:pt>
                <c:pt idx="314">
                  <c:v>42894</c:v>
                </c:pt>
                <c:pt idx="315">
                  <c:v>42901</c:v>
                </c:pt>
                <c:pt idx="316">
                  <c:v>42908</c:v>
                </c:pt>
                <c:pt idx="317">
                  <c:v>42915</c:v>
                </c:pt>
                <c:pt idx="318">
                  <c:v>42922</c:v>
                </c:pt>
                <c:pt idx="319">
                  <c:v>42929</c:v>
                </c:pt>
                <c:pt idx="320">
                  <c:v>42936</c:v>
                </c:pt>
                <c:pt idx="321">
                  <c:v>42943</c:v>
                </c:pt>
                <c:pt idx="322">
                  <c:v>42950</c:v>
                </c:pt>
                <c:pt idx="323">
                  <c:v>42957</c:v>
                </c:pt>
                <c:pt idx="324">
                  <c:v>42964</c:v>
                </c:pt>
                <c:pt idx="325">
                  <c:v>42971</c:v>
                </c:pt>
                <c:pt idx="326">
                  <c:v>42978</c:v>
                </c:pt>
                <c:pt idx="327">
                  <c:v>42985</c:v>
                </c:pt>
                <c:pt idx="328">
                  <c:v>42992</c:v>
                </c:pt>
                <c:pt idx="329">
                  <c:v>42999</c:v>
                </c:pt>
                <c:pt idx="330">
                  <c:v>43006</c:v>
                </c:pt>
                <c:pt idx="331">
                  <c:v>43013</c:v>
                </c:pt>
                <c:pt idx="332">
                  <c:v>43020</c:v>
                </c:pt>
                <c:pt idx="333">
                  <c:v>43027</c:v>
                </c:pt>
                <c:pt idx="334">
                  <c:v>43034</c:v>
                </c:pt>
                <c:pt idx="335">
                  <c:v>43041</c:v>
                </c:pt>
                <c:pt idx="336">
                  <c:v>43048</c:v>
                </c:pt>
                <c:pt idx="337">
                  <c:v>43055</c:v>
                </c:pt>
                <c:pt idx="338">
                  <c:v>43062</c:v>
                </c:pt>
                <c:pt idx="339">
                  <c:v>43069</c:v>
                </c:pt>
                <c:pt idx="340">
                  <c:v>43076</c:v>
                </c:pt>
                <c:pt idx="341">
                  <c:v>43083</c:v>
                </c:pt>
                <c:pt idx="342">
                  <c:v>43090</c:v>
                </c:pt>
                <c:pt idx="343">
                  <c:v>43098</c:v>
                </c:pt>
                <c:pt idx="344">
                  <c:v>43105</c:v>
                </c:pt>
                <c:pt idx="345">
                  <c:v>43112</c:v>
                </c:pt>
                <c:pt idx="346">
                  <c:v>43119</c:v>
                </c:pt>
                <c:pt idx="347">
                  <c:v>43126</c:v>
                </c:pt>
                <c:pt idx="348">
                  <c:v>43133</c:v>
                </c:pt>
                <c:pt idx="349">
                  <c:v>43140</c:v>
                </c:pt>
                <c:pt idx="350">
                  <c:v>43147</c:v>
                </c:pt>
                <c:pt idx="351">
                  <c:v>43154</c:v>
                </c:pt>
                <c:pt idx="352">
                  <c:v>43161</c:v>
                </c:pt>
                <c:pt idx="353">
                  <c:v>43168</c:v>
                </c:pt>
                <c:pt idx="354">
                  <c:v>43175</c:v>
                </c:pt>
                <c:pt idx="355">
                  <c:v>43182</c:v>
                </c:pt>
                <c:pt idx="356">
                  <c:v>43193</c:v>
                </c:pt>
                <c:pt idx="357">
                  <c:v>43196</c:v>
                </c:pt>
                <c:pt idx="358">
                  <c:v>43203</c:v>
                </c:pt>
                <c:pt idx="359">
                  <c:v>43210</c:v>
                </c:pt>
                <c:pt idx="360">
                  <c:v>43217</c:v>
                </c:pt>
                <c:pt idx="361">
                  <c:v>43224</c:v>
                </c:pt>
                <c:pt idx="362">
                  <c:v>43231</c:v>
                </c:pt>
                <c:pt idx="363">
                  <c:v>43238</c:v>
                </c:pt>
                <c:pt idx="364">
                  <c:v>43245</c:v>
                </c:pt>
                <c:pt idx="365">
                  <c:v>43252</c:v>
                </c:pt>
                <c:pt idx="366">
                  <c:v>43259</c:v>
                </c:pt>
                <c:pt idx="367">
                  <c:v>43266</c:v>
                </c:pt>
                <c:pt idx="368">
                  <c:v>43273</c:v>
                </c:pt>
                <c:pt idx="369">
                  <c:v>43280</c:v>
                </c:pt>
                <c:pt idx="370">
                  <c:v>43287</c:v>
                </c:pt>
                <c:pt idx="371">
                  <c:v>43294</c:v>
                </c:pt>
                <c:pt idx="372">
                  <c:v>43301</c:v>
                </c:pt>
                <c:pt idx="373">
                  <c:v>43308</c:v>
                </c:pt>
                <c:pt idx="374">
                  <c:v>43315</c:v>
                </c:pt>
                <c:pt idx="375">
                  <c:v>43322</c:v>
                </c:pt>
                <c:pt idx="376">
                  <c:v>43329</c:v>
                </c:pt>
                <c:pt idx="377">
                  <c:v>43336</c:v>
                </c:pt>
                <c:pt idx="378">
                  <c:v>43343</c:v>
                </c:pt>
                <c:pt idx="379">
                  <c:v>43350</c:v>
                </c:pt>
                <c:pt idx="380">
                  <c:v>43357</c:v>
                </c:pt>
                <c:pt idx="381">
                  <c:v>43364</c:v>
                </c:pt>
                <c:pt idx="382">
                  <c:v>43371</c:v>
                </c:pt>
                <c:pt idx="383">
                  <c:v>43378</c:v>
                </c:pt>
                <c:pt idx="384">
                  <c:v>43385</c:v>
                </c:pt>
                <c:pt idx="385">
                  <c:v>43392</c:v>
                </c:pt>
                <c:pt idx="386">
                  <c:v>43399</c:v>
                </c:pt>
                <c:pt idx="387">
                  <c:v>43406</c:v>
                </c:pt>
                <c:pt idx="388">
                  <c:v>43413</c:v>
                </c:pt>
                <c:pt idx="389">
                  <c:v>43420</c:v>
                </c:pt>
                <c:pt idx="390">
                  <c:v>43427</c:v>
                </c:pt>
                <c:pt idx="391">
                  <c:v>43434</c:v>
                </c:pt>
                <c:pt idx="392">
                  <c:v>43441</c:v>
                </c:pt>
                <c:pt idx="393">
                  <c:v>43448</c:v>
                </c:pt>
                <c:pt idx="394">
                  <c:v>43455</c:v>
                </c:pt>
                <c:pt idx="395">
                  <c:v>43465</c:v>
                </c:pt>
                <c:pt idx="396">
                  <c:v>43472</c:v>
                </c:pt>
                <c:pt idx="397">
                  <c:v>43479</c:v>
                </c:pt>
                <c:pt idx="398">
                  <c:v>43486</c:v>
                </c:pt>
                <c:pt idx="399">
                  <c:v>43493</c:v>
                </c:pt>
                <c:pt idx="400">
                  <c:v>43500</c:v>
                </c:pt>
                <c:pt idx="401">
                  <c:v>43507</c:v>
                </c:pt>
                <c:pt idx="402">
                  <c:v>43514</c:v>
                </c:pt>
                <c:pt idx="403">
                  <c:v>43521</c:v>
                </c:pt>
                <c:pt idx="404">
                  <c:v>43528</c:v>
                </c:pt>
                <c:pt idx="405">
                  <c:v>43535</c:v>
                </c:pt>
                <c:pt idx="406">
                  <c:v>43542</c:v>
                </c:pt>
                <c:pt idx="407">
                  <c:v>43549</c:v>
                </c:pt>
                <c:pt idx="408">
                  <c:v>43556</c:v>
                </c:pt>
                <c:pt idx="409">
                  <c:v>43563</c:v>
                </c:pt>
                <c:pt idx="410">
                  <c:v>43570</c:v>
                </c:pt>
                <c:pt idx="411">
                  <c:v>43579</c:v>
                </c:pt>
                <c:pt idx="412">
                  <c:v>43584</c:v>
                </c:pt>
                <c:pt idx="413">
                  <c:v>43591</c:v>
                </c:pt>
                <c:pt idx="414">
                  <c:v>43598</c:v>
                </c:pt>
                <c:pt idx="415">
                  <c:v>43605</c:v>
                </c:pt>
                <c:pt idx="416">
                  <c:v>43612</c:v>
                </c:pt>
                <c:pt idx="417">
                  <c:v>43619</c:v>
                </c:pt>
                <c:pt idx="418">
                  <c:v>43626</c:v>
                </c:pt>
                <c:pt idx="419">
                  <c:v>43633</c:v>
                </c:pt>
                <c:pt idx="420">
                  <c:v>43640</c:v>
                </c:pt>
                <c:pt idx="421">
                  <c:v>43647</c:v>
                </c:pt>
                <c:pt idx="422">
                  <c:v>43654</c:v>
                </c:pt>
                <c:pt idx="423">
                  <c:v>43661</c:v>
                </c:pt>
                <c:pt idx="424">
                  <c:v>43668</c:v>
                </c:pt>
                <c:pt idx="425">
                  <c:v>43675</c:v>
                </c:pt>
                <c:pt idx="426">
                  <c:v>43682</c:v>
                </c:pt>
                <c:pt idx="427">
                  <c:v>43689</c:v>
                </c:pt>
                <c:pt idx="428">
                  <c:v>43696</c:v>
                </c:pt>
                <c:pt idx="429">
                  <c:v>43703</c:v>
                </c:pt>
                <c:pt idx="430">
                  <c:v>43710</c:v>
                </c:pt>
                <c:pt idx="431">
                  <c:v>43717</c:v>
                </c:pt>
                <c:pt idx="432">
                  <c:v>43724</c:v>
                </c:pt>
                <c:pt idx="433">
                  <c:v>43731</c:v>
                </c:pt>
                <c:pt idx="434">
                  <c:v>43738</c:v>
                </c:pt>
                <c:pt idx="435">
                  <c:v>43745</c:v>
                </c:pt>
                <c:pt idx="436">
                  <c:v>43752</c:v>
                </c:pt>
                <c:pt idx="437">
                  <c:v>43759</c:v>
                </c:pt>
                <c:pt idx="438">
                  <c:v>43766</c:v>
                </c:pt>
                <c:pt idx="439">
                  <c:v>43773</c:v>
                </c:pt>
                <c:pt idx="440">
                  <c:v>43780</c:v>
                </c:pt>
                <c:pt idx="441">
                  <c:v>43787</c:v>
                </c:pt>
                <c:pt idx="442">
                  <c:v>43794</c:v>
                </c:pt>
                <c:pt idx="443">
                  <c:v>43801</c:v>
                </c:pt>
                <c:pt idx="444">
                  <c:v>43808</c:v>
                </c:pt>
                <c:pt idx="445">
                  <c:v>43815</c:v>
                </c:pt>
                <c:pt idx="446">
                  <c:v>43822</c:v>
                </c:pt>
                <c:pt idx="447">
                  <c:v>43830</c:v>
                </c:pt>
                <c:pt idx="448">
                  <c:v>43837</c:v>
                </c:pt>
                <c:pt idx="449">
                  <c:v>43844</c:v>
                </c:pt>
                <c:pt idx="450">
                  <c:v>43851</c:v>
                </c:pt>
                <c:pt idx="451">
                  <c:v>43858</c:v>
                </c:pt>
                <c:pt idx="452">
                  <c:v>43865</c:v>
                </c:pt>
                <c:pt idx="453">
                  <c:v>43872</c:v>
                </c:pt>
                <c:pt idx="454">
                  <c:v>43879</c:v>
                </c:pt>
                <c:pt idx="455">
                  <c:v>43886</c:v>
                </c:pt>
                <c:pt idx="456">
                  <c:v>43893</c:v>
                </c:pt>
                <c:pt idx="457">
                  <c:v>43900</c:v>
                </c:pt>
                <c:pt idx="458">
                  <c:v>43907</c:v>
                </c:pt>
                <c:pt idx="459">
                  <c:v>43914</c:v>
                </c:pt>
                <c:pt idx="460">
                  <c:v>43921</c:v>
                </c:pt>
                <c:pt idx="461">
                  <c:v>43928</c:v>
                </c:pt>
                <c:pt idx="462">
                  <c:v>43937</c:v>
                </c:pt>
                <c:pt idx="463">
                  <c:v>43944</c:v>
                </c:pt>
                <c:pt idx="464">
                  <c:v>43951</c:v>
                </c:pt>
                <c:pt idx="465">
                  <c:v>43958</c:v>
                </c:pt>
                <c:pt idx="466">
                  <c:v>43965</c:v>
                </c:pt>
                <c:pt idx="467">
                  <c:v>43972</c:v>
                </c:pt>
                <c:pt idx="468">
                  <c:v>43979</c:v>
                </c:pt>
                <c:pt idx="469">
                  <c:v>43986</c:v>
                </c:pt>
                <c:pt idx="470">
                  <c:v>43993</c:v>
                </c:pt>
                <c:pt idx="471">
                  <c:v>44000</c:v>
                </c:pt>
                <c:pt idx="472">
                  <c:v>44007</c:v>
                </c:pt>
                <c:pt idx="473">
                  <c:v>44014</c:v>
                </c:pt>
                <c:pt idx="474">
                  <c:v>44021</c:v>
                </c:pt>
                <c:pt idx="475">
                  <c:v>44028</c:v>
                </c:pt>
                <c:pt idx="476">
                  <c:v>44035</c:v>
                </c:pt>
                <c:pt idx="477">
                  <c:v>44042</c:v>
                </c:pt>
                <c:pt idx="478">
                  <c:v>44049</c:v>
                </c:pt>
                <c:pt idx="479">
                  <c:v>44056</c:v>
                </c:pt>
                <c:pt idx="480">
                  <c:v>44063</c:v>
                </c:pt>
                <c:pt idx="481">
                  <c:v>44070</c:v>
                </c:pt>
                <c:pt idx="482">
                  <c:v>44077</c:v>
                </c:pt>
                <c:pt idx="483">
                  <c:v>44084</c:v>
                </c:pt>
                <c:pt idx="484">
                  <c:v>44091</c:v>
                </c:pt>
                <c:pt idx="485">
                  <c:v>44098</c:v>
                </c:pt>
                <c:pt idx="486">
                  <c:v>44105</c:v>
                </c:pt>
                <c:pt idx="487">
                  <c:v>44112</c:v>
                </c:pt>
                <c:pt idx="488">
                  <c:v>44119</c:v>
                </c:pt>
                <c:pt idx="489">
                  <c:v>44126</c:v>
                </c:pt>
                <c:pt idx="490">
                  <c:v>44133</c:v>
                </c:pt>
                <c:pt idx="491">
                  <c:v>44140</c:v>
                </c:pt>
                <c:pt idx="492">
                  <c:v>44147</c:v>
                </c:pt>
                <c:pt idx="493">
                  <c:v>44154</c:v>
                </c:pt>
                <c:pt idx="494">
                  <c:v>44161</c:v>
                </c:pt>
                <c:pt idx="495">
                  <c:v>44168</c:v>
                </c:pt>
                <c:pt idx="496">
                  <c:v>44175</c:v>
                </c:pt>
                <c:pt idx="497">
                  <c:v>44182</c:v>
                </c:pt>
                <c:pt idx="498">
                  <c:v>44189</c:v>
                </c:pt>
                <c:pt idx="499">
                  <c:v>44196</c:v>
                </c:pt>
                <c:pt idx="500">
                  <c:v>44203</c:v>
                </c:pt>
                <c:pt idx="501">
                  <c:v>44210</c:v>
                </c:pt>
                <c:pt idx="502">
                  <c:v>44217</c:v>
                </c:pt>
                <c:pt idx="503">
                  <c:v>44224</c:v>
                </c:pt>
                <c:pt idx="504">
                  <c:v>44231</c:v>
                </c:pt>
                <c:pt idx="505">
                  <c:v>44238</c:v>
                </c:pt>
                <c:pt idx="506">
                  <c:v>44245</c:v>
                </c:pt>
                <c:pt idx="507">
                  <c:v>44252</c:v>
                </c:pt>
                <c:pt idx="508">
                  <c:v>44259</c:v>
                </c:pt>
                <c:pt idx="509">
                  <c:v>44266</c:v>
                </c:pt>
                <c:pt idx="510">
                  <c:v>44273</c:v>
                </c:pt>
                <c:pt idx="511">
                  <c:v>44280</c:v>
                </c:pt>
                <c:pt idx="512">
                  <c:v>44287</c:v>
                </c:pt>
                <c:pt idx="513">
                  <c:v>44294</c:v>
                </c:pt>
                <c:pt idx="514">
                  <c:v>44301</c:v>
                </c:pt>
                <c:pt idx="515">
                  <c:v>44308</c:v>
                </c:pt>
                <c:pt idx="516">
                  <c:v>44315</c:v>
                </c:pt>
                <c:pt idx="517">
                  <c:v>44322</c:v>
                </c:pt>
                <c:pt idx="518">
                  <c:v>44329</c:v>
                </c:pt>
                <c:pt idx="519">
                  <c:v>44336</c:v>
                </c:pt>
                <c:pt idx="520">
                  <c:v>44343</c:v>
                </c:pt>
                <c:pt idx="521">
                  <c:v>44350</c:v>
                </c:pt>
                <c:pt idx="522">
                  <c:v>44357</c:v>
                </c:pt>
                <c:pt idx="523">
                  <c:v>44364</c:v>
                </c:pt>
                <c:pt idx="524">
                  <c:v>44371</c:v>
                </c:pt>
                <c:pt idx="525">
                  <c:v>44378</c:v>
                </c:pt>
                <c:pt idx="526">
                  <c:v>44385</c:v>
                </c:pt>
                <c:pt idx="527">
                  <c:v>44392</c:v>
                </c:pt>
                <c:pt idx="528">
                  <c:v>44399</c:v>
                </c:pt>
                <c:pt idx="529">
                  <c:v>44406</c:v>
                </c:pt>
                <c:pt idx="530">
                  <c:v>44413</c:v>
                </c:pt>
                <c:pt idx="531">
                  <c:v>44420</c:v>
                </c:pt>
                <c:pt idx="532">
                  <c:v>44427</c:v>
                </c:pt>
                <c:pt idx="533">
                  <c:v>44434</c:v>
                </c:pt>
                <c:pt idx="534">
                  <c:v>44441</c:v>
                </c:pt>
                <c:pt idx="535">
                  <c:v>44448</c:v>
                </c:pt>
                <c:pt idx="536">
                  <c:v>44455</c:v>
                </c:pt>
                <c:pt idx="537">
                  <c:v>44462</c:v>
                </c:pt>
                <c:pt idx="538">
                  <c:v>44469</c:v>
                </c:pt>
                <c:pt idx="539">
                  <c:v>44476</c:v>
                </c:pt>
                <c:pt idx="540">
                  <c:v>44483</c:v>
                </c:pt>
                <c:pt idx="541">
                  <c:v>44490</c:v>
                </c:pt>
                <c:pt idx="542">
                  <c:v>44497</c:v>
                </c:pt>
                <c:pt idx="543">
                  <c:v>44504</c:v>
                </c:pt>
                <c:pt idx="544">
                  <c:v>44511</c:v>
                </c:pt>
                <c:pt idx="545">
                  <c:v>44518</c:v>
                </c:pt>
                <c:pt idx="546">
                  <c:v>44525</c:v>
                </c:pt>
                <c:pt idx="547">
                  <c:v>44532</c:v>
                </c:pt>
                <c:pt idx="548">
                  <c:v>44539</c:v>
                </c:pt>
                <c:pt idx="549">
                  <c:v>44546</c:v>
                </c:pt>
                <c:pt idx="550">
                  <c:v>44553</c:v>
                </c:pt>
                <c:pt idx="551">
                  <c:v>44560</c:v>
                </c:pt>
                <c:pt idx="552">
                  <c:v>44567</c:v>
                </c:pt>
                <c:pt idx="553">
                  <c:v>44574</c:v>
                </c:pt>
                <c:pt idx="554">
                  <c:v>44581</c:v>
                </c:pt>
                <c:pt idx="555">
                  <c:v>44588</c:v>
                </c:pt>
                <c:pt idx="556">
                  <c:v>44595</c:v>
                </c:pt>
                <c:pt idx="557">
                  <c:v>44602</c:v>
                </c:pt>
                <c:pt idx="558">
                  <c:v>44609</c:v>
                </c:pt>
                <c:pt idx="559">
                  <c:v>44616</c:v>
                </c:pt>
                <c:pt idx="560">
                  <c:v>44623</c:v>
                </c:pt>
                <c:pt idx="561">
                  <c:v>44630</c:v>
                </c:pt>
                <c:pt idx="562">
                  <c:v>44637</c:v>
                </c:pt>
                <c:pt idx="563">
                  <c:v>44644</c:v>
                </c:pt>
                <c:pt idx="564">
                  <c:v>44651</c:v>
                </c:pt>
                <c:pt idx="565">
                  <c:v>44658</c:v>
                </c:pt>
                <c:pt idx="566">
                  <c:v>44665</c:v>
                </c:pt>
                <c:pt idx="567">
                  <c:v>44672</c:v>
                </c:pt>
                <c:pt idx="568">
                  <c:v>44679</c:v>
                </c:pt>
                <c:pt idx="569">
                  <c:v>44686</c:v>
                </c:pt>
                <c:pt idx="570">
                  <c:v>44693</c:v>
                </c:pt>
                <c:pt idx="571">
                  <c:v>44700</c:v>
                </c:pt>
                <c:pt idx="572">
                  <c:v>44707</c:v>
                </c:pt>
                <c:pt idx="573">
                  <c:v>44714</c:v>
                </c:pt>
                <c:pt idx="574">
                  <c:v>44721</c:v>
                </c:pt>
                <c:pt idx="575">
                  <c:v>44728</c:v>
                </c:pt>
                <c:pt idx="576">
                  <c:v>44735</c:v>
                </c:pt>
                <c:pt idx="577">
                  <c:v>44742</c:v>
                </c:pt>
                <c:pt idx="578">
                  <c:v>44749</c:v>
                </c:pt>
                <c:pt idx="579">
                  <c:v>44756</c:v>
                </c:pt>
                <c:pt idx="580">
                  <c:v>44763</c:v>
                </c:pt>
                <c:pt idx="581">
                  <c:v>44770</c:v>
                </c:pt>
                <c:pt idx="582">
                  <c:v>44777</c:v>
                </c:pt>
                <c:pt idx="583">
                  <c:v>44784</c:v>
                </c:pt>
                <c:pt idx="584">
                  <c:v>44791</c:v>
                </c:pt>
                <c:pt idx="585">
                  <c:v>44798</c:v>
                </c:pt>
                <c:pt idx="586">
                  <c:v>44805</c:v>
                </c:pt>
                <c:pt idx="587">
                  <c:v>44812</c:v>
                </c:pt>
                <c:pt idx="588">
                  <c:v>44819</c:v>
                </c:pt>
                <c:pt idx="589">
                  <c:v>44826</c:v>
                </c:pt>
                <c:pt idx="590">
                  <c:v>44833</c:v>
                </c:pt>
                <c:pt idx="591">
                  <c:v>44840</c:v>
                </c:pt>
                <c:pt idx="592">
                  <c:v>44847</c:v>
                </c:pt>
                <c:pt idx="593">
                  <c:v>44854</c:v>
                </c:pt>
                <c:pt idx="594">
                  <c:v>44861</c:v>
                </c:pt>
                <c:pt idx="595">
                  <c:v>44868</c:v>
                </c:pt>
                <c:pt idx="596">
                  <c:v>44875</c:v>
                </c:pt>
                <c:pt idx="597">
                  <c:v>44882</c:v>
                </c:pt>
                <c:pt idx="598">
                  <c:v>44889</c:v>
                </c:pt>
                <c:pt idx="599">
                  <c:v>44896</c:v>
                </c:pt>
                <c:pt idx="600">
                  <c:v>44903</c:v>
                </c:pt>
                <c:pt idx="601">
                  <c:v>44910</c:v>
                </c:pt>
                <c:pt idx="602">
                  <c:v>44917</c:v>
                </c:pt>
                <c:pt idx="603">
                  <c:v>44924</c:v>
                </c:pt>
                <c:pt idx="604">
                  <c:v>44931</c:v>
                </c:pt>
                <c:pt idx="605">
                  <c:v>44938</c:v>
                </c:pt>
                <c:pt idx="606">
                  <c:v>44945</c:v>
                </c:pt>
                <c:pt idx="607">
                  <c:v>44952</c:v>
                </c:pt>
                <c:pt idx="608">
                  <c:v>44959</c:v>
                </c:pt>
                <c:pt idx="609">
                  <c:v>44966</c:v>
                </c:pt>
                <c:pt idx="610">
                  <c:v>44973</c:v>
                </c:pt>
                <c:pt idx="611">
                  <c:v>44980</c:v>
                </c:pt>
                <c:pt idx="612">
                  <c:v>44987</c:v>
                </c:pt>
                <c:pt idx="613">
                  <c:v>44994</c:v>
                </c:pt>
                <c:pt idx="614">
                  <c:v>45001</c:v>
                </c:pt>
                <c:pt idx="615">
                  <c:v>45008</c:v>
                </c:pt>
                <c:pt idx="616">
                  <c:v>45015</c:v>
                </c:pt>
                <c:pt idx="617">
                  <c:v>45022</c:v>
                </c:pt>
                <c:pt idx="618">
                  <c:v>45029</c:v>
                </c:pt>
                <c:pt idx="619">
                  <c:v>45036</c:v>
                </c:pt>
                <c:pt idx="620">
                  <c:v>45043</c:v>
                </c:pt>
                <c:pt idx="621">
                  <c:v>45050</c:v>
                </c:pt>
                <c:pt idx="622">
                  <c:v>45057</c:v>
                </c:pt>
                <c:pt idx="623">
                  <c:v>45064</c:v>
                </c:pt>
                <c:pt idx="624">
                  <c:v>45071</c:v>
                </c:pt>
                <c:pt idx="625">
                  <c:v>45078</c:v>
                </c:pt>
                <c:pt idx="626">
                  <c:v>45085</c:v>
                </c:pt>
                <c:pt idx="627">
                  <c:v>45092</c:v>
                </c:pt>
                <c:pt idx="628">
                  <c:v>45099</c:v>
                </c:pt>
                <c:pt idx="629">
                  <c:v>45106</c:v>
                </c:pt>
                <c:pt idx="630">
                  <c:v>45113</c:v>
                </c:pt>
                <c:pt idx="631">
                  <c:v>45120</c:v>
                </c:pt>
                <c:pt idx="632">
                  <c:v>45127</c:v>
                </c:pt>
                <c:pt idx="633">
                  <c:v>45134</c:v>
                </c:pt>
                <c:pt idx="634">
                  <c:v>45141</c:v>
                </c:pt>
                <c:pt idx="635">
                  <c:v>45148</c:v>
                </c:pt>
                <c:pt idx="636">
                  <c:v>45155</c:v>
                </c:pt>
                <c:pt idx="637">
                  <c:v>45162</c:v>
                </c:pt>
                <c:pt idx="638">
                  <c:v>45169</c:v>
                </c:pt>
                <c:pt idx="639">
                  <c:v>45176</c:v>
                </c:pt>
                <c:pt idx="640">
                  <c:v>45183</c:v>
                </c:pt>
                <c:pt idx="641">
                  <c:v>45190</c:v>
                </c:pt>
                <c:pt idx="642">
                  <c:v>45197</c:v>
                </c:pt>
                <c:pt idx="643">
                  <c:v>45204</c:v>
                </c:pt>
                <c:pt idx="644">
                  <c:v>45211</c:v>
                </c:pt>
                <c:pt idx="645">
                  <c:v>45218</c:v>
                </c:pt>
                <c:pt idx="646">
                  <c:v>45225</c:v>
                </c:pt>
                <c:pt idx="647">
                  <c:v>45232</c:v>
                </c:pt>
                <c:pt idx="648">
                  <c:v>45239</c:v>
                </c:pt>
                <c:pt idx="649">
                  <c:v>45246</c:v>
                </c:pt>
                <c:pt idx="650">
                  <c:v>45253</c:v>
                </c:pt>
                <c:pt idx="651">
                  <c:v>45260</c:v>
                </c:pt>
                <c:pt idx="652">
                  <c:v>45267</c:v>
                </c:pt>
                <c:pt idx="653">
                  <c:v>45274</c:v>
                </c:pt>
                <c:pt idx="654">
                  <c:v>45281</c:v>
                </c:pt>
                <c:pt idx="655">
                  <c:v>45289</c:v>
                </c:pt>
                <c:pt idx="656">
                  <c:v>45296</c:v>
                </c:pt>
                <c:pt idx="657">
                  <c:v>45303</c:v>
                </c:pt>
                <c:pt idx="658">
                  <c:v>45310</c:v>
                </c:pt>
                <c:pt idx="659">
                  <c:v>45317</c:v>
                </c:pt>
                <c:pt idx="660">
                  <c:v>45324</c:v>
                </c:pt>
                <c:pt idx="661">
                  <c:v>45331</c:v>
                </c:pt>
                <c:pt idx="662">
                  <c:v>45338</c:v>
                </c:pt>
                <c:pt idx="663">
                  <c:v>45345</c:v>
                </c:pt>
                <c:pt idx="664">
                  <c:v>45352</c:v>
                </c:pt>
                <c:pt idx="665">
                  <c:v>45359</c:v>
                </c:pt>
                <c:pt idx="666">
                  <c:v>45366</c:v>
                </c:pt>
                <c:pt idx="667">
                  <c:v>45373</c:v>
                </c:pt>
                <c:pt idx="668">
                  <c:v>45384</c:v>
                </c:pt>
                <c:pt idx="669">
                  <c:v>45387</c:v>
                </c:pt>
                <c:pt idx="670">
                  <c:v>45394</c:v>
                </c:pt>
                <c:pt idx="671">
                  <c:v>45401</c:v>
                </c:pt>
                <c:pt idx="672">
                  <c:v>45408</c:v>
                </c:pt>
                <c:pt idx="673">
                  <c:v>45418</c:v>
                </c:pt>
                <c:pt idx="674">
                  <c:v>45425</c:v>
                </c:pt>
                <c:pt idx="675">
                  <c:v>45432</c:v>
                </c:pt>
                <c:pt idx="676">
                  <c:v>45439</c:v>
                </c:pt>
                <c:pt idx="677">
                  <c:v>45446</c:v>
                </c:pt>
                <c:pt idx="678">
                  <c:v>45453</c:v>
                </c:pt>
                <c:pt idx="679">
                  <c:v>45460</c:v>
                </c:pt>
                <c:pt idx="680">
                  <c:v>45467</c:v>
                </c:pt>
                <c:pt idx="681">
                  <c:v>45474</c:v>
                </c:pt>
                <c:pt idx="682">
                  <c:v>45481</c:v>
                </c:pt>
                <c:pt idx="683">
                  <c:v>45488</c:v>
                </c:pt>
                <c:pt idx="684">
                  <c:v>45495</c:v>
                </c:pt>
                <c:pt idx="685">
                  <c:v>45502</c:v>
                </c:pt>
                <c:pt idx="686">
                  <c:v>45509</c:v>
                </c:pt>
                <c:pt idx="687">
                  <c:v>45516</c:v>
                </c:pt>
                <c:pt idx="688">
                  <c:v>45523</c:v>
                </c:pt>
                <c:pt idx="689">
                  <c:v>45530</c:v>
                </c:pt>
                <c:pt idx="690">
                  <c:v>45537</c:v>
                </c:pt>
                <c:pt idx="691">
                  <c:v>45544</c:v>
                </c:pt>
                <c:pt idx="692">
                  <c:v>45551</c:v>
                </c:pt>
                <c:pt idx="693">
                  <c:v>45558</c:v>
                </c:pt>
                <c:pt idx="694">
                  <c:v>45565</c:v>
                </c:pt>
                <c:pt idx="695">
                  <c:v>45572</c:v>
                </c:pt>
                <c:pt idx="696">
                  <c:v>45579</c:v>
                </c:pt>
                <c:pt idx="697">
                  <c:v>45586</c:v>
                </c:pt>
                <c:pt idx="698">
                  <c:v>45593</c:v>
                </c:pt>
                <c:pt idx="699">
                  <c:v>45600</c:v>
                </c:pt>
                <c:pt idx="700">
                  <c:v>45607</c:v>
                </c:pt>
                <c:pt idx="701">
                  <c:v>45614</c:v>
                </c:pt>
                <c:pt idx="702">
                  <c:v>45621</c:v>
                </c:pt>
                <c:pt idx="703">
                  <c:v>45628</c:v>
                </c:pt>
                <c:pt idx="704">
                  <c:v>45635</c:v>
                </c:pt>
                <c:pt idx="705">
                  <c:v>45642</c:v>
                </c:pt>
                <c:pt idx="706">
                  <c:v>45649</c:v>
                </c:pt>
                <c:pt idx="707">
                  <c:v>45657</c:v>
                </c:pt>
                <c:pt idx="708">
                  <c:v>45664</c:v>
                </c:pt>
                <c:pt idx="709">
                  <c:v>45671</c:v>
                </c:pt>
                <c:pt idx="710">
                  <c:v>45678</c:v>
                </c:pt>
                <c:pt idx="711">
                  <c:v>45685</c:v>
                </c:pt>
                <c:pt idx="712">
                  <c:v>45692</c:v>
                </c:pt>
                <c:pt idx="713">
                  <c:v>45699</c:v>
                </c:pt>
                <c:pt idx="714">
                  <c:v>45706</c:v>
                </c:pt>
                <c:pt idx="715">
                  <c:v>45713</c:v>
                </c:pt>
                <c:pt idx="716">
                  <c:v>45720</c:v>
                </c:pt>
                <c:pt idx="717">
                  <c:v>45727</c:v>
                </c:pt>
                <c:pt idx="718">
                  <c:v>45734</c:v>
                </c:pt>
                <c:pt idx="719">
                  <c:v>45741</c:v>
                </c:pt>
                <c:pt idx="720">
                  <c:v>45748</c:v>
                </c:pt>
                <c:pt idx="721">
                  <c:v>45755</c:v>
                </c:pt>
                <c:pt idx="722">
                  <c:v>45762</c:v>
                </c:pt>
                <c:pt idx="723">
                  <c:v>45771</c:v>
                </c:pt>
                <c:pt idx="724">
                  <c:v>45779</c:v>
                </c:pt>
                <c:pt idx="725">
                  <c:v>45785</c:v>
                </c:pt>
                <c:pt idx="726">
                  <c:v>45818</c:v>
                </c:pt>
                <c:pt idx="727">
                  <c:v>45847</c:v>
                </c:pt>
                <c:pt idx="728">
                  <c:v>45880</c:v>
                </c:pt>
                <c:pt idx="729">
                  <c:v>45910</c:v>
                </c:pt>
                <c:pt idx="730">
                  <c:v>45940</c:v>
                </c:pt>
                <c:pt idx="731">
                  <c:v>45973</c:v>
                </c:pt>
                <c:pt idx="732">
                  <c:v>46003</c:v>
                </c:pt>
                <c:pt idx="733">
                  <c:v>46036</c:v>
                </c:pt>
                <c:pt idx="734">
                  <c:v>46069</c:v>
                </c:pt>
                <c:pt idx="735">
                  <c:v>46097</c:v>
                </c:pt>
                <c:pt idx="736">
                  <c:v>46127</c:v>
                </c:pt>
                <c:pt idx="737">
                  <c:v>46157</c:v>
                </c:pt>
                <c:pt idx="738">
                  <c:v>46190</c:v>
                </c:pt>
                <c:pt idx="739">
                  <c:v>46220</c:v>
                </c:pt>
                <c:pt idx="740">
                  <c:v>46253</c:v>
                </c:pt>
                <c:pt idx="741">
                  <c:v>46286</c:v>
                </c:pt>
                <c:pt idx="742">
                  <c:v>46316</c:v>
                </c:pt>
                <c:pt idx="743">
                  <c:v>46349</c:v>
                </c:pt>
                <c:pt idx="744">
                  <c:v>46379</c:v>
                </c:pt>
                <c:pt idx="745">
                  <c:v>46412</c:v>
                </c:pt>
                <c:pt idx="746">
                  <c:v>46442</c:v>
                </c:pt>
                <c:pt idx="747">
                  <c:v>46470</c:v>
                </c:pt>
                <c:pt idx="748">
                  <c:v>46503</c:v>
                </c:pt>
                <c:pt idx="749">
                  <c:v>46533</c:v>
                </c:pt>
                <c:pt idx="750">
                  <c:v>46566</c:v>
                </c:pt>
                <c:pt idx="751">
                  <c:v>46596</c:v>
                </c:pt>
                <c:pt idx="752">
                  <c:v>46629</c:v>
                </c:pt>
                <c:pt idx="753">
                  <c:v>46659</c:v>
                </c:pt>
                <c:pt idx="754">
                  <c:v>46689</c:v>
                </c:pt>
                <c:pt idx="755">
                  <c:v>46722</c:v>
                </c:pt>
                <c:pt idx="756">
                  <c:v>46752</c:v>
                </c:pt>
                <c:pt idx="757">
                  <c:v>46785</c:v>
                </c:pt>
                <c:pt idx="758">
                  <c:v>46814</c:v>
                </c:pt>
                <c:pt idx="759">
                  <c:v>46843</c:v>
                </c:pt>
                <c:pt idx="760">
                  <c:v>46877</c:v>
                </c:pt>
                <c:pt idx="761">
                  <c:v>46910</c:v>
                </c:pt>
                <c:pt idx="762">
                  <c:v>46939</c:v>
                </c:pt>
                <c:pt idx="763">
                  <c:v>46972</c:v>
                </c:pt>
                <c:pt idx="764">
                  <c:v>47002</c:v>
                </c:pt>
                <c:pt idx="765">
                  <c:v>47032</c:v>
                </c:pt>
                <c:pt idx="766">
                  <c:v>47065</c:v>
                </c:pt>
                <c:pt idx="767">
                  <c:v>47095</c:v>
                </c:pt>
                <c:pt idx="768">
                  <c:v>47128</c:v>
                </c:pt>
                <c:pt idx="769">
                  <c:v>47161</c:v>
                </c:pt>
                <c:pt idx="770">
                  <c:v>47189</c:v>
                </c:pt>
                <c:pt idx="771">
                  <c:v>47219</c:v>
                </c:pt>
                <c:pt idx="772">
                  <c:v>47249</c:v>
                </c:pt>
                <c:pt idx="773">
                  <c:v>47282</c:v>
                </c:pt>
                <c:pt idx="774">
                  <c:v>47312</c:v>
                </c:pt>
                <c:pt idx="775">
                  <c:v>47345</c:v>
                </c:pt>
                <c:pt idx="776">
                  <c:v>47378</c:v>
                </c:pt>
                <c:pt idx="777">
                  <c:v>47408</c:v>
                </c:pt>
                <c:pt idx="778">
                  <c:v>47441</c:v>
                </c:pt>
                <c:pt idx="779">
                  <c:v>47471</c:v>
                </c:pt>
                <c:pt idx="780">
                  <c:v>47504</c:v>
                </c:pt>
                <c:pt idx="781">
                  <c:v>47534</c:v>
                </c:pt>
                <c:pt idx="782">
                  <c:v>47562</c:v>
                </c:pt>
                <c:pt idx="783">
                  <c:v>47597</c:v>
                </c:pt>
                <c:pt idx="784">
                  <c:v>47625</c:v>
                </c:pt>
                <c:pt idx="785">
                  <c:v>47658</c:v>
                </c:pt>
                <c:pt idx="786">
                  <c:v>47688</c:v>
                </c:pt>
                <c:pt idx="787">
                  <c:v>47721</c:v>
                </c:pt>
                <c:pt idx="788">
                  <c:v>47751</c:v>
                </c:pt>
                <c:pt idx="789">
                  <c:v>47781</c:v>
                </c:pt>
                <c:pt idx="790">
                  <c:v>47814</c:v>
                </c:pt>
                <c:pt idx="791">
                  <c:v>47848</c:v>
                </c:pt>
                <c:pt idx="792">
                  <c:v>47877</c:v>
                </c:pt>
                <c:pt idx="793">
                  <c:v>47910</c:v>
                </c:pt>
                <c:pt idx="794">
                  <c:v>47938</c:v>
                </c:pt>
                <c:pt idx="795">
                  <c:v>47968</c:v>
                </c:pt>
                <c:pt idx="796">
                  <c:v>47998</c:v>
                </c:pt>
                <c:pt idx="797">
                  <c:v>48031</c:v>
                </c:pt>
                <c:pt idx="798">
                  <c:v>48061</c:v>
                </c:pt>
                <c:pt idx="799">
                  <c:v>48094</c:v>
                </c:pt>
                <c:pt idx="800">
                  <c:v>48124</c:v>
                </c:pt>
                <c:pt idx="801">
                  <c:v>48157</c:v>
                </c:pt>
                <c:pt idx="802">
                  <c:v>48187</c:v>
                </c:pt>
                <c:pt idx="803">
                  <c:v>48220</c:v>
                </c:pt>
                <c:pt idx="804">
                  <c:v>48253</c:v>
                </c:pt>
                <c:pt idx="805">
                  <c:v>48282</c:v>
                </c:pt>
                <c:pt idx="806">
                  <c:v>48311</c:v>
                </c:pt>
                <c:pt idx="807">
                  <c:v>48341</c:v>
                </c:pt>
                <c:pt idx="808">
                  <c:v>48374</c:v>
                </c:pt>
                <c:pt idx="809">
                  <c:v>48404</c:v>
                </c:pt>
                <c:pt idx="810">
                  <c:v>48437</c:v>
                </c:pt>
                <c:pt idx="811">
                  <c:v>48470</c:v>
                </c:pt>
                <c:pt idx="812">
                  <c:v>48500</c:v>
                </c:pt>
                <c:pt idx="813">
                  <c:v>48533</c:v>
                </c:pt>
                <c:pt idx="814">
                  <c:v>48563</c:v>
                </c:pt>
                <c:pt idx="815">
                  <c:v>48596</c:v>
                </c:pt>
                <c:pt idx="816">
                  <c:v>48626</c:v>
                </c:pt>
                <c:pt idx="817">
                  <c:v>48654</c:v>
                </c:pt>
                <c:pt idx="818">
                  <c:v>48689</c:v>
                </c:pt>
                <c:pt idx="819">
                  <c:v>48717</c:v>
                </c:pt>
                <c:pt idx="820">
                  <c:v>48750</c:v>
                </c:pt>
                <c:pt idx="821">
                  <c:v>48780</c:v>
                </c:pt>
                <c:pt idx="822">
                  <c:v>48813</c:v>
                </c:pt>
                <c:pt idx="823">
                  <c:v>48843</c:v>
                </c:pt>
                <c:pt idx="824">
                  <c:v>48873</c:v>
                </c:pt>
                <c:pt idx="825">
                  <c:v>48906</c:v>
                </c:pt>
                <c:pt idx="826">
                  <c:v>48936</c:v>
                </c:pt>
                <c:pt idx="827">
                  <c:v>48969</c:v>
                </c:pt>
                <c:pt idx="828">
                  <c:v>49002</c:v>
                </c:pt>
                <c:pt idx="829">
                  <c:v>49030</c:v>
                </c:pt>
                <c:pt idx="830">
                  <c:v>49060</c:v>
                </c:pt>
                <c:pt idx="831">
                  <c:v>49090</c:v>
                </c:pt>
                <c:pt idx="832">
                  <c:v>49123</c:v>
                </c:pt>
                <c:pt idx="833">
                  <c:v>49153</c:v>
                </c:pt>
                <c:pt idx="834">
                  <c:v>49186</c:v>
                </c:pt>
                <c:pt idx="835">
                  <c:v>49219</c:v>
                </c:pt>
                <c:pt idx="836">
                  <c:v>49249</c:v>
                </c:pt>
                <c:pt idx="837">
                  <c:v>49282</c:v>
                </c:pt>
                <c:pt idx="838">
                  <c:v>49313</c:v>
                </c:pt>
                <c:pt idx="839">
                  <c:v>49346</c:v>
                </c:pt>
                <c:pt idx="840">
                  <c:v>49374</c:v>
                </c:pt>
                <c:pt idx="841">
                  <c:v>49403</c:v>
                </c:pt>
                <c:pt idx="842">
                  <c:v>49433</c:v>
                </c:pt>
                <c:pt idx="843">
                  <c:v>49466</c:v>
                </c:pt>
                <c:pt idx="844">
                  <c:v>49496</c:v>
                </c:pt>
                <c:pt idx="845">
                  <c:v>49529</c:v>
                </c:pt>
                <c:pt idx="846">
                  <c:v>49562</c:v>
                </c:pt>
                <c:pt idx="847">
                  <c:v>49592</c:v>
                </c:pt>
                <c:pt idx="848">
                  <c:v>49625</c:v>
                </c:pt>
                <c:pt idx="849">
                  <c:v>49655</c:v>
                </c:pt>
                <c:pt idx="850">
                  <c:v>49688</c:v>
                </c:pt>
                <c:pt idx="851">
                  <c:v>49718</c:v>
                </c:pt>
                <c:pt idx="852">
                  <c:v>49747</c:v>
                </c:pt>
                <c:pt idx="853">
                  <c:v>49782</c:v>
                </c:pt>
                <c:pt idx="854">
                  <c:v>49814</c:v>
                </c:pt>
                <c:pt idx="855">
                  <c:v>49844</c:v>
                </c:pt>
                <c:pt idx="856">
                  <c:v>49874</c:v>
                </c:pt>
                <c:pt idx="857">
                  <c:v>49907</c:v>
                </c:pt>
                <c:pt idx="858">
                  <c:v>49940</c:v>
                </c:pt>
                <c:pt idx="859">
                  <c:v>49970</c:v>
                </c:pt>
                <c:pt idx="860">
                  <c:v>50003</c:v>
                </c:pt>
                <c:pt idx="861">
                  <c:v>50033</c:v>
                </c:pt>
                <c:pt idx="862">
                  <c:v>50066</c:v>
                </c:pt>
                <c:pt idx="863">
                  <c:v>50096</c:v>
                </c:pt>
                <c:pt idx="864">
                  <c:v>50124</c:v>
                </c:pt>
                <c:pt idx="865">
                  <c:v>50157</c:v>
                </c:pt>
                <c:pt idx="866">
                  <c:v>50187</c:v>
                </c:pt>
                <c:pt idx="867">
                  <c:v>50220</c:v>
                </c:pt>
                <c:pt idx="868">
                  <c:v>50250</c:v>
                </c:pt>
                <c:pt idx="869">
                  <c:v>50283</c:v>
                </c:pt>
                <c:pt idx="870">
                  <c:v>50313</c:v>
                </c:pt>
                <c:pt idx="871">
                  <c:v>50343</c:v>
                </c:pt>
                <c:pt idx="872">
                  <c:v>50376</c:v>
                </c:pt>
                <c:pt idx="873">
                  <c:v>50409</c:v>
                </c:pt>
                <c:pt idx="874">
                  <c:v>50439</c:v>
                </c:pt>
                <c:pt idx="875">
                  <c:v>50467</c:v>
                </c:pt>
                <c:pt idx="876">
                  <c:v>50500</c:v>
                </c:pt>
                <c:pt idx="877">
                  <c:v>50530</c:v>
                </c:pt>
                <c:pt idx="878">
                  <c:v>50563</c:v>
                </c:pt>
                <c:pt idx="879">
                  <c:v>50593</c:v>
                </c:pt>
                <c:pt idx="880">
                  <c:v>50626</c:v>
                </c:pt>
                <c:pt idx="881">
                  <c:v>50656</c:v>
                </c:pt>
                <c:pt idx="882">
                  <c:v>50686</c:v>
                </c:pt>
                <c:pt idx="883">
                  <c:v>50719</c:v>
                </c:pt>
                <c:pt idx="884">
                  <c:v>50749</c:v>
                </c:pt>
                <c:pt idx="885">
                  <c:v>50782</c:v>
                </c:pt>
                <c:pt idx="886">
                  <c:v>50815</c:v>
                </c:pt>
                <c:pt idx="887">
                  <c:v>50843</c:v>
                </c:pt>
                <c:pt idx="888">
                  <c:v>50874</c:v>
                </c:pt>
                <c:pt idx="889">
                  <c:v>50906</c:v>
                </c:pt>
                <c:pt idx="890">
                  <c:v>50936</c:v>
                </c:pt>
                <c:pt idx="891">
                  <c:v>50966</c:v>
                </c:pt>
                <c:pt idx="892">
                  <c:v>50999</c:v>
                </c:pt>
                <c:pt idx="893">
                  <c:v>51032</c:v>
                </c:pt>
                <c:pt idx="894">
                  <c:v>51062</c:v>
                </c:pt>
                <c:pt idx="895">
                  <c:v>51095</c:v>
                </c:pt>
                <c:pt idx="896">
                  <c:v>51125</c:v>
                </c:pt>
                <c:pt idx="897">
                  <c:v>51158</c:v>
                </c:pt>
                <c:pt idx="898">
                  <c:v>51188</c:v>
                </c:pt>
                <c:pt idx="899">
                  <c:v>51217</c:v>
                </c:pt>
                <c:pt idx="900">
                  <c:v>51250</c:v>
                </c:pt>
                <c:pt idx="901">
                  <c:v>51279</c:v>
                </c:pt>
                <c:pt idx="902">
                  <c:v>51312</c:v>
                </c:pt>
                <c:pt idx="903">
                  <c:v>51342</c:v>
                </c:pt>
                <c:pt idx="904">
                  <c:v>51375</c:v>
                </c:pt>
                <c:pt idx="905">
                  <c:v>51405</c:v>
                </c:pt>
                <c:pt idx="906">
                  <c:v>51435</c:v>
                </c:pt>
                <c:pt idx="907">
                  <c:v>51468</c:v>
                </c:pt>
                <c:pt idx="908">
                  <c:v>51501</c:v>
                </c:pt>
                <c:pt idx="909">
                  <c:v>51531</c:v>
                </c:pt>
                <c:pt idx="910">
                  <c:v>51564</c:v>
                </c:pt>
                <c:pt idx="911">
                  <c:v>51592</c:v>
                </c:pt>
                <c:pt idx="912">
                  <c:v>51623</c:v>
                </c:pt>
                <c:pt idx="913">
                  <c:v>51652</c:v>
                </c:pt>
                <c:pt idx="914">
                  <c:v>51685</c:v>
                </c:pt>
                <c:pt idx="915">
                  <c:v>51718</c:v>
                </c:pt>
                <c:pt idx="916">
                  <c:v>51748</c:v>
                </c:pt>
                <c:pt idx="917">
                  <c:v>51778</c:v>
                </c:pt>
                <c:pt idx="918">
                  <c:v>51811</c:v>
                </c:pt>
                <c:pt idx="919">
                  <c:v>51841</c:v>
                </c:pt>
                <c:pt idx="920">
                  <c:v>51874</c:v>
                </c:pt>
                <c:pt idx="921">
                  <c:v>51907</c:v>
                </c:pt>
                <c:pt idx="922">
                  <c:v>51935</c:v>
                </c:pt>
                <c:pt idx="923">
                  <c:v>51966</c:v>
                </c:pt>
                <c:pt idx="924">
                  <c:v>51998</c:v>
                </c:pt>
                <c:pt idx="925">
                  <c:v>52028</c:v>
                </c:pt>
                <c:pt idx="926">
                  <c:v>52058</c:v>
                </c:pt>
                <c:pt idx="927">
                  <c:v>52091</c:v>
                </c:pt>
                <c:pt idx="928">
                  <c:v>52124</c:v>
                </c:pt>
                <c:pt idx="929">
                  <c:v>52154</c:v>
                </c:pt>
                <c:pt idx="930">
                  <c:v>52187</c:v>
                </c:pt>
                <c:pt idx="931">
                  <c:v>52217</c:v>
                </c:pt>
                <c:pt idx="932">
                  <c:v>52250</c:v>
                </c:pt>
                <c:pt idx="933">
                  <c:v>52280</c:v>
                </c:pt>
                <c:pt idx="934">
                  <c:v>52308</c:v>
                </c:pt>
                <c:pt idx="935">
                  <c:v>52341</c:v>
                </c:pt>
                <c:pt idx="936">
                  <c:v>52371</c:v>
                </c:pt>
                <c:pt idx="937">
                  <c:v>52404</c:v>
                </c:pt>
                <c:pt idx="938">
                  <c:v>52434</c:v>
                </c:pt>
                <c:pt idx="939">
                  <c:v>52467</c:v>
                </c:pt>
                <c:pt idx="940">
                  <c:v>52497</c:v>
                </c:pt>
                <c:pt idx="941">
                  <c:v>52527</c:v>
                </c:pt>
                <c:pt idx="942">
                  <c:v>52560</c:v>
                </c:pt>
                <c:pt idx="943">
                  <c:v>52593</c:v>
                </c:pt>
                <c:pt idx="944">
                  <c:v>52623</c:v>
                </c:pt>
                <c:pt idx="945">
                  <c:v>52656</c:v>
                </c:pt>
                <c:pt idx="946">
                  <c:v>52685</c:v>
                </c:pt>
                <c:pt idx="947">
                  <c:v>52714</c:v>
                </c:pt>
                <c:pt idx="948">
                  <c:v>52744</c:v>
                </c:pt>
                <c:pt idx="949">
                  <c:v>52777</c:v>
                </c:pt>
                <c:pt idx="950">
                  <c:v>52807</c:v>
                </c:pt>
                <c:pt idx="951">
                  <c:v>52840</c:v>
                </c:pt>
                <c:pt idx="952">
                  <c:v>52873</c:v>
                </c:pt>
                <c:pt idx="953">
                  <c:v>52903</c:v>
                </c:pt>
                <c:pt idx="954">
                  <c:v>52933</c:v>
                </c:pt>
                <c:pt idx="955">
                  <c:v>52965</c:v>
                </c:pt>
                <c:pt idx="956">
                  <c:v>52994</c:v>
                </c:pt>
                <c:pt idx="957">
                  <c:v>53023</c:v>
                </c:pt>
                <c:pt idx="958">
                  <c:v>53051</c:v>
                </c:pt>
                <c:pt idx="959">
                  <c:v>53085</c:v>
                </c:pt>
                <c:pt idx="960">
                  <c:v>53113</c:v>
                </c:pt>
                <c:pt idx="961">
                  <c:v>53146</c:v>
                </c:pt>
                <c:pt idx="962">
                  <c:v>53176</c:v>
                </c:pt>
                <c:pt idx="963">
                  <c:v>53209</c:v>
                </c:pt>
                <c:pt idx="964">
                  <c:v>53239</c:v>
                </c:pt>
                <c:pt idx="965">
                  <c:v>53272</c:v>
                </c:pt>
                <c:pt idx="966">
                  <c:v>53302</c:v>
                </c:pt>
                <c:pt idx="967">
                  <c:v>53335</c:v>
                </c:pt>
                <c:pt idx="968">
                  <c:v>53365</c:v>
                </c:pt>
                <c:pt idx="969">
                  <c:v>53393</c:v>
                </c:pt>
                <c:pt idx="970">
                  <c:v>53426</c:v>
                </c:pt>
                <c:pt idx="971">
                  <c:v>53456</c:v>
                </c:pt>
                <c:pt idx="972">
                  <c:v>53489</c:v>
                </c:pt>
                <c:pt idx="973">
                  <c:v>53519</c:v>
                </c:pt>
                <c:pt idx="974">
                  <c:v>53552</c:v>
                </c:pt>
                <c:pt idx="975">
                  <c:v>53582</c:v>
                </c:pt>
                <c:pt idx="976">
                  <c:v>53612</c:v>
                </c:pt>
                <c:pt idx="977">
                  <c:v>53645</c:v>
                </c:pt>
                <c:pt idx="978">
                  <c:v>53675</c:v>
                </c:pt>
                <c:pt idx="979">
                  <c:v>53708</c:v>
                </c:pt>
                <c:pt idx="980">
                  <c:v>53741</c:v>
                </c:pt>
                <c:pt idx="981">
                  <c:v>53769</c:v>
                </c:pt>
                <c:pt idx="982">
                  <c:v>53800</c:v>
                </c:pt>
                <c:pt idx="983">
                  <c:v>53832</c:v>
                </c:pt>
                <c:pt idx="984">
                  <c:v>53862</c:v>
                </c:pt>
                <c:pt idx="985">
                  <c:v>53892</c:v>
                </c:pt>
                <c:pt idx="986">
                  <c:v>53925</c:v>
                </c:pt>
                <c:pt idx="987">
                  <c:v>53958</c:v>
                </c:pt>
                <c:pt idx="988">
                  <c:v>53988</c:v>
                </c:pt>
                <c:pt idx="989">
                  <c:v>54021</c:v>
                </c:pt>
                <c:pt idx="990">
                  <c:v>54053</c:v>
                </c:pt>
                <c:pt idx="991">
                  <c:v>54084</c:v>
                </c:pt>
                <c:pt idx="992">
                  <c:v>54114</c:v>
                </c:pt>
                <c:pt idx="993">
                  <c:v>54143</c:v>
                </c:pt>
                <c:pt idx="994">
                  <c:v>54176</c:v>
                </c:pt>
                <c:pt idx="995">
                  <c:v>54205</c:v>
                </c:pt>
                <c:pt idx="996">
                  <c:v>54238</c:v>
                </c:pt>
                <c:pt idx="997">
                  <c:v>54268</c:v>
                </c:pt>
                <c:pt idx="998">
                  <c:v>54301</c:v>
                </c:pt>
                <c:pt idx="999">
                  <c:v>54331</c:v>
                </c:pt>
                <c:pt idx="1000">
                  <c:v>54361</c:v>
                </c:pt>
                <c:pt idx="1001">
                  <c:v>54394</c:v>
                </c:pt>
                <c:pt idx="1002">
                  <c:v>54427</c:v>
                </c:pt>
                <c:pt idx="1003">
                  <c:v>54457</c:v>
                </c:pt>
                <c:pt idx="1004">
                  <c:v>54485</c:v>
                </c:pt>
                <c:pt idx="1005">
                  <c:v>54518</c:v>
                </c:pt>
                <c:pt idx="1006">
                  <c:v>54548</c:v>
                </c:pt>
                <c:pt idx="1007">
                  <c:v>54581</c:v>
                </c:pt>
                <c:pt idx="1008">
                  <c:v>54611</c:v>
                </c:pt>
                <c:pt idx="1009">
                  <c:v>54644</c:v>
                </c:pt>
                <c:pt idx="1010">
                  <c:v>54674</c:v>
                </c:pt>
                <c:pt idx="1011">
                  <c:v>54704</c:v>
                </c:pt>
                <c:pt idx="1012">
                  <c:v>54737</c:v>
                </c:pt>
                <c:pt idx="1013">
                  <c:v>54767</c:v>
                </c:pt>
                <c:pt idx="1014">
                  <c:v>54800</c:v>
                </c:pt>
                <c:pt idx="1015">
                  <c:v>54833</c:v>
                </c:pt>
                <c:pt idx="1016">
                  <c:v>54861</c:v>
                </c:pt>
                <c:pt idx="1017">
                  <c:v>54892</c:v>
                </c:pt>
                <c:pt idx="1018">
                  <c:v>54924</c:v>
                </c:pt>
                <c:pt idx="1019">
                  <c:v>54954</c:v>
                </c:pt>
                <c:pt idx="1020">
                  <c:v>54984</c:v>
                </c:pt>
                <c:pt idx="1021">
                  <c:v>55017</c:v>
                </c:pt>
                <c:pt idx="1022">
                  <c:v>55050</c:v>
                </c:pt>
                <c:pt idx="1023">
                  <c:v>55080</c:v>
                </c:pt>
                <c:pt idx="1024">
                  <c:v>55113</c:v>
                </c:pt>
                <c:pt idx="1025">
                  <c:v>55143</c:v>
                </c:pt>
                <c:pt idx="1026">
                  <c:v>55176</c:v>
                </c:pt>
                <c:pt idx="1027">
                  <c:v>55206</c:v>
                </c:pt>
                <c:pt idx="1028">
                  <c:v>55234</c:v>
                </c:pt>
                <c:pt idx="1029">
                  <c:v>55267</c:v>
                </c:pt>
                <c:pt idx="1030">
                  <c:v>55297</c:v>
                </c:pt>
                <c:pt idx="1031">
                  <c:v>55330</c:v>
                </c:pt>
                <c:pt idx="1032">
                  <c:v>55360</c:v>
                </c:pt>
                <c:pt idx="1033">
                  <c:v>55393</c:v>
                </c:pt>
                <c:pt idx="1034">
                  <c:v>55423</c:v>
                </c:pt>
                <c:pt idx="1035">
                  <c:v>55453</c:v>
                </c:pt>
                <c:pt idx="1036">
                  <c:v>55486</c:v>
                </c:pt>
                <c:pt idx="1037">
                  <c:v>55516</c:v>
                </c:pt>
                <c:pt idx="1038">
                  <c:v>55549</c:v>
                </c:pt>
                <c:pt idx="1039">
                  <c:v>55582</c:v>
                </c:pt>
                <c:pt idx="1040">
                  <c:v>55611</c:v>
                </c:pt>
                <c:pt idx="1041">
                  <c:v>55641</c:v>
                </c:pt>
                <c:pt idx="1042">
                  <c:v>55670</c:v>
                </c:pt>
                <c:pt idx="1043">
                  <c:v>55703</c:v>
                </c:pt>
                <c:pt idx="1044">
                  <c:v>55736</c:v>
                </c:pt>
                <c:pt idx="1045">
                  <c:v>55766</c:v>
                </c:pt>
                <c:pt idx="1046">
                  <c:v>55796</c:v>
                </c:pt>
                <c:pt idx="1047">
                  <c:v>55829</c:v>
                </c:pt>
                <c:pt idx="1048">
                  <c:v>55859</c:v>
                </c:pt>
                <c:pt idx="1049">
                  <c:v>55892</c:v>
                </c:pt>
                <c:pt idx="1050">
                  <c:v>55925</c:v>
                </c:pt>
                <c:pt idx="1051">
                  <c:v>55953</c:v>
                </c:pt>
                <c:pt idx="1052">
                  <c:v>55984</c:v>
                </c:pt>
                <c:pt idx="1053">
                  <c:v>56016</c:v>
                </c:pt>
                <c:pt idx="1054">
                  <c:v>56046</c:v>
                </c:pt>
                <c:pt idx="1055">
                  <c:v>56076</c:v>
                </c:pt>
                <c:pt idx="1056">
                  <c:v>56109</c:v>
                </c:pt>
                <c:pt idx="1057">
                  <c:v>56142</c:v>
                </c:pt>
                <c:pt idx="1058">
                  <c:v>56172</c:v>
                </c:pt>
                <c:pt idx="1059">
                  <c:v>56205</c:v>
                </c:pt>
                <c:pt idx="1060">
                  <c:v>56235</c:v>
                </c:pt>
                <c:pt idx="1061">
                  <c:v>56268</c:v>
                </c:pt>
                <c:pt idx="1062">
                  <c:v>56298</c:v>
                </c:pt>
                <c:pt idx="1063">
                  <c:v>56326</c:v>
                </c:pt>
                <c:pt idx="1064">
                  <c:v>56359</c:v>
                </c:pt>
                <c:pt idx="1065">
                  <c:v>56389</c:v>
                </c:pt>
                <c:pt idx="1066">
                  <c:v>56422</c:v>
                </c:pt>
                <c:pt idx="1067">
                  <c:v>56452</c:v>
                </c:pt>
                <c:pt idx="1068">
                  <c:v>56485</c:v>
                </c:pt>
                <c:pt idx="1069">
                  <c:v>56515</c:v>
                </c:pt>
                <c:pt idx="1070">
                  <c:v>56545</c:v>
                </c:pt>
                <c:pt idx="1071">
                  <c:v>56578</c:v>
                </c:pt>
                <c:pt idx="1072">
                  <c:v>56611</c:v>
                </c:pt>
                <c:pt idx="1073">
                  <c:v>56641</c:v>
                </c:pt>
                <c:pt idx="1074">
                  <c:v>56674</c:v>
                </c:pt>
                <c:pt idx="1075">
                  <c:v>56702</c:v>
                </c:pt>
                <c:pt idx="1076">
                  <c:v>56732</c:v>
                </c:pt>
                <c:pt idx="1077">
                  <c:v>56762</c:v>
                </c:pt>
                <c:pt idx="1078">
                  <c:v>56795</c:v>
                </c:pt>
                <c:pt idx="1079">
                  <c:v>56825</c:v>
                </c:pt>
                <c:pt idx="1080">
                  <c:v>56858</c:v>
                </c:pt>
                <c:pt idx="1081">
                  <c:v>56891</c:v>
                </c:pt>
                <c:pt idx="1082">
                  <c:v>56921</c:v>
                </c:pt>
                <c:pt idx="1083">
                  <c:v>56951</c:v>
                </c:pt>
                <c:pt idx="1084">
                  <c:v>56984</c:v>
                </c:pt>
                <c:pt idx="1085">
                  <c:v>57017</c:v>
                </c:pt>
                <c:pt idx="1086">
                  <c:v>57046</c:v>
                </c:pt>
                <c:pt idx="1087">
                  <c:v>57076</c:v>
                </c:pt>
                <c:pt idx="1088">
                  <c:v>57108</c:v>
                </c:pt>
                <c:pt idx="1089">
                  <c:v>57138</c:v>
                </c:pt>
                <c:pt idx="1090">
                  <c:v>57168</c:v>
                </c:pt>
                <c:pt idx="1091">
                  <c:v>57201</c:v>
                </c:pt>
                <c:pt idx="1092">
                  <c:v>57234</c:v>
                </c:pt>
                <c:pt idx="1093">
                  <c:v>57264</c:v>
                </c:pt>
                <c:pt idx="1094">
                  <c:v>57297</c:v>
                </c:pt>
                <c:pt idx="1095">
                  <c:v>57327</c:v>
                </c:pt>
                <c:pt idx="1096">
                  <c:v>57360</c:v>
                </c:pt>
                <c:pt idx="1097">
                  <c:v>57390</c:v>
                </c:pt>
                <c:pt idx="1098">
                  <c:v>57418</c:v>
                </c:pt>
                <c:pt idx="1099">
                  <c:v>57451</c:v>
                </c:pt>
                <c:pt idx="1100">
                  <c:v>57481</c:v>
                </c:pt>
                <c:pt idx="1101">
                  <c:v>57514</c:v>
                </c:pt>
                <c:pt idx="1102">
                  <c:v>57544</c:v>
                </c:pt>
                <c:pt idx="1103">
                  <c:v>57577</c:v>
                </c:pt>
                <c:pt idx="1104">
                  <c:v>57607</c:v>
                </c:pt>
                <c:pt idx="1105">
                  <c:v>57637</c:v>
                </c:pt>
                <c:pt idx="1106">
                  <c:v>57670</c:v>
                </c:pt>
                <c:pt idx="1107">
                  <c:v>57700</c:v>
                </c:pt>
                <c:pt idx="1108">
                  <c:v>57733</c:v>
                </c:pt>
                <c:pt idx="1109">
                  <c:v>57766</c:v>
                </c:pt>
                <c:pt idx="1110">
                  <c:v>57794</c:v>
                </c:pt>
                <c:pt idx="1111">
                  <c:v>57824</c:v>
                </c:pt>
                <c:pt idx="1112">
                  <c:v>57854</c:v>
                </c:pt>
                <c:pt idx="1113">
                  <c:v>57887</c:v>
                </c:pt>
                <c:pt idx="1114">
                  <c:v>57917</c:v>
                </c:pt>
                <c:pt idx="1115">
                  <c:v>57950</c:v>
                </c:pt>
                <c:pt idx="1116">
                  <c:v>57983</c:v>
                </c:pt>
                <c:pt idx="1117">
                  <c:v>58013</c:v>
                </c:pt>
                <c:pt idx="1118">
                  <c:v>58046</c:v>
                </c:pt>
                <c:pt idx="1119">
                  <c:v>58077</c:v>
                </c:pt>
                <c:pt idx="1120">
                  <c:v>58109</c:v>
                </c:pt>
                <c:pt idx="1121">
                  <c:v>58138</c:v>
                </c:pt>
                <c:pt idx="1122">
                  <c:v>58168</c:v>
                </c:pt>
                <c:pt idx="1123">
                  <c:v>58201</c:v>
                </c:pt>
                <c:pt idx="1124">
                  <c:v>58230</c:v>
                </c:pt>
                <c:pt idx="1125">
                  <c:v>58260</c:v>
                </c:pt>
                <c:pt idx="1126">
                  <c:v>58293</c:v>
                </c:pt>
                <c:pt idx="1127">
                  <c:v>58326</c:v>
                </c:pt>
                <c:pt idx="1128">
                  <c:v>58356</c:v>
                </c:pt>
                <c:pt idx="1129">
                  <c:v>58389</c:v>
                </c:pt>
                <c:pt idx="1130">
                  <c:v>58419</c:v>
                </c:pt>
                <c:pt idx="1131">
                  <c:v>58452</c:v>
                </c:pt>
                <c:pt idx="1132">
                  <c:v>58482</c:v>
                </c:pt>
                <c:pt idx="1133">
                  <c:v>58511</c:v>
                </c:pt>
                <c:pt idx="1134">
                  <c:v>58544</c:v>
                </c:pt>
                <c:pt idx="1135">
                  <c:v>58573</c:v>
                </c:pt>
                <c:pt idx="1136">
                  <c:v>58606</c:v>
                </c:pt>
                <c:pt idx="1137">
                  <c:v>58636</c:v>
                </c:pt>
                <c:pt idx="1138">
                  <c:v>58669</c:v>
                </c:pt>
                <c:pt idx="1139">
                  <c:v>58699</c:v>
                </c:pt>
                <c:pt idx="1140">
                  <c:v>58729</c:v>
                </c:pt>
                <c:pt idx="1141">
                  <c:v>58762</c:v>
                </c:pt>
                <c:pt idx="1142">
                  <c:v>58792</c:v>
                </c:pt>
                <c:pt idx="1143">
                  <c:v>58825</c:v>
                </c:pt>
                <c:pt idx="1144">
                  <c:v>58858</c:v>
                </c:pt>
                <c:pt idx="1145">
                  <c:v>58886</c:v>
                </c:pt>
                <c:pt idx="1146">
                  <c:v>58916</c:v>
                </c:pt>
                <c:pt idx="1147">
                  <c:v>58946</c:v>
                </c:pt>
                <c:pt idx="1148">
                  <c:v>58979</c:v>
                </c:pt>
                <c:pt idx="1149">
                  <c:v>59009</c:v>
                </c:pt>
                <c:pt idx="1150">
                  <c:v>59042</c:v>
                </c:pt>
                <c:pt idx="1151">
                  <c:v>59075</c:v>
                </c:pt>
                <c:pt idx="1152">
                  <c:v>59105</c:v>
                </c:pt>
                <c:pt idx="1153">
                  <c:v>59138</c:v>
                </c:pt>
                <c:pt idx="1154">
                  <c:v>59169</c:v>
                </c:pt>
                <c:pt idx="1155">
                  <c:v>59202</c:v>
                </c:pt>
                <c:pt idx="1156">
                  <c:v>59231</c:v>
                </c:pt>
                <c:pt idx="1157">
                  <c:v>59260</c:v>
                </c:pt>
                <c:pt idx="1158">
                  <c:v>59294</c:v>
                </c:pt>
                <c:pt idx="1159">
                  <c:v>59322</c:v>
                </c:pt>
                <c:pt idx="1160">
                  <c:v>59355</c:v>
                </c:pt>
                <c:pt idx="1161">
                  <c:v>59385</c:v>
                </c:pt>
                <c:pt idx="1162">
                  <c:v>59418</c:v>
                </c:pt>
                <c:pt idx="1163">
                  <c:v>59448</c:v>
                </c:pt>
                <c:pt idx="1164">
                  <c:v>59481</c:v>
                </c:pt>
                <c:pt idx="1165">
                  <c:v>59511</c:v>
                </c:pt>
                <c:pt idx="1166">
                  <c:v>59544</c:v>
                </c:pt>
                <c:pt idx="1167">
                  <c:v>59574</c:v>
                </c:pt>
                <c:pt idx="1168">
                  <c:v>59602</c:v>
                </c:pt>
                <c:pt idx="1169">
                  <c:v>59635</c:v>
                </c:pt>
                <c:pt idx="1170">
                  <c:v>59665</c:v>
                </c:pt>
                <c:pt idx="1171">
                  <c:v>59698</c:v>
                </c:pt>
                <c:pt idx="1172">
                  <c:v>59728</c:v>
                </c:pt>
                <c:pt idx="1173">
                  <c:v>59761</c:v>
                </c:pt>
                <c:pt idx="1174">
                  <c:v>59791</c:v>
                </c:pt>
                <c:pt idx="1175">
                  <c:v>59821</c:v>
                </c:pt>
                <c:pt idx="1176">
                  <c:v>59854</c:v>
                </c:pt>
                <c:pt idx="1177">
                  <c:v>59884</c:v>
                </c:pt>
                <c:pt idx="1178">
                  <c:v>59917</c:v>
                </c:pt>
                <c:pt idx="1179">
                  <c:v>59950</c:v>
                </c:pt>
                <c:pt idx="1180">
                  <c:v>59979</c:v>
                </c:pt>
                <c:pt idx="1181">
                  <c:v>60008</c:v>
                </c:pt>
                <c:pt idx="1182">
                  <c:v>60038</c:v>
                </c:pt>
                <c:pt idx="1183">
                  <c:v>60071</c:v>
                </c:pt>
                <c:pt idx="1184">
                  <c:v>60101</c:v>
                </c:pt>
                <c:pt idx="1185">
                  <c:v>60134</c:v>
                </c:pt>
                <c:pt idx="1186">
                  <c:v>60167</c:v>
                </c:pt>
                <c:pt idx="1187">
                  <c:v>60197</c:v>
                </c:pt>
                <c:pt idx="1188">
                  <c:v>60230</c:v>
                </c:pt>
                <c:pt idx="1189">
                  <c:v>60260</c:v>
                </c:pt>
                <c:pt idx="1190">
                  <c:v>60293</c:v>
                </c:pt>
                <c:pt idx="1191">
                  <c:v>60323</c:v>
                </c:pt>
                <c:pt idx="1192">
                  <c:v>60351</c:v>
                </c:pt>
                <c:pt idx="1193">
                  <c:v>60384</c:v>
                </c:pt>
                <c:pt idx="1194">
                  <c:v>60414</c:v>
                </c:pt>
                <c:pt idx="1195">
                  <c:v>60447</c:v>
                </c:pt>
                <c:pt idx="1196">
                  <c:v>60477</c:v>
                </c:pt>
                <c:pt idx="1197">
                  <c:v>60510</c:v>
                </c:pt>
                <c:pt idx="1198">
                  <c:v>60540</c:v>
                </c:pt>
                <c:pt idx="1199">
                  <c:v>60570</c:v>
                </c:pt>
                <c:pt idx="1200">
                  <c:v>60603</c:v>
                </c:pt>
                <c:pt idx="1201">
                  <c:v>60636</c:v>
                </c:pt>
                <c:pt idx="1202">
                  <c:v>60666</c:v>
                </c:pt>
                <c:pt idx="1203">
                  <c:v>60694</c:v>
                </c:pt>
                <c:pt idx="1204">
                  <c:v>60727</c:v>
                </c:pt>
                <c:pt idx="1205">
                  <c:v>60757</c:v>
                </c:pt>
                <c:pt idx="1206">
                  <c:v>60790</c:v>
                </c:pt>
                <c:pt idx="1207">
                  <c:v>60820</c:v>
                </c:pt>
                <c:pt idx="1208">
                  <c:v>60853</c:v>
                </c:pt>
                <c:pt idx="1209">
                  <c:v>60883</c:v>
                </c:pt>
                <c:pt idx="1210">
                  <c:v>60913</c:v>
                </c:pt>
                <c:pt idx="1211">
                  <c:v>60946</c:v>
                </c:pt>
                <c:pt idx="1212">
                  <c:v>60976</c:v>
                </c:pt>
                <c:pt idx="1213">
                  <c:v>61009</c:v>
                </c:pt>
                <c:pt idx="1214">
                  <c:v>61042</c:v>
                </c:pt>
                <c:pt idx="1215">
                  <c:v>61070</c:v>
                </c:pt>
                <c:pt idx="1216">
                  <c:v>61100</c:v>
                </c:pt>
                <c:pt idx="1217">
                  <c:v>61130</c:v>
                </c:pt>
                <c:pt idx="1218">
                  <c:v>61163</c:v>
                </c:pt>
                <c:pt idx="1219">
                  <c:v>61193</c:v>
                </c:pt>
                <c:pt idx="1220">
                  <c:v>61226</c:v>
                </c:pt>
                <c:pt idx="1221">
                  <c:v>61259</c:v>
                </c:pt>
                <c:pt idx="1222">
                  <c:v>61289</c:v>
                </c:pt>
                <c:pt idx="1223">
                  <c:v>61322</c:v>
                </c:pt>
                <c:pt idx="1224">
                  <c:v>61352</c:v>
                </c:pt>
                <c:pt idx="1225">
                  <c:v>61385</c:v>
                </c:pt>
                <c:pt idx="1226">
                  <c:v>61415</c:v>
                </c:pt>
                <c:pt idx="1227">
                  <c:v>61444</c:v>
                </c:pt>
                <c:pt idx="1228">
                  <c:v>61479</c:v>
                </c:pt>
                <c:pt idx="1229">
                  <c:v>61511</c:v>
                </c:pt>
                <c:pt idx="1230">
                  <c:v>61541</c:v>
                </c:pt>
                <c:pt idx="1231">
                  <c:v>61571</c:v>
                </c:pt>
                <c:pt idx="1232">
                  <c:v>61604</c:v>
                </c:pt>
                <c:pt idx="1233">
                  <c:v>61637</c:v>
                </c:pt>
                <c:pt idx="1234">
                  <c:v>61667</c:v>
                </c:pt>
                <c:pt idx="1235">
                  <c:v>61700</c:v>
                </c:pt>
                <c:pt idx="1236">
                  <c:v>61731</c:v>
                </c:pt>
                <c:pt idx="1237">
                  <c:v>61763</c:v>
                </c:pt>
                <c:pt idx="1238">
                  <c:v>61791</c:v>
                </c:pt>
                <c:pt idx="1239">
                  <c:v>61819</c:v>
                </c:pt>
                <c:pt idx="1240">
                  <c:v>61850</c:v>
                </c:pt>
                <c:pt idx="1241">
                  <c:v>61879</c:v>
                </c:pt>
                <c:pt idx="1242">
                  <c:v>61912</c:v>
                </c:pt>
                <c:pt idx="1243">
                  <c:v>61945</c:v>
                </c:pt>
                <c:pt idx="1244">
                  <c:v>61975</c:v>
                </c:pt>
                <c:pt idx="1245">
                  <c:v>62005</c:v>
                </c:pt>
                <c:pt idx="1246">
                  <c:v>62038</c:v>
                </c:pt>
                <c:pt idx="1247">
                  <c:v>62068</c:v>
                </c:pt>
                <c:pt idx="1248">
                  <c:v>62101</c:v>
                </c:pt>
                <c:pt idx="1249">
                  <c:v>62134</c:v>
                </c:pt>
                <c:pt idx="1250">
                  <c:v>62162</c:v>
                </c:pt>
                <c:pt idx="1251">
                  <c:v>62192</c:v>
                </c:pt>
                <c:pt idx="1252">
                  <c:v>62222</c:v>
                </c:pt>
                <c:pt idx="1253">
                  <c:v>62255</c:v>
                </c:pt>
                <c:pt idx="1254">
                  <c:v>62285</c:v>
                </c:pt>
                <c:pt idx="1255">
                  <c:v>62318</c:v>
                </c:pt>
                <c:pt idx="1256">
                  <c:v>62351</c:v>
                </c:pt>
                <c:pt idx="1257">
                  <c:v>62381</c:v>
                </c:pt>
                <c:pt idx="1258">
                  <c:v>62414</c:v>
                </c:pt>
                <c:pt idx="1259">
                  <c:v>62444</c:v>
                </c:pt>
                <c:pt idx="1260">
                  <c:v>62477</c:v>
                </c:pt>
                <c:pt idx="1261">
                  <c:v>62507</c:v>
                </c:pt>
                <c:pt idx="1262">
                  <c:v>62535</c:v>
                </c:pt>
                <c:pt idx="1263">
                  <c:v>62570</c:v>
                </c:pt>
                <c:pt idx="1264">
                  <c:v>62598</c:v>
                </c:pt>
                <c:pt idx="1265">
                  <c:v>62631</c:v>
                </c:pt>
                <c:pt idx="1266">
                  <c:v>62661</c:v>
                </c:pt>
                <c:pt idx="1267">
                  <c:v>62694</c:v>
                </c:pt>
                <c:pt idx="1268">
                  <c:v>62724</c:v>
                </c:pt>
                <c:pt idx="1269">
                  <c:v>62754</c:v>
                </c:pt>
                <c:pt idx="1270">
                  <c:v>62787</c:v>
                </c:pt>
                <c:pt idx="1271">
                  <c:v>62820</c:v>
                </c:pt>
                <c:pt idx="1272">
                  <c:v>62850</c:v>
                </c:pt>
                <c:pt idx="1273">
                  <c:v>62883</c:v>
                </c:pt>
                <c:pt idx="1274">
                  <c:v>62912</c:v>
                </c:pt>
                <c:pt idx="1275">
                  <c:v>62941</c:v>
                </c:pt>
                <c:pt idx="1276">
                  <c:v>62971</c:v>
                </c:pt>
                <c:pt idx="1277">
                  <c:v>63004</c:v>
                </c:pt>
                <c:pt idx="1278">
                  <c:v>63034</c:v>
                </c:pt>
                <c:pt idx="1279">
                  <c:v>63067</c:v>
                </c:pt>
                <c:pt idx="1280">
                  <c:v>63100</c:v>
                </c:pt>
                <c:pt idx="1281">
                  <c:v>63130</c:v>
                </c:pt>
                <c:pt idx="1282">
                  <c:v>63160</c:v>
                </c:pt>
                <c:pt idx="1283">
                  <c:v>63192</c:v>
                </c:pt>
                <c:pt idx="1284">
                  <c:v>63221</c:v>
                </c:pt>
                <c:pt idx="1285">
                  <c:v>63250</c:v>
                </c:pt>
                <c:pt idx="1286">
                  <c:v>63278</c:v>
                </c:pt>
                <c:pt idx="1287">
                  <c:v>63312</c:v>
                </c:pt>
                <c:pt idx="1288">
                  <c:v>63340</c:v>
                </c:pt>
                <c:pt idx="1289">
                  <c:v>63373</c:v>
                </c:pt>
                <c:pt idx="1290">
                  <c:v>63403</c:v>
                </c:pt>
                <c:pt idx="1291">
                  <c:v>63436</c:v>
                </c:pt>
                <c:pt idx="1292">
                  <c:v>63466</c:v>
                </c:pt>
                <c:pt idx="1293">
                  <c:v>63499</c:v>
                </c:pt>
                <c:pt idx="1294">
                  <c:v>63529</c:v>
                </c:pt>
                <c:pt idx="1295">
                  <c:v>63562</c:v>
                </c:pt>
                <c:pt idx="1296">
                  <c:v>63592</c:v>
                </c:pt>
                <c:pt idx="1297">
                  <c:v>63620</c:v>
                </c:pt>
                <c:pt idx="1298">
                  <c:v>63653</c:v>
                </c:pt>
                <c:pt idx="1299">
                  <c:v>63683</c:v>
                </c:pt>
                <c:pt idx="1300">
                  <c:v>63716</c:v>
                </c:pt>
                <c:pt idx="1301">
                  <c:v>63746</c:v>
                </c:pt>
                <c:pt idx="1302">
                  <c:v>63779</c:v>
                </c:pt>
                <c:pt idx="1303">
                  <c:v>63809</c:v>
                </c:pt>
                <c:pt idx="1304">
                  <c:v>63839</c:v>
                </c:pt>
                <c:pt idx="1305">
                  <c:v>63872</c:v>
                </c:pt>
                <c:pt idx="1306">
                  <c:v>63902</c:v>
                </c:pt>
                <c:pt idx="1307">
                  <c:v>63935</c:v>
                </c:pt>
              </c:numCache>
            </c:numRef>
          </c:cat>
          <c:val>
            <c:numRef>
              <c:f>'3M Delta'!$X$3:$X$1310</c:f>
              <c:numCache>
                <c:formatCode>General</c:formatCode>
                <c:ptCount val="1308"/>
                <c:pt idx="0">
                  <c:v>2.6292477963591468E-4</c:v>
                </c:pt>
                <c:pt idx="1">
                  <c:v>2.5873192586754051E-4</c:v>
                </c:pt>
                <c:pt idx="2">
                  <c:v>2.6936550263287259E-4</c:v>
                </c:pt>
                <c:pt idx="3">
                  <c:v>2.716894552428311E-4</c:v>
                </c:pt>
                <c:pt idx="4">
                  <c:v>2.7379954804019425E-4</c:v>
                </c:pt>
                <c:pt idx="5">
                  <c:v>2.7567032856411791E-4</c:v>
                </c:pt>
                <c:pt idx="6">
                  <c:v>2.8472599212933506E-4</c:v>
                </c:pt>
                <c:pt idx="7">
                  <c:v>2.815643003016362E-4</c:v>
                </c:pt>
                <c:pt idx="8">
                  <c:v>2.8287797156445932E-4</c:v>
                </c:pt>
                <c:pt idx="9">
                  <c:v>2.8422270052495824E-4</c:v>
                </c:pt>
                <c:pt idx="10">
                  <c:v>2.8563751101988948E-4</c:v>
                </c:pt>
                <c:pt idx="11">
                  <c:v>2.9503964846208381E-4</c:v>
                </c:pt>
                <c:pt idx="12">
                  <c:v>2.9201580373500245E-4</c:v>
                </c:pt>
                <c:pt idx="13">
                  <c:v>2.937735250783269E-4</c:v>
                </c:pt>
                <c:pt idx="14">
                  <c:v>2.9558985987897333E-4</c:v>
                </c:pt>
                <c:pt idx="15">
                  <c:v>2.974613957639462E-4</c:v>
                </c:pt>
                <c:pt idx="16">
                  <c:v>3.0789574772753704E-4</c:v>
                </c:pt>
                <c:pt idx="17">
                  <c:v>3.054232504080923E-4</c:v>
                </c:pt>
                <c:pt idx="18">
                  <c:v>3.0751334323641968E-4</c:v>
                </c:pt>
                <c:pt idx="19">
                  <c:v>3.0963556828848338E-4</c:v>
                </c:pt>
                <c:pt idx="20">
                  <c:v>3.1178606584260555E-4</c:v>
                </c:pt>
                <c:pt idx="21">
                  <c:v>3.2315012626641634E-4</c:v>
                </c:pt>
                <c:pt idx="22">
                  <c:v>3.206104062279555E-4</c:v>
                </c:pt>
                <c:pt idx="23">
                  <c:v>3.2284977499706836E-4</c:v>
                </c:pt>
                <c:pt idx="24">
                  <c:v>3.2507438395205983E-4</c:v>
                </c:pt>
                <c:pt idx="25">
                  <c:v>3.2726600219878553E-4</c:v>
                </c:pt>
                <c:pt idx="26">
                  <c:v>3.3866853119313991E-4</c:v>
                </c:pt>
                <c:pt idx="27">
                  <c:v>3.353379502045335E-4</c:v>
                </c:pt>
                <c:pt idx="28">
                  <c:v>3.370911514884286E-4</c:v>
                </c:pt>
                <c:pt idx="29">
                  <c:v>3.3870625293327516E-4</c:v>
                </c:pt>
                <c:pt idx="30">
                  <c:v>3.4018640482760945E-4</c:v>
                </c:pt>
                <c:pt idx="31">
                  <c:v>3.4955384732133756E-4</c:v>
                </c:pt>
                <c:pt idx="32">
                  <c:v>3.4490604742820803E-4</c:v>
                </c:pt>
                <c:pt idx="33">
                  <c:v>3.4582284946388451E-4</c:v>
                </c:pt>
                <c:pt idx="34">
                  <c:v>3.4664926110614369E-4</c:v>
                </c:pt>
                <c:pt idx="35">
                  <c:v>3.4739321880178635E-4</c:v>
                </c:pt>
                <c:pt idx="36">
                  <c:v>3.5535226397413007E-4</c:v>
                </c:pt>
                <c:pt idx="37">
                  <c:v>3.4970955457161126E-4</c:v>
                </c:pt>
                <c:pt idx="38">
                  <c:v>3.5016432180534878E-4</c:v>
                </c:pt>
                <c:pt idx="39">
                  <c:v>3.5058558517301144E-4</c:v>
                </c:pt>
                <c:pt idx="40">
                  <c:v>3.5098145608372433E-4</c:v>
                </c:pt>
                <c:pt idx="41">
                  <c:v>3.5873577480534201E-4</c:v>
                </c:pt>
                <c:pt idx="42">
                  <c:v>3.5247324333743913E-4</c:v>
                </c:pt>
                <c:pt idx="43">
                  <c:v>3.5286241569342126E-4</c:v>
                </c:pt>
                <c:pt idx="44">
                  <c:v>3.53266419618577E-4</c:v>
                </c:pt>
                <c:pt idx="45">
                  <c:v>3.5368492209430678E-4</c:v>
                </c:pt>
                <c:pt idx="46">
                  <c:v>3.6209711203819103E-4</c:v>
                </c:pt>
                <c:pt idx="47">
                  <c:v>3.5549725712773363E-4</c:v>
                </c:pt>
                <c:pt idx="48">
                  <c:v>3.5598325707563962E-4</c:v>
                </c:pt>
                <c:pt idx="49">
                  <c:v>3.5648175746196806E-4</c:v>
                </c:pt>
                <c:pt idx="50">
                  <c:v>3.5699242526783623E-4</c:v>
                </c:pt>
                <c:pt idx="51">
                  <c:v>3.6580654900956414E-4</c:v>
                </c:pt>
                <c:pt idx="52">
                  <c:v>3.5915011031830671E-4</c:v>
                </c:pt>
                <c:pt idx="53">
                  <c:v>3.5971661994376906E-4</c:v>
                </c:pt>
                <c:pt idx="54">
                  <c:v>3.6029329887673789E-4</c:v>
                </c:pt>
                <c:pt idx="55">
                  <c:v>3.6087981409961637E-4</c:v>
                </c:pt>
                <c:pt idx="56">
                  <c:v>3.6973656375981304E-4</c:v>
                </c:pt>
                <c:pt idx="57">
                  <c:v>3.6331757750951996E-4</c:v>
                </c:pt>
                <c:pt idx="58">
                  <c:v>3.6394827889809408E-4</c:v>
                </c:pt>
                <c:pt idx="59">
                  <c:v>3.6458681846427717E-4</c:v>
                </c:pt>
                <c:pt idx="60">
                  <c:v>3.6523087596285685E-4</c:v>
                </c:pt>
                <c:pt idx="61">
                  <c:v>3.7375703307972852E-4</c:v>
                </c:pt>
                <c:pt idx="62">
                  <c:v>3.6763703003398857E-4</c:v>
                </c:pt>
                <c:pt idx="63">
                  <c:v>3.6813476769377953E-4</c:v>
                </c:pt>
                <c:pt idx="64">
                  <c:v>3.6856765462914954E-4</c:v>
                </c:pt>
                <c:pt idx="65">
                  <c:v>3.68930545047835E-4</c:v>
                </c:pt>
                <c:pt idx="66">
                  <c:v>3.6552564191536478E-4</c:v>
                </c:pt>
                <c:pt idx="67">
                  <c:v>3.6972348037418978E-4</c:v>
                </c:pt>
                <c:pt idx="68">
                  <c:v>3.6977102522157919E-4</c:v>
                </c:pt>
                <c:pt idx="69">
                  <c:v>3.6976388151695151E-4</c:v>
                </c:pt>
                <c:pt idx="70">
                  <c:v>3.6970484278009105E-4</c:v>
                </c:pt>
                <c:pt idx="71">
                  <c:v>3.7656758815775607E-4</c:v>
                </c:pt>
                <c:pt idx="72">
                  <c:v>3.6900560792689507E-4</c:v>
                </c:pt>
                <c:pt idx="73">
                  <c:v>3.6872899683987613E-4</c:v>
                </c:pt>
                <c:pt idx="74">
                  <c:v>3.6841725184443474E-4</c:v>
                </c:pt>
                <c:pt idx="75">
                  <c:v>3.680731664618601E-4</c:v>
                </c:pt>
                <c:pt idx="76">
                  <c:v>3.7470769625110186E-4</c:v>
                </c:pt>
                <c:pt idx="77">
                  <c:v>3.6642929146472923E-4</c:v>
                </c:pt>
                <c:pt idx="78">
                  <c:v>3.6596540695266617E-4</c:v>
                </c:pt>
                <c:pt idx="79">
                  <c:v>3.6548594317611574E-4</c:v>
                </c:pt>
                <c:pt idx="80">
                  <c:v>3.6499369365610866E-4</c:v>
                </c:pt>
                <c:pt idx="81">
                  <c:v>3.7188913395170924E-4</c:v>
                </c:pt>
                <c:pt idx="82">
                  <c:v>3.6295270855261181E-4</c:v>
                </c:pt>
                <c:pt idx="83">
                  <c:v>3.6243843312396267E-4</c:v>
                </c:pt>
                <c:pt idx="84">
                  <c:v>3.619281330756794E-4</c:v>
                </c:pt>
                <c:pt idx="85">
                  <c:v>3.6142460192752638E-4</c:v>
                </c:pt>
                <c:pt idx="86">
                  <c:v>3.6907007882388935E-4</c:v>
                </c:pt>
                <c:pt idx="87">
                  <c:v>3.5536237475833018E-4</c:v>
                </c:pt>
                <c:pt idx="88">
                  <c:v>3.5486194774817257E-4</c:v>
                </c:pt>
                <c:pt idx="89">
                  <c:v>3.5438210871014303E-4</c:v>
                </c:pt>
                <c:pt idx="90">
                  <c:v>3.5392630343393619E-4</c:v>
                </c:pt>
                <c:pt idx="91">
                  <c:v>3.5349797771017642E-4</c:v>
                </c:pt>
                <c:pt idx="92">
                  <c:v>3.5241233575785422E-4</c:v>
                </c:pt>
                <c:pt idx="93">
                  <c:v>3.521283861484858E-4</c:v>
                </c:pt>
                <c:pt idx="94">
                  <c:v>3.518891450431707E-4</c:v>
                </c:pt>
                <c:pt idx="95">
                  <c:v>3.5169724773606825E-4</c:v>
                </c:pt>
                <c:pt idx="96">
                  <c:v>3.5155208753370694E-4</c:v>
                </c:pt>
                <c:pt idx="97">
                  <c:v>3.5138285765332528E-4</c:v>
                </c:pt>
                <c:pt idx="98">
                  <c:v>3.5141047396880932E-4</c:v>
                </c:pt>
                <c:pt idx="99">
                  <c:v>3.5147774143791323E-4</c:v>
                </c:pt>
                <c:pt idx="100">
                  <c:v>3.5158329483470937E-4</c:v>
                </c:pt>
                <c:pt idx="101">
                  <c:v>3.51725184170754E-4</c:v>
                </c:pt>
                <c:pt idx="102">
                  <c:v>3.523450347072856E-4</c:v>
                </c:pt>
                <c:pt idx="103">
                  <c:v>3.5260899794829314E-4</c:v>
                </c:pt>
                <c:pt idx="104">
                  <c:v>3.5289794382954758E-4</c:v>
                </c:pt>
                <c:pt idx="105">
                  <c:v>3.532096580168759E-4</c:v>
                </c:pt>
                <c:pt idx="106">
                  <c:v>3.6565879250236813E-4</c:v>
                </c:pt>
                <c:pt idx="107">
                  <c:v>3.5463991114175603E-4</c:v>
                </c:pt>
                <c:pt idx="108">
                  <c:v>3.5503225184540404E-4</c:v>
                </c:pt>
                <c:pt idx="109">
                  <c:v>3.5968709534346503E-4</c:v>
                </c:pt>
                <c:pt idx="110">
                  <c:v>3.7320859492386617E-4</c:v>
                </c:pt>
                <c:pt idx="111">
                  <c:v>3.693156898234167E-4</c:v>
                </c:pt>
                <c:pt idx="112">
                  <c:v>3.6178956815116707E-4</c:v>
                </c:pt>
                <c:pt idx="113">
                  <c:v>3.6214021522254221E-4</c:v>
                </c:pt>
                <c:pt idx="114">
                  <c:v>3.6245552954450408E-4</c:v>
                </c:pt>
                <c:pt idx="115">
                  <c:v>3.6273034672340234E-4</c:v>
                </c:pt>
                <c:pt idx="116">
                  <c:v>3.7152820672343653E-4</c:v>
                </c:pt>
                <c:pt idx="117">
                  <c:v>3.6332135612563625E-4</c:v>
                </c:pt>
                <c:pt idx="118">
                  <c:v>3.6331622167826383E-4</c:v>
                </c:pt>
                <c:pt idx="119">
                  <c:v>3.6323960372344104E-4</c:v>
                </c:pt>
                <c:pt idx="120">
                  <c:v>3.6308633786722491E-4</c:v>
                </c:pt>
                <c:pt idx="121">
                  <c:v>3.7040115241296318E-4</c:v>
                </c:pt>
                <c:pt idx="122">
                  <c:v>3.6160350754995275E-4</c:v>
                </c:pt>
                <c:pt idx="123">
                  <c:v>3.6098953627736679E-4</c:v>
                </c:pt>
                <c:pt idx="124">
                  <c:v>3.6026793073953178E-4</c:v>
                </c:pt>
                <c:pt idx="125">
                  <c:v>3.5943352654278917E-4</c:v>
                </c:pt>
                <c:pt idx="126">
                  <c:v>3.6416313975372474E-4</c:v>
                </c:pt>
                <c:pt idx="127">
                  <c:v>3.5486463528306079E-4</c:v>
                </c:pt>
                <c:pt idx="128">
                  <c:v>3.5340764760806041E-4</c:v>
                </c:pt>
                <c:pt idx="129">
                  <c:v>3.5192012927554663E-4</c:v>
                </c:pt>
                <c:pt idx="130">
                  <c:v>3.5050898788832255E-4</c:v>
                </c:pt>
                <c:pt idx="131">
                  <c:v>3.4676758406451956E-4</c:v>
                </c:pt>
                <c:pt idx="132">
                  <c:v>3.4650928698009366E-4</c:v>
                </c:pt>
                <c:pt idx="133">
                  <c:v>3.459041713143992E-4</c:v>
                </c:pt>
                <c:pt idx="134">
                  <c:v>3.4544322531140714E-4</c:v>
                </c:pt>
                <c:pt idx="135">
                  <c:v>3.4511957189021852E-4</c:v>
                </c:pt>
                <c:pt idx="136">
                  <c:v>3.5189791131107852E-4</c:v>
                </c:pt>
                <c:pt idx="137">
                  <c:v>3.450603424056151E-4</c:v>
                </c:pt>
                <c:pt idx="138">
                  <c:v>3.4531999567955922E-4</c:v>
                </c:pt>
                <c:pt idx="139">
                  <c:v>3.4567567905026528E-4</c:v>
                </c:pt>
                <c:pt idx="140">
                  <c:v>3.4612051543621498E-4</c:v>
                </c:pt>
                <c:pt idx="141">
                  <c:v>3.5490244278159588E-4</c:v>
                </c:pt>
                <c:pt idx="142">
                  <c:v>3.4865384951708475E-4</c:v>
                </c:pt>
                <c:pt idx="143">
                  <c:v>3.4944129476702966E-4</c:v>
                </c:pt>
                <c:pt idx="144">
                  <c:v>3.502766305464781E-4</c:v>
                </c:pt>
                <c:pt idx="145">
                  <c:v>3.5115297977543676E-4</c:v>
                </c:pt>
                <c:pt idx="146">
                  <c:v>3.6127980773856873E-4</c:v>
                </c:pt>
                <c:pt idx="147">
                  <c:v>3.5493096956444722E-4</c:v>
                </c:pt>
                <c:pt idx="148">
                  <c:v>3.5590922982502561E-4</c:v>
                </c:pt>
                <c:pt idx="149">
                  <c:v>3.5688724104989924E-4</c:v>
                </c:pt>
                <c:pt idx="150">
                  <c:v>3.5785812615701427E-4</c:v>
                </c:pt>
                <c:pt idx="151">
                  <c:v>3.6867116742998014E-4</c:v>
                </c:pt>
                <c:pt idx="152">
                  <c:v>3.5655674953468931E-4</c:v>
                </c:pt>
                <c:pt idx="153">
                  <c:v>3.5736347230873805E-4</c:v>
                </c:pt>
                <c:pt idx="154">
                  <c:v>3.5813871228782684E-4</c:v>
                </c:pt>
                <c:pt idx="155">
                  <c:v>3.5888921544097277E-4</c:v>
                </c:pt>
                <c:pt idx="156">
                  <c:v>3.5962172773514717E-4</c:v>
                </c:pt>
                <c:pt idx="157">
                  <c:v>3.6177877915325634E-4</c:v>
                </c:pt>
                <c:pt idx="158">
                  <c:v>3.625067876980999E-4</c:v>
                </c:pt>
                <c:pt idx="159">
                  <c:v>3.6325053522687505E-4</c:v>
                </c:pt>
                <c:pt idx="160">
                  <c:v>3.6401330196707667E-4</c:v>
                </c:pt>
                <c:pt idx="161">
                  <c:v>3.6478450518737278E-4</c:v>
                </c:pt>
                <c:pt idx="162">
                  <c:v>3.6700824900990237E-4</c:v>
                </c:pt>
                <c:pt idx="163">
                  <c:v>3.6767271343236352E-4</c:v>
                </c:pt>
                <c:pt idx="164">
                  <c:v>3.6827537197627855E-4</c:v>
                </c:pt>
                <c:pt idx="165">
                  <c:v>3.6880492195672031E-4</c:v>
                </c:pt>
                <c:pt idx="166">
                  <c:v>3.6926132653705029E-4</c:v>
                </c:pt>
                <c:pt idx="167">
                  <c:v>3.7022017085421049E-4</c:v>
                </c:pt>
                <c:pt idx="168">
                  <c:v>3.7041249681220003E-4</c:v>
                </c:pt>
                <c:pt idx="169">
                  <c:v>3.7054592885954729E-4</c:v>
                </c:pt>
                <c:pt idx="170">
                  <c:v>3.706233172946504E-4</c:v>
                </c:pt>
                <c:pt idx="171">
                  <c:v>3.7441095827263257E-4</c:v>
                </c:pt>
                <c:pt idx="172">
                  <c:v>3.7026936570787479E-4</c:v>
                </c:pt>
                <c:pt idx="173">
                  <c:v>3.7007115526127088E-4</c:v>
                </c:pt>
                <c:pt idx="174">
                  <c:v>3.6984169250576263E-4</c:v>
                </c:pt>
                <c:pt idx="175">
                  <c:v>3.6876510873919247E-4</c:v>
                </c:pt>
                <c:pt idx="176">
                  <c:v>3.6849472719399325E-4</c:v>
                </c:pt>
                <c:pt idx="177">
                  <c:v>3.6823923044121957E-4</c:v>
                </c:pt>
                <c:pt idx="178">
                  <c:v>3.680063079972161E-4</c:v>
                </c:pt>
                <c:pt idx="179">
                  <c:v>3.6780364937825824E-4</c:v>
                </c:pt>
                <c:pt idx="180">
                  <c:v>3.6745415164139277E-4</c:v>
                </c:pt>
                <c:pt idx="181">
                  <c:v>3.6744944349124329E-4</c:v>
                </c:pt>
                <c:pt idx="182">
                  <c:v>3.6751344674989774E-4</c:v>
                </c:pt>
                <c:pt idx="183">
                  <c:v>3.6765385093356126E-4</c:v>
                </c:pt>
                <c:pt idx="184">
                  <c:v>3.6787834556036508E-4</c:v>
                </c:pt>
                <c:pt idx="185">
                  <c:v>3.6913326725889644E-4</c:v>
                </c:pt>
                <c:pt idx="186">
                  <c:v>3.6977101882106815E-4</c:v>
                </c:pt>
                <c:pt idx="187">
                  <c:v>3.7053130840858833E-4</c:v>
                </c:pt>
                <c:pt idx="188">
                  <c:v>3.7142182553870763E-4</c:v>
                </c:pt>
                <c:pt idx="189">
                  <c:v>3.7245025972737489E-4</c:v>
                </c:pt>
                <c:pt idx="190">
                  <c:v>3.7643995981501805E-4</c:v>
                </c:pt>
                <c:pt idx="191">
                  <c:v>3.7809695740669778E-4</c:v>
                </c:pt>
                <c:pt idx="192">
                  <c:v>3.7991144391274936E-4</c:v>
                </c:pt>
                <c:pt idx="193">
                  <c:v>3.8179691234121403E-4</c:v>
                </c:pt>
                <c:pt idx="194">
                  <c:v>3.8364870848567832E-4</c:v>
                </c:pt>
                <c:pt idx="195">
                  <c:v>3.8844277020041193E-4</c:v>
                </c:pt>
                <c:pt idx="196">
                  <c:v>3.8557354510306029E-4</c:v>
                </c:pt>
                <c:pt idx="197">
                  <c:v>3.8679158386861653E-4</c:v>
                </c:pt>
                <c:pt idx="198">
                  <c:v>3.8788836405874021E-4</c:v>
                </c:pt>
                <c:pt idx="199">
                  <c:v>3.88867286429921E-4</c:v>
                </c:pt>
                <c:pt idx="200">
                  <c:v>3.953096430004149E-4</c:v>
                </c:pt>
                <c:pt idx="201">
                  <c:v>3.9167241285436834E-4</c:v>
                </c:pt>
                <c:pt idx="202">
                  <c:v>3.9211305747817254E-4</c:v>
                </c:pt>
                <c:pt idx="203">
                  <c:v>3.9245624882202924E-4</c:v>
                </c:pt>
                <c:pt idx="204">
                  <c:v>3.9270538764236062E-4</c:v>
                </c:pt>
                <c:pt idx="205">
                  <c:v>3.9707381284476861E-4</c:v>
                </c:pt>
                <c:pt idx="206">
                  <c:v>3.9282943282148018E-4</c:v>
                </c:pt>
                <c:pt idx="207">
                  <c:v>3.9265932037263549E-4</c:v>
                </c:pt>
                <c:pt idx="208">
                  <c:v>3.9241555994011924E-4</c:v>
                </c:pt>
                <c:pt idx="209">
                  <c:v>3.9210155227936753E-4</c:v>
                </c:pt>
                <c:pt idx="210">
                  <c:v>3.94901739218223E-4</c:v>
                </c:pt>
                <c:pt idx="211">
                  <c:v>3.9021106448978142E-4</c:v>
                </c:pt>
                <c:pt idx="212">
                  <c:v>3.8959683203862184E-4</c:v>
                </c:pt>
                <c:pt idx="213">
                  <c:v>3.8893275689817861E-4</c:v>
                </c:pt>
                <c:pt idx="214">
                  <c:v>3.8822223982626591E-4</c:v>
                </c:pt>
                <c:pt idx="215">
                  <c:v>3.9407192652632421E-4</c:v>
                </c:pt>
                <c:pt idx="216">
                  <c:v>3.9320693807890617E-4</c:v>
                </c:pt>
                <c:pt idx="217">
                  <c:v>3.9231727751129014E-4</c:v>
                </c:pt>
                <c:pt idx="218">
                  <c:v>3.9141087561387142E-4</c:v>
                </c:pt>
                <c:pt idx="219">
                  <c:v>3.9870428775361233E-4</c:v>
                </c:pt>
                <c:pt idx="220">
                  <c:v>3.8777647053092601E-4</c:v>
                </c:pt>
                <c:pt idx="221">
                  <c:v>3.8690532383776888E-4</c:v>
                </c:pt>
                <c:pt idx="222">
                  <c:v>3.8606500862454915E-4</c:v>
                </c:pt>
                <c:pt idx="223">
                  <c:v>3.8526339602672102E-4</c:v>
                </c:pt>
                <c:pt idx="224">
                  <c:v>3.9270640479577084E-4</c:v>
                </c:pt>
                <c:pt idx="225">
                  <c:v>3.8260115586743868E-4</c:v>
                </c:pt>
                <c:pt idx="226">
                  <c:v>3.8211094440513375E-4</c:v>
                </c:pt>
                <c:pt idx="227">
                  <c:v>3.8170659078178715E-4</c:v>
                </c:pt>
                <c:pt idx="228">
                  <c:v>3.8139315881006004E-4</c:v>
                </c:pt>
                <c:pt idx="229">
                  <c:v>3.8935737391908093E-4</c:v>
                </c:pt>
                <c:pt idx="230">
                  <c:v>3.8089833850793144E-4</c:v>
                </c:pt>
                <c:pt idx="231">
                  <c:v>3.8091979461789776E-4</c:v>
                </c:pt>
                <c:pt idx="232">
                  <c:v>3.8098148891758059E-4</c:v>
                </c:pt>
                <c:pt idx="233">
                  <c:v>3.8107450826483074E-4</c:v>
                </c:pt>
                <c:pt idx="234">
                  <c:v>3.8169752074232883E-4</c:v>
                </c:pt>
                <c:pt idx="235">
                  <c:v>3.8179297247227344E-4</c:v>
                </c:pt>
                <c:pt idx="236">
                  <c:v>3.7776892305661937E-4</c:v>
                </c:pt>
                <c:pt idx="237">
                  <c:v>3.7782262344668706E-4</c:v>
                </c:pt>
                <c:pt idx="238">
                  <c:v>3.7787321601805965E-4</c:v>
                </c:pt>
                <c:pt idx="239">
                  <c:v>3.7785669517108133E-4</c:v>
                </c:pt>
                <c:pt idx="240">
                  <c:v>3.7782520738761916E-4</c:v>
                </c:pt>
                <c:pt idx="241">
                  <c:v>3.7777978801587832E-4</c:v>
                </c:pt>
                <c:pt idx="242">
                  <c:v>3.777214724049715E-4</c:v>
                </c:pt>
                <c:pt idx="243">
                  <c:v>3.7747950162486329E-4</c:v>
                </c:pt>
                <c:pt idx="244">
                  <c:v>3.7737995454546226E-4</c:v>
                </c:pt>
                <c:pt idx="245">
                  <c:v>3.7727268797124936E-4</c:v>
                </c:pt>
                <c:pt idx="246">
                  <c:v>3.7715873725133414E-4</c:v>
                </c:pt>
                <c:pt idx="247">
                  <c:v>3.7703913773403936E-4</c:v>
                </c:pt>
                <c:pt idx="248">
                  <c:v>3.766567998885469E-4</c:v>
                </c:pt>
                <c:pt idx="249">
                  <c:v>3.7652495867187625E-4</c:v>
                </c:pt>
                <c:pt idx="250">
                  <c:v>3.7639264540237024E-4</c:v>
                </c:pt>
                <c:pt idx="251">
                  <c:v>3.7626089542903534E-4</c:v>
                </c:pt>
                <c:pt idx="252">
                  <c:v>3.76130744100757E-4</c:v>
                </c:pt>
                <c:pt idx="253">
                  <c:v>3.7576023547476371E-4</c:v>
                </c:pt>
                <c:pt idx="254">
                  <c:v>3.7564683221563352E-4</c:v>
                </c:pt>
                <c:pt idx="255">
                  <c:v>3.7554020434606665E-4</c:v>
                </c:pt>
                <c:pt idx="256">
                  <c:v>3.7544120508574473E-4</c:v>
                </c:pt>
                <c:pt idx="257">
                  <c:v>3.7911158007160014E-4</c:v>
                </c:pt>
                <c:pt idx="258">
                  <c:v>3.7898342403511551E-4</c:v>
                </c:pt>
                <c:pt idx="259">
                  <c:v>3.7914867219253931E-4</c:v>
                </c:pt>
                <c:pt idx="260">
                  <c:v>3.7956258637582199E-4</c:v>
                </c:pt>
                <c:pt idx="261">
                  <c:v>3.8018042841640319E-4</c:v>
                </c:pt>
                <c:pt idx="262">
                  <c:v>3.8095747207692228E-4</c:v>
                </c:pt>
                <c:pt idx="263">
                  <c:v>3.8185505715830485E-4</c:v>
                </c:pt>
                <c:pt idx="264">
                  <c:v>3.8285219181250478E-4</c:v>
                </c:pt>
                <c:pt idx="265">
                  <c:v>3.8393397674748399E-4</c:v>
                </c:pt>
                <c:pt idx="266">
                  <c:v>3.8508579746344848E-4</c:v>
                </c:pt>
                <c:pt idx="267">
                  <c:v>3.8629303946190814E-4</c:v>
                </c:pt>
                <c:pt idx="268">
                  <c:v>3.8754108824285848E-4</c:v>
                </c:pt>
                <c:pt idx="269">
                  <c:v>3.8881532930737335E-4</c:v>
                </c:pt>
                <c:pt idx="270">
                  <c:v>3.9010322936457777E-4</c:v>
                </c:pt>
                <c:pt idx="271">
                  <c:v>3.9139928582267619E-4</c:v>
                </c:pt>
                <c:pt idx="272">
                  <c:v>3.9269655249721686E-4</c:v>
                </c:pt>
                <c:pt idx="273">
                  <c:v>3.9398786456954681E-4</c:v>
                </c:pt>
                <c:pt idx="274">
                  <c:v>3.9087848853516289E-4</c:v>
                </c:pt>
                <c:pt idx="275">
                  <c:v>3.9212723285172757E-4</c:v>
                </c:pt>
                <c:pt idx="276">
                  <c:v>3.9335016092831358E-4</c:v>
                </c:pt>
                <c:pt idx="277">
                  <c:v>3.9453836605817856E-4</c:v>
                </c:pt>
                <c:pt idx="278">
                  <c:v>3.9567395223899331E-4</c:v>
                </c:pt>
                <c:pt idx="279">
                  <c:v>3.945460854251148E-4</c:v>
                </c:pt>
                <c:pt idx="280">
                  <c:v>3.954984229346054E-4</c:v>
                </c:pt>
                <c:pt idx="281">
                  <c:v>3.963186531649742E-4</c:v>
                </c:pt>
                <c:pt idx="282">
                  <c:v>3.9698092857469507E-4</c:v>
                </c:pt>
                <c:pt idx="283">
                  <c:v>3.9746046413005381E-4</c:v>
                </c:pt>
                <c:pt idx="284">
                  <c:v>3.9775406983653759E-4</c:v>
                </c:pt>
                <c:pt idx="285">
                  <c:v>3.9787933688483032E-4</c:v>
                </c:pt>
                <c:pt idx="286">
                  <c:v>3.9785475442464038E-4</c:v>
                </c:pt>
                <c:pt idx="287">
                  <c:v>3.8898491602193559E-4</c:v>
                </c:pt>
                <c:pt idx="288">
                  <c:v>3.8872743628434313E-4</c:v>
                </c:pt>
                <c:pt idx="289">
                  <c:v>3.883735574983504E-4</c:v>
                </c:pt>
                <c:pt idx="290">
                  <c:v>3.8794177230544035E-4</c:v>
                </c:pt>
                <c:pt idx="291">
                  <c:v>3.8745234703690951E-4</c:v>
                </c:pt>
                <c:pt idx="292">
                  <c:v>3.9353022400054208E-4</c:v>
                </c:pt>
                <c:pt idx="293">
                  <c:v>3.9300103433266255E-4</c:v>
                </c:pt>
                <c:pt idx="294">
                  <c:v>3.9249047450892662E-4</c:v>
                </c:pt>
                <c:pt idx="295">
                  <c:v>3.9202421922547381E-4</c:v>
                </c:pt>
                <c:pt idx="296">
                  <c:v>3.8728866728154703E-4</c:v>
                </c:pt>
                <c:pt idx="297">
                  <c:v>3.8697133110530258E-4</c:v>
                </c:pt>
                <c:pt idx="298">
                  <c:v>3.8673146077007506E-4</c:v>
                </c:pt>
                <c:pt idx="299">
                  <c:v>3.8656493146417266E-4</c:v>
                </c:pt>
                <c:pt idx="300">
                  <c:v>3.9951303759364103E-4</c:v>
                </c:pt>
                <c:pt idx="301">
                  <c:v>3.9949109640131621E-4</c:v>
                </c:pt>
                <c:pt idx="302">
                  <c:v>3.9953137860049921E-4</c:v>
                </c:pt>
                <c:pt idx="303">
                  <c:v>3.9962930515138407E-4</c:v>
                </c:pt>
                <c:pt idx="304">
                  <c:v>3.9977945892233298E-4</c:v>
                </c:pt>
                <c:pt idx="305">
                  <c:v>3.956075557141009E-4</c:v>
                </c:pt>
                <c:pt idx="306">
                  <c:v>3.9584267190127733E-4</c:v>
                </c:pt>
                <c:pt idx="307">
                  <c:v>3.9611507110004452E-4</c:v>
                </c:pt>
                <c:pt idx="308">
                  <c:v>3.9641984505844332E-4</c:v>
                </c:pt>
                <c:pt idx="309">
                  <c:v>4.0114119311593881E-4</c:v>
                </c:pt>
                <c:pt idx="310">
                  <c:v>4.0150418760313811E-4</c:v>
                </c:pt>
                <c:pt idx="311">
                  <c:v>4.0189065993738362E-4</c:v>
                </c:pt>
                <c:pt idx="312">
                  <c:v>4.022987567591974E-4</c:v>
                </c:pt>
                <c:pt idx="313">
                  <c:v>4.0272662471108436E-4</c:v>
                </c:pt>
                <c:pt idx="314">
                  <c:v>4.0317241043547433E-4</c:v>
                </c:pt>
                <c:pt idx="315">
                  <c:v>4.0363426057307385E-4</c:v>
                </c:pt>
                <c:pt idx="316">
                  <c:v>4.041106306593584E-4</c:v>
                </c:pt>
                <c:pt idx="317">
                  <c:v>4.0460121180130055E-4</c:v>
                </c:pt>
                <c:pt idx="318">
                  <c:v>4.0510600399862692E-4</c:v>
                </c:pt>
                <c:pt idx="319">
                  <c:v>4.0562500725156806E-4</c:v>
                </c:pt>
                <c:pt idx="320">
                  <c:v>4.0615822156019255E-4</c:v>
                </c:pt>
                <c:pt idx="321">
                  <c:v>4.0670564692440694E-4</c:v>
                </c:pt>
                <c:pt idx="322">
                  <c:v>4.0726728334395588E-4</c:v>
                </c:pt>
                <c:pt idx="323">
                  <c:v>4.0784313081953182E-4</c:v>
                </c:pt>
                <c:pt idx="324">
                  <c:v>4.0843318935011142E-4</c:v>
                </c:pt>
                <c:pt idx="325">
                  <c:v>4.0903745893650708E-4</c:v>
                </c:pt>
                <c:pt idx="326">
                  <c:v>4.0515680708535704E-4</c:v>
                </c:pt>
                <c:pt idx="327">
                  <c:v>4.0578161765690438E-4</c:v>
                </c:pt>
                <c:pt idx="328">
                  <c:v>4.0642048481652341E-4</c:v>
                </c:pt>
                <c:pt idx="329">
                  <c:v>4.0707340856368558E-4</c:v>
                </c:pt>
                <c:pt idx="330">
                  <c:v>4.0774038889860133E-4</c:v>
                </c:pt>
                <c:pt idx="331">
                  <c:v>4.1296150862213534E-4</c:v>
                </c:pt>
                <c:pt idx="332">
                  <c:v>4.136652555972844E-4</c:v>
                </c:pt>
                <c:pt idx="333">
                  <c:v>4.1438321362825082E-4</c:v>
                </c:pt>
                <c:pt idx="334">
                  <c:v>4.1511538271505488E-4</c:v>
                </c:pt>
                <c:pt idx="335">
                  <c:v>4.1586176285688899E-4</c:v>
                </c:pt>
                <c:pt idx="336">
                  <c:v>4.1662235405455917E-4</c:v>
                </c:pt>
                <c:pt idx="337">
                  <c:v>4.1739715630826555E-4</c:v>
                </c:pt>
                <c:pt idx="338">
                  <c:v>4.1818616961693651E-4</c:v>
                </c:pt>
                <c:pt idx="339">
                  <c:v>4.0976352285544503E-4</c:v>
                </c:pt>
                <c:pt idx="340">
                  <c:v>4.1056120192299264E-4</c:v>
                </c:pt>
                <c:pt idx="341">
                  <c:v>4.1137278311054615E-4</c:v>
                </c:pt>
                <c:pt idx="342">
                  <c:v>4.1219826641732799E-4</c:v>
                </c:pt>
                <c:pt idx="343">
                  <c:v>4.1315869891390695E-4</c:v>
                </c:pt>
                <c:pt idx="344">
                  <c:v>4.140139724773587E-4</c:v>
                </c:pt>
                <c:pt idx="345">
                  <c:v>4.1488314815997111E-4</c:v>
                </c:pt>
                <c:pt idx="346">
                  <c:v>4.1576622596189376E-4</c:v>
                </c:pt>
                <c:pt idx="347">
                  <c:v>4.1666320588402777E-4</c:v>
                </c:pt>
                <c:pt idx="348">
                  <c:v>4.1286748149207617E-4</c:v>
                </c:pt>
                <c:pt idx="349">
                  <c:v>4.1378048509125963E-4</c:v>
                </c:pt>
                <c:pt idx="350">
                  <c:v>4.1470531622233073E-4</c:v>
                </c:pt>
                <c:pt idx="351">
                  <c:v>4.156404814597385E-4</c:v>
                </c:pt>
                <c:pt idx="352">
                  <c:v>4.4035265322041767E-4</c:v>
                </c:pt>
                <c:pt idx="353">
                  <c:v>4.4135811713754113E-4</c:v>
                </c:pt>
                <c:pt idx="354">
                  <c:v>4.4236914048865757E-4</c:v>
                </c:pt>
                <c:pt idx="355">
                  <c:v>4.4338422984811657E-4</c:v>
                </c:pt>
                <c:pt idx="356">
                  <c:v>4.3057158164946756E-4</c:v>
                </c:pt>
                <c:pt idx="357">
                  <c:v>4.3099464238608202E-4</c:v>
                </c:pt>
                <c:pt idx="358">
                  <c:v>4.319814111770855E-4</c:v>
                </c:pt>
                <c:pt idx="359">
                  <c:v>4.3296644890746953E-4</c:v>
                </c:pt>
                <c:pt idx="360">
                  <c:v>4.3394826215059157E-4</c:v>
                </c:pt>
                <c:pt idx="361">
                  <c:v>4.4947656674916418E-4</c:v>
                </c:pt>
                <c:pt idx="362">
                  <c:v>4.5047922165366292E-4</c:v>
                </c:pt>
                <c:pt idx="363">
                  <c:v>4.5147634196900398E-4</c:v>
                </c:pt>
                <c:pt idx="364">
                  <c:v>4.5246792769576229E-4</c:v>
                </c:pt>
                <c:pt idx="365">
                  <c:v>4.5345397883242352E-4</c:v>
                </c:pt>
                <c:pt idx="366">
                  <c:v>4.5443449538115443E-4</c:v>
                </c:pt>
                <c:pt idx="367">
                  <c:v>4.5540947734092269E-4</c:v>
                </c:pt>
                <c:pt idx="368">
                  <c:v>4.5637892471126997E-4</c:v>
                </c:pt>
                <c:pt idx="369">
                  <c:v>4.4254980853546832E-4</c:v>
                </c:pt>
                <c:pt idx="370">
                  <c:v>4.5830121568518221E-4</c:v>
                </c:pt>
                <c:pt idx="371">
                  <c:v>4.5925405928870278E-4</c:v>
                </c:pt>
                <c:pt idx="372">
                  <c:v>4.6020136830360157E-4</c:v>
                </c:pt>
                <c:pt idx="373">
                  <c:v>4.6114314272896093E-4</c:v>
                </c:pt>
                <c:pt idx="374">
                  <c:v>4.6207938256599083E-4</c:v>
                </c:pt>
                <c:pt idx="375">
                  <c:v>4.630100878138117E-4</c:v>
                </c:pt>
                <c:pt idx="376">
                  <c:v>4.6393525847234011E-4</c:v>
                </c:pt>
                <c:pt idx="377">
                  <c:v>4.6485489454206646E-4</c:v>
                </c:pt>
                <c:pt idx="378">
                  <c:v>4.5071738030808803E-4</c:v>
                </c:pt>
                <c:pt idx="379">
                  <c:v>4.5159809851716615E-4</c:v>
                </c:pt>
                <c:pt idx="380">
                  <c:v>4.5247345877325029E-4</c:v>
                </c:pt>
                <c:pt idx="381">
                  <c:v>4.5334346107554004E-4</c:v>
                </c:pt>
                <c:pt idx="382">
                  <c:v>4.6937005605652936E-4</c:v>
                </c:pt>
                <c:pt idx="383">
                  <c:v>4.7025648459282746E-4</c:v>
                </c:pt>
                <c:pt idx="384">
                  <c:v>4.7113737853940869E-4</c:v>
                </c:pt>
                <c:pt idx="385">
                  <c:v>4.7201273789736019E-4</c:v>
                </c:pt>
                <c:pt idx="386">
                  <c:v>4.7288256266656752E-4</c:v>
                </c:pt>
                <c:pt idx="387">
                  <c:v>4.7374685284660241E-4</c:v>
                </c:pt>
                <c:pt idx="388">
                  <c:v>4.7460560843783257E-4</c:v>
                </c:pt>
                <c:pt idx="389">
                  <c:v>4.7545882943986786E-4</c:v>
                </c:pt>
                <c:pt idx="390">
                  <c:v>4.7630651585311415E-4</c:v>
                </c:pt>
                <c:pt idx="391">
                  <c:v>4.566179503228768E-4</c:v>
                </c:pt>
                <c:pt idx="392">
                  <c:v>4.5742048084620925E-4</c:v>
                </c:pt>
                <c:pt idx="393">
                  <c:v>4.5821771229458515E-4</c:v>
                </c:pt>
                <c:pt idx="394">
                  <c:v>4.5900964466869291E-4</c:v>
                </c:pt>
                <c:pt idx="395">
                  <c:v>4.4979895759994764E-4</c:v>
                </c:pt>
                <c:pt idx="396">
                  <c:v>4.6608731519221528E-4</c:v>
                </c:pt>
                <c:pt idx="397">
                  <c:v>4.668692939784043E-4</c:v>
                </c:pt>
                <c:pt idx="398">
                  <c:v>4.7283991321632831E-4</c:v>
                </c:pt>
                <c:pt idx="399">
                  <c:v>4.684171776920406E-4</c:v>
                </c:pt>
                <c:pt idx="400">
                  <c:v>4.6918261377275111E-4</c:v>
                </c:pt>
                <c:pt idx="401">
                  <c:v>4.6993987882220864E-4</c:v>
                </c:pt>
                <c:pt idx="402">
                  <c:v>4.706861597617925E-4</c:v>
                </c:pt>
                <c:pt idx="403">
                  <c:v>4.7141864351320359E-4</c:v>
                </c:pt>
                <c:pt idx="404">
                  <c:v>4.7737099497634547E-4</c:v>
                </c:pt>
                <c:pt idx="405">
                  <c:v>4.7807294136484557E-4</c:v>
                </c:pt>
                <c:pt idx="406">
                  <c:v>4.787521905828288E-4</c:v>
                </c:pt>
                <c:pt idx="407">
                  <c:v>4.7940592955306838E-4</c:v>
                </c:pt>
                <c:pt idx="408">
                  <c:v>4.7477564671153299E-4</c:v>
                </c:pt>
                <c:pt idx="409">
                  <c:v>4.7536627269080008E-4</c:v>
                </c:pt>
                <c:pt idx="410">
                  <c:v>4.7592340993462287E-4</c:v>
                </c:pt>
                <c:pt idx="411">
                  <c:v>4.765859941394239E-4</c:v>
                </c:pt>
                <c:pt idx="412">
                  <c:v>4.7692596590071331E-4</c:v>
                </c:pt>
                <c:pt idx="413">
                  <c:v>4.8263558462795231E-4</c:v>
                </c:pt>
                <c:pt idx="414">
                  <c:v>4.8303526759479912E-4</c:v>
                </c:pt>
                <c:pt idx="415">
                  <c:v>4.8339256184357494E-4</c:v>
                </c:pt>
                <c:pt idx="416">
                  <c:v>4.837074673746623E-4</c:v>
                </c:pt>
                <c:pt idx="417">
                  <c:v>4.8397998418793573E-4</c:v>
                </c:pt>
                <c:pt idx="418">
                  <c:v>4.8421011228387193E-4</c:v>
                </c:pt>
                <c:pt idx="419">
                  <c:v>4.8439785166155185E-4</c:v>
                </c:pt>
                <c:pt idx="420">
                  <c:v>4.845432023217681E-4</c:v>
                </c:pt>
                <c:pt idx="421">
                  <c:v>4.8464616426391782E-4</c:v>
                </c:pt>
                <c:pt idx="422">
                  <c:v>4.8470673748866584E-4</c:v>
                </c:pt>
                <c:pt idx="423">
                  <c:v>4.8472492199594716E-4</c:v>
                </c:pt>
                <c:pt idx="424">
                  <c:v>4.8470071778474523E-4</c:v>
                </c:pt>
                <c:pt idx="425">
                  <c:v>4.8463412485619885E-4</c:v>
                </c:pt>
                <c:pt idx="426">
                  <c:v>4.845251432096075E-4</c:v>
                </c:pt>
                <c:pt idx="427">
                  <c:v>4.8437377284576017E-4</c:v>
                </c:pt>
                <c:pt idx="428">
                  <c:v>4.8418001376338465E-4</c:v>
                </c:pt>
                <c:pt idx="429">
                  <c:v>4.8394386596402995E-4</c:v>
                </c:pt>
                <c:pt idx="430">
                  <c:v>4.7843569178973122E-4</c:v>
                </c:pt>
                <c:pt idx="431">
                  <c:v>4.7812124972717798E-4</c:v>
                </c:pt>
                <c:pt idx="432">
                  <c:v>4.7776487969415659E-4</c:v>
                </c:pt>
                <c:pt idx="433">
                  <c:v>4.773665816902292E-4</c:v>
                </c:pt>
                <c:pt idx="434">
                  <c:v>4.8212729619972328E-4</c:v>
                </c:pt>
                <c:pt idx="435">
                  <c:v>4.8163681609370923E-4</c:v>
                </c:pt>
                <c:pt idx="436">
                  <c:v>4.8110394727000471E-4</c:v>
                </c:pt>
                <c:pt idx="437">
                  <c:v>4.8052868972831605E-4</c:v>
                </c:pt>
                <c:pt idx="438">
                  <c:v>4.7991104346895155E-4</c:v>
                </c:pt>
                <c:pt idx="439">
                  <c:v>4.7925100849171193E-4</c:v>
                </c:pt>
                <c:pt idx="440">
                  <c:v>4.7854858479677782E-4</c:v>
                </c:pt>
                <c:pt idx="441">
                  <c:v>4.7780377238426631E-4</c:v>
                </c:pt>
                <c:pt idx="442">
                  <c:v>4.7701657125423047E-4</c:v>
                </c:pt>
                <c:pt idx="443">
                  <c:v>4.7107756325596122E-4</c:v>
                </c:pt>
                <c:pt idx="444">
                  <c:v>4.7021805757311842E-4</c:v>
                </c:pt>
                <c:pt idx="445">
                  <c:v>4.6931662391933894E-4</c:v>
                </c:pt>
                <c:pt idx="446">
                  <c:v>4.6837326229509315E-4</c:v>
                </c:pt>
                <c:pt idx="447">
                  <c:v>4.672437943519089E-4</c:v>
                </c:pt>
                <c:pt idx="448">
                  <c:v>4.6621058707537464E-4</c:v>
                </c:pt>
                <c:pt idx="449">
                  <c:v>4.6513545182808144E-4</c:v>
                </c:pt>
                <c:pt idx="450">
                  <c:v>4.6401838861017997E-4</c:v>
                </c:pt>
                <c:pt idx="451">
                  <c:v>4.6285939742143006E-4</c:v>
                </c:pt>
                <c:pt idx="452">
                  <c:v>4.5667822649761994E-4</c:v>
                </c:pt>
                <c:pt idx="453">
                  <c:v>4.5545614816862919E-4</c:v>
                </c:pt>
                <c:pt idx="454">
                  <c:v>4.5420173447007444E-4</c:v>
                </c:pt>
                <c:pt idx="455">
                  <c:v>4.5292031231767443E-4</c:v>
                </c:pt>
                <c:pt idx="456">
                  <c:v>4.6145522242276851E-4</c:v>
                </c:pt>
                <c:pt idx="457">
                  <c:v>4.6010692654261764E-4</c:v>
                </c:pt>
                <c:pt idx="458">
                  <c:v>4.5874820343653003E-4</c:v>
                </c:pt>
                <c:pt idx="459">
                  <c:v>4.5738438001947593E-4</c:v>
                </c:pt>
                <c:pt idx="460">
                  <c:v>4.5115860484602809E-4</c:v>
                </c:pt>
                <c:pt idx="461">
                  <c:v>4.4981375792547496E-4</c:v>
                </c:pt>
                <c:pt idx="462">
                  <c:v>4.4810096089222299E-4</c:v>
                </c:pt>
                <c:pt idx="463">
                  <c:v>4.4678812457522106E-4</c:v>
                </c:pt>
                <c:pt idx="464">
                  <c:v>4.5030577808770865E-4</c:v>
                </c:pt>
                <c:pt idx="465">
                  <c:v>4.4903054839047729E-4</c:v>
                </c:pt>
                <c:pt idx="466">
                  <c:v>4.4778294086142537E-4</c:v>
                </c:pt>
                <c:pt idx="467">
                  <c:v>4.4656295550095723E-4</c:v>
                </c:pt>
                <c:pt idx="468">
                  <c:v>4.4537059230896359E-4</c:v>
                </c:pt>
                <c:pt idx="469">
                  <c:v>4.4420585128482148E-4</c:v>
                </c:pt>
                <c:pt idx="470">
                  <c:v>4.430687324291698E-4</c:v>
                </c:pt>
                <c:pt idx="471">
                  <c:v>4.4195923574191201E-4</c:v>
                </c:pt>
                <c:pt idx="472">
                  <c:v>4.4087736122243803E-4</c:v>
                </c:pt>
                <c:pt idx="473">
                  <c:v>4.3982310887139963E-4</c:v>
                </c:pt>
                <c:pt idx="474">
                  <c:v>4.3879647868893509E-4</c:v>
                </c:pt>
                <c:pt idx="475">
                  <c:v>4.3779747067466918E-4</c:v>
                </c:pt>
                <c:pt idx="476">
                  <c:v>4.368260848288227E-4</c:v>
                </c:pt>
                <c:pt idx="477">
                  <c:v>4.3588232115065919E-4</c:v>
                </c:pt>
                <c:pt idx="478">
                  <c:v>4.3496617964092611E-4</c:v>
                </c:pt>
                <c:pt idx="479">
                  <c:v>4.3407766029985743E-4</c:v>
                </c:pt>
                <c:pt idx="480">
                  <c:v>4.3321676312717364E-4</c:v>
                </c:pt>
                <c:pt idx="481">
                  <c:v>4.3238348812208165E-4</c:v>
                </c:pt>
                <c:pt idx="482">
                  <c:v>4.2693853527234492E-4</c:v>
                </c:pt>
                <c:pt idx="483">
                  <c:v>4.2616700989299959E-4</c:v>
                </c:pt>
                <c:pt idx="484">
                  <c:v>4.2542280644073494E-4</c:v>
                </c:pt>
                <c:pt idx="485">
                  <c:v>4.2470592491618021E-4</c:v>
                </c:pt>
                <c:pt idx="486">
                  <c:v>4.4247205418635686E-4</c:v>
                </c:pt>
                <c:pt idx="487">
                  <c:v>4.279639036272517E-4</c:v>
                </c:pt>
                <c:pt idx="488">
                  <c:v>4.2732398380032383E-4</c:v>
                </c:pt>
                <c:pt idx="489">
                  <c:v>4.2671168614190493E-4</c:v>
                </c:pt>
                <c:pt idx="490">
                  <c:v>4.2612701065124182E-4</c:v>
                </c:pt>
                <c:pt idx="491">
                  <c:v>4.2556995732950938E-4</c:v>
                </c:pt>
                <c:pt idx="492">
                  <c:v>4.2504052617581538E-4</c:v>
                </c:pt>
                <c:pt idx="493">
                  <c:v>4.2453871719030798E-4</c:v>
                </c:pt>
                <c:pt idx="494">
                  <c:v>4.2406453037306565E-4</c:v>
                </c:pt>
                <c:pt idx="495">
                  <c:v>4.1446126937149877E-4</c:v>
                </c:pt>
                <c:pt idx="496">
                  <c:v>4.1404757409495426E-4</c:v>
                </c:pt>
                <c:pt idx="497">
                  <c:v>4.1366090050479719E-4</c:v>
                </c:pt>
                <c:pt idx="498">
                  <c:v>4.1330124860129995E-4</c:v>
                </c:pt>
                <c:pt idx="499">
                  <c:v>4.1296861838409799E-4</c:v>
                </c:pt>
                <c:pt idx="500">
                  <c:v>4.1266300985329978E-4</c:v>
                </c:pt>
                <c:pt idx="501">
                  <c:v>4.1238442300837688E-4</c:v>
                </c:pt>
                <c:pt idx="502">
                  <c:v>4.1213285785016157E-4</c:v>
                </c:pt>
                <c:pt idx="503">
                  <c:v>4.1190831437818343E-4</c:v>
                </c:pt>
                <c:pt idx="504">
                  <c:v>4.0714510693367164E-4</c:v>
                </c:pt>
                <c:pt idx="505">
                  <c:v>4.0697305670517163E-4</c:v>
                </c:pt>
                <c:pt idx="506">
                  <c:v>4.0682434760062978E-4</c:v>
                </c:pt>
                <c:pt idx="507">
                  <c:v>4.0669700776610105E-4</c:v>
                </c:pt>
                <c:pt idx="508">
                  <c:v>4.2028153957345926E-4</c:v>
                </c:pt>
                <c:pt idx="509">
                  <c:v>4.2019020939059061E-4</c:v>
                </c:pt>
                <c:pt idx="510">
                  <c:v>4.2011438855723497E-4</c:v>
                </c:pt>
                <c:pt idx="511">
                  <c:v>4.2005210521892062E-4</c:v>
                </c:pt>
                <c:pt idx="512">
                  <c:v>4.1543823198944254E-4</c:v>
                </c:pt>
                <c:pt idx="513">
                  <c:v>4.1539730234891258E-4</c:v>
                </c:pt>
                <c:pt idx="514">
                  <c:v>4.1536397609396686E-4</c:v>
                </c:pt>
                <c:pt idx="515">
                  <c:v>4.1533628137071826E-4</c:v>
                </c:pt>
                <c:pt idx="516">
                  <c:v>4.1531224632449616E-4</c:v>
                </c:pt>
                <c:pt idx="517">
                  <c:v>4.198525974083852E-4</c:v>
                </c:pt>
                <c:pt idx="518">
                  <c:v>4.1983216511930763E-4</c:v>
                </c:pt>
                <c:pt idx="519">
                  <c:v>4.1981343920066661E-4</c:v>
                </c:pt>
                <c:pt idx="520">
                  <c:v>4.1979641965255799E-4</c:v>
                </c:pt>
                <c:pt idx="521">
                  <c:v>4.1978110647506887E-4</c:v>
                </c:pt>
                <c:pt idx="522">
                  <c:v>4.1976749966827765E-4</c:v>
                </c:pt>
                <c:pt idx="523">
                  <c:v>4.1975559923181007E-4</c:v>
                </c:pt>
                <c:pt idx="524">
                  <c:v>4.1974540516594904E-4</c:v>
                </c:pt>
                <c:pt idx="525">
                  <c:v>4.1973691747052477E-4</c:v>
                </c:pt>
                <c:pt idx="526">
                  <c:v>4.1973013614580269E-4</c:v>
                </c:pt>
                <c:pt idx="527">
                  <c:v>4.1972506119137355E-4</c:v>
                </c:pt>
                <c:pt idx="528">
                  <c:v>4.1972169260770731E-4</c:v>
                </c:pt>
                <c:pt idx="529">
                  <c:v>4.1972003039437723E-4</c:v>
                </c:pt>
                <c:pt idx="530">
                  <c:v>4.197200745516138E-4</c:v>
                </c:pt>
                <c:pt idx="531">
                  <c:v>4.197218250794168E-4</c:v>
                </c:pt>
                <c:pt idx="532">
                  <c:v>4.1972528197777731E-4</c:v>
                </c:pt>
                <c:pt idx="533">
                  <c:v>4.1973044524645558E-4</c:v>
                </c:pt>
                <c:pt idx="534">
                  <c:v>4.1517414879293412E-4</c:v>
                </c:pt>
                <c:pt idx="535">
                  <c:v>4.1518251102696689E-4</c:v>
                </c:pt>
                <c:pt idx="536">
                  <c:v>4.1519256108355743E-4</c:v>
                </c:pt>
                <c:pt idx="537">
                  <c:v>4.1520429896287688E-4</c:v>
                </c:pt>
                <c:pt idx="538">
                  <c:v>4.1978185714893244E-4</c:v>
                </c:pt>
                <c:pt idx="539">
                  <c:v>4.1979725864087642E-4</c:v>
                </c:pt>
                <c:pt idx="540">
                  <c:v>4.1981436650343564E-4</c:v>
                </c:pt>
                <c:pt idx="541">
                  <c:v>4.1983318073674441E-4</c:v>
                </c:pt>
                <c:pt idx="542">
                  <c:v>4.198537013400406E-4</c:v>
                </c:pt>
                <c:pt idx="543">
                  <c:v>4.19875928314329E-4</c:v>
                </c:pt>
                <c:pt idx="544">
                  <c:v>4.1989986165882984E-4</c:v>
                </c:pt>
                <c:pt idx="545">
                  <c:v>4.1992550137430847E-4</c:v>
                </c:pt>
                <c:pt idx="546">
                  <c:v>4.1995284746018977E-4</c:v>
                </c:pt>
                <c:pt idx="547">
                  <c:v>4.1084717960708804E-4</c:v>
                </c:pt>
                <c:pt idx="548">
                  <c:v>4.1087703129583726E-4</c:v>
                </c:pt>
                <c:pt idx="549">
                  <c:v>4.1090855226002648E-4</c:v>
                </c:pt>
                <c:pt idx="550">
                  <c:v>4.1094174249971981E-4</c:v>
                </c:pt>
                <c:pt idx="551">
                  <c:v>4.1097660201497299E-4</c:v>
                </c:pt>
                <c:pt idx="552">
                  <c:v>4.1101313080561146E-4</c:v>
                </c:pt>
                <c:pt idx="553">
                  <c:v>4.1105132887211807E-4</c:v>
                </c:pt>
                <c:pt idx="554">
                  <c:v>4.1109119621385775E-4</c:v>
                </c:pt>
                <c:pt idx="555">
                  <c:v>4.1113273283129666E-4</c:v>
                </c:pt>
                <c:pt idx="556">
                  <c:v>4.066039491828847E-4</c:v>
                </c:pt>
                <c:pt idx="557">
                  <c:v>4.0664800683811207E-4</c:v>
                </c:pt>
                <c:pt idx="558">
                  <c:v>4.0669320219417066E-4</c:v>
                </c:pt>
                <c:pt idx="559">
                  <c:v>4.0673920877942299E-4</c:v>
                </c:pt>
                <c:pt idx="560">
                  <c:v>4.2050806007156864E-4</c:v>
                </c:pt>
                <c:pt idx="561">
                  <c:v>4.2055605022696201E-4</c:v>
                </c:pt>
                <c:pt idx="562">
                  <c:v>4.2060378792251155E-4</c:v>
                </c:pt>
                <c:pt idx="563">
                  <c:v>4.2065094668620703E-4</c:v>
                </c:pt>
                <c:pt idx="564">
                  <c:v>4.1612141154865511E-4</c:v>
                </c:pt>
                <c:pt idx="565">
                  <c:v>4.1616610256956627E-4</c:v>
                </c:pt>
                <c:pt idx="566">
                  <c:v>4.1620926333499418E-4</c:v>
                </c:pt>
                <c:pt idx="567">
                  <c:v>4.162505673732074E-4</c:v>
                </c:pt>
                <c:pt idx="568">
                  <c:v>4.1628968821207557E-4</c:v>
                </c:pt>
                <c:pt idx="569">
                  <c:v>4.2090349354961289E-4</c:v>
                </c:pt>
                <c:pt idx="570">
                  <c:v>4.209377728391337E-4</c:v>
                </c:pt>
                <c:pt idx="571">
                  <c:v>4.2096946772717539E-4</c:v>
                </c:pt>
                <c:pt idx="572">
                  <c:v>4.2099857821464967E-4</c:v>
                </c:pt>
                <c:pt idx="573">
                  <c:v>4.2102510430067248E-4</c:v>
                </c:pt>
                <c:pt idx="574">
                  <c:v>4.2104904598633719E-4</c:v>
                </c:pt>
                <c:pt idx="575">
                  <c:v>4.2107040327027579E-4</c:v>
                </c:pt>
                <c:pt idx="576">
                  <c:v>4.2108917615331983E-4</c:v>
                </c:pt>
                <c:pt idx="577">
                  <c:v>4.2110536463539275E-4</c:v>
                </c:pt>
                <c:pt idx="578">
                  <c:v>4.2111896871595435E-4</c:v>
                </c:pt>
                <c:pt idx="579">
                  <c:v>4.2112998839599782E-4</c:v>
                </c:pt>
                <c:pt idx="580">
                  <c:v>4.2113842367494278E-4</c:v>
                </c:pt>
                <c:pt idx="581">
                  <c:v>4.2114427455241068E-4</c:v>
                </c:pt>
                <c:pt idx="582">
                  <c:v>4.2114754102933475E-4</c:v>
                </c:pt>
                <c:pt idx="583">
                  <c:v>4.2114822310463057E-4</c:v>
                </c:pt>
                <c:pt idx="584">
                  <c:v>4.2114632077941313E-4</c:v>
                </c:pt>
                <c:pt idx="585">
                  <c:v>4.2114183405300183E-4</c:v>
                </c:pt>
                <c:pt idx="586">
                  <c:v>4.1655819331375517E-4</c:v>
                </c:pt>
                <c:pt idx="587">
                  <c:v>4.1654882532979039E-4</c:v>
                </c:pt>
                <c:pt idx="588">
                  <c:v>4.1653690103644783E-4</c:v>
                </c:pt>
                <c:pt idx="589">
                  <c:v>4.1652242043319201E-4</c:v>
                </c:pt>
                <c:pt idx="590">
                  <c:v>4.1650538352035584E-4</c:v>
                </c:pt>
                <c:pt idx="591">
                  <c:v>4.2106064127143966E-4</c:v>
                </c:pt>
                <c:pt idx="592">
                  <c:v>4.2103806373768266E-4</c:v>
                </c:pt>
                <c:pt idx="593">
                  <c:v>4.2101290180255837E-4</c:v>
                </c:pt>
                <c:pt idx="594">
                  <c:v>4.2098515546631557E-4</c:v>
                </c:pt>
                <c:pt idx="595">
                  <c:v>4.2095482472940502E-4</c:v>
                </c:pt>
                <c:pt idx="596">
                  <c:v>4.2092190959114756E-4</c:v>
                </c:pt>
                <c:pt idx="597">
                  <c:v>4.2088641005195396E-4</c:v>
                </c:pt>
                <c:pt idx="598">
                  <c:v>4.2084832611177087E-4</c:v>
                </c:pt>
                <c:pt idx="599">
                  <c:v>4.1166628600642274E-4</c:v>
                </c:pt>
                <c:pt idx="600">
                  <c:v>4.1162433471529446E-4</c:v>
                </c:pt>
                <c:pt idx="601">
                  <c:v>4.1157985520549461E-4</c:v>
                </c:pt>
                <c:pt idx="602">
                  <c:v>4.1153284747735163E-4</c:v>
                </c:pt>
                <c:pt idx="603">
                  <c:v>4.114833115305091E-4</c:v>
                </c:pt>
                <c:pt idx="604">
                  <c:v>4.1143124736547909E-4</c:v>
                </c:pt>
                <c:pt idx="605">
                  <c:v>4.1137665498164469E-4</c:v>
                </c:pt>
                <c:pt idx="606">
                  <c:v>4.1131953437992355E-4</c:v>
                </c:pt>
                <c:pt idx="607">
                  <c:v>4.1125988555966057E-4</c:v>
                </c:pt>
                <c:pt idx="608">
                  <c:v>4.0663371483607385E-4</c:v>
                </c:pt>
                <c:pt idx="609">
                  <c:v>4.0657019246228377E-4</c:v>
                </c:pt>
                <c:pt idx="610">
                  <c:v>4.0650489832711449E-4</c:v>
                </c:pt>
                <c:pt idx="611">
                  <c:v>4.064382959368762E-4</c:v>
                </c:pt>
                <c:pt idx="612">
                  <c:v>4.20053445203389E-4</c:v>
                </c:pt>
                <c:pt idx="613">
                  <c:v>4.1998362508262712E-4</c:v>
                </c:pt>
                <c:pt idx="614">
                  <c:v>4.1991400159504172E-4</c:v>
                </c:pt>
                <c:pt idx="615">
                  <c:v>4.1984503824577814E-4</c:v>
                </c:pt>
                <c:pt idx="616">
                  <c:v>4.1977719854077445E-4</c:v>
                </c:pt>
                <c:pt idx="617">
                  <c:v>4.1515308904548412E-4</c:v>
                </c:pt>
                <c:pt idx="618">
                  <c:v>4.1508935499235631E-4</c:v>
                </c:pt>
                <c:pt idx="619">
                  <c:v>4.1502809697676783E-4</c:v>
                </c:pt>
                <c:pt idx="620">
                  <c:v>4.1496977850365234E-4</c:v>
                </c:pt>
                <c:pt idx="621">
                  <c:v>4.1947102872637277E-4</c:v>
                </c:pt>
                <c:pt idx="622">
                  <c:v>4.1941921834061683E-4</c:v>
                </c:pt>
                <c:pt idx="623">
                  <c:v>4.1937091534240047E-4</c:v>
                </c:pt>
                <c:pt idx="624">
                  <c:v>4.1932611973178805E-4</c:v>
                </c:pt>
                <c:pt idx="625">
                  <c:v>4.1928483150858493E-4</c:v>
                </c:pt>
                <c:pt idx="626">
                  <c:v>4.1924705067278181E-4</c:v>
                </c:pt>
                <c:pt idx="627">
                  <c:v>4.1921277722455422E-4</c:v>
                </c:pt>
                <c:pt idx="628">
                  <c:v>4.1918201116359694E-4</c:v>
                </c:pt>
                <c:pt idx="629">
                  <c:v>4.1915475248978975E-4</c:v>
                </c:pt>
                <c:pt idx="630">
                  <c:v>4.1913100120386345E-4</c:v>
                </c:pt>
                <c:pt idx="631">
                  <c:v>4.1911075730540203E-4</c:v>
                </c:pt>
                <c:pt idx="632">
                  <c:v>4.1909402079417461E-4</c:v>
                </c:pt>
                <c:pt idx="633">
                  <c:v>4.1908079167057925E-4</c:v>
                </c:pt>
                <c:pt idx="634">
                  <c:v>4.190710699343113E-4</c:v>
                </c:pt>
                <c:pt idx="635">
                  <c:v>4.1906485558547299E-4</c:v>
                </c:pt>
                <c:pt idx="636">
                  <c:v>4.1906214862412971E-4</c:v>
                </c:pt>
                <c:pt idx="637">
                  <c:v>4.1906294904986609E-4</c:v>
                </c:pt>
                <c:pt idx="638">
                  <c:v>4.1451121871620948E-4</c:v>
                </c:pt>
                <c:pt idx="639">
                  <c:v>4.1451870116460354E-4</c:v>
                </c:pt>
                <c:pt idx="640">
                  <c:v>4.1452965287692891E-4</c:v>
                </c:pt>
                <c:pt idx="641">
                  <c:v>4.1454407385262766E-4</c:v>
                </c:pt>
                <c:pt idx="642">
                  <c:v>4.145619640922156E-4</c:v>
                </c:pt>
                <c:pt idx="643">
                  <c:v>4.1914140674255261E-4</c:v>
                </c:pt>
                <c:pt idx="644">
                  <c:v>4.1916675888087064E-4</c:v>
                </c:pt>
                <c:pt idx="645">
                  <c:v>4.1919561840627739E-4</c:v>
                </c:pt>
                <c:pt idx="646">
                  <c:v>4.1922798531891298E-4</c:v>
                </c:pt>
                <c:pt idx="647">
                  <c:v>4.1926385961954667E-4</c:v>
                </c:pt>
                <c:pt idx="648">
                  <c:v>4.1930324130713513E-4</c:v>
                </c:pt>
                <c:pt idx="649">
                  <c:v>4.1934613038259569E-4</c:v>
                </c:pt>
                <c:pt idx="650">
                  <c:v>4.1939252684525507E-4</c:v>
                </c:pt>
                <c:pt idx="651">
                  <c:v>4.1487909311284176E-4</c:v>
                </c:pt>
                <c:pt idx="652">
                  <c:v>4.1493167598888363E-4</c:v>
                </c:pt>
                <c:pt idx="653">
                  <c:v>4.1498772812877577E-4</c:v>
                </c:pt>
                <c:pt idx="654">
                  <c:v>4.150472495321567E-4</c:v>
                </c:pt>
                <c:pt idx="655">
                  <c:v>4.1055264229972822E-4</c:v>
                </c:pt>
                <c:pt idx="656">
                  <c:v>4.151864776112818E-4</c:v>
                </c:pt>
                <c:pt idx="657">
                  <c:v>4.1525690241456394E-4</c:v>
                </c:pt>
                <c:pt idx="658">
                  <c:v>4.1533079648186261E-4</c:v>
                </c:pt>
                <c:pt idx="659">
                  <c:v>4.1540815981285265E-4</c:v>
                </c:pt>
                <c:pt idx="660">
                  <c:v>4.1091677097893807E-4</c:v>
                </c:pt>
                <c:pt idx="661">
                  <c:v>4.1099787837653917E-4</c:v>
                </c:pt>
                <c:pt idx="662">
                  <c:v>4.1107630429813819E-4</c:v>
                </c:pt>
                <c:pt idx="663">
                  <c:v>4.1114776991142243E-4</c:v>
                </c:pt>
                <c:pt idx="664">
                  <c:v>4.2949023684905863E-4</c:v>
                </c:pt>
                <c:pt idx="665">
                  <c:v>4.2952752474054336E-4</c:v>
                </c:pt>
                <c:pt idx="666">
                  <c:v>4.2954272327848462E-4</c:v>
                </c:pt>
                <c:pt idx="667">
                  <c:v>4.2953155363103639E-4</c:v>
                </c:pt>
                <c:pt idx="668">
                  <c:v>4.1577912467631812E-4</c:v>
                </c:pt>
                <c:pt idx="669">
                  <c:v>4.1574727988808195E-4</c:v>
                </c:pt>
                <c:pt idx="670">
                  <c:v>4.1564561803754461E-4</c:v>
                </c:pt>
                <c:pt idx="671">
                  <c:v>4.1550219208969354E-4</c:v>
                </c:pt>
                <c:pt idx="672">
                  <c:v>4.1531272321254582E-4</c:v>
                </c:pt>
                <c:pt idx="673">
                  <c:v>4.1948521242305336E-4</c:v>
                </c:pt>
                <c:pt idx="674">
                  <c:v>4.1916388497827806E-4</c:v>
                </c:pt>
                <c:pt idx="675">
                  <c:v>4.1878982884951585E-4</c:v>
                </c:pt>
                <c:pt idx="676">
                  <c:v>4.1836304403796733E-4</c:v>
                </c:pt>
                <c:pt idx="677">
                  <c:v>4.178835305431504E-4</c:v>
                </c:pt>
                <c:pt idx="678">
                  <c:v>4.1735128836467659E-4</c:v>
                </c:pt>
                <c:pt idx="679">
                  <c:v>4.1676631750313826E-4</c:v>
                </c:pt>
                <c:pt idx="680">
                  <c:v>4.161286179585554E-4</c:v>
                </c:pt>
                <c:pt idx="681">
                  <c:v>4.1543818973037558E-4</c:v>
                </c:pt>
                <c:pt idx="682">
                  <c:v>4.146950328192493E-4</c:v>
                </c:pt>
                <c:pt idx="683">
                  <c:v>4.1389914722436694E-4</c:v>
                </c:pt>
                <c:pt idx="684">
                  <c:v>4.1305053294656593E-4</c:v>
                </c:pt>
                <c:pt idx="685">
                  <c:v>4.1214918998566755E-4</c:v>
                </c:pt>
                <c:pt idx="686">
                  <c:v>4.1119511834136437E-4</c:v>
                </c:pt>
                <c:pt idx="687">
                  <c:v>4.101883180136648E-4</c:v>
                </c:pt>
                <c:pt idx="688">
                  <c:v>4.0912878900267052E-4</c:v>
                </c:pt>
                <c:pt idx="689">
                  <c:v>4.0801653130835509E-4</c:v>
                </c:pt>
                <c:pt idx="690">
                  <c:v>4.0252140003939845E-4</c:v>
                </c:pt>
                <c:pt idx="691">
                  <c:v>4.0132064640834562E-4</c:v>
                </c:pt>
                <c:pt idx="692">
                  <c:v>4.0006773723118408E-4</c:v>
                </c:pt>
                <c:pt idx="693">
                  <c:v>3.9876267250919583E-4</c:v>
                </c:pt>
                <c:pt idx="694">
                  <c:v>4.0166431258881977E-4</c:v>
                </c:pt>
                <c:pt idx="695">
                  <c:v>4.0023568279483102E-4</c:v>
                </c:pt>
                <c:pt idx="696">
                  <c:v>3.9875432431774163E-4</c:v>
                </c:pt>
                <c:pt idx="697">
                  <c:v>3.9722023715738829E-4</c:v>
                </c:pt>
                <c:pt idx="698">
                  <c:v>3.9563342131370143E-4</c:v>
                </c:pt>
                <c:pt idx="699">
                  <c:v>3.9399387678714986E-4</c:v>
                </c:pt>
                <c:pt idx="700">
                  <c:v>3.9230160357696479E-4</c:v>
                </c:pt>
                <c:pt idx="701">
                  <c:v>3.905566016835814E-4</c:v>
                </c:pt>
                <c:pt idx="702">
                  <c:v>3.8875887110686357E-4</c:v>
                </c:pt>
                <c:pt idx="703">
                  <c:v>3.8284347029043784E-4</c:v>
                </c:pt>
                <c:pt idx="704">
                  <c:v>3.8096469456864649E-4</c:v>
                </c:pt>
                <c:pt idx="705">
                  <c:v>3.7903376330197515E-4</c:v>
                </c:pt>
                <c:pt idx="706">
                  <c:v>3.7705067648950485E-4</c:v>
                </c:pt>
                <c:pt idx="707">
                  <c:v>3.7075657378453028E-4</c:v>
                </c:pt>
                <c:pt idx="708">
                  <c:v>3.6868842986222187E-4</c:v>
                </c:pt>
                <c:pt idx="709">
                  <c:v>3.6656870353243777E-4</c:v>
                </c:pt>
                <c:pt idx="710">
                  <c:v>3.6827941490521875E-4</c:v>
                </c:pt>
                <c:pt idx="711">
                  <c:v>3.6217450364976072E-4</c:v>
                </c:pt>
                <c:pt idx="712">
                  <c:v>3.5990149347944441E-4</c:v>
                </c:pt>
                <c:pt idx="713">
                  <c:v>3.5758885863190732E-4</c:v>
                </c:pt>
                <c:pt idx="714">
                  <c:v>3.5525053511342979E-4</c:v>
                </c:pt>
                <c:pt idx="715">
                  <c:v>3.5290046570475271E-4</c:v>
                </c:pt>
                <c:pt idx="716">
                  <c:v>3.5800364146207163E-4</c:v>
                </c:pt>
                <c:pt idx="717">
                  <c:v>3.5563001079836612E-4</c:v>
                </c:pt>
                <c:pt idx="718">
                  <c:v>3.5328929996451363E-4</c:v>
                </c:pt>
                <c:pt idx="719">
                  <c:v>3.509954517419166E-4</c:v>
                </c:pt>
                <c:pt idx="720">
                  <c:v>3.4511330996443609E-4</c:v>
                </c:pt>
                <c:pt idx="721">
                  <c:v>3.4297018813079383E-4</c:v>
                </c:pt>
                <c:pt idx="722">
                  <c:v>3.4091433856380188E-4</c:v>
                </c:pt>
                <c:pt idx="723">
                  <c:v>3.3842177873494333E-4</c:v>
                </c:pt>
                <c:pt idx="724">
                  <c:v>3.4714438963237538E-4</c:v>
                </c:pt>
                <c:pt idx="725">
                  <c:v>3.3852686556961595E-4</c:v>
                </c:pt>
                <c:pt idx="726">
                  <c:v>3.3234174893916497E-4</c:v>
                </c:pt>
                <c:pt idx="727">
                  <c:v>3.2930097299498811E-4</c:v>
                </c:pt>
                <c:pt idx="728">
                  <c:v>3.2856570299375236E-4</c:v>
                </c:pt>
                <c:pt idx="729">
                  <c:v>3.2675297452878648E-4</c:v>
                </c:pt>
                <c:pt idx="730">
                  <c:v>3.4216466428943585E-4</c:v>
                </c:pt>
                <c:pt idx="731">
                  <c:v>3.4209995742981664E-4</c:v>
                </c:pt>
                <c:pt idx="732">
                  <c:v>3.4336167119324289E-4</c:v>
                </c:pt>
                <c:pt idx="733">
                  <c:v>3.5597081457929258E-4</c:v>
                </c:pt>
                <c:pt idx="734">
                  <c:v>3.7576039975134422E-4</c:v>
                </c:pt>
                <c:pt idx="735">
                  <c:v>3.949721118789898E-4</c:v>
                </c:pt>
                <c:pt idx="736">
                  <c:v>4.0613208559355765E-4</c:v>
                </c:pt>
                <c:pt idx="737">
                  <c:v>4.3494956374306071E-4</c:v>
                </c:pt>
                <c:pt idx="738">
                  <c:v>4.3873619154060072E-4</c:v>
                </c:pt>
                <c:pt idx="739">
                  <c:v>4.5873362206038374E-4</c:v>
                </c:pt>
                <c:pt idx="740">
                  <c:v>4.5721710972183377E-4</c:v>
                </c:pt>
                <c:pt idx="741">
                  <c:v>4.5804291655501399E-4</c:v>
                </c:pt>
                <c:pt idx="742">
                  <c:v>4.6625374447864342E-4</c:v>
                </c:pt>
                <c:pt idx="743">
                  <c:v>4.6721807270125174E-4</c:v>
                </c:pt>
                <c:pt idx="744">
                  <c:v>4.5583280272762849E-4</c:v>
                </c:pt>
                <c:pt idx="745">
                  <c:v>4.5693992152431612E-4</c:v>
                </c:pt>
                <c:pt idx="746">
                  <c:v>4.4158453554650728E-4</c:v>
                </c:pt>
                <c:pt idx="747">
                  <c:v>4.4942214126716577E-4</c:v>
                </c:pt>
                <c:pt idx="748">
                  <c:v>4.361568394455377E-4</c:v>
                </c:pt>
                <c:pt idx="749">
                  <c:v>4.3303869650994673E-4</c:v>
                </c:pt>
                <c:pt idx="750">
                  <c:v>4.2474395948974964E-4</c:v>
                </c:pt>
                <c:pt idx="751">
                  <c:v>4.1744413306745256E-4</c:v>
                </c:pt>
                <c:pt idx="752">
                  <c:v>4.0967925195880536E-4</c:v>
                </c:pt>
                <c:pt idx="753">
                  <c:v>3.9859080671342104E-4</c:v>
                </c:pt>
                <c:pt idx="754">
                  <c:v>4.0467063711799214E-4</c:v>
                </c:pt>
                <c:pt idx="755">
                  <c:v>3.8515890467767129E-4</c:v>
                </c:pt>
                <c:pt idx="756">
                  <c:v>3.7911442740610514E-4</c:v>
                </c:pt>
                <c:pt idx="757">
                  <c:v>3.6872344498314338E-4</c:v>
                </c:pt>
                <c:pt idx="758">
                  <c:v>3.7128812888659557E-4</c:v>
                </c:pt>
                <c:pt idx="759">
                  <c:v>3.6216739847867621E-4</c:v>
                </c:pt>
                <c:pt idx="760">
                  <c:v>3.6020536881197223E-4</c:v>
                </c:pt>
                <c:pt idx="761">
                  <c:v>3.5480381327645524E-4</c:v>
                </c:pt>
                <c:pt idx="762">
                  <c:v>3.5028611173798649E-4</c:v>
                </c:pt>
                <c:pt idx="763">
                  <c:v>3.4540600170278145E-4</c:v>
                </c:pt>
                <c:pt idx="764">
                  <c:v>3.375669586994218E-4</c:v>
                </c:pt>
                <c:pt idx="765">
                  <c:v>3.4444852086104989E-4</c:v>
                </c:pt>
                <c:pt idx="766">
                  <c:v>3.3314619462741616E-4</c:v>
                </c:pt>
                <c:pt idx="767">
                  <c:v>3.2260130966818015E-4</c:v>
                </c:pt>
                <c:pt idx="768">
                  <c:v>3.1910256330288213E-4</c:v>
                </c:pt>
                <c:pt idx="769">
                  <c:v>3.1933962442718945E-4</c:v>
                </c:pt>
                <c:pt idx="770">
                  <c:v>3.2022868439240384E-4</c:v>
                </c:pt>
                <c:pt idx="771">
                  <c:v>3.1427706662891355E-4</c:v>
                </c:pt>
                <c:pt idx="772">
                  <c:v>3.2217080394600773E-4</c:v>
                </c:pt>
                <c:pt idx="773">
                  <c:v>3.1311222611453735E-4</c:v>
                </c:pt>
                <c:pt idx="774">
                  <c:v>3.1799982006088694E-4</c:v>
                </c:pt>
                <c:pt idx="775">
                  <c:v>3.095437862390963E-4</c:v>
                </c:pt>
                <c:pt idx="776">
                  <c:v>3.0474761848971437E-4</c:v>
                </c:pt>
                <c:pt idx="777">
                  <c:v>3.0698688946752793E-4</c:v>
                </c:pt>
                <c:pt idx="778">
                  <c:v>3.0605126232917173E-4</c:v>
                </c:pt>
                <c:pt idx="779">
                  <c:v>2.9881398829170524E-4</c:v>
                </c:pt>
                <c:pt idx="780">
                  <c:v>3.0503576457323637E-4</c:v>
                </c:pt>
                <c:pt idx="781">
                  <c:v>2.9495523335079838E-4</c:v>
                </c:pt>
                <c:pt idx="782">
                  <c:v>3.0491631450084693E-4</c:v>
                </c:pt>
                <c:pt idx="783">
                  <c:v>3.0169973231437358E-4</c:v>
                </c:pt>
                <c:pt idx="784">
                  <c:v>3.0507637690167544E-4</c:v>
                </c:pt>
                <c:pt idx="785">
                  <c:v>3.0509236459837696E-4</c:v>
                </c:pt>
                <c:pt idx="786">
                  <c:v>3.0505520127231694E-4</c:v>
                </c:pt>
                <c:pt idx="787">
                  <c:v>3.049574542585795E-4</c:v>
                </c:pt>
                <c:pt idx="788">
                  <c:v>3.0812690681341969E-4</c:v>
                </c:pt>
                <c:pt idx="789">
                  <c:v>3.1124123293292921E-4</c:v>
                </c:pt>
                <c:pt idx="790">
                  <c:v>3.0436146030762216E-4</c:v>
                </c:pt>
                <c:pt idx="791">
                  <c:v>2.9742757198751867E-4</c:v>
                </c:pt>
                <c:pt idx="792">
                  <c:v>2.9709987674401083E-4</c:v>
                </c:pt>
                <c:pt idx="793">
                  <c:v>3.0324994382705E-4</c:v>
                </c:pt>
                <c:pt idx="794">
                  <c:v>2.9954733050716428E-4</c:v>
                </c:pt>
                <c:pt idx="795">
                  <c:v>3.0233408361194861E-4</c:v>
                </c:pt>
                <c:pt idx="796">
                  <c:v>2.9851765597959713E-4</c:v>
                </c:pt>
                <c:pt idx="797">
                  <c:v>3.0113075629384156E-4</c:v>
                </c:pt>
                <c:pt idx="798">
                  <c:v>3.0698978515986684E-4</c:v>
                </c:pt>
                <c:pt idx="799">
                  <c:v>2.9646498746355615E-4</c:v>
                </c:pt>
                <c:pt idx="800">
                  <c:v>3.0542928409171041E-4</c:v>
                </c:pt>
                <c:pt idx="801">
                  <c:v>2.9807271195172905E-4</c:v>
                </c:pt>
                <c:pt idx="802">
                  <c:v>2.9400090315124053E-4</c:v>
                </c:pt>
                <c:pt idx="803">
                  <c:v>2.9301405218955728E-4</c:v>
                </c:pt>
                <c:pt idx="804">
                  <c:v>2.9196827346109918E-4</c:v>
                </c:pt>
                <c:pt idx="805">
                  <c:v>2.9418073036030127E-4</c:v>
                </c:pt>
                <c:pt idx="806">
                  <c:v>2.8998743703984281E-4</c:v>
                </c:pt>
                <c:pt idx="807">
                  <c:v>2.9835611284736432E-4</c:v>
                </c:pt>
                <c:pt idx="808">
                  <c:v>2.9077015212033812E-4</c:v>
                </c:pt>
                <c:pt idx="809">
                  <c:v>2.9580961125782535E-4</c:v>
                </c:pt>
                <c:pt idx="810">
                  <c:v>2.8816754321126209E-4</c:v>
                </c:pt>
                <c:pt idx="811">
                  <c:v>2.8362370307812734E-4</c:v>
                </c:pt>
                <c:pt idx="812">
                  <c:v>2.8534780440072976E-4</c:v>
                </c:pt>
                <c:pt idx="813">
                  <c:v>2.8378414333902211E-4</c:v>
                </c:pt>
                <c:pt idx="814">
                  <c:v>2.7622336848919882E-4</c:v>
                </c:pt>
                <c:pt idx="815">
                  <c:v>2.8063353991537084E-4</c:v>
                </c:pt>
                <c:pt idx="816">
                  <c:v>2.7003584252765882E-4</c:v>
                </c:pt>
                <c:pt idx="817">
                  <c:v>2.7754101944750829E-4</c:v>
                </c:pt>
                <c:pt idx="818">
                  <c:v>2.7261881793318616E-4</c:v>
                </c:pt>
                <c:pt idx="819">
                  <c:v>2.7397338875167836E-4</c:v>
                </c:pt>
                <c:pt idx="820">
                  <c:v>2.7201797479820509E-4</c:v>
                </c:pt>
                <c:pt idx="821">
                  <c:v>2.7018862815372975E-4</c:v>
                </c:pt>
                <c:pt idx="822">
                  <c:v>2.6811947948980023E-4</c:v>
                </c:pt>
                <c:pt idx="823">
                  <c:v>2.6332607745574817E-4</c:v>
                </c:pt>
                <c:pt idx="824">
                  <c:v>2.6987910684786567E-4</c:v>
                </c:pt>
                <c:pt idx="825">
                  <c:v>2.6196771725213577E-4</c:v>
                </c:pt>
                <c:pt idx="826">
                  <c:v>2.5430231720048526E-4</c:v>
                </c:pt>
                <c:pt idx="827">
                  <c:v>2.5200440965429297E-4</c:v>
                </c:pt>
                <c:pt idx="828">
                  <c:v>2.5238513327238455E-4</c:v>
                </c:pt>
                <c:pt idx="829">
                  <c:v>2.5302934701644438E-4</c:v>
                </c:pt>
                <c:pt idx="830">
                  <c:v>2.4805357137675849E-4</c:v>
                </c:pt>
                <c:pt idx="831">
                  <c:v>2.537210363551397E-4</c:v>
                </c:pt>
                <c:pt idx="832">
                  <c:v>2.4577355390106756E-4</c:v>
                </c:pt>
                <c:pt idx="833">
                  <c:v>2.4853698337090559E-4</c:v>
                </c:pt>
                <c:pt idx="834">
                  <c:v>2.4058951171205726E-4</c:v>
                </c:pt>
                <c:pt idx="835">
                  <c:v>2.377874060242726E-4</c:v>
                </c:pt>
                <c:pt idx="836">
                  <c:v>2.3518833962138144E-4</c:v>
                </c:pt>
                <c:pt idx="837">
                  <c:v>2.2979234959452381E-4</c:v>
                </c:pt>
                <c:pt idx="838">
                  <c:v>2.2458019631395296E-4</c:v>
                </c:pt>
                <c:pt idx="839">
                  <c:v>2.2161655557994463E-4</c:v>
                </c:pt>
                <c:pt idx="840">
                  <c:v>2.2383986245474858E-4</c:v>
                </c:pt>
                <c:pt idx="841">
                  <c:v>2.1877554557855447E-4</c:v>
                </c:pt>
                <c:pt idx="842">
                  <c:v>2.2301580510893402E-4</c:v>
                </c:pt>
                <c:pt idx="843">
                  <c:v>2.1537481056971153E-4</c:v>
                </c:pt>
                <c:pt idx="844">
                  <c:v>2.1725672697341352E-4</c:v>
                </c:pt>
                <c:pt idx="845">
                  <c:v>2.0986821484572256E-4</c:v>
                </c:pt>
                <c:pt idx="846">
                  <c:v>2.0487567013227319E-4</c:v>
                </c:pt>
                <c:pt idx="847">
                  <c:v>2.0461745588913876E-4</c:v>
                </c:pt>
                <c:pt idx="848">
                  <c:v>2.0196916099604259E-4</c:v>
                </c:pt>
                <c:pt idx="849">
                  <c:v>1.9749045252072161E-4</c:v>
                </c:pt>
                <c:pt idx="850">
                  <c:v>1.9710824854217386E-4</c:v>
                </c:pt>
                <c:pt idx="851">
                  <c:v>1.9071752870668487E-4</c:v>
                </c:pt>
                <c:pt idx="852">
                  <c:v>1.9278795248200441E-4</c:v>
                </c:pt>
                <c:pt idx="853">
                  <c:v>1.8829596365683272E-4</c:v>
                </c:pt>
                <c:pt idx="854">
                  <c:v>1.881539339376198E-4</c:v>
                </c:pt>
                <c:pt idx="855">
                  <c:v>1.8617278773829061E-4</c:v>
                </c:pt>
                <c:pt idx="856">
                  <c:v>1.8819162532324275E-4</c:v>
                </c:pt>
                <c:pt idx="857">
                  <c:v>1.8220121261948682E-4</c:v>
                </c:pt>
                <c:pt idx="858">
                  <c:v>1.7829266455586792E-4</c:v>
                </c:pt>
                <c:pt idx="859">
                  <c:v>1.7848547426877891E-4</c:v>
                </c:pt>
                <c:pt idx="860">
                  <c:v>1.7664123778800281E-4</c:v>
                </c:pt>
                <c:pt idx="861">
                  <c:v>1.7127148295763926E-4</c:v>
                </c:pt>
                <c:pt idx="862">
                  <c:v>1.7145611016227942E-4</c:v>
                </c:pt>
                <c:pt idx="863">
                  <c:v>1.6628814520984803E-4</c:v>
                </c:pt>
                <c:pt idx="864">
                  <c:v>1.7047959950592908E-4</c:v>
                </c:pt>
                <c:pt idx="865">
                  <c:v>1.671481143413276E-4</c:v>
                </c:pt>
                <c:pt idx="866">
                  <c:v>1.6764507668750599E-4</c:v>
                </c:pt>
                <c:pt idx="867">
                  <c:v>1.6626242929548062E-4</c:v>
                </c:pt>
                <c:pt idx="868">
                  <c:v>1.6506639063688488E-4</c:v>
                </c:pt>
                <c:pt idx="869">
                  <c:v>1.6205483415349719E-4</c:v>
                </c:pt>
                <c:pt idx="870">
                  <c:v>1.6274354135383085E-4</c:v>
                </c:pt>
                <c:pt idx="871">
                  <c:v>1.5998523288227135E-4</c:v>
                </c:pt>
                <c:pt idx="872">
                  <c:v>1.5721274613409843E-4</c:v>
                </c:pt>
                <c:pt idx="873">
                  <c:v>1.5797377769880089E-4</c:v>
                </c:pt>
                <c:pt idx="874">
                  <c:v>1.537223911490157E-4</c:v>
                </c:pt>
                <c:pt idx="875">
                  <c:v>1.5814250653462873E-4</c:v>
                </c:pt>
                <c:pt idx="876">
                  <c:v>1.556558637225891E-4</c:v>
                </c:pt>
                <c:pt idx="877">
                  <c:v>1.5670087278431039E-4</c:v>
                </c:pt>
                <c:pt idx="878">
                  <c:v>1.560478339517255E-4</c:v>
                </c:pt>
                <c:pt idx="879">
                  <c:v>1.5551507580127238E-4</c:v>
                </c:pt>
                <c:pt idx="880">
                  <c:v>1.5499604670400033E-4</c:v>
                </c:pt>
                <c:pt idx="881">
                  <c:v>1.5291066062724174E-4</c:v>
                </c:pt>
                <c:pt idx="882">
                  <c:v>1.5757509317757909E-4</c:v>
                </c:pt>
                <c:pt idx="883">
                  <c:v>1.5391099213842276E-4</c:v>
                </c:pt>
                <c:pt idx="884">
                  <c:v>1.5034469839175392E-4</c:v>
                </c:pt>
                <c:pt idx="885">
                  <c:v>1.5015949149490044E-4</c:v>
                </c:pt>
                <c:pt idx="886">
                  <c:v>1.5170932759930129E-4</c:v>
                </c:pt>
                <c:pt idx="887">
                  <c:v>1.5333148070223779E-4</c:v>
                </c:pt>
                <c:pt idx="888">
                  <c:v>1.5167357833158527E-4</c:v>
                </c:pt>
                <c:pt idx="889">
                  <c:v>1.5341674575522829E-4</c:v>
                </c:pt>
                <c:pt idx="890">
                  <c:v>1.535472681137528E-4</c:v>
                </c:pt>
                <c:pt idx="891">
                  <c:v>1.5708634881444249E-4</c:v>
                </c:pt>
                <c:pt idx="892">
                  <c:v>1.5401019696663514E-4</c:v>
                </c:pt>
                <c:pt idx="893">
                  <c:v>1.5267084826094501E-4</c:v>
                </c:pt>
                <c:pt idx="894">
                  <c:v>1.5472896258656214E-4</c:v>
                </c:pt>
                <c:pt idx="895">
                  <c:v>1.5520756151965557E-4</c:v>
                </c:pt>
                <c:pt idx="896">
                  <c:v>1.5400200168030542E-4</c:v>
                </c:pt>
                <c:pt idx="897">
                  <c:v>1.5460689954979547E-4</c:v>
                </c:pt>
                <c:pt idx="898">
                  <c:v>1.5349854098160203E-4</c:v>
                </c:pt>
                <c:pt idx="899">
                  <c:v>1.5756070020707112E-4</c:v>
                </c:pt>
                <c:pt idx="900">
                  <c:v>1.565539407022795E-4</c:v>
                </c:pt>
                <c:pt idx="901">
                  <c:v>1.5890268265030655E-4</c:v>
                </c:pt>
                <c:pt idx="902">
                  <c:v>1.5957417358794529E-4</c:v>
                </c:pt>
                <c:pt idx="903">
                  <c:v>1.6015553917302395E-4</c:v>
                </c:pt>
                <c:pt idx="904">
                  <c:v>1.6076305252190454E-4</c:v>
                </c:pt>
                <c:pt idx="905">
                  <c:v>1.612862566618594E-4</c:v>
                </c:pt>
                <c:pt idx="906">
                  <c:v>1.6531466105965364E-4</c:v>
                </c:pt>
                <c:pt idx="907">
                  <c:v>1.6229483511685702E-4</c:v>
                </c:pt>
                <c:pt idx="908">
                  <c:v>1.5567124083152979E-4</c:v>
                </c:pt>
                <c:pt idx="909">
                  <c:v>1.5962148075225697E-4</c:v>
                </c:pt>
                <c:pt idx="910">
                  <c:v>1.6359685511869006E-4</c:v>
                </c:pt>
                <c:pt idx="911">
                  <c:v>1.6213609211958966E-4</c:v>
                </c:pt>
                <c:pt idx="912">
                  <c:v>1.6425634422064455E-4</c:v>
                </c:pt>
                <c:pt idx="913">
                  <c:v>1.6274833202955903E-4</c:v>
                </c:pt>
                <c:pt idx="914">
                  <c:v>1.6483393620152925E-4</c:v>
                </c:pt>
                <c:pt idx="915">
                  <c:v>1.6509312712014262E-4</c:v>
                </c:pt>
                <c:pt idx="916">
                  <c:v>1.6349999045576447E-4</c:v>
                </c:pt>
                <c:pt idx="917">
                  <c:v>1.6908100183337283E-4</c:v>
                </c:pt>
                <c:pt idx="918">
                  <c:v>1.6564327377530924E-4</c:v>
                </c:pt>
                <c:pt idx="919">
                  <c:v>1.6215735690890967E-4</c:v>
                </c:pt>
                <c:pt idx="920">
                  <c:v>1.6225692991395622E-4</c:v>
                </c:pt>
                <c:pt idx="921">
                  <c:v>1.6412785497626169E-4</c:v>
                </c:pt>
                <c:pt idx="922">
                  <c:v>1.6596277932756596E-4</c:v>
                </c:pt>
                <c:pt idx="923">
                  <c:v>1.6416508448858464E-4</c:v>
                </c:pt>
                <c:pt idx="924">
                  <c:v>1.6594383892476214E-4</c:v>
                </c:pt>
                <c:pt idx="925">
                  <c:v>1.658918910003878E-4</c:v>
                </c:pt>
                <c:pt idx="926">
                  <c:v>1.6941317400068521E-4</c:v>
                </c:pt>
                <c:pt idx="927">
                  <c:v>1.6569265011924519E-4</c:v>
                </c:pt>
                <c:pt idx="928">
                  <c:v>1.6374297221061099E-4</c:v>
                </c:pt>
                <c:pt idx="929">
                  <c:v>1.6537127020439552E-4</c:v>
                </c:pt>
                <c:pt idx="930">
                  <c:v>1.6515418351421943E-4</c:v>
                </c:pt>
                <c:pt idx="931">
                  <c:v>1.6135064211201186E-4</c:v>
                </c:pt>
                <c:pt idx="932">
                  <c:v>1.6286174074508288E-4</c:v>
                </c:pt>
                <c:pt idx="933">
                  <c:v>1.5901753533972428E-4</c:v>
                </c:pt>
                <c:pt idx="934">
                  <c:v>1.6407148460218982E-4</c:v>
                </c:pt>
                <c:pt idx="935">
                  <c:v>1.6192475870742992E-4</c:v>
                </c:pt>
                <c:pt idx="936">
                  <c:v>1.6332940356990797E-4</c:v>
                </c:pt>
                <c:pt idx="937">
                  <c:v>1.6289194962803579E-4</c:v>
                </c:pt>
                <c:pt idx="938">
                  <c:v>1.6246518350381749E-4</c:v>
                </c:pt>
                <c:pt idx="939">
                  <c:v>1.6196375197263723E-4</c:v>
                </c:pt>
                <c:pt idx="940">
                  <c:v>1.5973207064865616E-4</c:v>
                </c:pt>
                <c:pt idx="941">
                  <c:v>1.6444703252042623E-4</c:v>
                </c:pt>
                <c:pt idx="942">
                  <c:v>1.6037032626931586E-4</c:v>
                </c:pt>
                <c:pt idx="943">
                  <c:v>1.5801453691831037E-4</c:v>
                </c:pt>
                <c:pt idx="944">
                  <c:v>1.5742027837255861E-4</c:v>
                </c:pt>
                <c:pt idx="945">
                  <c:v>1.5844632480260188E-4</c:v>
                </c:pt>
                <c:pt idx="946">
                  <c:v>1.5780933950818127E-4</c:v>
                </c:pt>
                <c:pt idx="947">
                  <c:v>1.5545011352663681E-4</c:v>
                </c:pt>
                <c:pt idx="948">
                  <c:v>1.5980898857976021E-4</c:v>
                </c:pt>
                <c:pt idx="949">
                  <c:v>1.5561727465889717E-4</c:v>
                </c:pt>
                <c:pt idx="950">
                  <c:v>1.5818513918183793E-4</c:v>
                </c:pt>
                <c:pt idx="951">
                  <c:v>1.5230606469250583E-4</c:v>
                </c:pt>
                <c:pt idx="952">
                  <c:v>1.5305220482277125E-4</c:v>
                </c:pt>
                <c:pt idx="953">
                  <c:v>1.5219245905469231E-4</c:v>
                </c:pt>
                <c:pt idx="954">
                  <c:v>1.4804560926140494E-4</c:v>
                </c:pt>
                <c:pt idx="955">
                  <c:v>1.4709068304911944E-4</c:v>
                </c:pt>
                <c:pt idx="956">
                  <c:v>1.4619865868449109E-4</c:v>
                </c:pt>
                <c:pt idx="957">
                  <c:v>1.4847969249595259E-4</c:v>
                </c:pt>
                <c:pt idx="958">
                  <c:v>1.4756422245605695E-4</c:v>
                </c:pt>
                <c:pt idx="959">
                  <c:v>1.4645058344878078E-4</c:v>
                </c:pt>
                <c:pt idx="960">
                  <c:v>1.4554075995515292E-4</c:v>
                </c:pt>
                <c:pt idx="961">
                  <c:v>1.4447864742334014E-4</c:v>
                </c:pt>
                <c:pt idx="962">
                  <c:v>1.4352264802671176E-4</c:v>
                </c:pt>
                <c:pt idx="963">
                  <c:v>1.4094829427259225E-4</c:v>
                </c:pt>
                <c:pt idx="964">
                  <c:v>1.4154467738934927E-4</c:v>
                </c:pt>
                <c:pt idx="965">
                  <c:v>1.4052461763901518E-4</c:v>
                </c:pt>
                <c:pt idx="966">
                  <c:v>1.3660155031618214E-4</c:v>
                </c:pt>
                <c:pt idx="967">
                  <c:v>1.3711602277981363E-4</c:v>
                </c:pt>
                <c:pt idx="968">
                  <c:v>1.3326168094600214E-4</c:v>
                </c:pt>
                <c:pt idx="969">
                  <c:v>1.368786279322934E-4</c:v>
                </c:pt>
                <c:pt idx="970">
                  <c:v>1.3444704339249657E-4</c:v>
                </c:pt>
                <c:pt idx="971">
                  <c:v>1.3503892174175796E-4</c:v>
                </c:pt>
                <c:pt idx="972">
                  <c:v>1.3409128622474223E-4</c:v>
                </c:pt>
                <c:pt idx="973">
                  <c:v>1.332393568411583E-4</c:v>
                </c:pt>
                <c:pt idx="974">
                  <c:v>1.3231274771471061E-4</c:v>
                </c:pt>
                <c:pt idx="975">
                  <c:v>1.3006438283594924E-4</c:v>
                </c:pt>
                <c:pt idx="976">
                  <c:v>1.3346884009117407E-4</c:v>
                </c:pt>
                <c:pt idx="977">
                  <c:v>1.2976065091393203E-4</c:v>
                </c:pt>
                <c:pt idx="978">
                  <c:v>1.261786045438073E-4</c:v>
                </c:pt>
                <c:pt idx="979">
                  <c:v>1.253227460895644E-4</c:v>
                </c:pt>
                <c:pt idx="980">
                  <c:v>1.2584795981423992E-4</c:v>
                </c:pt>
                <c:pt idx="981">
                  <c:v>1.2649392495169362E-4</c:v>
                </c:pt>
                <c:pt idx="982">
                  <c:v>1.2434770943137705E-4</c:v>
                </c:pt>
                <c:pt idx="983">
                  <c:v>1.2489379217936377E-4</c:v>
                </c:pt>
                <c:pt idx="984">
                  <c:v>1.2414593280923853E-4</c:v>
                </c:pt>
                <c:pt idx="985">
                  <c:v>1.2606510023846943E-4</c:v>
                </c:pt>
                <c:pt idx="986">
                  <c:v>1.2260505622823655E-4</c:v>
                </c:pt>
                <c:pt idx="987">
                  <c:v>1.205015844311088E-4</c:v>
                </c:pt>
                <c:pt idx="988">
                  <c:v>1.2110432093815177E-4</c:v>
                </c:pt>
                <c:pt idx="989">
                  <c:v>1.2033424160725123E-4</c:v>
                </c:pt>
                <c:pt idx="990">
                  <c:v>1.1830926125287401E-4</c:v>
                </c:pt>
                <c:pt idx="991">
                  <c:v>1.1761340895148827E-4</c:v>
                </c:pt>
                <c:pt idx="992">
                  <c:v>1.156748030049783E-4</c:v>
                </c:pt>
                <c:pt idx="993">
                  <c:v>1.1758290672816017E-4</c:v>
                </c:pt>
                <c:pt idx="994">
                  <c:v>1.1560490023965928E-4</c:v>
                </c:pt>
                <c:pt idx="995">
                  <c:v>1.1624237593065945E-4</c:v>
                </c:pt>
                <c:pt idx="996">
                  <c:v>1.1554472083383443E-4</c:v>
                </c:pt>
                <c:pt idx="997">
                  <c:v>1.149200463776854E-4</c:v>
                </c:pt>
                <c:pt idx="998">
                  <c:v>1.1301162434879371E-4</c:v>
                </c:pt>
                <c:pt idx="999">
                  <c:v>1.1363785811573057E-4</c:v>
                </c:pt>
                <c:pt idx="1000">
                  <c:v>1.1182237285783323E-4</c:v>
                </c:pt>
                <c:pt idx="1001">
                  <c:v>1.0997125362431671E-4</c:v>
                </c:pt>
                <c:pt idx="1002">
                  <c:v>1.105557919032892E-4</c:v>
                </c:pt>
                <c:pt idx="1003">
                  <c:v>1.0759502824462584E-4</c:v>
                </c:pt>
                <c:pt idx="1004">
                  <c:v>1.1067261002100733E-4</c:v>
                </c:pt>
                <c:pt idx="1005">
                  <c:v>1.0888090738308866E-4</c:v>
                </c:pt>
                <c:pt idx="1006">
                  <c:v>1.0952868620533077E-4</c:v>
                </c:pt>
                <c:pt idx="1007">
                  <c:v>1.0894550812351578E-4</c:v>
                </c:pt>
                <c:pt idx="1008">
                  <c:v>1.0842490368052232E-4</c:v>
                </c:pt>
                <c:pt idx="1009">
                  <c:v>1.0786275198936952E-4</c:v>
                </c:pt>
                <c:pt idx="1010">
                  <c:v>1.0620240945566127E-4</c:v>
                </c:pt>
                <c:pt idx="1011">
                  <c:v>1.0917566228771311E-4</c:v>
                </c:pt>
                <c:pt idx="1012">
                  <c:v>1.0633776250395753E-4</c:v>
                </c:pt>
                <c:pt idx="1013">
                  <c:v>1.035782275102692E-4</c:v>
                </c:pt>
                <c:pt idx="1014">
                  <c:v>1.0307890350338874E-4</c:v>
                </c:pt>
                <c:pt idx="1015">
                  <c:v>1.0372292142229489E-4</c:v>
                </c:pt>
                <c:pt idx="1016">
                  <c:v>1.0444051296313369E-4</c:v>
                </c:pt>
                <c:pt idx="1017">
                  <c:v>1.0286719408520734E-4</c:v>
                </c:pt>
                <c:pt idx="1018">
                  <c:v>1.0353616256613471E-4</c:v>
                </c:pt>
                <c:pt idx="1019">
                  <c:v>1.0311962813679925E-4</c:v>
                </c:pt>
                <c:pt idx="1020">
                  <c:v>1.0493151389830395E-4</c:v>
                </c:pt>
                <c:pt idx="1021">
                  <c:v>1.022745339309989E-4</c:v>
                </c:pt>
                <c:pt idx="1022">
                  <c:v>1.0074707995313442E-4</c:v>
                </c:pt>
                <c:pt idx="1023">
                  <c:v>1.014695810166599E-4</c:v>
                </c:pt>
                <c:pt idx="1024">
                  <c:v>1.0106395912087993E-4</c:v>
                </c:pt>
                <c:pt idx="1025">
                  <c:v>9.8526954466341099E-5</c:v>
                </c:pt>
                <c:pt idx="1026">
                  <c:v>9.9235343520380674E-5</c:v>
                </c:pt>
                <c:pt idx="1027">
                  <c:v>9.6735897217721384E-5</c:v>
                </c:pt>
                <c:pt idx="1028">
                  <c:v>9.9670908214726664E-5</c:v>
                </c:pt>
                <c:pt idx="1029">
                  <c:v>9.8242306121138081E-5</c:v>
                </c:pt>
                <c:pt idx="1030">
                  <c:v>9.9004219746660636E-5</c:v>
                </c:pt>
                <c:pt idx="1031">
                  <c:v>9.8671022084302571E-5</c:v>
                </c:pt>
                <c:pt idx="1032">
                  <c:v>9.8377672569126081E-5</c:v>
                </c:pt>
                <c:pt idx="1033">
                  <c:v>9.8065501297618586E-5</c:v>
                </c:pt>
                <c:pt idx="1034">
                  <c:v>9.6732688971774266E-5</c:v>
                </c:pt>
                <c:pt idx="1035">
                  <c:v>9.9637558230688056E-5</c:v>
                </c:pt>
                <c:pt idx="1036">
                  <c:v>9.7245002086667002E-5</c:v>
                </c:pt>
                <c:pt idx="1037">
                  <c:v>9.5948553580206696E-5</c:v>
                </c:pt>
                <c:pt idx="1038">
                  <c:v>9.4643261969790013E-5</c:v>
                </c:pt>
                <c:pt idx="1039">
                  <c:v>9.6489786681600807E-5</c:v>
                </c:pt>
                <c:pt idx="1040">
                  <c:v>9.5236888749235807E-5</c:v>
                </c:pt>
                <c:pt idx="1041">
                  <c:v>9.6071888791879377E-5</c:v>
                </c:pt>
                <c:pt idx="1042">
                  <c:v>9.4840354571297826E-5</c:v>
                </c:pt>
                <c:pt idx="1043">
                  <c:v>9.5670678360174793E-5</c:v>
                </c:pt>
                <c:pt idx="1044">
                  <c:v>9.5472984103451409E-5</c:v>
                </c:pt>
                <c:pt idx="1045">
                  <c:v>9.4269574483031528E-5</c:v>
                </c:pt>
                <c:pt idx="1046">
                  <c:v>9.7204891190484825E-5</c:v>
                </c:pt>
                <c:pt idx="1047">
                  <c:v>9.4975101934051225E-5</c:v>
                </c:pt>
                <c:pt idx="1048">
                  <c:v>9.2775899451117257E-5</c:v>
                </c:pt>
                <c:pt idx="1049">
                  <c:v>9.2633109891379327E-5</c:v>
                </c:pt>
                <c:pt idx="1050">
                  <c:v>9.3527021437496852E-5</c:v>
                </c:pt>
                <c:pt idx="1051">
                  <c:v>9.4447328815008491E-5</c:v>
                </c:pt>
                <c:pt idx="1052">
                  <c:v>9.3315817146040066E-5</c:v>
                </c:pt>
                <c:pt idx="1053">
                  <c:v>9.4238760793099676E-5</c:v>
                </c:pt>
                <c:pt idx="1054">
                  <c:v>9.4153551304839431E-5</c:v>
                </c:pt>
                <c:pt idx="1055">
                  <c:v>9.6120334264809918E-5</c:v>
                </c:pt>
                <c:pt idx="1056">
                  <c:v>9.4004239474485181E-5</c:v>
                </c:pt>
                <c:pt idx="1057">
                  <c:v>9.2921713882602731E-5</c:v>
                </c:pt>
                <c:pt idx="1058">
                  <c:v>9.3895068935097656E-5</c:v>
                </c:pt>
                <c:pt idx="1059">
                  <c:v>9.3853904474378353E-5</c:v>
                </c:pt>
                <c:pt idx="1060">
                  <c:v>9.1786958288941911E-5</c:v>
                </c:pt>
                <c:pt idx="1061">
                  <c:v>9.2786416497075153E-5</c:v>
                </c:pt>
                <c:pt idx="1062">
                  <c:v>9.0738541691470648E-5</c:v>
                </c:pt>
                <c:pt idx="1063">
                  <c:v>9.3797197495890312E-5</c:v>
                </c:pt>
                <c:pt idx="1064">
                  <c:v>9.2787473964542084E-5</c:v>
                </c:pt>
                <c:pt idx="1065">
                  <c:v>9.3826291402623676E-5</c:v>
                </c:pt>
                <c:pt idx="1066">
                  <c:v>9.3857551175210486E-5</c:v>
                </c:pt>
                <c:pt idx="1067">
                  <c:v>9.3895526600438705E-5</c:v>
                </c:pt>
                <c:pt idx="1068">
                  <c:v>9.3947812763541745E-5</c:v>
                </c:pt>
                <c:pt idx="1069">
                  <c:v>9.2982019444887336E-5</c:v>
                </c:pt>
                <c:pt idx="1070">
                  <c:v>9.611869429752559E-5</c:v>
                </c:pt>
                <c:pt idx="1071">
                  <c:v>9.4154420869095522E-5</c:v>
                </c:pt>
                <c:pt idx="1072">
                  <c:v>9.3222745370950884E-5</c:v>
                </c:pt>
                <c:pt idx="1073">
                  <c:v>9.2289719897908277E-5</c:v>
                </c:pt>
                <c:pt idx="1074">
                  <c:v>9.4458563352940925E-5</c:v>
                </c:pt>
                <c:pt idx="1075">
                  <c:v>9.4560397829093062E-5</c:v>
                </c:pt>
                <c:pt idx="1076">
                  <c:v>9.3639604650084792E-5</c:v>
                </c:pt>
                <c:pt idx="1077">
                  <c:v>9.6842004666918238E-5</c:v>
                </c:pt>
                <c:pt idx="1078">
                  <c:v>9.489290028890465E-5</c:v>
                </c:pt>
                <c:pt idx="1079">
                  <c:v>9.3959900565865546E-5</c:v>
                </c:pt>
                <c:pt idx="1080">
                  <c:v>9.4066494753371969E-5</c:v>
                </c:pt>
                <c:pt idx="1081">
                  <c:v>9.5205740979317937E-5</c:v>
                </c:pt>
                <c:pt idx="1082">
                  <c:v>9.5297015709456975E-5</c:v>
                </c:pt>
                <c:pt idx="1083">
                  <c:v>9.434700241459421E-5</c:v>
                </c:pt>
                <c:pt idx="1084">
                  <c:v>9.4439478180490357E-5</c:v>
                </c:pt>
                <c:pt idx="1085">
                  <c:v>9.4528256264615811E-5</c:v>
                </c:pt>
                <c:pt idx="1086">
                  <c:v>9.5644071866209619E-5</c:v>
                </c:pt>
                <c:pt idx="1087">
                  <c:v>9.4677765375045516E-5</c:v>
                </c:pt>
                <c:pt idx="1088">
                  <c:v>9.579631179697023E-5</c:v>
                </c:pt>
                <c:pt idx="1089">
                  <c:v>9.5865239019949752E-5</c:v>
                </c:pt>
                <c:pt idx="1090">
                  <c:v>9.8018668484364837E-5</c:v>
                </c:pt>
                <c:pt idx="1091">
                  <c:v>9.5999929810278942E-5</c:v>
                </c:pt>
                <c:pt idx="1092">
                  <c:v>9.5019936927168966E-5</c:v>
                </c:pt>
                <c:pt idx="1093">
                  <c:v>9.6120995830190588E-5</c:v>
                </c:pt>
                <c:pt idx="1094">
                  <c:v>9.6178973814627582E-5</c:v>
                </c:pt>
                <c:pt idx="1095">
                  <c:v>9.4135001227894393E-5</c:v>
                </c:pt>
                <c:pt idx="1096">
                  <c:v>9.523205591596687E-5</c:v>
                </c:pt>
                <c:pt idx="1097">
                  <c:v>9.3179377930625214E-5</c:v>
                </c:pt>
                <c:pt idx="1098">
                  <c:v>9.635957638918763E-5</c:v>
                </c:pt>
                <c:pt idx="1099">
                  <c:v>9.5351727654850913E-5</c:v>
                </c:pt>
                <c:pt idx="1100">
                  <c:v>9.6433712644441481E-5</c:v>
                </c:pt>
                <c:pt idx="1101">
                  <c:v>9.6467108371084211E-5</c:v>
                </c:pt>
                <c:pt idx="1102">
                  <c:v>9.649422412946854E-5</c:v>
                </c:pt>
                <c:pt idx="1103">
                  <c:v>9.6520483071492141E-5</c:v>
                </c:pt>
                <c:pt idx="1104">
                  <c:v>9.5491461816577815E-5</c:v>
                </c:pt>
                <c:pt idx="1105">
                  <c:v>9.8658238754685825E-5</c:v>
                </c:pt>
                <c:pt idx="1106">
                  <c:v>9.6574372788409748E-5</c:v>
                </c:pt>
                <c:pt idx="1107">
                  <c:v>9.4485479239063988E-5</c:v>
                </c:pt>
                <c:pt idx="1108">
                  <c:v>9.4493990291149828E-5</c:v>
                </c:pt>
                <c:pt idx="1109">
                  <c:v>9.5548851772154302E-5</c:v>
                </c:pt>
                <c:pt idx="1110">
                  <c:v>9.6600040896956723E-5</c:v>
                </c:pt>
                <c:pt idx="1111">
                  <c:v>9.5548418693330007E-5</c:v>
                </c:pt>
                <c:pt idx="1112">
                  <c:v>9.8693098341854894E-5</c:v>
                </c:pt>
                <c:pt idx="1113">
                  <c:v>9.6584653342196027E-5</c:v>
                </c:pt>
                <c:pt idx="1114">
                  <c:v>9.8672283398349689E-5</c:v>
                </c:pt>
                <c:pt idx="1115">
                  <c:v>9.6557360751694851E-5</c:v>
                </c:pt>
                <c:pt idx="1116">
                  <c:v>9.6537627082515161E-5</c:v>
                </c:pt>
                <c:pt idx="1117">
                  <c:v>9.6516443390692321E-5</c:v>
                </c:pt>
                <c:pt idx="1118">
                  <c:v>9.5441229412799274E-5</c:v>
                </c:pt>
                <c:pt idx="1119">
                  <c:v>9.4364954338124564E-5</c:v>
                </c:pt>
                <c:pt idx="1120">
                  <c:v>9.5380327877905827E-5</c:v>
                </c:pt>
                <c:pt idx="1121">
                  <c:v>9.6394922788184013E-5</c:v>
                </c:pt>
                <c:pt idx="1122">
                  <c:v>9.5311072760817183E-5</c:v>
                </c:pt>
                <c:pt idx="1123">
                  <c:v>9.6313347382769669E-5</c:v>
                </c:pt>
                <c:pt idx="1124">
                  <c:v>9.6271217448345571E-5</c:v>
                </c:pt>
                <c:pt idx="1125">
                  <c:v>9.8314739254630134E-5</c:v>
                </c:pt>
                <c:pt idx="1126">
                  <c:v>9.6169745552081694E-5</c:v>
                </c:pt>
                <c:pt idx="1127">
                  <c:v>9.5067401127188895E-5</c:v>
                </c:pt>
                <c:pt idx="1128">
                  <c:v>9.605464888568066E-5</c:v>
                </c:pt>
                <c:pt idx="1129">
                  <c:v>9.5988922605768452E-5</c:v>
                </c:pt>
                <c:pt idx="1130">
                  <c:v>9.4884343764242924E-5</c:v>
                </c:pt>
                <c:pt idx="1131">
                  <c:v>9.4812328715059038E-5</c:v>
                </c:pt>
                <c:pt idx="1132">
                  <c:v>9.370369485670754E-5</c:v>
                </c:pt>
                <c:pt idx="1133">
                  <c:v>9.5713477446777152E-5</c:v>
                </c:pt>
                <c:pt idx="1134">
                  <c:v>9.4592035455354207E-5</c:v>
                </c:pt>
                <c:pt idx="1135">
                  <c:v>9.5553916447597455E-5</c:v>
                </c:pt>
                <c:pt idx="1136">
                  <c:v>9.546360790974021E-5</c:v>
                </c:pt>
                <c:pt idx="1137">
                  <c:v>9.5378265246072957E-5</c:v>
                </c:pt>
                <c:pt idx="1138">
                  <c:v>9.5280819924441895E-5</c:v>
                </c:pt>
                <c:pt idx="1139">
                  <c:v>9.4155891154880841E-5</c:v>
                </c:pt>
                <c:pt idx="1140">
                  <c:v>9.7157989961603027E-5</c:v>
                </c:pt>
                <c:pt idx="1141">
                  <c:v>9.4986088532617477E-5</c:v>
                </c:pt>
                <c:pt idx="1142">
                  <c:v>9.2825376350987138E-5</c:v>
                </c:pt>
                <c:pt idx="1143">
                  <c:v>9.2712872361703344E-5</c:v>
                </c:pt>
                <c:pt idx="1144">
                  <c:v>9.3623730056734868E-5</c:v>
                </c:pt>
                <c:pt idx="1145">
                  <c:v>9.4546928496763971E-5</c:v>
                </c:pt>
                <c:pt idx="1146">
                  <c:v>9.3408240618988748E-5</c:v>
                </c:pt>
                <c:pt idx="1147">
                  <c:v>9.636171661699618E-5</c:v>
                </c:pt>
                <c:pt idx="1148">
                  <c:v>9.4182919833856341E-5</c:v>
                </c:pt>
                <c:pt idx="1149">
                  <c:v>9.6099605016024939E-5</c:v>
                </c:pt>
                <c:pt idx="1150">
                  <c:v>9.3919464556421048E-5</c:v>
                </c:pt>
                <c:pt idx="1151">
                  <c:v>9.3776026623394425E-5</c:v>
                </c:pt>
                <c:pt idx="1152">
                  <c:v>9.3642384509675844E-5</c:v>
                </c:pt>
                <c:pt idx="1153">
                  <c:v>9.3491809791972481E-5</c:v>
                </c:pt>
                <c:pt idx="1154">
                  <c:v>9.1322346283217247E-5</c:v>
                </c:pt>
                <c:pt idx="1155">
                  <c:v>8.8136055465114961E-5</c:v>
                </c:pt>
                <c:pt idx="1156">
                  <c:v>9.304735010391555E-5</c:v>
                </c:pt>
                <c:pt idx="1157">
                  <c:v>9.2902682530072512E-5</c:v>
                </c:pt>
                <c:pt idx="1158">
                  <c:v>9.2729395745667572E-5</c:v>
                </c:pt>
                <c:pt idx="1159">
                  <c:v>9.2583709314530524E-5</c:v>
                </c:pt>
                <c:pt idx="1160">
                  <c:v>9.2408552339103315E-5</c:v>
                </c:pt>
                <c:pt idx="1161">
                  <c:v>9.2246074731992957E-5</c:v>
                </c:pt>
                <c:pt idx="1162">
                  <c:v>9.1065873184626394E-5</c:v>
                </c:pt>
                <c:pt idx="1163">
                  <c:v>9.1894815379908325E-5</c:v>
                </c:pt>
                <c:pt idx="1164">
                  <c:v>9.170538483555431E-5</c:v>
                </c:pt>
                <c:pt idx="1165">
                  <c:v>8.9545971080387161E-5</c:v>
                </c:pt>
                <c:pt idx="1166">
                  <c:v>9.0343609371554951E-5</c:v>
                </c:pt>
                <c:pt idx="1167">
                  <c:v>8.818803992581518E-5</c:v>
                </c:pt>
                <c:pt idx="1168">
                  <c:v>9.0978822805727911E-5</c:v>
                </c:pt>
                <c:pt idx="1169">
                  <c:v>8.9788449086256167E-5</c:v>
                </c:pt>
                <c:pt idx="1170">
                  <c:v>9.0580633688772398E-5</c:v>
                </c:pt>
                <c:pt idx="1171">
                  <c:v>9.0366620886838466E-5</c:v>
                </c:pt>
                <c:pt idx="1172">
                  <c:v>9.0168819801025643E-5</c:v>
                </c:pt>
                <c:pt idx="1173">
                  <c:v>8.9947670214665814E-5</c:v>
                </c:pt>
                <c:pt idx="1174">
                  <c:v>8.8771328350853717E-5</c:v>
                </c:pt>
                <c:pt idx="1175">
                  <c:v>9.1475265768924691E-5</c:v>
                </c:pt>
                <c:pt idx="1176">
                  <c:v>8.9304317714987021E-5</c:v>
                </c:pt>
                <c:pt idx="1177">
                  <c:v>8.8125653303285995E-5</c:v>
                </c:pt>
                <c:pt idx="1178">
                  <c:v>8.7889483591540264E-5</c:v>
                </c:pt>
                <c:pt idx="1179">
                  <c:v>8.7649616198410684E-5</c:v>
                </c:pt>
                <c:pt idx="1180">
                  <c:v>8.8392824757548664E-5</c:v>
                </c:pt>
                <c:pt idx="1181">
                  <c:v>8.7219070401422599E-5</c:v>
                </c:pt>
                <c:pt idx="1182">
                  <c:v>8.9847859492653707E-5</c:v>
                </c:pt>
                <c:pt idx="1183">
                  <c:v>8.7687699763604296E-5</c:v>
                </c:pt>
                <c:pt idx="1184">
                  <c:v>8.9344451233787793E-5</c:v>
                </c:pt>
                <c:pt idx="1185">
                  <c:v>8.7188081800333806E-5</c:v>
                </c:pt>
                <c:pt idx="1186">
                  <c:v>8.5980203873474824E-5</c:v>
                </c:pt>
                <c:pt idx="1187">
                  <c:v>8.6674839066814134E-5</c:v>
                </c:pt>
                <c:pt idx="1188">
                  <c:v>8.6400560084774091E-5</c:v>
                </c:pt>
                <c:pt idx="1189">
                  <c:v>8.4283525780295881E-5</c:v>
                </c:pt>
                <c:pt idx="1190">
                  <c:v>8.4937494676085864E-5</c:v>
                </c:pt>
                <c:pt idx="1191">
                  <c:v>8.2828794140361124E-5</c:v>
                </c:pt>
                <c:pt idx="1192">
                  <c:v>8.5364842237398711E-5</c:v>
                </c:pt>
                <c:pt idx="1193">
                  <c:v>8.4158344114168776E-5</c:v>
                </c:pt>
                <c:pt idx="1194">
                  <c:v>8.4820725713403804E-5</c:v>
                </c:pt>
                <c:pt idx="1195">
                  <c:v>8.4539268529046707E-5</c:v>
                </c:pt>
                <c:pt idx="1196">
                  <c:v>8.4285661427800954E-5</c:v>
                </c:pt>
                <c:pt idx="1197">
                  <c:v>8.3100145921906015E-5</c:v>
                </c:pt>
                <c:pt idx="1198">
                  <c:v>8.3760102020003676E-5</c:v>
                </c:pt>
                <c:pt idx="1199">
                  <c:v>8.2609459598924397E-5</c:v>
                </c:pt>
                <c:pt idx="1200">
                  <c:v>8.1442299397401982E-5</c:v>
                </c:pt>
                <c:pt idx="1201">
                  <c:v>8.207955390157261E-5</c:v>
                </c:pt>
                <c:pt idx="1202">
                  <c:v>8.0051044102513359E-5</c:v>
                </c:pt>
                <c:pt idx="1203">
                  <c:v>8.2515415608695291E-5</c:v>
                </c:pt>
                <c:pt idx="1204">
                  <c:v>8.1365847506200287E-5</c:v>
                </c:pt>
                <c:pt idx="1205">
                  <c:v>8.2022595225470063E-5</c:v>
                </c:pt>
                <c:pt idx="1206">
                  <c:v>8.1768244545290776E-5</c:v>
                </c:pt>
                <c:pt idx="1207">
                  <c:v>8.1539279719971896E-5</c:v>
                </c:pt>
                <c:pt idx="1208">
                  <c:v>8.1289907785563111E-5</c:v>
                </c:pt>
                <c:pt idx="1209">
                  <c:v>8.0187987143948963E-5</c:v>
                </c:pt>
                <c:pt idx="1210">
                  <c:v>8.2593151590843096E-5</c:v>
                </c:pt>
                <c:pt idx="1211">
                  <c:v>8.060116334372602E-5</c:v>
                </c:pt>
                <c:pt idx="1212">
                  <c:v>7.8642972014590436E-5</c:v>
                </c:pt>
                <c:pt idx="1213">
                  <c:v>7.8411004214641499E-5</c:v>
                </c:pt>
                <c:pt idx="1214">
                  <c:v>7.9046795013972137E-5</c:v>
                </c:pt>
                <c:pt idx="1215">
                  <c:v>7.9715056778785156E-5</c:v>
                </c:pt>
                <c:pt idx="1216">
                  <c:v>7.8645417628695789E-5</c:v>
                </c:pt>
                <c:pt idx="1217">
                  <c:v>8.1016453506679623E-5</c:v>
                </c:pt>
                <c:pt idx="1218">
                  <c:v>7.9074641373122698E-5</c:v>
                </c:pt>
                <c:pt idx="1219">
                  <c:v>8.0580283574164548E-5</c:v>
                </c:pt>
                <c:pt idx="1220">
                  <c:v>7.8652579526022174E-5</c:v>
                </c:pt>
                <c:pt idx="1221">
                  <c:v>7.758595444031332E-5</c:v>
                </c:pt>
                <c:pt idx="1222">
                  <c:v>7.8240022557494687E-5</c:v>
                </c:pt>
                <c:pt idx="1223">
                  <c:v>7.8027714618623869E-5</c:v>
                </c:pt>
                <c:pt idx="1224">
                  <c:v>7.6994025422843127E-5</c:v>
                </c:pt>
                <c:pt idx="1225">
                  <c:v>7.7629641273181947E-5</c:v>
                </c:pt>
                <c:pt idx="1226">
                  <c:v>7.5765873401128971E-5</c:v>
                </c:pt>
                <c:pt idx="1227">
                  <c:v>7.7265461236450441E-5</c:v>
                </c:pt>
                <c:pt idx="1228">
                  <c:v>7.621878367031589E-5</c:v>
                </c:pt>
                <c:pt idx="1229">
                  <c:v>7.6862009217357573E-5</c:v>
                </c:pt>
                <c:pt idx="1230">
                  <c:v>7.6684843463426029E-5</c:v>
                </c:pt>
                <c:pt idx="1231">
                  <c:v>7.8167205601023998E-5</c:v>
                </c:pt>
                <c:pt idx="1232">
                  <c:v>7.6319810885177377E-5</c:v>
                </c:pt>
                <c:pt idx="1233">
                  <c:v>7.6957091185036696E-5</c:v>
                </c:pt>
                <c:pt idx="1234">
                  <c:v>7.5964283184523811E-5</c:v>
                </c:pt>
                <c:pt idx="1235">
                  <c:v>7.49608288036002E-5</c:v>
                </c:pt>
                <c:pt idx="1236">
                  <c:v>7.3974349605499437E-5</c:v>
                </c:pt>
                <c:pt idx="1237">
                  <c:v>7.4623417112103436E-5</c:v>
                </c:pt>
                <c:pt idx="1238">
                  <c:v>7.529227944560031E-5</c:v>
                </c:pt>
                <c:pt idx="1239">
                  <c:v>7.4331388279855822E-5</c:v>
                </c:pt>
                <c:pt idx="1240">
                  <c:v>7.4985463945894358E-5</c:v>
                </c:pt>
                <c:pt idx="1241">
                  <c:v>7.4026743491197155E-5</c:v>
                </c:pt>
                <c:pt idx="1242">
                  <c:v>7.4672030474190763E-5</c:v>
                </c:pt>
                <c:pt idx="1243">
                  <c:v>7.4508956797780584E-5</c:v>
                </c:pt>
                <c:pt idx="1244">
                  <c:v>7.3557049020752288E-5</c:v>
                </c:pt>
                <c:pt idx="1245">
                  <c:v>7.5827777495358979E-5</c:v>
                </c:pt>
                <c:pt idx="1246">
                  <c:v>7.4063416536954843E-5</c:v>
                </c:pt>
                <c:pt idx="1247">
                  <c:v>7.232153935209108E-5</c:v>
                </c:pt>
                <c:pt idx="1248">
                  <c:v>7.2173993761097922E-5</c:v>
                </c:pt>
                <c:pt idx="1249">
                  <c:v>7.2827138014410744E-5</c:v>
                </c:pt>
                <c:pt idx="1250">
                  <c:v>7.3501582213676006E-5</c:v>
                </c:pt>
                <c:pt idx="1251">
                  <c:v>7.2575787705994591E-5</c:v>
                </c:pt>
                <c:pt idx="1252">
                  <c:v>7.4830892277918354E-5</c:v>
                </c:pt>
                <c:pt idx="1253">
                  <c:v>7.3104370989332364E-5</c:v>
                </c:pt>
                <c:pt idx="1254">
                  <c:v>7.4563055113070924E-5</c:v>
                </c:pt>
                <c:pt idx="1255">
                  <c:v>7.2847060361882839E-5</c:v>
                </c:pt>
                <c:pt idx="1256">
                  <c:v>7.1927605641381668E-5</c:v>
                </c:pt>
                <c:pt idx="1257">
                  <c:v>7.2599254612694508E-5</c:v>
                </c:pt>
                <c:pt idx="1258">
                  <c:v>7.2473244931473563E-5</c:v>
                </c:pt>
                <c:pt idx="1259">
                  <c:v>7.0791481698601641E-5</c:v>
                </c:pt>
                <c:pt idx="1260">
                  <c:v>7.2239922805694676E-5</c:v>
                </c:pt>
                <c:pt idx="1261">
                  <c:v>6.9785132784920602E-5</c:v>
                </c:pt>
                <c:pt idx="1262">
                  <c:v>7.2033521588909263E-5</c:v>
                </c:pt>
                <c:pt idx="1263">
                  <c:v>7.1132871454400635E-5</c:v>
                </c:pt>
                <c:pt idx="1264">
                  <c:v>7.181845486429732E-5</c:v>
                </c:pt>
                <c:pt idx="1265">
                  <c:v>7.1709594195738308E-5</c:v>
                </c:pt>
                <c:pt idx="1266">
                  <c:v>7.1612893017747157E-5</c:v>
                </c:pt>
                <c:pt idx="1267">
                  <c:v>7.1509011094563401E-5</c:v>
                </c:pt>
                <c:pt idx="1268">
                  <c:v>7.0642050112752915E-5</c:v>
                </c:pt>
                <c:pt idx="1269">
                  <c:v>7.2874409229839015E-5</c:v>
                </c:pt>
                <c:pt idx="1270">
                  <c:v>7.1230283958472235E-5</c:v>
                </c:pt>
                <c:pt idx="1271">
                  <c:v>7.0364508548732875E-5</c:v>
                </c:pt>
                <c:pt idx="1272">
                  <c:v>7.0282253745031133E-5</c:v>
                </c:pt>
                <c:pt idx="1273">
                  <c:v>7.0964291059494981E-5</c:v>
                </c:pt>
                <c:pt idx="1274">
                  <c:v>7.0888279575215358E-5</c:v>
                </c:pt>
                <c:pt idx="1275">
                  <c:v>7.0045788653830255E-5</c:v>
                </c:pt>
                <c:pt idx="1276">
                  <c:v>7.2275216171135417E-5</c:v>
                </c:pt>
                <c:pt idx="1277">
                  <c:v>7.0660469033845432E-5</c:v>
                </c:pt>
                <c:pt idx="1278">
                  <c:v>7.2122838019790671E-5</c:v>
                </c:pt>
                <c:pt idx="1279">
                  <c:v>6.9750758617181119E-5</c:v>
                </c:pt>
                <c:pt idx="1280">
                  <c:v>7.0444364172627443E-5</c:v>
                </c:pt>
                <c:pt idx="1281">
                  <c:v>7.0381357535569093E-5</c:v>
                </c:pt>
                <c:pt idx="1282">
                  <c:v>6.8793714325293554E-5</c:v>
                </c:pt>
                <c:pt idx="1283">
                  <c:v>6.8732466289102198E-5</c:v>
                </c:pt>
                <c:pt idx="1284">
                  <c:v>6.8679032391629917E-5</c:v>
                </c:pt>
                <c:pt idx="1285">
                  <c:v>7.015088399976244E-5</c:v>
                </c:pt>
                <c:pt idx="1286">
                  <c:v>7.0102068823733551E-5</c:v>
                </c:pt>
                <c:pt idx="1287">
                  <c:v>7.0045317349652671E-5</c:v>
                </c:pt>
                <c:pt idx="1288">
                  <c:v>7.0000659510134906E-5</c:v>
                </c:pt>
                <c:pt idx="1289">
                  <c:v>6.9950437401139457E-5</c:v>
                </c:pt>
                <c:pt idx="1290">
                  <c:v>6.9907044004797873E-5</c:v>
                </c:pt>
                <c:pt idx="1291">
                  <c:v>6.9103073989751086E-5</c:v>
                </c:pt>
                <c:pt idx="1292">
                  <c:v>6.9822933377628778E-5</c:v>
                </c:pt>
                <c:pt idx="1293">
                  <c:v>6.9782668760029305E-5</c:v>
                </c:pt>
                <c:pt idx="1294">
                  <c:v>6.8233109955104831E-5</c:v>
                </c:pt>
                <c:pt idx="1295">
                  <c:v>6.895578281795711E-5</c:v>
                </c:pt>
                <c:pt idx="1296">
                  <c:v>6.7412287828074537E-5</c:v>
                </c:pt>
                <c:pt idx="1297">
                  <c:v>6.9657343985520624E-5</c:v>
                </c:pt>
                <c:pt idx="1298">
                  <c:v>6.8872793702285509E-5</c:v>
                </c:pt>
                <c:pt idx="1299">
                  <c:v>6.9605972382624936E-5</c:v>
                </c:pt>
                <c:pt idx="1300">
                  <c:v>6.9582856777921083E-5</c:v>
                </c:pt>
                <c:pt idx="1301">
                  <c:v>6.9564105658045044E-5</c:v>
                </c:pt>
                <c:pt idx="1302">
                  <c:v>6.9545968798593702E-5</c:v>
                </c:pt>
                <c:pt idx="1303">
                  <c:v>6.8776162961874321E-5</c:v>
                </c:pt>
                <c:pt idx="1304">
                  <c:v>7.1030636171074102E-5</c:v>
                </c:pt>
                <c:pt idx="1305">
                  <c:v>6.9508886842342061E-5</c:v>
                </c:pt>
                <c:pt idx="1306">
                  <c:v>6.799062100655555E-5</c:v>
                </c:pt>
                <c:pt idx="1307">
                  <c:v>6.7984861432311678E-5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998016"/>
        <c:axId val="164090240"/>
      </c:lineChart>
      <c:dateAx>
        <c:axId val="192998016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64090240"/>
        <c:crosses val="autoZero"/>
        <c:auto val="1"/>
        <c:lblOffset val="100"/>
        <c:baseTimeUnit val="days"/>
        <c:majorUnit val="6"/>
        <c:majorTimeUnit val="months"/>
      </c:dateAx>
      <c:valAx>
        <c:axId val="164090240"/>
        <c:scaling>
          <c:orientation val="minMax"/>
          <c:max val="1E-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98016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Delta'!$Y$2</c:f>
              <c:strCache>
                <c:ptCount val="1"/>
                <c:pt idx="0">
                  <c:v>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42123</c:v>
                </c:pt>
                <c:pt idx="1">
                  <c:v>42124</c:v>
                </c:pt>
                <c:pt idx="2">
                  <c:v>42128</c:v>
                </c:pt>
                <c:pt idx="3">
                  <c:v>42129</c:v>
                </c:pt>
                <c:pt idx="4">
                  <c:v>42130</c:v>
                </c:pt>
                <c:pt idx="5">
                  <c:v>42131</c:v>
                </c:pt>
                <c:pt idx="6">
                  <c:v>42132</c:v>
                </c:pt>
                <c:pt idx="7">
                  <c:v>42135</c:v>
                </c:pt>
                <c:pt idx="8">
                  <c:v>42136</c:v>
                </c:pt>
                <c:pt idx="9">
                  <c:v>42137</c:v>
                </c:pt>
                <c:pt idx="10">
                  <c:v>42138</c:v>
                </c:pt>
                <c:pt idx="11">
                  <c:v>42139</c:v>
                </c:pt>
                <c:pt idx="12">
                  <c:v>42142</c:v>
                </c:pt>
                <c:pt idx="13">
                  <c:v>42143</c:v>
                </c:pt>
                <c:pt idx="14">
                  <c:v>42144</c:v>
                </c:pt>
                <c:pt idx="15">
                  <c:v>42145</c:v>
                </c:pt>
                <c:pt idx="16">
                  <c:v>42146</c:v>
                </c:pt>
                <c:pt idx="17">
                  <c:v>42149</c:v>
                </c:pt>
                <c:pt idx="18">
                  <c:v>42150</c:v>
                </c:pt>
                <c:pt idx="19">
                  <c:v>42151</c:v>
                </c:pt>
                <c:pt idx="20">
                  <c:v>42152</c:v>
                </c:pt>
                <c:pt idx="21">
                  <c:v>42153</c:v>
                </c:pt>
                <c:pt idx="22">
                  <c:v>42156</c:v>
                </c:pt>
                <c:pt idx="23">
                  <c:v>42157</c:v>
                </c:pt>
                <c:pt idx="24">
                  <c:v>42158</c:v>
                </c:pt>
                <c:pt idx="25">
                  <c:v>42159</c:v>
                </c:pt>
                <c:pt idx="26">
                  <c:v>42160</c:v>
                </c:pt>
                <c:pt idx="27">
                  <c:v>42163</c:v>
                </c:pt>
                <c:pt idx="28">
                  <c:v>42164</c:v>
                </c:pt>
                <c:pt idx="29">
                  <c:v>42165</c:v>
                </c:pt>
                <c:pt idx="30">
                  <c:v>42166</c:v>
                </c:pt>
                <c:pt idx="31">
                  <c:v>42167</c:v>
                </c:pt>
                <c:pt idx="32">
                  <c:v>42170</c:v>
                </c:pt>
                <c:pt idx="33">
                  <c:v>42171</c:v>
                </c:pt>
                <c:pt idx="34">
                  <c:v>42172</c:v>
                </c:pt>
                <c:pt idx="35">
                  <c:v>42173</c:v>
                </c:pt>
                <c:pt idx="36">
                  <c:v>42174</c:v>
                </c:pt>
                <c:pt idx="37">
                  <c:v>42177</c:v>
                </c:pt>
                <c:pt idx="38">
                  <c:v>42178</c:v>
                </c:pt>
                <c:pt idx="39">
                  <c:v>42179</c:v>
                </c:pt>
                <c:pt idx="40">
                  <c:v>42180</c:v>
                </c:pt>
                <c:pt idx="41">
                  <c:v>42181</c:v>
                </c:pt>
                <c:pt idx="42">
                  <c:v>42184</c:v>
                </c:pt>
                <c:pt idx="43">
                  <c:v>42185</c:v>
                </c:pt>
                <c:pt idx="44">
                  <c:v>42186</c:v>
                </c:pt>
                <c:pt idx="45">
                  <c:v>42187</c:v>
                </c:pt>
                <c:pt idx="46">
                  <c:v>42188</c:v>
                </c:pt>
                <c:pt idx="47">
                  <c:v>42191</c:v>
                </c:pt>
                <c:pt idx="48">
                  <c:v>42192</c:v>
                </c:pt>
                <c:pt idx="49">
                  <c:v>42193</c:v>
                </c:pt>
                <c:pt idx="50">
                  <c:v>42194</c:v>
                </c:pt>
                <c:pt idx="51">
                  <c:v>42195</c:v>
                </c:pt>
                <c:pt idx="52">
                  <c:v>42198</c:v>
                </c:pt>
                <c:pt idx="53">
                  <c:v>42199</c:v>
                </c:pt>
                <c:pt idx="54">
                  <c:v>42200</c:v>
                </c:pt>
                <c:pt idx="55">
                  <c:v>42201</c:v>
                </c:pt>
                <c:pt idx="56">
                  <c:v>42202</c:v>
                </c:pt>
                <c:pt idx="57">
                  <c:v>42205</c:v>
                </c:pt>
                <c:pt idx="58">
                  <c:v>42206</c:v>
                </c:pt>
                <c:pt idx="59">
                  <c:v>42207</c:v>
                </c:pt>
                <c:pt idx="60">
                  <c:v>42208</c:v>
                </c:pt>
                <c:pt idx="61">
                  <c:v>42209</c:v>
                </c:pt>
                <c:pt idx="62">
                  <c:v>42212</c:v>
                </c:pt>
                <c:pt idx="63">
                  <c:v>42213</c:v>
                </c:pt>
                <c:pt idx="64">
                  <c:v>42214</c:v>
                </c:pt>
                <c:pt idx="65">
                  <c:v>42215</c:v>
                </c:pt>
                <c:pt idx="66">
                  <c:v>42216</c:v>
                </c:pt>
                <c:pt idx="67">
                  <c:v>42219</c:v>
                </c:pt>
                <c:pt idx="68">
                  <c:v>42220</c:v>
                </c:pt>
                <c:pt idx="69">
                  <c:v>42221</c:v>
                </c:pt>
                <c:pt idx="70">
                  <c:v>42222</c:v>
                </c:pt>
                <c:pt idx="71">
                  <c:v>42223</c:v>
                </c:pt>
                <c:pt idx="72">
                  <c:v>42226</c:v>
                </c:pt>
                <c:pt idx="73">
                  <c:v>42227</c:v>
                </c:pt>
                <c:pt idx="74">
                  <c:v>42228</c:v>
                </c:pt>
                <c:pt idx="75">
                  <c:v>42229</c:v>
                </c:pt>
                <c:pt idx="76">
                  <c:v>42230</c:v>
                </c:pt>
                <c:pt idx="77">
                  <c:v>42233</c:v>
                </c:pt>
                <c:pt idx="78">
                  <c:v>42234</c:v>
                </c:pt>
                <c:pt idx="79">
                  <c:v>42235</c:v>
                </c:pt>
                <c:pt idx="80">
                  <c:v>42236</c:v>
                </c:pt>
                <c:pt idx="81">
                  <c:v>42237</c:v>
                </c:pt>
                <c:pt idx="82">
                  <c:v>42240</c:v>
                </c:pt>
                <c:pt idx="83">
                  <c:v>42241</c:v>
                </c:pt>
                <c:pt idx="84">
                  <c:v>42242</c:v>
                </c:pt>
                <c:pt idx="85">
                  <c:v>42243</c:v>
                </c:pt>
                <c:pt idx="86">
                  <c:v>42244</c:v>
                </c:pt>
                <c:pt idx="87">
                  <c:v>42247</c:v>
                </c:pt>
                <c:pt idx="88">
                  <c:v>42248</c:v>
                </c:pt>
                <c:pt idx="89">
                  <c:v>42249</c:v>
                </c:pt>
                <c:pt idx="90">
                  <c:v>42250</c:v>
                </c:pt>
                <c:pt idx="91">
                  <c:v>42251</c:v>
                </c:pt>
                <c:pt idx="92">
                  <c:v>42254</c:v>
                </c:pt>
                <c:pt idx="93">
                  <c:v>42255</c:v>
                </c:pt>
                <c:pt idx="94">
                  <c:v>42256</c:v>
                </c:pt>
                <c:pt idx="95">
                  <c:v>42257</c:v>
                </c:pt>
                <c:pt idx="96">
                  <c:v>42258</c:v>
                </c:pt>
                <c:pt idx="97">
                  <c:v>42261</c:v>
                </c:pt>
                <c:pt idx="98">
                  <c:v>42262</c:v>
                </c:pt>
                <c:pt idx="99">
                  <c:v>42263</c:v>
                </c:pt>
                <c:pt idx="100">
                  <c:v>42264</c:v>
                </c:pt>
                <c:pt idx="101">
                  <c:v>42265</c:v>
                </c:pt>
                <c:pt idx="102">
                  <c:v>42268</c:v>
                </c:pt>
                <c:pt idx="103">
                  <c:v>42269</c:v>
                </c:pt>
                <c:pt idx="104">
                  <c:v>42270</c:v>
                </c:pt>
                <c:pt idx="105">
                  <c:v>42271</c:v>
                </c:pt>
                <c:pt idx="106">
                  <c:v>42272</c:v>
                </c:pt>
                <c:pt idx="107">
                  <c:v>42275</c:v>
                </c:pt>
                <c:pt idx="108">
                  <c:v>42276</c:v>
                </c:pt>
                <c:pt idx="109">
                  <c:v>42277</c:v>
                </c:pt>
                <c:pt idx="110">
                  <c:v>42278</c:v>
                </c:pt>
                <c:pt idx="111">
                  <c:v>42279</c:v>
                </c:pt>
                <c:pt idx="112">
                  <c:v>42282</c:v>
                </c:pt>
                <c:pt idx="113">
                  <c:v>42283</c:v>
                </c:pt>
                <c:pt idx="114">
                  <c:v>42284</c:v>
                </c:pt>
                <c:pt idx="115">
                  <c:v>42285</c:v>
                </c:pt>
                <c:pt idx="116">
                  <c:v>42286</c:v>
                </c:pt>
                <c:pt idx="117">
                  <c:v>42289</c:v>
                </c:pt>
                <c:pt idx="118">
                  <c:v>42290</c:v>
                </c:pt>
                <c:pt idx="119">
                  <c:v>42291</c:v>
                </c:pt>
                <c:pt idx="120">
                  <c:v>42292</c:v>
                </c:pt>
                <c:pt idx="121">
                  <c:v>42293</c:v>
                </c:pt>
                <c:pt idx="122">
                  <c:v>42296</c:v>
                </c:pt>
                <c:pt idx="123">
                  <c:v>42297</c:v>
                </c:pt>
                <c:pt idx="124">
                  <c:v>42298</c:v>
                </c:pt>
                <c:pt idx="125">
                  <c:v>42299</c:v>
                </c:pt>
                <c:pt idx="126">
                  <c:v>42300</c:v>
                </c:pt>
                <c:pt idx="127">
                  <c:v>42303</c:v>
                </c:pt>
                <c:pt idx="128">
                  <c:v>42304</c:v>
                </c:pt>
                <c:pt idx="129">
                  <c:v>42305</c:v>
                </c:pt>
                <c:pt idx="130">
                  <c:v>42306</c:v>
                </c:pt>
                <c:pt idx="131">
                  <c:v>42307</c:v>
                </c:pt>
                <c:pt idx="132">
                  <c:v>42310</c:v>
                </c:pt>
                <c:pt idx="133">
                  <c:v>42311</c:v>
                </c:pt>
                <c:pt idx="134">
                  <c:v>42312</c:v>
                </c:pt>
                <c:pt idx="135">
                  <c:v>42313</c:v>
                </c:pt>
                <c:pt idx="136">
                  <c:v>42314</c:v>
                </c:pt>
                <c:pt idx="137">
                  <c:v>42317</c:v>
                </c:pt>
                <c:pt idx="138">
                  <c:v>42318</c:v>
                </c:pt>
                <c:pt idx="139">
                  <c:v>42319</c:v>
                </c:pt>
                <c:pt idx="140">
                  <c:v>42320</c:v>
                </c:pt>
                <c:pt idx="141">
                  <c:v>42321</c:v>
                </c:pt>
                <c:pt idx="142">
                  <c:v>42324</c:v>
                </c:pt>
                <c:pt idx="143">
                  <c:v>42325</c:v>
                </c:pt>
                <c:pt idx="144">
                  <c:v>42326</c:v>
                </c:pt>
                <c:pt idx="145">
                  <c:v>42327</c:v>
                </c:pt>
                <c:pt idx="146">
                  <c:v>42328</c:v>
                </c:pt>
                <c:pt idx="147">
                  <c:v>42331</c:v>
                </c:pt>
                <c:pt idx="148">
                  <c:v>42332</c:v>
                </c:pt>
                <c:pt idx="149">
                  <c:v>42333</c:v>
                </c:pt>
                <c:pt idx="150">
                  <c:v>42334</c:v>
                </c:pt>
                <c:pt idx="151">
                  <c:v>42335</c:v>
                </c:pt>
                <c:pt idx="152">
                  <c:v>42338</c:v>
                </c:pt>
                <c:pt idx="153">
                  <c:v>42339</c:v>
                </c:pt>
                <c:pt idx="154">
                  <c:v>42340</c:v>
                </c:pt>
                <c:pt idx="155">
                  <c:v>42341</c:v>
                </c:pt>
                <c:pt idx="156">
                  <c:v>42342</c:v>
                </c:pt>
                <c:pt idx="157">
                  <c:v>42345</c:v>
                </c:pt>
                <c:pt idx="158">
                  <c:v>42346</c:v>
                </c:pt>
                <c:pt idx="159">
                  <c:v>42347</c:v>
                </c:pt>
                <c:pt idx="160">
                  <c:v>42348</c:v>
                </c:pt>
                <c:pt idx="161">
                  <c:v>42349</c:v>
                </c:pt>
                <c:pt idx="162">
                  <c:v>42352</c:v>
                </c:pt>
                <c:pt idx="163">
                  <c:v>42353</c:v>
                </c:pt>
                <c:pt idx="164">
                  <c:v>42354</c:v>
                </c:pt>
                <c:pt idx="165">
                  <c:v>42355</c:v>
                </c:pt>
                <c:pt idx="166">
                  <c:v>42356</c:v>
                </c:pt>
                <c:pt idx="167">
                  <c:v>42359</c:v>
                </c:pt>
                <c:pt idx="168">
                  <c:v>42360</c:v>
                </c:pt>
                <c:pt idx="169">
                  <c:v>42361</c:v>
                </c:pt>
                <c:pt idx="170">
                  <c:v>42362</c:v>
                </c:pt>
                <c:pt idx="171">
                  <c:v>42366</c:v>
                </c:pt>
                <c:pt idx="172">
                  <c:v>42367</c:v>
                </c:pt>
                <c:pt idx="173">
                  <c:v>42368</c:v>
                </c:pt>
                <c:pt idx="174">
                  <c:v>42369</c:v>
                </c:pt>
                <c:pt idx="175">
                  <c:v>42373</c:v>
                </c:pt>
                <c:pt idx="176">
                  <c:v>42374</c:v>
                </c:pt>
                <c:pt idx="177">
                  <c:v>42375</c:v>
                </c:pt>
                <c:pt idx="178">
                  <c:v>42376</c:v>
                </c:pt>
                <c:pt idx="179">
                  <c:v>42377</c:v>
                </c:pt>
                <c:pt idx="180">
                  <c:v>42380</c:v>
                </c:pt>
                <c:pt idx="181">
                  <c:v>42381</c:v>
                </c:pt>
                <c:pt idx="182">
                  <c:v>42382</c:v>
                </c:pt>
                <c:pt idx="183">
                  <c:v>42383</c:v>
                </c:pt>
                <c:pt idx="184">
                  <c:v>42384</c:v>
                </c:pt>
                <c:pt idx="185">
                  <c:v>42387</c:v>
                </c:pt>
                <c:pt idx="186">
                  <c:v>42388</c:v>
                </c:pt>
                <c:pt idx="187">
                  <c:v>42389</c:v>
                </c:pt>
                <c:pt idx="188">
                  <c:v>42390</c:v>
                </c:pt>
                <c:pt idx="189">
                  <c:v>42391</c:v>
                </c:pt>
                <c:pt idx="190">
                  <c:v>42394</c:v>
                </c:pt>
                <c:pt idx="191">
                  <c:v>42395</c:v>
                </c:pt>
                <c:pt idx="192">
                  <c:v>42396</c:v>
                </c:pt>
                <c:pt idx="193">
                  <c:v>42397</c:v>
                </c:pt>
                <c:pt idx="194">
                  <c:v>42398</c:v>
                </c:pt>
                <c:pt idx="195">
                  <c:v>42401</c:v>
                </c:pt>
                <c:pt idx="196">
                  <c:v>42402</c:v>
                </c:pt>
                <c:pt idx="197">
                  <c:v>42403</c:v>
                </c:pt>
                <c:pt idx="198">
                  <c:v>42404</c:v>
                </c:pt>
                <c:pt idx="199">
                  <c:v>42405</c:v>
                </c:pt>
                <c:pt idx="200">
                  <c:v>42408</c:v>
                </c:pt>
                <c:pt idx="201">
                  <c:v>42409</c:v>
                </c:pt>
                <c:pt idx="202">
                  <c:v>42410</c:v>
                </c:pt>
                <c:pt idx="203">
                  <c:v>42411</c:v>
                </c:pt>
                <c:pt idx="204">
                  <c:v>42412</c:v>
                </c:pt>
                <c:pt idx="205">
                  <c:v>42415</c:v>
                </c:pt>
                <c:pt idx="206">
                  <c:v>42416</c:v>
                </c:pt>
                <c:pt idx="207">
                  <c:v>42417</c:v>
                </c:pt>
                <c:pt idx="208">
                  <c:v>42418</c:v>
                </c:pt>
                <c:pt idx="209">
                  <c:v>42419</c:v>
                </c:pt>
                <c:pt idx="210">
                  <c:v>42422</c:v>
                </c:pt>
                <c:pt idx="211">
                  <c:v>42423</c:v>
                </c:pt>
                <c:pt idx="212">
                  <c:v>42424</c:v>
                </c:pt>
                <c:pt idx="213">
                  <c:v>42425</c:v>
                </c:pt>
                <c:pt idx="214">
                  <c:v>42426</c:v>
                </c:pt>
                <c:pt idx="215">
                  <c:v>42429</c:v>
                </c:pt>
                <c:pt idx="216">
                  <c:v>42430</c:v>
                </c:pt>
                <c:pt idx="217">
                  <c:v>42431</c:v>
                </c:pt>
                <c:pt idx="218">
                  <c:v>42432</c:v>
                </c:pt>
                <c:pt idx="219">
                  <c:v>42433</c:v>
                </c:pt>
                <c:pt idx="220">
                  <c:v>42436</c:v>
                </c:pt>
                <c:pt idx="221">
                  <c:v>42437</c:v>
                </c:pt>
                <c:pt idx="222">
                  <c:v>42438</c:v>
                </c:pt>
                <c:pt idx="223">
                  <c:v>42439</c:v>
                </c:pt>
                <c:pt idx="224">
                  <c:v>42440</c:v>
                </c:pt>
                <c:pt idx="225">
                  <c:v>42443</c:v>
                </c:pt>
                <c:pt idx="226">
                  <c:v>42444</c:v>
                </c:pt>
                <c:pt idx="227">
                  <c:v>42445</c:v>
                </c:pt>
                <c:pt idx="228">
                  <c:v>42446</c:v>
                </c:pt>
                <c:pt idx="229">
                  <c:v>42447</c:v>
                </c:pt>
                <c:pt idx="230">
                  <c:v>42450</c:v>
                </c:pt>
                <c:pt idx="231">
                  <c:v>42451</c:v>
                </c:pt>
                <c:pt idx="232">
                  <c:v>42452</c:v>
                </c:pt>
                <c:pt idx="233">
                  <c:v>42453</c:v>
                </c:pt>
                <c:pt idx="234">
                  <c:v>42458</c:v>
                </c:pt>
                <c:pt idx="235">
                  <c:v>42459</c:v>
                </c:pt>
                <c:pt idx="236">
                  <c:v>42460</c:v>
                </c:pt>
                <c:pt idx="237">
                  <c:v>42461</c:v>
                </c:pt>
                <c:pt idx="238">
                  <c:v>42464</c:v>
                </c:pt>
                <c:pt idx="239">
                  <c:v>42465</c:v>
                </c:pt>
                <c:pt idx="240">
                  <c:v>42466</c:v>
                </c:pt>
                <c:pt idx="241">
                  <c:v>42467</c:v>
                </c:pt>
                <c:pt idx="242">
                  <c:v>42468</c:v>
                </c:pt>
                <c:pt idx="243">
                  <c:v>42471</c:v>
                </c:pt>
                <c:pt idx="244">
                  <c:v>42472</c:v>
                </c:pt>
                <c:pt idx="245">
                  <c:v>42473</c:v>
                </c:pt>
                <c:pt idx="246">
                  <c:v>42474</c:v>
                </c:pt>
                <c:pt idx="247">
                  <c:v>42475</c:v>
                </c:pt>
                <c:pt idx="248">
                  <c:v>42478</c:v>
                </c:pt>
                <c:pt idx="249">
                  <c:v>42479</c:v>
                </c:pt>
                <c:pt idx="250">
                  <c:v>42480</c:v>
                </c:pt>
                <c:pt idx="251">
                  <c:v>42481</c:v>
                </c:pt>
                <c:pt idx="252">
                  <c:v>42482</c:v>
                </c:pt>
                <c:pt idx="253">
                  <c:v>42485</c:v>
                </c:pt>
                <c:pt idx="254">
                  <c:v>42486</c:v>
                </c:pt>
                <c:pt idx="255">
                  <c:v>42487</c:v>
                </c:pt>
                <c:pt idx="256">
                  <c:v>42488</c:v>
                </c:pt>
                <c:pt idx="257">
                  <c:v>42495</c:v>
                </c:pt>
                <c:pt idx="258">
                  <c:v>42502</c:v>
                </c:pt>
                <c:pt idx="259">
                  <c:v>42509</c:v>
                </c:pt>
                <c:pt idx="260">
                  <c:v>42516</c:v>
                </c:pt>
                <c:pt idx="261">
                  <c:v>42523</c:v>
                </c:pt>
                <c:pt idx="262">
                  <c:v>42530</c:v>
                </c:pt>
                <c:pt idx="263">
                  <c:v>42537</c:v>
                </c:pt>
                <c:pt idx="264">
                  <c:v>42544</c:v>
                </c:pt>
                <c:pt idx="265">
                  <c:v>42551</c:v>
                </c:pt>
                <c:pt idx="266">
                  <c:v>42558</c:v>
                </c:pt>
                <c:pt idx="267">
                  <c:v>42565</c:v>
                </c:pt>
                <c:pt idx="268">
                  <c:v>42572</c:v>
                </c:pt>
                <c:pt idx="269">
                  <c:v>42579</c:v>
                </c:pt>
                <c:pt idx="270">
                  <c:v>42586</c:v>
                </c:pt>
                <c:pt idx="271">
                  <c:v>42593</c:v>
                </c:pt>
                <c:pt idx="272">
                  <c:v>42600</c:v>
                </c:pt>
                <c:pt idx="273">
                  <c:v>42607</c:v>
                </c:pt>
                <c:pt idx="274">
                  <c:v>42614</c:v>
                </c:pt>
                <c:pt idx="275">
                  <c:v>42621</c:v>
                </c:pt>
                <c:pt idx="276">
                  <c:v>42628</c:v>
                </c:pt>
                <c:pt idx="277">
                  <c:v>42635</c:v>
                </c:pt>
                <c:pt idx="278">
                  <c:v>42642</c:v>
                </c:pt>
                <c:pt idx="279">
                  <c:v>42649</c:v>
                </c:pt>
                <c:pt idx="280">
                  <c:v>42656</c:v>
                </c:pt>
                <c:pt idx="281">
                  <c:v>42663</c:v>
                </c:pt>
                <c:pt idx="282">
                  <c:v>42670</c:v>
                </c:pt>
                <c:pt idx="283">
                  <c:v>42677</c:v>
                </c:pt>
                <c:pt idx="284">
                  <c:v>42684</c:v>
                </c:pt>
                <c:pt idx="285">
                  <c:v>42691</c:v>
                </c:pt>
                <c:pt idx="286">
                  <c:v>42698</c:v>
                </c:pt>
                <c:pt idx="287">
                  <c:v>42705</c:v>
                </c:pt>
                <c:pt idx="288">
                  <c:v>42712</c:v>
                </c:pt>
                <c:pt idx="289">
                  <c:v>42719</c:v>
                </c:pt>
                <c:pt idx="290">
                  <c:v>42726</c:v>
                </c:pt>
                <c:pt idx="291">
                  <c:v>42733</c:v>
                </c:pt>
                <c:pt idx="292">
                  <c:v>42740</c:v>
                </c:pt>
                <c:pt idx="293">
                  <c:v>42747</c:v>
                </c:pt>
                <c:pt idx="294">
                  <c:v>42754</c:v>
                </c:pt>
                <c:pt idx="295">
                  <c:v>42761</c:v>
                </c:pt>
                <c:pt idx="296">
                  <c:v>42768</c:v>
                </c:pt>
                <c:pt idx="297">
                  <c:v>42775</c:v>
                </c:pt>
                <c:pt idx="298">
                  <c:v>42782</c:v>
                </c:pt>
                <c:pt idx="299">
                  <c:v>42789</c:v>
                </c:pt>
                <c:pt idx="300">
                  <c:v>42796</c:v>
                </c:pt>
                <c:pt idx="301">
                  <c:v>42803</c:v>
                </c:pt>
                <c:pt idx="302">
                  <c:v>42810</c:v>
                </c:pt>
                <c:pt idx="303">
                  <c:v>42817</c:v>
                </c:pt>
                <c:pt idx="304">
                  <c:v>42824</c:v>
                </c:pt>
                <c:pt idx="305">
                  <c:v>42831</c:v>
                </c:pt>
                <c:pt idx="306">
                  <c:v>42838</c:v>
                </c:pt>
                <c:pt idx="307">
                  <c:v>42845</c:v>
                </c:pt>
                <c:pt idx="308">
                  <c:v>42852</c:v>
                </c:pt>
                <c:pt idx="309">
                  <c:v>42859</c:v>
                </c:pt>
                <c:pt idx="310">
                  <c:v>42866</c:v>
                </c:pt>
                <c:pt idx="311">
                  <c:v>42873</c:v>
                </c:pt>
                <c:pt idx="312">
                  <c:v>42880</c:v>
                </c:pt>
                <c:pt idx="313">
                  <c:v>42887</c:v>
                </c:pt>
                <c:pt idx="314">
                  <c:v>42894</c:v>
                </c:pt>
                <c:pt idx="315">
                  <c:v>42901</c:v>
                </c:pt>
                <c:pt idx="316">
                  <c:v>42908</c:v>
                </c:pt>
                <c:pt idx="317">
                  <c:v>42915</c:v>
                </c:pt>
                <c:pt idx="318">
                  <c:v>42922</c:v>
                </c:pt>
                <c:pt idx="319">
                  <c:v>42929</c:v>
                </c:pt>
                <c:pt idx="320">
                  <c:v>42936</c:v>
                </c:pt>
                <c:pt idx="321">
                  <c:v>42943</c:v>
                </c:pt>
                <c:pt idx="322">
                  <c:v>42950</c:v>
                </c:pt>
                <c:pt idx="323">
                  <c:v>42957</c:v>
                </c:pt>
                <c:pt idx="324">
                  <c:v>42964</c:v>
                </c:pt>
                <c:pt idx="325">
                  <c:v>42971</c:v>
                </c:pt>
                <c:pt idx="326">
                  <c:v>42978</c:v>
                </c:pt>
                <c:pt idx="327">
                  <c:v>42985</c:v>
                </c:pt>
                <c:pt idx="328">
                  <c:v>42992</c:v>
                </c:pt>
                <c:pt idx="329">
                  <c:v>42999</c:v>
                </c:pt>
                <c:pt idx="330">
                  <c:v>43006</c:v>
                </c:pt>
                <c:pt idx="331">
                  <c:v>43013</c:v>
                </c:pt>
                <c:pt idx="332">
                  <c:v>43020</c:v>
                </c:pt>
                <c:pt idx="333">
                  <c:v>43027</c:v>
                </c:pt>
                <c:pt idx="334">
                  <c:v>43034</c:v>
                </c:pt>
                <c:pt idx="335">
                  <c:v>43041</c:v>
                </c:pt>
                <c:pt idx="336">
                  <c:v>43048</c:v>
                </c:pt>
                <c:pt idx="337">
                  <c:v>43055</c:v>
                </c:pt>
                <c:pt idx="338">
                  <c:v>43062</c:v>
                </c:pt>
                <c:pt idx="339">
                  <c:v>43069</c:v>
                </c:pt>
                <c:pt idx="340">
                  <c:v>43076</c:v>
                </c:pt>
                <c:pt idx="341">
                  <c:v>43083</c:v>
                </c:pt>
                <c:pt idx="342">
                  <c:v>43090</c:v>
                </c:pt>
                <c:pt idx="343">
                  <c:v>43098</c:v>
                </c:pt>
                <c:pt idx="344">
                  <c:v>43105</c:v>
                </c:pt>
                <c:pt idx="345">
                  <c:v>43112</c:v>
                </c:pt>
                <c:pt idx="346">
                  <c:v>43119</c:v>
                </c:pt>
                <c:pt idx="347">
                  <c:v>43126</c:v>
                </c:pt>
                <c:pt idx="348">
                  <c:v>43133</c:v>
                </c:pt>
                <c:pt idx="349">
                  <c:v>43140</c:v>
                </c:pt>
                <c:pt idx="350">
                  <c:v>43147</c:v>
                </c:pt>
                <c:pt idx="351">
                  <c:v>43154</c:v>
                </c:pt>
                <c:pt idx="352">
                  <c:v>43161</c:v>
                </c:pt>
                <c:pt idx="353">
                  <c:v>43168</c:v>
                </c:pt>
                <c:pt idx="354">
                  <c:v>43175</c:v>
                </c:pt>
                <c:pt idx="355">
                  <c:v>43182</c:v>
                </c:pt>
                <c:pt idx="356">
                  <c:v>43193</c:v>
                </c:pt>
                <c:pt idx="357">
                  <c:v>43196</c:v>
                </c:pt>
                <c:pt idx="358">
                  <c:v>43203</c:v>
                </c:pt>
                <c:pt idx="359">
                  <c:v>43210</c:v>
                </c:pt>
                <c:pt idx="360">
                  <c:v>43217</c:v>
                </c:pt>
                <c:pt idx="361">
                  <c:v>43224</c:v>
                </c:pt>
                <c:pt idx="362">
                  <c:v>43231</c:v>
                </c:pt>
                <c:pt idx="363">
                  <c:v>43238</c:v>
                </c:pt>
                <c:pt idx="364">
                  <c:v>43245</c:v>
                </c:pt>
                <c:pt idx="365">
                  <c:v>43252</c:v>
                </c:pt>
                <c:pt idx="366">
                  <c:v>43259</c:v>
                </c:pt>
                <c:pt idx="367">
                  <c:v>43266</c:v>
                </c:pt>
                <c:pt idx="368">
                  <c:v>43273</c:v>
                </c:pt>
                <c:pt idx="369">
                  <c:v>43280</c:v>
                </c:pt>
                <c:pt idx="370">
                  <c:v>43287</c:v>
                </c:pt>
                <c:pt idx="371">
                  <c:v>43294</c:v>
                </c:pt>
                <c:pt idx="372">
                  <c:v>43301</c:v>
                </c:pt>
                <c:pt idx="373">
                  <c:v>43308</c:v>
                </c:pt>
                <c:pt idx="374">
                  <c:v>43315</c:v>
                </c:pt>
                <c:pt idx="375">
                  <c:v>43322</c:v>
                </c:pt>
                <c:pt idx="376">
                  <c:v>43329</c:v>
                </c:pt>
                <c:pt idx="377">
                  <c:v>43336</c:v>
                </c:pt>
                <c:pt idx="378">
                  <c:v>43343</c:v>
                </c:pt>
                <c:pt idx="379">
                  <c:v>43350</c:v>
                </c:pt>
                <c:pt idx="380">
                  <c:v>43357</c:v>
                </c:pt>
                <c:pt idx="381">
                  <c:v>43364</c:v>
                </c:pt>
                <c:pt idx="382">
                  <c:v>43371</c:v>
                </c:pt>
                <c:pt idx="383">
                  <c:v>43378</c:v>
                </c:pt>
                <c:pt idx="384">
                  <c:v>43385</c:v>
                </c:pt>
                <c:pt idx="385">
                  <c:v>43392</c:v>
                </c:pt>
                <c:pt idx="386">
                  <c:v>43399</c:v>
                </c:pt>
                <c:pt idx="387">
                  <c:v>43406</c:v>
                </c:pt>
                <c:pt idx="388">
                  <c:v>43413</c:v>
                </c:pt>
                <c:pt idx="389">
                  <c:v>43420</c:v>
                </c:pt>
                <c:pt idx="390">
                  <c:v>43427</c:v>
                </c:pt>
                <c:pt idx="391">
                  <c:v>43434</c:v>
                </c:pt>
                <c:pt idx="392">
                  <c:v>43441</c:v>
                </c:pt>
                <c:pt idx="393">
                  <c:v>43448</c:v>
                </c:pt>
                <c:pt idx="394">
                  <c:v>43455</c:v>
                </c:pt>
                <c:pt idx="395">
                  <c:v>43465</c:v>
                </c:pt>
                <c:pt idx="396">
                  <c:v>43472</c:v>
                </c:pt>
                <c:pt idx="397">
                  <c:v>43479</c:v>
                </c:pt>
                <c:pt idx="398">
                  <c:v>43486</c:v>
                </c:pt>
                <c:pt idx="399">
                  <c:v>43493</c:v>
                </c:pt>
                <c:pt idx="400">
                  <c:v>43500</c:v>
                </c:pt>
                <c:pt idx="401">
                  <c:v>43507</c:v>
                </c:pt>
                <c:pt idx="402">
                  <c:v>43514</c:v>
                </c:pt>
                <c:pt idx="403">
                  <c:v>43521</c:v>
                </c:pt>
                <c:pt idx="404">
                  <c:v>43528</c:v>
                </c:pt>
                <c:pt idx="405">
                  <c:v>43535</c:v>
                </c:pt>
                <c:pt idx="406">
                  <c:v>43542</c:v>
                </c:pt>
                <c:pt idx="407">
                  <c:v>43549</c:v>
                </c:pt>
                <c:pt idx="408">
                  <c:v>43556</c:v>
                </c:pt>
                <c:pt idx="409">
                  <c:v>43563</c:v>
                </c:pt>
                <c:pt idx="410">
                  <c:v>43570</c:v>
                </c:pt>
                <c:pt idx="411">
                  <c:v>43579</c:v>
                </c:pt>
                <c:pt idx="412">
                  <c:v>43584</c:v>
                </c:pt>
                <c:pt idx="413">
                  <c:v>43591</c:v>
                </c:pt>
                <c:pt idx="414">
                  <c:v>43598</c:v>
                </c:pt>
                <c:pt idx="415">
                  <c:v>43605</c:v>
                </c:pt>
                <c:pt idx="416">
                  <c:v>43612</c:v>
                </c:pt>
                <c:pt idx="417">
                  <c:v>43619</c:v>
                </c:pt>
                <c:pt idx="418">
                  <c:v>43626</c:v>
                </c:pt>
                <c:pt idx="419">
                  <c:v>43633</c:v>
                </c:pt>
                <c:pt idx="420">
                  <c:v>43640</c:v>
                </c:pt>
                <c:pt idx="421">
                  <c:v>43647</c:v>
                </c:pt>
                <c:pt idx="422">
                  <c:v>43654</c:v>
                </c:pt>
                <c:pt idx="423">
                  <c:v>43661</c:v>
                </c:pt>
                <c:pt idx="424">
                  <c:v>43668</c:v>
                </c:pt>
                <c:pt idx="425">
                  <c:v>43675</c:v>
                </c:pt>
                <c:pt idx="426">
                  <c:v>43682</c:v>
                </c:pt>
                <c:pt idx="427">
                  <c:v>43689</c:v>
                </c:pt>
                <c:pt idx="428">
                  <c:v>43696</c:v>
                </c:pt>
                <c:pt idx="429">
                  <c:v>43703</c:v>
                </c:pt>
                <c:pt idx="430">
                  <c:v>43710</c:v>
                </c:pt>
                <c:pt idx="431">
                  <c:v>43717</c:v>
                </c:pt>
                <c:pt idx="432">
                  <c:v>43724</c:v>
                </c:pt>
                <c:pt idx="433">
                  <c:v>43731</c:v>
                </c:pt>
                <c:pt idx="434">
                  <c:v>43738</c:v>
                </c:pt>
                <c:pt idx="435">
                  <c:v>43745</c:v>
                </c:pt>
                <c:pt idx="436">
                  <c:v>43752</c:v>
                </c:pt>
                <c:pt idx="437">
                  <c:v>43759</c:v>
                </c:pt>
                <c:pt idx="438">
                  <c:v>43766</c:v>
                </c:pt>
                <c:pt idx="439">
                  <c:v>43773</c:v>
                </c:pt>
                <c:pt idx="440">
                  <c:v>43780</c:v>
                </c:pt>
                <c:pt idx="441">
                  <c:v>43787</c:v>
                </c:pt>
                <c:pt idx="442">
                  <c:v>43794</c:v>
                </c:pt>
                <c:pt idx="443">
                  <c:v>43801</c:v>
                </c:pt>
                <c:pt idx="444">
                  <c:v>43808</c:v>
                </c:pt>
                <c:pt idx="445">
                  <c:v>43815</c:v>
                </c:pt>
                <c:pt idx="446">
                  <c:v>43822</c:v>
                </c:pt>
                <c:pt idx="447">
                  <c:v>43830</c:v>
                </c:pt>
                <c:pt idx="448">
                  <c:v>43837</c:v>
                </c:pt>
                <c:pt idx="449">
                  <c:v>43844</c:v>
                </c:pt>
                <c:pt idx="450">
                  <c:v>43851</c:v>
                </c:pt>
                <c:pt idx="451">
                  <c:v>43858</c:v>
                </c:pt>
                <c:pt idx="452">
                  <c:v>43865</c:v>
                </c:pt>
                <c:pt idx="453">
                  <c:v>43872</c:v>
                </c:pt>
                <c:pt idx="454">
                  <c:v>43879</c:v>
                </c:pt>
                <c:pt idx="455">
                  <c:v>43886</c:v>
                </c:pt>
                <c:pt idx="456">
                  <c:v>43893</c:v>
                </c:pt>
                <c:pt idx="457">
                  <c:v>43900</c:v>
                </c:pt>
                <c:pt idx="458">
                  <c:v>43907</c:v>
                </c:pt>
                <c:pt idx="459">
                  <c:v>43914</c:v>
                </c:pt>
                <c:pt idx="460">
                  <c:v>43921</c:v>
                </c:pt>
                <c:pt idx="461">
                  <c:v>43928</c:v>
                </c:pt>
                <c:pt idx="462">
                  <c:v>43937</c:v>
                </c:pt>
                <c:pt idx="463">
                  <c:v>43944</c:v>
                </c:pt>
                <c:pt idx="464">
                  <c:v>43951</c:v>
                </c:pt>
                <c:pt idx="465">
                  <c:v>43958</c:v>
                </c:pt>
                <c:pt idx="466">
                  <c:v>43965</c:v>
                </c:pt>
                <c:pt idx="467">
                  <c:v>43972</c:v>
                </c:pt>
                <c:pt idx="468">
                  <c:v>43979</c:v>
                </c:pt>
                <c:pt idx="469">
                  <c:v>43986</c:v>
                </c:pt>
                <c:pt idx="470">
                  <c:v>43993</c:v>
                </c:pt>
                <c:pt idx="471">
                  <c:v>44000</c:v>
                </c:pt>
                <c:pt idx="472">
                  <c:v>44007</c:v>
                </c:pt>
                <c:pt idx="473">
                  <c:v>44014</c:v>
                </c:pt>
                <c:pt idx="474">
                  <c:v>44021</c:v>
                </c:pt>
                <c:pt idx="475">
                  <c:v>44028</c:v>
                </c:pt>
                <c:pt idx="476">
                  <c:v>44035</c:v>
                </c:pt>
                <c:pt idx="477">
                  <c:v>44042</c:v>
                </c:pt>
                <c:pt idx="478">
                  <c:v>44049</c:v>
                </c:pt>
                <c:pt idx="479">
                  <c:v>44056</c:v>
                </c:pt>
                <c:pt idx="480">
                  <c:v>44063</c:v>
                </c:pt>
                <c:pt idx="481">
                  <c:v>44070</c:v>
                </c:pt>
                <c:pt idx="482">
                  <c:v>44077</c:v>
                </c:pt>
                <c:pt idx="483">
                  <c:v>44084</c:v>
                </c:pt>
                <c:pt idx="484">
                  <c:v>44091</c:v>
                </c:pt>
                <c:pt idx="485">
                  <c:v>44098</c:v>
                </c:pt>
                <c:pt idx="486">
                  <c:v>44105</c:v>
                </c:pt>
                <c:pt idx="487">
                  <c:v>44112</c:v>
                </c:pt>
                <c:pt idx="488">
                  <c:v>44119</c:v>
                </c:pt>
                <c:pt idx="489">
                  <c:v>44126</c:v>
                </c:pt>
                <c:pt idx="490">
                  <c:v>44133</c:v>
                </c:pt>
                <c:pt idx="491">
                  <c:v>44140</c:v>
                </c:pt>
                <c:pt idx="492">
                  <c:v>44147</c:v>
                </c:pt>
                <c:pt idx="493">
                  <c:v>44154</c:v>
                </c:pt>
                <c:pt idx="494">
                  <c:v>44161</c:v>
                </c:pt>
                <c:pt idx="495">
                  <c:v>44168</c:v>
                </c:pt>
                <c:pt idx="496">
                  <c:v>44175</c:v>
                </c:pt>
                <c:pt idx="497">
                  <c:v>44182</c:v>
                </c:pt>
                <c:pt idx="498">
                  <c:v>44189</c:v>
                </c:pt>
                <c:pt idx="499">
                  <c:v>44196</c:v>
                </c:pt>
                <c:pt idx="500">
                  <c:v>44203</c:v>
                </c:pt>
                <c:pt idx="501">
                  <c:v>44210</c:v>
                </c:pt>
                <c:pt idx="502">
                  <c:v>44217</c:v>
                </c:pt>
                <c:pt idx="503">
                  <c:v>44224</c:v>
                </c:pt>
                <c:pt idx="504">
                  <c:v>44231</c:v>
                </c:pt>
                <c:pt idx="505">
                  <c:v>44238</c:v>
                </c:pt>
                <c:pt idx="506">
                  <c:v>44245</c:v>
                </c:pt>
                <c:pt idx="507">
                  <c:v>44252</c:v>
                </c:pt>
                <c:pt idx="508">
                  <c:v>44259</c:v>
                </c:pt>
                <c:pt idx="509">
                  <c:v>44266</c:v>
                </c:pt>
                <c:pt idx="510">
                  <c:v>44273</c:v>
                </c:pt>
                <c:pt idx="511">
                  <c:v>44280</c:v>
                </c:pt>
                <c:pt idx="512">
                  <c:v>44287</c:v>
                </c:pt>
                <c:pt idx="513">
                  <c:v>44294</c:v>
                </c:pt>
                <c:pt idx="514">
                  <c:v>44301</c:v>
                </c:pt>
                <c:pt idx="515">
                  <c:v>44308</c:v>
                </c:pt>
                <c:pt idx="516">
                  <c:v>44315</c:v>
                </c:pt>
                <c:pt idx="517">
                  <c:v>44322</c:v>
                </c:pt>
                <c:pt idx="518">
                  <c:v>44329</c:v>
                </c:pt>
                <c:pt idx="519">
                  <c:v>44336</c:v>
                </c:pt>
                <c:pt idx="520">
                  <c:v>44343</c:v>
                </c:pt>
                <c:pt idx="521">
                  <c:v>44350</c:v>
                </c:pt>
                <c:pt idx="522">
                  <c:v>44357</c:v>
                </c:pt>
                <c:pt idx="523">
                  <c:v>44364</c:v>
                </c:pt>
                <c:pt idx="524">
                  <c:v>44371</c:v>
                </c:pt>
                <c:pt idx="525">
                  <c:v>44378</c:v>
                </c:pt>
                <c:pt idx="526">
                  <c:v>44385</c:v>
                </c:pt>
                <c:pt idx="527">
                  <c:v>44392</c:v>
                </c:pt>
                <c:pt idx="528">
                  <c:v>44399</c:v>
                </c:pt>
                <c:pt idx="529">
                  <c:v>44406</c:v>
                </c:pt>
                <c:pt idx="530">
                  <c:v>44413</c:v>
                </c:pt>
                <c:pt idx="531">
                  <c:v>44420</c:v>
                </c:pt>
                <c:pt idx="532">
                  <c:v>44427</c:v>
                </c:pt>
                <c:pt idx="533">
                  <c:v>44434</c:v>
                </c:pt>
                <c:pt idx="534">
                  <c:v>44441</c:v>
                </c:pt>
                <c:pt idx="535">
                  <c:v>44448</c:v>
                </c:pt>
                <c:pt idx="536">
                  <c:v>44455</c:v>
                </c:pt>
                <c:pt idx="537">
                  <c:v>44462</c:v>
                </c:pt>
                <c:pt idx="538">
                  <c:v>44469</c:v>
                </c:pt>
                <c:pt idx="539">
                  <c:v>44476</c:v>
                </c:pt>
                <c:pt idx="540">
                  <c:v>44483</c:v>
                </c:pt>
                <c:pt idx="541">
                  <c:v>44490</c:v>
                </c:pt>
                <c:pt idx="542">
                  <c:v>44497</c:v>
                </c:pt>
                <c:pt idx="543">
                  <c:v>44504</c:v>
                </c:pt>
                <c:pt idx="544">
                  <c:v>44511</c:v>
                </c:pt>
                <c:pt idx="545">
                  <c:v>44518</c:v>
                </c:pt>
                <c:pt idx="546">
                  <c:v>44525</c:v>
                </c:pt>
                <c:pt idx="547">
                  <c:v>44532</c:v>
                </c:pt>
                <c:pt idx="548">
                  <c:v>44539</c:v>
                </c:pt>
                <c:pt idx="549">
                  <c:v>44546</c:v>
                </c:pt>
                <c:pt idx="550">
                  <c:v>44553</c:v>
                </c:pt>
                <c:pt idx="551">
                  <c:v>44560</c:v>
                </c:pt>
                <c:pt idx="552">
                  <c:v>44567</c:v>
                </c:pt>
                <c:pt idx="553">
                  <c:v>44574</c:v>
                </c:pt>
                <c:pt idx="554">
                  <c:v>44581</c:v>
                </c:pt>
                <c:pt idx="555">
                  <c:v>44588</c:v>
                </c:pt>
                <c:pt idx="556">
                  <c:v>44595</c:v>
                </c:pt>
                <c:pt idx="557">
                  <c:v>44602</c:v>
                </c:pt>
                <c:pt idx="558">
                  <c:v>44609</c:v>
                </c:pt>
                <c:pt idx="559">
                  <c:v>44616</c:v>
                </c:pt>
                <c:pt idx="560">
                  <c:v>44623</c:v>
                </c:pt>
                <c:pt idx="561">
                  <c:v>44630</c:v>
                </c:pt>
                <c:pt idx="562">
                  <c:v>44637</c:v>
                </c:pt>
                <c:pt idx="563">
                  <c:v>44644</c:v>
                </c:pt>
                <c:pt idx="564">
                  <c:v>44651</c:v>
                </c:pt>
                <c:pt idx="565">
                  <c:v>44658</c:v>
                </c:pt>
                <c:pt idx="566">
                  <c:v>44665</c:v>
                </c:pt>
                <c:pt idx="567">
                  <c:v>44672</c:v>
                </c:pt>
                <c:pt idx="568">
                  <c:v>44679</c:v>
                </c:pt>
                <c:pt idx="569">
                  <c:v>44686</c:v>
                </c:pt>
                <c:pt idx="570">
                  <c:v>44693</c:v>
                </c:pt>
                <c:pt idx="571">
                  <c:v>44700</c:v>
                </c:pt>
                <c:pt idx="572">
                  <c:v>44707</c:v>
                </c:pt>
                <c:pt idx="573">
                  <c:v>44714</c:v>
                </c:pt>
                <c:pt idx="574">
                  <c:v>44721</c:v>
                </c:pt>
                <c:pt idx="575">
                  <c:v>44728</c:v>
                </c:pt>
                <c:pt idx="576">
                  <c:v>44735</c:v>
                </c:pt>
                <c:pt idx="577">
                  <c:v>44742</c:v>
                </c:pt>
                <c:pt idx="578">
                  <c:v>44749</c:v>
                </c:pt>
                <c:pt idx="579">
                  <c:v>44756</c:v>
                </c:pt>
                <c:pt idx="580">
                  <c:v>44763</c:v>
                </c:pt>
                <c:pt idx="581">
                  <c:v>44770</c:v>
                </c:pt>
                <c:pt idx="582">
                  <c:v>44777</c:v>
                </c:pt>
                <c:pt idx="583">
                  <c:v>44784</c:v>
                </c:pt>
                <c:pt idx="584">
                  <c:v>44791</c:v>
                </c:pt>
                <c:pt idx="585">
                  <c:v>44798</c:v>
                </c:pt>
                <c:pt idx="586">
                  <c:v>44805</c:v>
                </c:pt>
                <c:pt idx="587">
                  <c:v>44812</c:v>
                </c:pt>
                <c:pt idx="588">
                  <c:v>44819</c:v>
                </c:pt>
                <c:pt idx="589">
                  <c:v>44826</c:v>
                </c:pt>
                <c:pt idx="590">
                  <c:v>44833</c:v>
                </c:pt>
                <c:pt idx="591">
                  <c:v>44840</c:v>
                </c:pt>
                <c:pt idx="592">
                  <c:v>44847</c:v>
                </c:pt>
                <c:pt idx="593">
                  <c:v>44854</c:v>
                </c:pt>
                <c:pt idx="594">
                  <c:v>44861</c:v>
                </c:pt>
                <c:pt idx="595">
                  <c:v>44868</c:v>
                </c:pt>
                <c:pt idx="596">
                  <c:v>44875</c:v>
                </c:pt>
                <c:pt idx="597">
                  <c:v>44882</c:v>
                </c:pt>
                <c:pt idx="598">
                  <c:v>44889</c:v>
                </c:pt>
                <c:pt idx="599">
                  <c:v>44896</c:v>
                </c:pt>
                <c:pt idx="600">
                  <c:v>44903</c:v>
                </c:pt>
                <c:pt idx="601">
                  <c:v>44910</c:v>
                </c:pt>
                <c:pt idx="602">
                  <c:v>44917</c:v>
                </c:pt>
                <c:pt idx="603">
                  <c:v>44924</c:v>
                </c:pt>
                <c:pt idx="604">
                  <c:v>44931</c:v>
                </c:pt>
                <c:pt idx="605">
                  <c:v>44938</c:v>
                </c:pt>
                <c:pt idx="606">
                  <c:v>44945</c:v>
                </c:pt>
                <c:pt idx="607">
                  <c:v>44952</c:v>
                </c:pt>
                <c:pt idx="608">
                  <c:v>44959</c:v>
                </c:pt>
                <c:pt idx="609">
                  <c:v>44966</c:v>
                </c:pt>
                <c:pt idx="610">
                  <c:v>44973</c:v>
                </c:pt>
                <c:pt idx="611">
                  <c:v>44980</c:v>
                </c:pt>
                <c:pt idx="612">
                  <c:v>44987</c:v>
                </c:pt>
                <c:pt idx="613">
                  <c:v>44994</c:v>
                </c:pt>
                <c:pt idx="614">
                  <c:v>45001</c:v>
                </c:pt>
                <c:pt idx="615">
                  <c:v>45008</c:v>
                </c:pt>
                <c:pt idx="616">
                  <c:v>45015</c:v>
                </c:pt>
                <c:pt idx="617">
                  <c:v>45022</c:v>
                </c:pt>
                <c:pt idx="618">
                  <c:v>45029</c:v>
                </c:pt>
                <c:pt idx="619">
                  <c:v>45036</c:v>
                </c:pt>
                <c:pt idx="620">
                  <c:v>45043</c:v>
                </c:pt>
                <c:pt idx="621">
                  <c:v>45050</c:v>
                </c:pt>
                <c:pt idx="622">
                  <c:v>45057</c:v>
                </c:pt>
                <c:pt idx="623">
                  <c:v>45064</c:v>
                </c:pt>
                <c:pt idx="624">
                  <c:v>45071</c:v>
                </c:pt>
                <c:pt idx="625">
                  <c:v>45078</c:v>
                </c:pt>
                <c:pt idx="626">
                  <c:v>45085</c:v>
                </c:pt>
                <c:pt idx="627">
                  <c:v>45092</c:v>
                </c:pt>
                <c:pt idx="628">
                  <c:v>45099</c:v>
                </c:pt>
                <c:pt idx="629">
                  <c:v>45106</c:v>
                </c:pt>
                <c:pt idx="630">
                  <c:v>45113</c:v>
                </c:pt>
                <c:pt idx="631">
                  <c:v>45120</c:v>
                </c:pt>
                <c:pt idx="632">
                  <c:v>45127</c:v>
                </c:pt>
                <c:pt idx="633">
                  <c:v>45134</c:v>
                </c:pt>
                <c:pt idx="634">
                  <c:v>45141</c:v>
                </c:pt>
                <c:pt idx="635">
                  <c:v>45148</c:v>
                </c:pt>
                <c:pt idx="636">
                  <c:v>45155</c:v>
                </c:pt>
                <c:pt idx="637">
                  <c:v>45162</c:v>
                </c:pt>
                <c:pt idx="638">
                  <c:v>45169</c:v>
                </c:pt>
                <c:pt idx="639">
                  <c:v>45176</c:v>
                </c:pt>
                <c:pt idx="640">
                  <c:v>45183</c:v>
                </c:pt>
                <c:pt idx="641">
                  <c:v>45190</c:v>
                </c:pt>
                <c:pt idx="642">
                  <c:v>45197</c:v>
                </c:pt>
                <c:pt idx="643">
                  <c:v>45204</c:v>
                </c:pt>
                <c:pt idx="644">
                  <c:v>45211</c:v>
                </c:pt>
                <c:pt idx="645">
                  <c:v>45218</c:v>
                </c:pt>
                <c:pt idx="646">
                  <c:v>45225</c:v>
                </c:pt>
                <c:pt idx="647">
                  <c:v>45232</c:v>
                </c:pt>
                <c:pt idx="648">
                  <c:v>45239</c:v>
                </c:pt>
                <c:pt idx="649">
                  <c:v>45246</c:v>
                </c:pt>
                <c:pt idx="650">
                  <c:v>45253</c:v>
                </c:pt>
                <c:pt idx="651">
                  <c:v>45260</c:v>
                </c:pt>
                <c:pt idx="652">
                  <c:v>45267</c:v>
                </c:pt>
                <c:pt idx="653">
                  <c:v>45274</c:v>
                </c:pt>
                <c:pt idx="654">
                  <c:v>45281</c:v>
                </c:pt>
                <c:pt idx="655">
                  <c:v>45289</c:v>
                </c:pt>
                <c:pt idx="656">
                  <c:v>45296</c:v>
                </c:pt>
                <c:pt idx="657">
                  <c:v>45303</c:v>
                </c:pt>
                <c:pt idx="658">
                  <c:v>45310</c:v>
                </c:pt>
                <c:pt idx="659">
                  <c:v>45317</c:v>
                </c:pt>
                <c:pt idx="660">
                  <c:v>45324</c:v>
                </c:pt>
                <c:pt idx="661">
                  <c:v>45331</c:v>
                </c:pt>
                <c:pt idx="662">
                  <c:v>45338</c:v>
                </c:pt>
                <c:pt idx="663">
                  <c:v>45345</c:v>
                </c:pt>
                <c:pt idx="664">
                  <c:v>45352</c:v>
                </c:pt>
                <c:pt idx="665">
                  <c:v>45359</c:v>
                </c:pt>
                <c:pt idx="666">
                  <c:v>45366</c:v>
                </c:pt>
                <c:pt idx="667">
                  <c:v>45373</c:v>
                </c:pt>
                <c:pt idx="668">
                  <c:v>45384</c:v>
                </c:pt>
                <c:pt idx="669">
                  <c:v>45387</c:v>
                </c:pt>
                <c:pt idx="670">
                  <c:v>45394</c:v>
                </c:pt>
                <c:pt idx="671">
                  <c:v>45401</c:v>
                </c:pt>
                <c:pt idx="672">
                  <c:v>45408</c:v>
                </c:pt>
                <c:pt idx="673">
                  <c:v>45418</c:v>
                </c:pt>
                <c:pt idx="674">
                  <c:v>45425</c:v>
                </c:pt>
                <c:pt idx="675">
                  <c:v>45432</c:v>
                </c:pt>
                <c:pt idx="676">
                  <c:v>45439</c:v>
                </c:pt>
                <c:pt idx="677">
                  <c:v>45446</c:v>
                </c:pt>
                <c:pt idx="678">
                  <c:v>45453</c:v>
                </c:pt>
                <c:pt idx="679">
                  <c:v>45460</c:v>
                </c:pt>
                <c:pt idx="680">
                  <c:v>45467</c:v>
                </c:pt>
                <c:pt idx="681">
                  <c:v>45474</c:v>
                </c:pt>
                <c:pt idx="682">
                  <c:v>45481</c:v>
                </c:pt>
                <c:pt idx="683">
                  <c:v>45488</c:v>
                </c:pt>
                <c:pt idx="684">
                  <c:v>45495</c:v>
                </c:pt>
                <c:pt idx="685">
                  <c:v>45502</c:v>
                </c:pt>
                <c:pt idx="686">
                  <c:v>45509</c:v>
                </c:pt>
                <c:pt idx="687">
                  <c:v>45516</c:v>
                </c:pt>
                <c:pt idx="688">
                  <c:v>45523</c:v>
                </c:pt>
                <c:pt idx="689">
                  <c:v>45530</c:v>
                </c:pt>
                <c:pt idx="690">
                  <c:v>45537</c:v>
                </c:pt>
                <c:pt idx="691">
                  <c:v>45544</c:v>
                </c:pt>
                <c:pt idx="692">
                  <c:v>45551</c:v>
                </c:pt>
                <c:pt idx="693">
                  <c:v>45558</c:v>
                </c:pt>
                <c:pt idx="694">
                  <c:v>45565</c:v>
                </c:pt>
                <c:pt idx="695">
                  <c:v>45572</c:v>
                </c:pt>
                <c:pt idx="696">
                  <c:v>45579</c:v>
                </c:pt>
                <c:pt idx="697">
                  <c:v>45586</c:v>
                </c:pt>
                <c:pt idx="698">
                  <c:v>45593</c:v>
                </c:pt>
                <c:pt idx="699">
                  <c:v>45600</c:v>
                </c:pt>
                <c:pt idx="700">
                  <c:v>45607</c:v>
                </c:pt>
                <c:pt idx="701">
                  <c:v>45614</c:v>
                </c:pt>
                <c:pt idx="702">
                  <c:v>45621</c:v>
                </c:pt>
                <c:pt idx="703">
                  <c:v>45628</c:v>
                </c:pt>
                <c:pt idx="704">
                  <c:v>45635</c:v>
                </c:pt>
                <c:pt idx="705">
                  <c:v>45642</c:v>
                </c:pt>
                <c:pt idx="706">
                  <c:v>45649</c:v>
                </c:pt>
                <c:pt idx="707">
                  <c:v>45657</c:v>
                </c:pt>
                <c:pt idx="708">
                  <c:v>45664</c:v>
                </c:pt>
                <c:pt idx="709">
                  <c:v>45671</c:v>
                </c:pt>
                <c:pt idx="710">
                  <c:v>45678</c:v>
                </c:pt>
                <c:pt idx="711">
                  <c:v>45685</c:v>
                </c:pt>
                <c:pt idx="712">
                  <c:v>45692</c:v>
                </c:pt>
                <c:pt idx="713">
                  <c:v>45699</c:v>
                </c:pt>
                <c:pt idx="714">
                  <c:v>45706</c:v>
                </c:pt>
                <c:pt idx="715">
                  <c:v>45713</c:v>
                </c:pt>
                <c:pt idx="716">
                  <c:v>45720</c:v>
                </c:pt>
                <c:pt idx="717">
                  <c:v>45727</c:v>
                </c:pt>
                <c:pt idx="718">
                  <c:v>45734</c:v>
                </c:pt>
                <c:pt idx="719">
                  <c:v>45741</c:v>
                </c:pt>
                <c:pt idx="720">
                  <c:v>45748</c:v>
                </c:pt>
                <c:pt idx="721">
                  <c:v>45755</c:v>
                </c:pt>
                <c:pt idx="722">
                  <c:v>45762</c:v>
                </c:pt>
                <c:pt idx="723">
                  <c:v>45771</c:v>
                </c:pt>
                <c:pt idx="724">
                  <c:v>45779</c:v>
                </c:pt>
                <c:pt idx="725">
                  <c:v>45785</c:v>
                </c:pt>
                <c:pt idx="726">
                  <c:v>45818</c:v>
                </c:pt>
                <c:pt idx="727">
                  <c:v>45847</c:v>
                </c:pt>
                <c:pt idx="728">
                  <c:v>45880</c:v>
                </c:pt>
                <c:pt idx="729">
                  <c:v>45910</c:v>
                </c:pt>
                <c:pt idx="730">
                  <c:v>45940</c:v>
                </c:pt>
                <c:pt idx="731">
                  <c:v>45973</c:v>
                </c:pt>
                <c:pt idx="732">
                  <c:v>46003</c:v>
                </c:pt>
                <c:pt idx="733">
                  <c:v>46036</c:v>
                </c:pt>
                <c:pt idx="734">
                  <c:v>46069</c:v>
                </c:pt>
                <c:pt idx="735">
                  <c:v>46097</c:v>
                </c:pt>
                <c:pt idx="736">
                  <c:v>46127</c:v>
                </c:pt>
                <c:pt idx="737">
                  <c:v>46157</c:v>
                </c:pt>
                <c:pt idx="738">
                  <c:v>46190</c:v>
                </c:pt>
                <c:pt idx="739">
                  <c:v>46220</c:v>
                </c:pt>
                <c:pt idx="740">
                  <c:v>46253</c:v>
                </c:pt>
                <c:pt idx="741">
                  <c:v>46286</c:v>
                </c:pt>
                <c:pt idx="742">
                  <c:v>46316</c:v>
                </c:pt>
                <c:pt idx="743">
                  <c:v>46349</c:v>
                </c:pt>
                <c:pt idx="744">
                  <c:v>46379</c:v>
                </c:pt>
                <c:pt idx="745">
                  <c:v>46412</c:v>
                </c:pt>
                <c:pt idx="746">
                  <c:v>46442</c:v>
                </c:pt>
                <c:pt idx="747">
                  <c:v>46470</c:v>
                </c:pt>
                <c:pt idx="748">
                  <c:v>46503</c:v>
                </c:pt>
                <c:pt idx="749">
                  <c:v>46533</c:v>
                </c:pt>
                <c:pt idx="750">
                  <c:v>46566</c:v>
                </c:pt>
                <c:pt idx="751">
                  <c:v>46596</c:v>
                </c:pt>
                <c:pt idx="752">
                  <c:v>46629</c:v>
                </c:pt>
                <c:pt idx="753">
                  <c:v>46659</c:v>
                </c:pt>
                <c:pt idx="754">
                  <c:v>46689</c:v>
                </c:pt>
                <c:pt idx="755">
                  <c:v>46722</c:v>
                </c:pt>
                <c:pt idx="756">
                  <c:v>46752</c:v>
                </c:pt>
                <c:pt idx="757">
                  <c:v>46785</c:v>
                </c:pt>
                <c:pt idx="758">
                  <c:v>46814</c:v>
                </c:pt>
                <c:pt idx="759">
                  <c:v>46843</c:v>
                </c:pt>
                <c:pt idx="760">
                  <c:v>46877</c:v>
                </c:pt>
                <c:pt idx="761">
                  <c:v>46910</c:v>
                </c:pt>
                <c:pt idx="762">
                  <c:v>46939</c:v>
                </c:pt>
                <c:pt idx="763">
                  <c:v>46972</c:v>
                </c:pt>
                <c:pt idx="764">
                  <c:v>47002</c:v>
                </c:pt>
                <c:pt idx="765">
                  <c:v>47032</c:v>
                </c:pt>
                <c:pt idx="766">
                  <c:v>47065</c:v>
                </c:pt>
                <c:pt idx="767">
                  <c:v>47095</c:v>
                </c:pt>
                <c:pt idx="768">
                  <c:v>47128</c:v>
                </c:pt>
                <c:pt idx="769">
                  <c:v>47161</c:v>
                </c:pt>
                <c:pt idx="770">
                  <c:v>47189</c:v>
                </c:pt>
                <c:pt idx="771">
                  <c:v>47219</c:v>
                </c:pt>
                <c:pt idx="772">
                  <c:v>47249</c:v>
                </c:pt>
                <c:pt idx="773">
                  <c:v>47282</c:v>
                </c:pt>
                <c:pt idx="774">
                  <c:v>47312</c:v>
                </c:pt>
                <c:pt idx="775">
                  <c:v>47345</c:v>
                </c:pt>
                <c:pt idx="776">
                  <c:v>47378</c:v>
                </c:pt>
                <c:pt idx="777">
                  <c:v>47408</c:v>
                </c:pt>
                <c:pt idx="778">
                  <c:v>47441</c:v>
                </c:pt>
                <c:pt idx="779">
                  <c:v>47471</c:v>
                </c:pt>
                <c:pt idx="780">
                  <c:v>47504</c:v>
                </c:pt>
                <c:pt idx="781">
                  <c:v>47534</c:v>
                </c:pt>
                <c:pt idx="782">
                  <c:v>47562</c:v>
                </c:pt>
                <c:pt idx="783">
                  <c:v>47597</c:v>
                </c:pt>
                <c:pt idx="784">
                  <c:v>47625</c:v>
                </c:pt>
                <c:pt idx="785">
                  <c:v>47658</c:v>
                </c:pt>
                <c:pt idx="786">
                  <c:v>47688</c:v>
                </c:pt>
                <c:pt idx="787">
                  <c:v>47721</c:v>
                </c:pt>
                <c:pt idx="788">
                  <c:v>47751</c:v>
                </c:pt>
                <c:pt idx="789">
                  <c:v>47781</c:v>
                </c:pt>
                <c:pt idx="790">
                  <c:v>47814</c:v>
                </c:pt>
                <c:pt idx="791">
                  <c:v>47848</c:v>
                </c:pt>
                <c:pt idx="792">
                  <c:v>47877</c:v>
                </c:pt>
                <c:pt idx="793">
                  <c:v>47910</c:v>
                </c:pt>
                <c:pt idx="794">
                  <c:v>47938</c:v>
                </c:pt>
                <c:pt idx="795">
                  <c:v>47968</c:v>
                </c:pt>
                <c:pt idx="796">
                  <c:v>47998</c:v>
                </c:pt>
                <c:pt idx="797">
                  <c:v>48031</c:v>
                </c:pt>
                <c:pt idx="798">
                  <c:v>48061</c:v>
                </c:pt>
                <c:pt idx="799">
                  <c:v>48094</c:v>
                </c:pt>
                <c:pt idx="800">
                  <c:v>48124</c:v>
                </c:pt>
                <c:pt idx="801">
                  <c:v>48157</c:v>
                </c:pt>
                <c:pt idx="802">
                  <c:v>48187</c:v>
                </c:pt>
                <c:pt idx="803">
                  <c:v>48220</c:v>
                </c:pt>
                <c:pt idx="804">
                  <c:v>48253</c:v>
                </c:pt>
                <c:pt idx="805">
                  <c:v>48282</c:v>
                </c:pt>
                <c:pt idx="806">
                  <c:v>48311</c:v>
                </c:pt>
                <c:pt idx="807">
                  <c:v>48341</c:v>
                </c:pt>
                <c:pt idx="808">
                  <c:v>48374</c:v>
                </c:pt>
                <c:pt idx="809">
                  <c:v>48404</c:v>
                </c:pt>
                <c:pt idx="810">
                  <c:v>48437</c:v>
                </c:pt>
                <c:pt idx="811">
                  <c:v>48470</c:v>
                </c:pt>
                <c:pt idx="812">
                  <c:v>48500</c:v>
                </c:pt>
                <c:pt idx="813">
                  <c:v>48533</c:v>
                </c:pt>
                <c:pt idx="814">
                  <c:v>48563</c:v>
                </c:pt>
                <c:pt idx="815">
                  <c:v>48596</c:v>
                </c:pt>
                <c:pt idx="816">
                  <c:v>48626</c:v>
                </c:pt>
                <c:pt idx="817">
                  <c:v>48654</c:v>
                </c:pt>
                <c:pt idx="818">
                  <c:v>48689</c:v>
                </c:pt>
                <c:pt idx="819">
                  <c:v>48717</c:v>
                </c:pt>
                <c:pt idx="820">
                  <c:v>48750</c:v>
                </c:pt>
                <c:pt idx="821">
                  <c:v>48780</c:v>
                </c:pt>
                <c:pt idx="822">
                  <c:v>48813</c:v>
                </c:pt>
                <c:pt idx="823">
                  <c:v>48843</c:v>
                </c:pt>
                <c:pt idx="824">
                  <c:v>48873</c:v>
                </c:pt>
                <c:pt idx="825">
                  <c:v>48906</c:v>
                </c:pt>
                <c:pt idx="826">
                  <c:v>48936</c:v>
                </c:pt>
                <c:pt idx="827">
                  <c:v>48969</c:v>
                </c:pt>
                <c:pt idx="828">
                  <c:v>49002</c:v>
                </c:pt>
                <c:pt idx="829">
                  <c:v>49030</c:v>
                </c:pt>
                <c:pt idx="830">
                  <c:v>49060</c:v>
                </c:pt>
                <c:pt idx="831">
                  <c:v>49090</c:v>
                </c:pt>
                <c:pt idx="832">
                  <c:v>49123</c:v>
                </c:pt>
                <c:pt idx="833">
                  <c:v>49153</c:v>
                </c:pt>
                <c:pt idx="834">
                  <c:v>49186</c:v>
                </c:pt>
                <c:pt idx="835">
                  <c:v>49219</c:v>
                </c:pt>
                <c:pt idx="836">
                  <c:v>49249</c:v>
                </c:pt>
                <c:pt idx="837">
                  <c:v>49282</c:v>
                </c:pt>
                <c:pt idx="838">
                  <c:v>49313</c:v>
                </c:pt>
                <c:pt idx="839">
                  <c:v>49346</c:v>
                </c:pt>
                <c:pt idx="840">
                  <c:v>49374</c:v>
                </c:pt>
                <c:pt idx="841">
                  <c:v>49403</c:v>
                </c:pt>
                <c:pt idx="842">
                  <c:v>49433</c:v>
                </c:pt>
                <c:pt idx="843">
                  <c:v>49466</c:v>
                </c:pt>
                <c:pt idx="844">
                  <c:v>49496</c:v>
                </c:pt>
                <c:pt idx="845">
                  <c:v>49529</c:v>
                </c:pt>
                <c:pt idx="846">
                  <c:v>49562</c:v>
                </c:pt>
                <c:pt idx="847">
                  <c:v>49592</c:v>
                </c:pt>
                <c:pt idx="848">
                  <c:v>49625</c:v>
                </c:pt>
                <c:pt idx="849">
                  <c:v>49655</c:v>
                </c:pt>
                <c:pt idx="850">
                  <c:v>49688</c:v>
                </c:pt>
                <c:pt idx="851">
                  <c:v>49718</c:v>
                </c:pt>
                <c:pt idx="852">
                  <c:v>49747</c:v>
                </c:pt>
                <c:pt idx="853">
                  <c:v>49782</c:v>
                </c:pt>
                <c:pt idx="854">
                  <c:v>49814</c:v>
                </c:pt>
                <c:pt idx="855">
                  <c:v>49844</c:v>
                </c:pt>
                <c:pt idx="856">
                  <c:v>49874</c:v>
                </c:pt>
                <c:pt idx="857">
                  <c:v>49907</c:v>
                </c:pt>
                <c:pt idx="858">
                  <c:v>49940</c:v>
                </c:pt>
                <c:pt idx="859">
                  <c:v>49970</c:v>
                </c:pt>
                <c:pt idx="860">
                  <c:v>50003</c:v>
                </c:pt>
                <c:pt idx="861">
                  <c:v>50033</c:v>
                </c:pt>
                <c:pt idx="862">
                  <c:v>50066</c:v>
                </c:pt>
                <c:pt idx="863">
                  <c:v>50096</c:v>
                </c:pt>
                <c:pt idx="864">
                  <c:v>50124</c:v>
                </c:pt>
                <c:pt idx="865">
                  <c:v>50157</c:v>
                </c:pt>
                <c:pt idx="866">
                  <c:v>50187</c:v>
                </c:pt>
                <c:pt idx="867">
                  <c:v>50220</c:v>
                </c:pt>
                <c:pt idx="868">
                  <c:v>50250</c:v>
                </c:pt>
                <c:pt idx="869">
                  <c:v>50283</c:v>
                </c:pt>
                <c:pt idx="870">
                  <c:v>50313</c:v>
                </c:pt>
                <c:pt idx="871">
                  <c:v>50343</c:v>
                </c:pt>
                <c:pt idx="872">
                  <c:v>50376</c:v>
                </c:pt>
                <c:pt idx="873">
                  <c:v>50409</c:v>
                </c:pt>
                <c:pt idx="874">
                  <c:v>50439</c:v>
                </c:pt>
                <c:pt idx="875">
                  <c:v>50467</c:v>
                </c:pt>
                <c:pt idx="876">
                  <c:v>50500</c:v>
                </c:pt>
                <c:pt idx="877">
                  <c:v>50530</c:v>
                </c:pt>
                <c:pt idx="878">
                  <c:v>50563</c:v>
                </c:pt>
                <c:pt idx="879">
                  <c:v>50593</c:v>
                </c:pt>
                <c:pt idx="880">
                  <c:v>50626</c:v>
                </c:pt>
                <c:pt idx="881">
                  <c:v>50656</c:v>
                </c:pt>
                <c:pt idx="882">
                  <c:v>50686</c:v>
                </c:pt>
                <c:pt idx="883">
                  <c:v>50719</c:v>
                </c:pt>
                <c:pt idx="884">
                  <c:v>50749</c:v>
                </c:pt>
                <c:pt idx="885">
                  <c:v>50782</c:v>
                </c:pt>
                <c:pt idx="886">
                  <c:v>50815</c:v>
                </c:pt>
                <c:pt idx="887">
                  <c:v>50843</c:v>
                </c:pt>
                <c:pt idx="888">
                  <c:v>50874</c:v>
                </c:pt>
                <c:pt idx="889">
                  <c:v>50906</c:v>
                </c:pt>
                <c:pt idx="890">
                  <c:v>50936</c:v>
                </c:pt>
                <c:pt idx="891">
                  <c:v>50966</c:v>
                </c:pt>
                <c:pt idx="892">
                  <c:v>50999</c:v>
                </c:pt>
                <c:pt idx="893">
                  <c:v>51032</c:v>
                </c:pt>
                <c:pt idx="894">
                  <c:v>51062</c:v>
                </c:pt>
                <c:pt idx="895">
                  <c:v>51095</c:v>
                </c:pt>
                <c:pt idx="896">
                  <c:v>51125</c:v>
                </c:pt>
                <c:pt idx="897">
                  <c:v>51158</c:v>
                </c:pt>
                <c:pt idx="898">
                  <c:v>51188</c:v>
                </c:pt>
                <c:pt idx="899">
                  <c:v>51217</c:v>
                </c:pt>
                <c:pt idx="900">
                  <c:v>51250</c:v>
                </c:pt>
                <c:pt idx="901">
                  <c:v>51279</c:v>
                </c:pt>
                <c:pt idx="902">
                  <c:v>51312</c:v>
                </c:pt>
                <c:pt idx="903">
                  <c:v>51342</c:v>
                </c:pt>
                <c:pt idx="904">
                  <c:v>51375</c:v>
                </c:pt>
                <c:pt idx="905">
                  <c:v>51405</c:v>
                </c:pt>
                <c:pt idx="906">
                  <c:v>51435</c:v>
                </c:pt>
                <c:pt idx="907">
                  <c:v>51468</c:v>
                </c:pt>
                <c:pt idx="908">
                  <c:v>51501</c:v>
                </c:pt>
                <c:pt idx="909">
                  <c:v>51531</c:v>
                </c:pt>
                <c:pt idx="910">
                  <c:v>51564</c:v>
                </c:pt>
                <c:pt idx="911">
                  <c:v>51592</c:v>
                </c:pt>
                <c:pt idx="912">
                  <c:v>51623</c:v>
                </c:pt>
                <c:pt idx="913">
                  <c:v>51652</c:v>
                </c:pt>
                <c:pt idx="914">
                  <c:v>51685</c:v>
                </c:pt>
                <c:pt idx="915">
                  <c:v>51718</c:v>
                </c:pt>
                <c:pt idx="916">
                  <c:v>51748</c:v>
                </c:pt>
                <c:pt idx="917">
                  <c:v>51778</c:v>
                </c:pt>
                <c:pt idx="918">
                  <c:v>51811</c:v>
                </c:pt>
                <c:pt idx="919">
                  <c:v>51841</c:v>
                </c:pt>
                <c:pt idx="920">
                  <c:v>51874</c:v>
                </c:pt>
                <c:pt idx="921">
                  <c:v>51907</c:v>
                </c:pt>
                <c:pt idx="922">
                  <c:v>51935</c:v>
                </c:pt>
                <c:pt idx="923">
                  <c:v>51966</c:v>
                </c:pt>
                <c:pt idx="924">
                  <c:v>51998</c:v>
                </c:pt>
                <c:pt idx="925">
                  <c:v>52028</c:v>
                </c:pt>
                <c:pt idx="926">
                  <c:v>52058</c:v>
                </c:pt>
                <c:pt idx="927">
                  <c:v>52091</c:v>
                </c:pt>
                <c:pt idx="928">
                  <c:v>52124</c:v>
                </c:pt>
                <c:pt idx="929">
                  <c:v>52154</c:v>
                </c:pt>
                <c:pt idx="930">
                  <c:v>52187</c:v>
                </c:pt>
                <c:pt idx="931">
                  <c:v>52217</c:v>
                </c:pt>
                <c:pt idx="932">
                  <c:v>52250</c:v>
                </c:pt>
                <c:pt idx="933">
                  <c:v>52280</c:v>
                </c:pt>
                <c:pt idx="934">
                  <c:v>52308</c:v>
                </c:pt>
                <c:pt idx="935">
                  <c:v>52341</c:v>
                </c:pt>
                <c:pt idx="936">
                  <c:v>52371</c:v>
                </c:pt>
                <c:pt idx="937">
                  <c:v>52404</c:v>
                </c:pt>
                <c:pt idx="938">
                  <c:v>52434</c:v>
                </c:pt>
                <c:pt idx="939">
                  <c:v>52467</c:v>
                </c:pt>
                <c:pt idx="940">
                  <c:v>52497</c:v>
                </c:pt>
                <c:pt idx="941">
                  <c:v>52527</c:v>
                </c:pt>
                <c:pt idx="942">
                  <c:v>52560</c:v>
                </c:pt>
                <c:pt idx="943">
                  <c:v>52593</c:v>
                </c:pt>
                <c:pt idx="944">
                  <c:v>52623</c:v>
                </c:pt>
                <c:pt idx="945">
                  <c:v>52656</c:v>
                </c:pt>
                <c:pt idx="946">
                  <c:v>52685</c:v>
                </c:pt>
                <c:pt idx="947">
                  <c:v>52714</c:v>
                </c:pt>
                <c:pt idx="948">
                  <c:v>52744</c:v>
                </c:pt>
                <c:pt idx="949">
                  <c:v>52777</c:v>
                </c:pt>
                <c:pt idx="950">
                  <c:v>52807</c:v>
                </c:pt>
                <c:pt idx="951">
                  <c:v>52840</c:v>
                </c:pt>
                <c:pt idx="952">
                  <c:v>52873</c:v>
                </c:pt>
                <c:pt idx="953">
                  <c:v>52903</c:v>
                </c:pt>
                <c:pt idx="954">
                  <c:v>52933</c:v>
                </c:pt>
                <c:pt idx="955">
                  <c:v>52965</c:v>
                </c:pt>
                <c:pt idx="956">
                  <c:v>52994</c:v>
                </c:pt>
                <c:pt idx="957">
                  <c:v>53023</c:v>
                </c:pt>
                <c:pt idx="958">
                  <c:v>53051</c:v>
                </c:pt>
                <c:pt idx="959">
                  <c:v>53085</c:v>
                </c:pt>
                <c:pt idx="960">
                  <c:v>53113</c:v>
                </c:pt>
                <c:pt idx="961">
                  <c:v>53146</c:v>
                </c:pt>
                <c:pt idx="962">
                  <c:v>53176</c:v>
                </c:pt>
                <c:pt idx="963">
                  <c:v>53209</c:v>
                </c:pt>
                <c:pt idx="964">
                  <c:v>53239</c:v>
                </c:pt>
                <c:pt idx="965">
                  <c:v>53272</c:v>
                </c:pt>
                <c:pt idx="966">
                  <c:v>53302</c:v>
                </c:pt>
                <c:pt idx="967">
                  <c:v>53335</c:v>
                </c:pt>
                <c:pt idx="968">
                  <c:v>53365</c:v>
                </c:pt>
                <c:pt idx="969">
                  <c:v>53393</c:v>
                </c:pt>
                <c:pt idx="970">
                  <c:v>53426</c:v>
                </c:pt>
                <c:pt idx="971">
                  <c:v>53456</c:v>
                </c:pt>
                <c:pt idx="972">
                  <c:v>53489</c:v>
                </c:pt>
                <c:pt idx="973">
                  <c:v>53519</c:v>
                </c:pt>
                <c:pt idx="974">
                  <c:v>53552</c:v>
                </c:pt>
                <c:pt idx="975">
                  <c:v>53582</c:v>
                </c:pt>
                <c:pt idx="976">
                  <c:v>53612</c:v>
                </c:pt>
                <c:pt idx="977">
                  <c:v>53645</c:v>
                </c:pt>
                <c:pt idx="978">
                  <c:v>53675</c:v>
                </c:pt>
                <c:pt idx="979">
                  <c:v>53708</c:v>
                </c:pt>
                <c:pt idx="980">
                  <c:v>53741</c:v>
                </c:pt>
                <c:pt idx="981">
                  <c:v>53769</c:v>
                </c:pt>
                <c:pt idx="982">
                  <c:v>53800</c:v>
                </c:pt>
                <c:pt idx="983">
                  <c:v>53832</c:v>
                </c:pt>
                <c:pt idx="984">
                  <c:v>53862</c:v>
                </c:pt>
                <c:pt idx="985">
                  <c:v>53892</c:v>
                </c:pt>
                <c:pt idx="986">
                  <c:v>53925</c:v>
                </c:pt>
                <c:pt idx="987">
                  <c:v>53958</c:v>
                </c:pt>
                <c:pt idx="988">
                  <c:v>53988</c:v>
                </c:pt>
                <c:pt idx="989">
                  <c:v>54021</c:v>
                </c:pt>
                <c:pt idx="990">
                  <c:v>54053</c:v>
                </c:pt>
                <c:pt idx="991">
                  <c:v>54084</c:v>
                </c:pt>
                <c:pt idx="992">
                  <c:v>54114</c:v>
                </c:pt>
                <c:pt idx="993">
                  <c:v>54143</c:v>
                </c:pt>
                <c:pt idx="994">
                  <c:v>54176</c:v>
                </c:pt>
                <c:pt idx="995">
                  <c:v>54205</c:v>
                </c:pt>
                <c:pt idx="996">
                  <c:v>54238</c:v>
                </c:pt>
                <c:pt idx="997">
                  <c:v>54268</c:v>
                </c:pt>
                <c:pt idx="998">
                  <c:v>54301</c:v>
                </c:pt>
                <c:pt idx="999">
                  <c:v>54331</c:v>
                </c:pt>
                <c:pt idx="1000">
                  <c:v>54361</c:v>
                </c:pt>
                <c:pt idx="1001">
                  <c:v>54394</c:v>
                </c:pt>
                <c:pt idx="1002">
                  <c:v>54427</c:v>
                </c:pt>
                <c:pt idx="1003">
                  <c:v>54457</c:v>
                </c:pt>
                <c:pt idx="1004">
                  <c:v>54485</c:v>
                </c:pt>
                <c:pt idx="1005">
                  <c:v>54518</c:v>
                </c:pt>
                <c:pt idx="1006">
                  <c:v>54548</c:v>
                </c:pt>
                <c:pt idx="1007">
                  <c:v>54581</c:v>
                </c:pt>
                <c:pt idx="1008">
                  <c:v>54611</c:v>
                </c:pt>
                <c:pt idx="1009">
                  <c:v>54644</c:v>
                </c:pt>
                <c:pt idx="1010">
                  <c:v>54674</c:v>
                </c:pt>
                <c:pt idx="1011">
                  <c:v>54704</c:v>
                </c:pt>
                <c:pt idx="1012">
                  <c:v>54737</c:v>
                </c:pt>
                <c:pt idx="1013">
                  <c:v>54767</c:v>
                </c:pt>
                <c:pt idx="1014">
                  <c:v>54800</c:v>
                </c:pt>
                <c:pt idx="1015">
                  <c:v>54833</c:v>
                </c:pt>
                <c:pt idx="1016">
                  <c:v>54861</c:v>
                </c:pt>
                <c:pt idx="1017">
                  <c:v>54892</c:v>
                </c:pt>
                <c:pt idx="1018">
                  <c:v>54924</c:v>
                </c:pt>
                <c:pt idx="1019">
                  <c:v>54954</c:v>
                </c:pt>
                <c:pt idx="1020">
                  <c:v>54984</c:v>
                </c:pt>
                <c:pt idx="1021">
                  <c:v>55017</c:v>
                </c:pt>
                <c:pt idx="1022">
                  <c:v>55050</c:v>
                </c:pt>
                <c:pt idx="1023">
                  <c:v>55080</c:v>
                </c:pt>
                <c:pt idx="1024">
                  <c:v>55113</c:v>
                </c:pt>
                <c:pt idx="1025">
                  <c:v>55143</c:v>
                </c:pt>
                <c:pt idx="1026">
                  <c:v>55176</c:v>
                </c:pt>
                <c:pt idx="1027">
                  <c:v>55206</c:v>
                </c:pt>
                <c:pt idx="1028">
                  <c:v>55234</c:v>
                </c:pt>
                <c:pt idx="1029">
                  <c:v>55267</c:v>
                </c:pt>
                <c:pt idx="1030">
                  <c:v>55297</c:v>
                </c:pt>
                <c:pt idx="1031">
                  <c:v>55330</c:v>
                </c:pt>
                <c:pt idx="1032">
                  <c:v>55360</c:v>
                </c:pt>
                <c:pt idx="1033">
                  <c:v>55393</c:v>
                </c:pt>
                <c:pt idx="1034">
                  <c:v>55423</c:v>
                </c:pt>
                <c:pt idx="1035">
                  <c:v>55453</c:v>
                </c:pt>
                <c:pt idx="1036">
                  <c:v>55486</c:v>
                </c:pt>
                <c:pt idx="1037">
                  <c:v>55516</c:v>
                </c:pt>
                <c:pt idx="1038">
                  <c:v>55549</c:v>
                </c:pt>
                <c:pt idx="1039">
                  <c:v>55582</c:v>
                </c:pt>
                <c:pt idx="1040">
                  <c:v>55611</c:v>
                </c:pt>
                <c:pt idx="1041">
                  <c:v>55641</c:v>
                </c:pt>
                <c:pt idx="1042">
                  <c:v>55670</c:v>
                </c:pt>
                <c:pt idx="1043">
                  <c:v>55703</c:v>
                </c:pt>
                <c:pt idx="1044">
                  <c:v>55736</c:v>
                </c:pt>
                <c:pt idx="1045">
                  <c:v>55766</c:v>
                </c:pt>
                <c:pt idx="1046">
                  <c:v>55796</c:v>
                </c:pt>
                <c:pt idx="1047">
                  <c:v>55829</c:v>
                </c:pt>
                <c:pt idx="1048">
                  <c:v>55859</c:v>
                </c:pt>
                <c:pt idx="1049">
                  <c:v>55892</c:v>
                </c:pt>
                <c:pt idx="1050">
                  <c:v>55925</c:v>
                </c:pt>
                <c:pt idx="1051">
                  <c:v>55953</c:v>
                </c:pt>
                <c:pt idx="1052">
                  <c:v>55984</c:v>
                </c:pt>
                <c:pt idx="1053">
                  <c:v>56016</c:v>
                </c:pt>
                <c:pt idx="1054">
                  <c:v>56046</c:v>
                </c:pt>
                <c:pt idx="1055">
                  <c:v>56076</c:v>
                </c:pt>
                <c:pt idx="1056">
                  <c:v>56109</c:v>
                </c:pt>
                <c:pt idx="1057">
                  <c:v>56142</c:v>
                </c:pt>
                <c:pt idx="1058">
                  <c:v>56172</c:v>
                </c:pt>
                <c:pt idx="1059">
                  <c:v>56205</c:v>
                </c:pt>
                <c:pt idx="1060">
                  <c:v>56235</c:v>
                </c:pt>
                <c:pt idx="1061">
                  <c:v>56268</c:v>
                </c:pt>
                <c:pt idx="1062">
                  <c:v>56298</c:v>
                </c:pt>
                <c:pt idx="1063">
                  <c:v>56326</c:v>
                </c:pt>
                <c:pt idx="1064">
                  <c:v>56359</c:v>
                </c:pt>
                <c:pt idx="1065">
                  <c:v>56389</c:v>
                </c:pt>
                <c:pt idx="1066">
                  <c:v>56422</c:v>
                </c:pt>
                <c:pt idx="1067">
                  <c:v>56452</c:v>
                </c:pt>
                <c:pt idx="1068">
                  <c:v>56485</c:v>
                </c:pt>
                <c:pt idx="1069">
                  <c:v>56515</c:v>
                </c:pt>
                <c:pt idx="1070">
                  <c:v>56545</c:v>
                </c:pt>
                <c:pt idx="1071">
                  <c:v>56578</c:v>
                </c:pt>
                <c:pt idx="1072">
                  <c:v>56611</c:v>
                </c:pt>
                <c:pt idx="1073">
                  <c:v>56641</c:v>
                </c:pt>
                <c:pt idx="1074">
                  <c:v>56674</c:v>
                </c:pt>
                <c:pt idx="1075">
                  <c:v>56702</c:v>
                </c:pt>
                <c:pt idx="1076">
                  <c:v>56732</c:v>
                </c:pt>
                <c:pt idx="1077">
                  <c:v>56762</c:v>
                </c:pt>
                <c:pt idx="1078">
                  <c:v>56795</c:v>
                </c:pt>
                <c:pt idx="1079">
                  <c:v>56825</c:v>
                </c:pt>
                <c:pt idx="1080">
                  <c:v>56858</c:v>
                </c:pt>
                <c:pt idx="1081">
                  <c:v>56891</c:v>
                </c:pt>
                <c:pt idx="1082">
                  <c:v>56921</c:v>
                </c:pt>
                <c:pt idx="1083">
                  <c:v>56951</c:v>
                </c:pt>
                <c:pt idx="1084">
                  <c:v>56984</c:v>
                </c:pt>
                <c:pt idx="1085">
                  <c:v>57017</c:v>
                </c:pt>
                <c:pt idx="1086">
                  <c:v>57046</c:v>
                </c:pt>
                <c:pt idx="1087">
                  <c:v>57076</c:v>
                </c:pt>
                <c:pt idx="1088">
                  <c:v>57108</c:v>
                </c:pt>
                <c:pt idx="1089">
                  <c:v>57138</c:v>
                </c:pt>
                <c:pt idx="1090">
                  <c:v>57168</c:v>
                </c:pt>
                <c:pt idx="1091">
                  <c:v>57201</c:v>
                </c:pt>
                <c:pt idx="1092">
                  <c:v>57234</c:v>
                </c:pt>
                <c:pt idx="1093">
                  <c:v>57264</c:v>
                </c:pt>
                <c:pt idx="1094">
                  <c:v>57297</c:v>
                </c:pt>
                <c:pt idx="1095">
                  <c:v>57327</c:v>
                </c:pt>
                <c:pt idx="1096">
                  <c:v>57360</c:v>
                </c:pt>
                <c:pt idx="1097">
                  <c:v>57390</c:v>
                </c:pt>
                <c:pt idx="1098">
                  <c:v>57418</c:v>
                </c:pt>
                <c:pt idx="1099">
                  <c:v>57451</c:v>
                </c:pt>
                <c:pt idx="1100">
                  <c:v>57481</c:v>
                </c:pt>
                <c:pt idx="1101">
                  <c:v>57514</c:v>
                </c:pt>
                <c:pt idx="1102">
                  <c:v>57544</c:v>
                </c:pt>
                <c:pt idx="1103">
                  <c:v>57577</c:v>
                </c:pt>
                <c:pt idx="1104">
                  <c:v>57607</c:v>
                </c:pt>
                <c:pt idx="1105">
                  <c:v>57637</c:v>
                </c:pt>
                <c:pt idx="1106">
                  <c:v>57670</c:v>
                </c:pt>
                <c:pt idx="1107">
                  <c:v>57700</c:v>
                </c:pt>
                <c:pt idx="1108">
                  <c:v>57733</c:v>
                </c:pt>
                <c:pt idx="1109">
                  <c:v>57766</c:v>
                </c:pt>
                <c:pt idx="1110">
                  <c:v>57794</c:v>
                </c:pt>
                <c:pt idx="1111">
                  <c:v>57824</c:v>
                </c:pt>
                <c:pt idx="1112">
                  <c:v>57854</c:v>
                </c:pt>
                <c:pt idx="1113">
                  <c:v>57887</c:v>
                </c:pt>
                <c:pt idx="1114">
                  <c:v>57917</c:v>
                </c:pt>
                <c:pt idx="1115">
                  <c:v>57950</c:v>
                </c:pt>
                <c:pt idx="1116">
                  <c:v>57983</c:v>
                </c:pt>
                <c:pt idx="1117">
                  <c:v>58013</c:v>
                </c:pt>
                <c:pt idx="1118">
                  <c:v>58046</c:v>
                </c:pt>
                <c:pt idx="1119">
                  <c:v>58077</c:v>
                </c:pt>
                <c:pt idx="1120">
                  <c:v>58109</c:v>
                </c:pt>
                <c:pt idx="1121">
                  <c:v>58138</c:v>
                </c:pt>
                <c:pt idx="1122">
                  <c:v>58168</c:v>
                </c:pt>
                <c:pt idx="1123">
                  <c:v>58201</c:v>
                </c:pt>
                <c:pt idx="1124">
                  <c:v>58230</c:v>
                </c:pt>
                <c:pt idx="1125">
                  <c:v>58260</c:v>
                </c:pt>
                <c:pt idx="1126">
                  <c:v>58293</c:v>
                </c:pt>
                <c:pt idx="1127">
                  <c:v>58326</c:v>
                </c:pt>
                <c:pt idx="1128">
                  <c:v>58356</c:v>
                </c:pt>
                <c:pt idx="1129">
                  <c:v>58389</c:v>
                </c:pt>
                <c:pt idx="1130">
                  <c:v>58419</c:v>
                </c:pt>
                <c:pt idx="1131">
                  <c:v>58452</c:v>
                </c:pt>
                <c:pt idx="1132">
                  <c:v>58482</c:v>
                </c:pt>
                <c:pt idx="1133">
                  <c:v>58511</c:v>
                </c:pt>
                <c:pt idx="1134">
                  <c:v>58544</c:v>
                </c:pt>
                <c:pt idx="1135">
                  <c:v>58573</c:v>
                </c:pt>
                <c:pt idx="1136">
                  <c:v>58606</c:v>
                </c:pt>
                <c:pt idx="1137">
                  <c:v>58636</c:v>
                </c:pt>
                <c:pt idx="1138">
                  <c:v>58669</c:v>
                </c:pt>
                <c:pt idx="1139">
                  <c:v>58699</c:v>
                </c:pt>
                <c:pt idx="1140">
                  <c:v>58729</c:v>
                </c:pt>
                <c:pt idx="1141">
                  <c:v>58762</c:v>
                </c:pt>
                <c:pt idx="1142">
                  <c:v>58792</c:v>
                </c:pt>
                <c:pt idx="1143">
                  <c:v>58825</c:v>
                </c:pt>
                <c:pt idx="1144">
                  <c:v>58858</c:v>
                </c:pt>
                <c:pt idx="1145">
                  <c:v>58886</c:v>
                </c:pt>
                <c:pt idx="1146">
                  <c:v>58916</c:v>
                </c:pt>
                <c:pt idx="1147">
                  <c:v>58946</c:v>
                </c:pt>
                <c:pt idx="1148">
                  <c:v>58979</c:v>
                </c:pt>
                <c:pt idx="1149">
                  <c:v>59009</c:v>
                </c:pt>
                <c:pt idx="1150">
                  <c:v>59042</c:v>
                </c:pt>
                <c:pt idx="1151">
                  <c:v>59075</c:v>
                </c:pt>
                <c:pt idx="1152">
                  <c:v>59105</c:v>
                </c:pt>
                <c:pt idx="1153">
                  <c:v>59138</c:v>
                </c:pt>
                <c:pt idx="1154">
                  <c:v>59169</c:v>
                </c:pt>
                <c:pt idx="1155">
                  <c:v>59202</c:v>
                </c:pt>
                <c:pt idx="1156">
                  <c:v>59231</c:v>
                </c:pt>
                <c:pt idx="1157">
                  <c:v>59260</c:v>
                </c:pt>
                <c:pt idx="1158">
                  <c:v>59294</c:v>
                </c:pt>
                <c:pt idx="1159">
                  <c:v>59322</c:v>
                </c:pt>
                <c:pt idx="1160">
                  <c:v>59355</c:v>
                </c:pt>
                <c:pt idx="1161">
                  <c:v>59385</c:v>
                </c:pt>
                <c:pt idx="1162">
                  <c:v>59418</c:v>
                </c:pt>
                <c:pt idx="1163">
                  <c:v>59448</c:v>
                </c:pt>
                <c:pt idx="1164">
                  <c:v>59481</c:v>
                </c:pt>
                <c:pt idx="1165">
                  <c:v>59511</c:v>
                </c:pt>
                <c:pt idx="1166">
                  <c:v>59544</c:v>
                </c:pt>
                <c:pt idx="1167">
                  <c:v>59574</c:v>
                </c:pt>
                <c:pt idx="1168">
                  <c:v>59602</c:v>
                </c:pt>
                <c:pt idx="1169">
                  <c:v>59635</c:v>
                </c:pt>
                <c:pt idx="1170">
                  <c:v>59665</c:v>
                </c:pt>
                <c:pt idx="1171">
                  <c:v>59698</c:v>
                </c:pt>
                <c:pt idx="1172">
                  <c:v>59728</c:v>
                </c:pt>
                <c:pt idx="1173">
                  <c:v>59761</c:v>
                </c:pt>
                <c:pt idx="1174">
                  <c:v>59791</c:v>
                </c:pt>
                <c:pt idx="1175">
                  <c:v>59821</c:v>
                </c:pt>
                <c:pt idx="1176">
                  <c:v>59854</c:v>
                </c:pt>
                <c:pt idx="1177">
                  <c:v>59884</c:v>
                </c:pt>
                <c:pt idx="1178">
                  <c:v>59917</c:v>
                </c:pt>
                <c:pt idx="1179">
                  <c:v>59950</c:v>
                </c:pt>
                <c:pt idx="1180">
                  <c:v>59979</c:v>
                </c:pt>
                <c:pt idx="1181">
                  <c:v>60008</c:v>
                </c:pt>
                <c:pt idx="1182">
                  <c:v>60038</c:v>
                </c:pt>
                <c:pt idx="1183">
                  <c:v>60071</c:v>
                </c:pt>
                <c:pt idx="1184">
                  <c:v>60101</c:v>
                </c:pt>
                <c:pt idx="1185">
                  <c:v>60134</c:v>
                </c:pt>
                <c:pt idx="1186">
                  <c:v>60167</c:v>
                </c:pt>
                <c:pt idx="1187">
                  <c:v>60197</c:v>
                </c:pt>
                <c:pt idx="1188">
                  <c:v>60230</c:v>
                </c:pt>
                <c:pt idx="1189">
                  <c:v>60260</c:v>
                </c:pt>
                <c:pt idx="1190">
                  <c:v>60293</c:v>
                </c:pt>
                <c:pt idx="1191">
                  <c:v>60323</c:v>
                </c:pt>
                <c:pt idx="1192">
                  <c:v>60351</c:v>
                </c:pt>
                <c:pt idx="1193">
                  <c:v>60384</c:v>
                </c:pt>
                <c:pt idx="1194">
                  <c:v>60414</c:v>
                </c:pt>
                <c:pt idx="1195">
                  <c:v>60447</c:v>
                </c:pt>
                <c:pt idx="1196">
                  <c:v>60477</c:v>
                </c:pt>
                <c:pt idx="1197">
                  <c:v>60510</c:v>
                </c:pt>
                <c:pt idx="1198">
                  <c:v>60540</c:v>
                </c:pt>
                <c:pt idx="1199">
                  <c:v>60570</c:v>
                </c:pt>
                <c:pt idx="1200">
                  <c:v>60603</c:v>
                </c:pt>
                <c:pt idx="1201">
                  <c:v>60636</c:v>
                </c:pt>
                <c:pt idx="1202">
                  <c:v>60666</c:v>
                </c:pt>
                <c:pt idx="1203">
                  <c:v>60694</c:v>
                </c:pt>
                <c:pt idx="1204">
                  <c:v>60727</c:v>
                </c:pt>
                <c:pt idx="1205">
                  <c:v>60757</c:v>
                </c:pt>
                <c:pt idx="1206">
                  <c:v>60790</c:v>
                </c:pt>
                <c:pt idx="1207">
                  <c:v>60820</c:v>
                </c:pt>
                <c:pt idx="1208">
                  <c:v>60853</c:v>
                </c:pt>
                <c:pt idx="1209">
                  <c:v>60883</c:v>
                </c:pt>
                <c:pt idx="1210">
                  <c:v>60913</c:v>
                </c:pt>
                <c:pt idx="1211">
                  <c:v>60946</c:v>
                </c:pt>
                <c:pt idx="1212">
                  <c:v>60976</c:v>
                </c:pt>
                <c:pt idx="1213">
                  <c:v>61009</c:v>
                </c:pt>
                <c:pt idx="1214">
                  <c:v>61042</c:v>
                </c:pt>
                <c:pt idx="1215">
                  <c:v>61070</c:v>
                </c:pt>
                <c:pt idx="1216">
                  <c:v>61100</c:v>
                </c:pt>
                <c:pt idx="1217">
                  <c:v>61130</c:v>
                </c:pt>
                <c:pt idx="1218">
                  <c:v>61163</c:v>
                </c:pt>
                <c:pt idx="1219">
                  <c:v>61193</c:v>
                </c:pt>
                <c:pt idx="1220">
                  <c:v>61226</c:v>
                </c:pt>
                <c:pt idx="1221">
                  <c:v>61259</c:v>
                </c:pt>
                <c:pt idx="1222">
                  <c:v>61289</c:v>
                </c:pt>
                <c:pt idx="1223">
                  <c:v>61322</c:v>
                </c:pt>
                <c:pt idx="1224">
                  <c:v>61352</c:v>
                </c:pt>
                <c:pt idx="1225">
                  <c:v>61385</c:v>
                </c:pt>
                <c:pt idx="1226">
                  <c:v>61415</c:v>
                </c:pt>
                <c:pt idx="1227">
                  <c:v>61444</c:v>
                </c:pt>
                <c:pt idx="1228">
                  <c:v>61479</c:v>
                </c:pt>
                <c:pt idx="1229">
                  <c:v>61511</c:v>
                </c:pt>
                <c:pt idx="1230">
                  <c:v>61541</c:v>
                </c:pt>
                <c:pt idx="1231">
                  <c:v>61571</c:v>
                </c:pt>
                <c:pt idx="1232">
                  <c:v>61604</c:v>
                </c:pt>
                <c:pt idx="1233">
                  <c:v>61637</c:v>
                </c:pt>
                <c:pt idx="1234">
                  <c:v>61667</c:v>
                </c:pt>
                <c:pt idx="1235">
                  <c:v>61700</c:v>
                </c:pt>
                <c:pt idx="1236">
                  <c:v>61731</c:v>
                </c:pt>
                <c:pt idx="1237">
                  <c:v>61763</c:v>
                </c:pt>
                <c:pt idx="1238">
                  <c:v>61791</c:v>
                </c:pt>
                <c:pt idx="1239">
                  <c:v>61819</c:v>
                </c:pt>
                <c:pt idx="1240">
                  <c:v>61850</c:v>
                </c:pt>
                <c:pt idx="1241">
                  <c:v>61879</c:v>
                </c:pt>
                <c:pt idx="1242">
                  <c:v>61912</c:v>
                </c:pt>
                <c:pt idx="1243">
                  <c:v>61945</c:v>
                </c:pt>
                <c:pt idx="1244">
                  <c:v>61975</c:v>
                </c:pt>
                <c:pt idx="1245">
                  <c:v>62005</c:v>
                </c:pt>
                <c:pt idx="1246">
                  <c:v>62038</c:v>
                </c:pt>
                <c:pt idx="1247">
                  <c:v>62068</c:v>
                </c:pt>
                <c:pt idx="1248">
                  <c:v>62101</c:v>
                </c:pt>
                <c:pt idx="1249">
                  <c:v>62134</c:v>
                </c:pt>
                <c:pt idx="1250">
                  <c:v>62162</c:v>
                </c:pt>
                <c:pt idx="1251">
                  <c:v>62192</c:v>
                </c:pt>
                <c:pt idx="1252">
                  <c:v>62222</c:v>
                </c:pt>
                <c:pt idx="1253">
                  <c:v>62255</c:v>
                </c:pt>
                <c:pt idx="1254">
                  <c:v>62285</c:v>
                </c:pt>
                <c:pt idx="1255">
                  <c:v>62318</c:v>
                </c:pt>
                <c:pt idx="1256">
                  <c:v>62351</c:v>
                </c:pt>
                <c:pt idx="1257">
                  <c:v>62381</c:v>
                </c:pt>
                <c:pt idx="1258">
                  <c:v>62414</c:v>
                </c:pt>
                <c:pt idx="1259">
                  <c:v>62444</c:v>
                </c:pt>
                <c:pt idx="1260">
                  <c:v>62477</c:v>
                </c:pt>
                <c:pt idx="1261">
                  <c:v>62507</c:v>
                </c:pt>
                <c:pt idx="1262">
                  <c:v>62535</c:v>
                </c:pt>
                <c:pt idx="1263">
                  <c:v>62570</c:v>
                </c:pt>
                <c:pt idx="1264">
                  <c:v>62598</c:v>
                </c:pt>
                <c:pt idx="1265">
                  <c:v>62631</c:v>
                </c:pt>
                <c:pt idx="1266">
                  <c:v>62661</c:v>
                </c:pt>
                <c:pt idx="1267">
                  <c:v>62694</c:v>
                </c:pt>
                <c:pt idx="1268">
                  <c:v>62724</c:v>
                </c:pt>
                <c:pt idx="1269">
                  <c:v>62754</c:v>
                </c:pt>
                <c:pt idx="1270">
                  <c:v>62787</c:v>
                </c:pt>
                <c:pt idx="1271">
                  <c:v>62820</c:v>
                </c:pt>
                <c:pt idx="1272">
                  <c:v>62850</c:v>
                </c:pt>
                <c:pt idx="1273">
                  <c:v>62883</c:v>
                </c:pt>
                <c:pt idx="1274">
                  <c:v>62912</c:v>
                </c:pt>
                <c:pt idx="1275">
                  <c:v>62941</c:v>
                </c:pt>
                <c:pt idx="1276">
                  <c:v>62971</c:v>
                </c:pt>
                <c:pt idx="1277">
                  <c:v>63004</c:v>
                </c:pt>
                <c:pt idx="1278">
                  <c:v>63034</c:v>
                </c:pt>
                <c:pt idx="1279">
                  <c:v>63067</c:v>
                </c:pt>
                <c:pt idx="1280">
                  <c:v>63100</c:v>
                </c:pt>
                <c:pt idx="1281">
                  <c:v>63130</c:v>
                </c:pt>
                <c:pt idx="1282">
                  <c:v>63160</c:v>
                </c:pt>
                <c:pt idx="1283">
                  <c:v>63192</c:v>
                </c:pt>
                <c:pt idx="1284">
                  <c:v>63221</c:v>
                </c:pt>
                <c:pt idx="1285">
                  <c:v>63250</c:v>
                </c:pt>
                <c:pt idx="1286">
                  <c:v>63278</c:v>
                </c:pt>
                <c:pt idx="1287">
                  <c:v>63312</c:v>
                </c:pt>
                <c:pt idx="1288">
                  <c:v>63340</c:v>
                </c:pt>
                <c:pt idx="1289">
                  <c:v>63373</c:v>
                </c:pt>
                <c:pt idx="1290">
                  <c:v>63403</c:v>
                </c:pt>
                <c:pt idx="1291">
                  <c:v>63436</c:v>
                </c:pt>
                <c:pt idx="1292">
                  <c:v>63466</c:v>
                </c:pt>
                <c:pt idx="1293">
                  <c:v>63499</c:v>
                </c:pt>
                <c:pt idx="1294">
                  <c:v>63529</c:v>
                </c:pt>
                <c:pt idx="1295">
                  <c:v>63562</c:v>
                </c:pt>
                <c:pt idx="1296">
                  <c:v>63592</c:v>
                </c:pt>
                <c:pt idx="1297">
                  <c:v>63620</c:v>
                </c:pt>
                <c:pt idx="1298">
                  <c:v>63653</c:v>
                </c:pt>
                <c:pt idx="1299">
                  <c:v>63683</c:v>
                </c:pt>
                <c:pt idx="1300">
                  <c:v>63716</c:v>
                </c:pt>
                <c:pt idx="1301">
                  <c:v>63746</c:v>
                </c:pt>
                <c:pt idx="1302">
                  <c:v>63779</c:v>
                </c:pt>
                <c:pt idx="1303">
                  <c:v>63809</c:v>
                </c:pt>
                <c:pt idx="1304">
                  <c:v>63839</c:v>
                </c:pt>
                <c:pt idx="1305">
                  <c:v>63872</c:v>
                </c:pt>
                <c:pt idx="1306">
                  <c:v>63902</c:v>
                </c:pt>
                <c:pt idx="1307">
                  <c:v>63935</c:v>
                </c:pt>
              </c:numCache>
            </c:numRef>
          </c:cat>
          <c:val>
            <c:numRef>
              <c:f>'3M Delta'!$Y$3:$Y$1310</c:f>
              <c:numCache>
                <c:formatCode>0.0000%</c:formatCode>
                <c:ptCount val="1308"/>
                <c:pt idx="0">
                  <c:v>1.040000000000444E-3</c:v>
                </c:pt>
                <c:pt idx="1">
                  <c:v>1.012283051587621E-3</c:v>
                </c:pt>
                <c:pt idx="2">
                  <c:v>1.0538825608601326E-3</c:v>
                </c:pt>
                <c:pt idx="3">
                  <c:v>1.0629741148997411E-3</c:v>
                </c:pt>
                <c:pt idx="4">
                  <c:v>1.0712290661627297E-3</c:v>
                </c:pt>
                <c:pt idx="5">
                  <c:v>1.0785478505669016E-3</c:v>
                </c:pt>
                <c:pt idx="6">
                  <c:v>1.0902720186072112E-3</c:v>
                </c:pt>
                <c:pt idx="7">
                  <c:v>1.1016064401055429E-3</c:v>
                </c:pt>
                <c:pt idx="8">
                  <c:v>1.1067458991312943E-3</c:v>
                </c:pt>
                <c:pt idx="9">
                  <c:v>1.112006859338336E-3</c:v>
                </c:pt>
                <c:pt idx="10">
                  <c:v>1.1175419766337132E-3</c:v>
                </c:pt>
                <c:pt idx="11">
                  <c:v>1.1297630209656511E-3</c:v>
                </c:pt>
                <c:pt idx="12">
                  <c:v>1.1424953203328803E-3</c:v>
                </c:pt>
                <c:pt idx="13">
                  <c:v>1.1493718726526224E-3</c:v>
                </c:pt>
                <c:pt idx="14">
                  <c:v>1.1564777106193545E-3</c:v>
                </c:pt>
                <c:pt idx="15">
                  <c:v>1.1637994837988407E-3</c:v>
                </c:pt>
                <c:pt idx="16">
                  <c:v>1.1789881237417193E-3</c:v>
                </c:pt>
                <c:pt idx="17">
                  <c:v>1.1949474214688277E-3</c:v>
                </c:pt>
                <c:pt idx="18">
                  <c:v>1.203124115687059E-3</c:v>
                </c:pt>
                <c:pt idx="19">
                  <c:v>1.2114264934171488E-3</c:v>
                </c:pt>
                <c:pt idx="20">
                  <c:v>1.2198394545522803E-3</c:v>
                </c:pt>
                <c:pt idx="21">
                  <c:v>1.2373948328712994E-3</c:v>
                </c:pt>
                <c:pt idx="22">
                  <c:v>1.2543609307004012E-3</c:v>
                </c:pt>
                <c:pt idx="23">
                  <c:v>1.2631214546853376E-3</c:v>
                </c:pt>
                <c:pt idx="24">
                  <c:v>1.2718242228392869E-3</c:v>
                </c:pt>
                <c:pt idx="25">
                  <c:v>1.2803979199802282E-3</c:v>
                </c:pt>
                <c:pt idx="26">
                  <c:v>1.2968115454451636E-3</c:v>
                </c:pt>
                <c:pt idx="27">
                  <c:v>1.3119757108871334E-3</c:v>
                </c:pt>
                <c:pt idx="28">
                  <c:v>1.3188343408367651E-3</c:v>
                </c:pt>
                <c:pt idx="29">
                  <c:v>1.3251527449110591E-3</c:v>
                </c:pt>
                <c:pt idx="30">
                  <c:v>1.3309432476461885E-3</c:v>
                </c:pt>
                <c:pt idx="31">
                  <c:v>1.338489619305378E-3</c:v>
                </c:pt>
                <c:pt idx="32">
                  <c:v>1.349407276040242E-3</c:v>
                </c:pt>
                <c:pt idx="33">
                  <c:v>1.352994043027573E-3</c:v>
                </c:pt>
                <c:pt idx="34">
                  <c:v>1.356227215485161E-3</c:v>
                </c:pt>
                <c:pt idx="35">
                  <c:v>1.3591378392567278E-3</c:v>
                </c:pt>
                <c:pt idx="36">
                  <c:v>1.3606919402675318E-3</c:v>
                </c:pt>
                <c:pt idx="37">
                  <c:v>1.3682004738907701E-3</c:v>
                </c:pt>
                <c:pt idx="38">
                  <c:v>1.3699798183577556E-3</c:v>
                </c:pt>
                <c:pt idx="39">
                  <c:v>1.3716280973540902E-3</c:v>
                </c:pt>
                <c:pt idx="40">
                  <c:v>1.3731770409353141E-3</c:v>
                </c:pt>
                <c:pt idx="41">
                  <c:v>1.3736483818237609E-3</c:v>
                </c:pt>
                <c:pt idx="42">
                  <c:v>1.3790140617659062E-3</c:v>
                </c:pt>
                <c:pt idx="43">
                  <c:v>1.3805367730872872E-3</c:v>
                </c:pt>
                <c:pt idx="44">
                  <c:v>1.3821174954972101E-3</c:v>
                </c:pt>
                <c:pt idx="45">
                  <c:v>1.3837549253828045E-3</c:v>
                </c:pt>
                <c:pt idx="46">
                  <c:v>1.3865196088509396E-3</c:v>
                </c:pt>
                <c:pt idx="47">
                  <c:v>1.3908456471260467E-3</c:v>
                </c:pt>
                <c:pt idx="48">
                  <c:v>1.3927470599084874E-3</c:v>
                </c:pt>
                <c:pt idx="49">
                  <c:v>1.3946973583199515E-3</c:v>
                </c:pt>
                <c:pt idx="50">
                  <c:v>1.3966952386906576E-3</c:v>
                </c:pt>
                <c:pt idx="51">
                  <c:v>1.4007231007586622E-3</c:v>
                </c:pt>
                <c:pt idx="52">
                  <c:v>1.4051365061252675E-3</c:v>
                </c:pt>
                <c:pt idx="53">
                  <c:v>1.4073527409830739E-3</c:v>
                </c:pt>
                <c:pt idx="54">
                  <c:v>1.4096087356167868E-3</c:v>
                </c:pt>
                <c:pt idx="55">
                  <c:v>1.411903186304493E-3</c:v>
                </c:pt>
                <c:pt idx="56">
                  <c:v>1.415770318543634E-3</c:v>
                </c:pt>
                <c:pt idx="57">
                  <c:v>1.4214394747777295E-3</c:v>
                </c:pt>
                <c:pt idx="58">
                  <c:v>1.4239066495613313E-3</c:v>
                </c:pt>
                <c:pt idx="59">
                  <c:v>1.4264044578784689E-3</c:v>
                </c:pt>
                <c:pt idx="60">
                  <c:v>1.4289238225753315E-3</c:v>
                </c:pt>
                <c:pt idx="61">
                  <c:v>1.4311627467250446E-3</c:v>
                </c:pt>
                <c:pt idx="62">
                  <c:v>1.4383357007478109E-3</c:v>
                </c:pt>
                <c:pt idx="63">
                  <c:v>1.440282556615199E-3</c:v>
                </c:pt>
                <c:pt idx="64">
                  <c:v>1.4419757050245013E-3</c:v>
                </c:pt>
                <c:pt idx="65">
                  <c:v>1.443395016911216E-3</c:v>
                </c:pt>
                <c:pt idx="66">
                  <c:v>1.4457912373003841E-3</c:v>
                </c:pt>
                <c:pt idx="67">
                  <c:v>1.4464956227702357E-3</c:v>
                </c:pt>
                <c:pt idx="68">
                  <c:v>1.4466812563361461E-3</c:v>
                </c:pt>
                <c:pt idx="69">
                  <c:v>1.4466529396554065E-3</c:v>
                </c:pt>
                <c:pt idx="70">
                  <c:v>1.4464216011422781E-3</c:v>
                </c:pt>
                <c:pt idx="71">
                  <c:v>1.4419192172219065E-3</c:v>
                </c:pt>
                <c:pt idx="72">
                  <c:v>1.4436845964294067E-3</c:v>
                </c:pt>
                <c:pt idx="73">
                  <c:v>1.4426020743704574E-3</c:v>
                </c:pt>
                <c:pt idx="74">
                  <c:v>1.4413821006279946E-3</c:v>
                </c:pt>
                <c:pt idx="75">
                  <c:v>1.4400356035246134E-3</c:v>
                </c:pt>
                <c:pt idx="76">
                  <c:v>1.4347951515270964E-3</c:v>
                </c:pt>
                <c:pt idx="77">
                  <c:v>1.4336029475910421E-3</c:v>
                </c:pt>
                <c:pt idx="78">
                  <c:v>1.4317877582135387E-3</c:v>
                </c:pt>
                <c:pt idx="79">
                  <c:v>1.4299116152521163E-3</c:v>
                </c:pt>
                <c:pt idx="80">
                  <c:v>1.4279854469924419E-3</c:v>
                </c:pt>
                <c:pt idx="81">
                  <c:v>1.4240000961749234E-3</c:v>
                </c:pt>
                <c:pt idx="82">
                  <c:v>1.419999086488218E-3</c:v>
                </c:pt>
                <c:pt idx="83">
                  <c:v>1.4179867158459205E-3</c:v>
                </c:pt>
                <c:pt idx="84">
                  <c:v>1.4159898895233672E-3</c:v>
                </c:pt>
                <c:pt idx="85">
                  <c:v>1.414019535771037E-3</c:v>
                </c:pt>
                <c:pt idx="86">
                  <c:v>1.4132026785591742E-3</c:v>
                </c:pt>
                <c:pt idx="87">
                  <c:v>1.4055816731104722E-3</c:v>
                </c:pt>
                <c:pt idx="88">
                  <c:v>1.4036019347899405E-3</c:v>
                </c:pt>
                <c:pt idx="89">
                  <c:v>1.4017036153524732E-3</c:v>
                </c:pt>
                <c:pt idx="90">
                  <c:v>1.3999003426213351E-3</c:v>
                </c:pt>
                <c:pt idx="91">
                  <c:v>1.3982057444088122E-3</c:v>
                </c:pt>
                <c:pt idx="92">
                  <c:v>1.3939102747242513E-3</c:v>
                </c:pt>
                <c:pt idx="93">
                  <c:v>1.392786652314191E-3</c:v>
                </c:pt>
                <c:pt idx="94">
                  <c:v>1.391839843159157E-3</c:v>
                </c:pt>
                <c:pt idx="95">
                  <c:v>1.3910802696952501E-3</c:v>
                </c:pt>
                <c:pt idx="96">
                  <c:v>1.3905055334419358E-3</c:v>
                </c:pt>
                <c:pt idx="97">
                  <c:v>1.3898343106858776E-3</c:v>
                </c:pt>
                <c:pt idx="98">
                  <c:v>1.3899428859805666E-3</c:v>
                </c:pt>
                <c:pt idx="99">
                  <c:v>1.390208279810556E-3</c:v>
                </c:pt>
                <c:pt idx="100">
                  <c:v>1.3906250940060221E-3</c:v>
                </c:pt>
                <c:pt idx="101">
                  <c:v>1.3911856170722261E-3</c:v>
                </c:pt>
                <c:pt idx="102">
                  <c:v>1.3936351824429894E-3</c:v>
                </c:pt>
                <c:pt idx="103">
                  <c:v>1.3946785122672825E-3</c:v>
                </c:pt>
                <c:pt idx="104">
                  <c:v>1.3958206508083888E-3</c:v>
                </c:pt>
                <c:pt idx="105">
                  <c:v>1.3970528409161383E-3</c:v>
                </c:pt>
                <c:pt idx="106">
                  <c:v>1.4001245928171571E-3</c:v>
                </c:pt>
                <c:pt idx="107">
                  <c:v>1.4027069748244636E-3</c:v>
                </c:pt>
                <c:pt idx="108">
                  <c:v>1.4042580663293706E-3</c:v>
                </c:pt>
                <c:pt idx="109">
                  <c:v>1.407201537757916E-3</c:v>
                </c:pt>
                <c:pt idx="110">
                  <c:v>1.4139822485256541E-3</c:v>
                </c:pt>
                <c:pt idx="111">
                  <c:v>1.4141212138729417E-3</c:v>
                </c:pt>
                <c:pt idx="112">
                  <c:v>1.4154234735766131E-3</c:v>
                </c:pt>
                <c:pt idx="113">
                  <c:v>1.4167946766889721E-3</c:v>
                </c:pt>
                <c:pt idx="114">
                  <c:v>1.4180276831519897E-3</c:v>
                </c:pt>
                <c:pt idx="115">
                  <c:v>1.4191022921893966E-3</c:v>
                </c:pt>
                <c:pt idx="116">
                  <c:v>1.422588770985442E-3</c:v>
                </c:pt>
                <c:pt idx="117">
                  <c:v>1.421412738917682E-3</c:v>
                </c:pt>
                <c:pt idx="118">
                  <c:v>1.4213923493976096E-3</c:v>
                </c:pt>
                <c:pt idx="119">
                  <c:v>1.4210923577639013E-3</c:v>
                </c:pt>
                <c:pt idx="120">
                  <c:v>1.4204925631125642E-3</c:v>
                </c:pt>
                <c:pt idx="121">
                  <c:v>1.4182719223400865E-3</c:v>
                </c:pt>
                <c:pt idx="122">
                  <c:v>1.414691333337309E-3</c:v>
                </c:pt>
                <c:pt idx="123">
                  <c:v>1.4122895068561286E-3</c:v>
                </c:pt>
                <c:pt idx="124">
                  <c:v>1.4094666697555378E-3</c:v>
                </c:pt>
                <c:pt idx="125">
                  <c:v>1.4062026202227055E-3</c:v>
                </c:pt>
                <c:pt idx="126">
                  <c:v>1.3943891818595042E-3</c:v>
                </c:pt>
                <c:pt idx="127">
                  <c:v>1.3883302534561696E-3</c:v>
                </c:pt>
                <c:pt idx="128">
                  <c:v>1.3826309403290786E-3</c:v>
                </c:pt>
                <c:pt idx="129">
                  <c:v>1.3768122042613208E-3</c:v>
                </c:pt>
                <c:pt idx="130">
                  <c:v>1.3712922246066496E-3</c:v>
                </c:pt>
                <c:pt idx="131">
                  <c:v>1.3715657673058484E-3</c:v>
                </c:pt>
                <c:pt idx="132">
                  <c:v>1.355646395869714E-3</c:v>
                </c:pt>
                <c:pt idx="133">
                  <c:v>1.3532792923947432E-3</c:v>
                </c:pt>
                <c:pt idx="134">
                  <c:v>1.351476131291269E-3</c:v>
                </c:pt>
                <c:pt idx="135">
                  <c:v>1.3502100124823428E-3</c:v>
                </c:pt>
                <c:pt idx="136">
                  <c:v>1.3474315544606836E-3</c:v>
                </c:pt>
                <c:pt idx="137">
                  <c:v>1.3499779509831954E-3</c:v>
                </c:pt>
                <c:pt idx="138">
                  <c:v>1.3509935352763796E-3</c:v>
                </c:pt>
                <c:pt idx="139">
                  <c:v>1.3523847575146609E-3</c:v>
                </c:pt>
                <c:pt idx="140">
                  <c:v>1.3541247165992994E-3</c:v>
                </c:pt>
                <c:pt idx="141">
                  <c:v>1.3589334195202149E-3</c:v>
                </c:pt>
                <c:pt idx="142">
                  <c:v>1.3640338986389954E-3</c:v>
                </c:pt>
                <c:pt idx="143">
                  <c:v>1.367114024942138E-3</c:v>
                </c:pt>
                <c:pt idx="144">
                  <c:v>1.3703814814296888E-3</c:v>
                </c:pt>
                <c:pt idx="145">
                  <c:v>1.3738093671397547E-3</c:v>
                </c:pt>
                <c:pt idx="146">
                  <c:v>1.3833478188386027E-3</c:v>
                </c:pt>
                <c:pt idx="147">
                  <c:v>1.388587185773765E-3</c:v>
                </c:pt>
                <c:pt idx="148">
                  <c:v>1.3924137060930663E-3</c:v>
                </c:pt>
                <c:pt idx="149">
                  <c:v>1.3962392517203014E-3</c:v>
                </c:pt>
                <c:pt idx="150">
                  <c:v>1.4000369223526152E-3</c:v>
                </c:pt>
                <c:pt idx="151">
                  <c:v>1.41164412181381E-3</c:v>
                </c:pt>
                <c:pt idx="152">
                  <c:v>1.4102758374617648E-3</c:v>
                </c:pt>
                <c:pt idx="153">
                  <c:v>1.4134660671755723E-3</c:v>
                </c:pt>
                <c:pt idx="154">
                  <c:v>1.4165317961877632E-3</c:v>
                </c:pt>
                <c:pt idx="155">
                  <c:v>1.4194997019080701E-3</c:v>
                </c:pt>
                <c:pt idx="156">
                  <c:v>1.422396461647402E-3</c:v>
                </c:pt>
                <c:pt idx="157">
                  <c:v>1.4309266369159593E-3</c:v>
                </c:pt>
                <c:pt idx="158">
                  <c:v>1.433805584262851E-3</c:v>
                </c:pt>
                <c:pt idx="159">
                  <c:v>1.4367467710005269E-3</c:v>
                </c:pt>
                <c:pt idx="160">
                  <c:v>1.4397631685920116E-3</c:v>
                </c:pt>
                <c:pt idx="161">
                  <c:v>1.4428129270259362E-3</c:v>
                </c:pt>
                <c:pt idx="162">
                  <c:v>1.451606815832094E-3</c:v>
                </c:pt>
                <c:pt idx="163">
                  <c:v>1.4542344668804904E-3</c:v>
                </c:pt>
                <c:pt idx="164">
                  <c:v>1.456617704136824E-3</c:v>
                </c:pt>
                <c:pt idx="165">
                  <c:v>1.4587118312129664E-3</c:v>
                </c:pt>
                <c:pt idx="166">
                  <c:v>1.4605167027552973E-3</c:v>
                </c:pt>
                <c:pt idx="167">
                  <c:v>1.4643085028964232E-3</c:v>
                </c:pt>
                <c:pt idx="168">
                  <c:v>1.4650690706695805E-3</c:v>
                </c:pt>
                <c:pt idx="169">
                  <c:v>1.4655967417658486E-3</c:v>
                </c:pt>
                <c:pt idx="170">
                  <c:v>1.4659027877860233E-3</c:v>
                </c:pt>
                <c:pt idx="171">
                  <c:v>1.4647842144443553E-3</c:v>
                </c:pt>
                <c:pt idx="172">
                  <c:v>1.4645031451745426E-3</c:v>
                </c:pt>
                <c:pt idx="173">
                  <c:v>1.4637193318873005E-3</c:v>
                </c:pt>
                <c:pt idx="174">
                  <c:v>1.4628119306101064E-3</c:v>
                </c:pt>
                <c:pt idx="175">
                  <c:v>1.4585546093576513E-3</c:v>
                </c:pt>
                <c:pt idx="176">
                  <c:v>1.4574853911930952E-3</c:v>
                </c:pt>
                <c:pt idx="177">
                  <c:v>1.4564750344791978E-3</c:v>
                </c:pt>
                <c:pt idx="178">
                  <c:v>1.4555539475652043E-3</c:v>
                </c:pt>
                <c:pt idx="179">
                  <c:v>1.4547525388240768E-3</c:v>
                </c:pt>
                <c:pt idx="180">
                  <c:v>1.4533704655590135E-3</c:v>
                </c:pt>
                <c:pt idx="181">
                  <c:v>1.4533518534019232E-3</c:v>
                </c:pt>
                <c:pt idx="182">
                  <c:v>1.4536049612820727E-3</c:v>
                </c:pt>
                <c:pt idx="183">
                  <c:v>1.454160197465257E-3</c:v>
                </c:pt>
                <c:pt idx="184">
                  <c:v>1.4550479701386535E-3</c:v>
                </c:pt>
                <c:pt idx="185">
                  <c:v>1.4600105871636633E-3</c:v>
                </c:pt>
                <c:pt idx="186">
                  <c:v>1.4625325850849335E-3</c:v>
                </c:pt>
                <c:pt idx="187">
                  <c:v>1.4655391582472357E-3</c:v>
                </c:pt>
                <c:pt idx="188">
                  <c:v>1.469060713749387E-3</c:v>
                </c:pt>
                <c:pt idx="189">
                  <c:v>1.473127658383197E-3</c:v>
                </c:pt>
                <c:pt idx="190">
                  <c:v>1.4889048896277362E-3</c:v>
                </c:pt>
                <c:pt idx="191">
                  <c:v>1.4954574512199587E-3</c:v>
                </c:pt>
                <c:pt idx="192">
                  <c:v>1.5026327864272762E-3</c:v>
                </c:pt>
                <c:pt idx="193">
                  <c:v>1.5100888034468918E-3</c:v>
                </c:pt>
                <c:pt idx="194">
                  <c:v>1.5174116506212465E-3</c:v>
                </c:pt>
                <c:pt idx="195">
                  <c:v>1.5363694939296202E-3</c:v>
                </c:pt>
                <c:pt idx="196">
                  <c:v>1.5419683406299178E-3</c:v>
                </c:pt>
                <c:pt idx="197">
                  <c:v>1.5468385232892956E-3</c:v>
                </c:pt>
                <c:pt idx="198">
                  <c:v>1.5512238624673103E-3</c:v>
                </c:pt>
                <c:pt idx="199">
                  <c:v>1.5551379572431578E-3</c:v>
                </c:pt>
                <c:pt idx="200">
                  <c:v>1.5635239789962901E-3</c:v>
                </c:pt>
                <c:pt idx="201">
                  <c:v>1.5663538664671961E-3</c:v>
                </c:pt>
                <c:pt idx="202">
                  <c:v>1.5681157181886007E-3</c:v>
                </c:pt>
                <c:pt idx="203">
                  <c:v>1.5694879158507646E-3</c:v>
                </c:pt>
                <c:pt idx="204">
                  <c:v>1.5704840572907663E-3</c:v>
                </c:pt>
                <c:pt idx="205">
                  <c:v>1.5705001861510992E-3</c:v>
                </c:pt>
                <c:pt idx="206">
                  <c:v>1.5709800135796925E-3</c:v>
                </c:pt>
                <c:pt idx="207">
                  <c:v>1.5702998376334598E-3</c:v>
                </c:pt>
                <c:pt idx="208">
                  <c:v>1.5693251903536876E-3</c:v>
                </c:pt>
                <c:pt idx="209">
                  <c:v>1.5680696689677198E-3</c:v>
                </c:pt>
                <c:pt idx="210">
                  <c:v>1.5619108825859972E-3</c:v>
                </c:pt>
                <c:pt idx="211">
                  <c:v>1.560510785647562E-3</c:v>
                </c:pt>
                <c:pt idx="212">
                  <c:v>1.5580548509794845E-3</c:v>
                </c:pt>
                <c:pt idx="213">
                  <c:v>1.5553996249759727E-3</c:v>
                </c:pt>
                <c:pt idx="214">
                  <c:v>1.5525587047431344E-3</c:v>
                </c:pt>
                <c:pt idx="215">
                  <c:v>1.5416874488027867E-3</c:v>
                </c:pt>
                <c:pt idx="216">
                  <c:v>1.5383040972430011E-3</c:v>
                </c:pt>
                <c:pt idx="217">
                  <c:v>1.5348242391022282E-3</c:v>
                </c:pt>
                <c:pt idx="218">
                  <c:v>1.5312788949205175E-3</c:v>
                </c:pt>
                <c:pt idx="219">
                  <c:v>1.526618483753825E-3</c:v>
                </c:pt>
                <c:pt idx="220">
                  <c:v>1.5170630723857299E-3</c:v>
                </c:pt>
                <c:pt idx="221">
                  <c:v>1.5136556099204987E-3</c:v>
                </c:pt>
                <c:pt idx="222">
                  <c:v>1.5103687402792546E-3</c:v>
                </c:pt>
                <c:pt idx="223">
                  <c:v>1.5072332514081037E-3</c:v>
                </c:pt>
                <c:pt idx="224">
                  <c:v>1.5036573107139E-3</c:v>
                </c:pt>
                <c:pt idx="225">
                  <c:v>1.4968199317445868E-3</c:v>
                </c:pt>
                <c:pt idx="226">
                  <c:v>1.4949024682383524E-3</c:v>
                </c:pt>
                <c:pt idx="227">
                  <c:v>1.4933208343397191E-3</c:v>
                </c:pt>
                <c:pt idx="228">
                  <c:v>1.4920948374361562E-3</c:v>
                </c:pt>
                <c:pt idx="229">
                  <c:v>1.4908363928337822E-3</c:v>
                </c:pt>
                <c:pt idx="230">
                  <c:v>1.4901592951227748E-3</c:v>
                </c:pt>
                <c:pt idx="231">
                  <c:v>1.4902432036872193E-3</c:v>
                </c:pt>
                <c:pt idx="232">
                  <c:v>1.4904845028526504E-3</c:v>
                </c:pt>
                <c:pt idx="233">
                  <c:v>1.4908483290531219E-3</c:v>
                </c:pt>
                <c:pt idx="234">
                  <c:v>1.4932851412390701E-3</c:v>
                </c:pt>
                <c:pt idx="235">
                  <c:v>1.4936584808126741E-3</c:v>
                </c:pt>
                <c:pt idx="236">
                  <c:v>1.4941596526550805E-3</c:v>
                </c:pt>
                <c:pt idx="237">
                  <c:v>1.4943719920679467E-3</c:v>
                </c:pt>
                <c:pt idx="238">
                  <c:v>1.4945720070632823E-3</c:v>
                </c:pt>
                <c:pt idx="239">
                  <c:v>1.4945066586021345E-3</c:v>
                </c:pt>
                <c:pt idx="240">
                  <c:v>1.4943821238828942E-3</c:v>
                </c:pt>
                <c:pt idx="241">
                  <c:v>1.4942024971808102E-3</c:v>
                </c:pt>
                <c:pt idx="242">
                  <c:v>1.4939718727728874E-3</c:v>
                </c:pt>
                <c:pt idx="243">
                  <c:v>1.493014956049884E-3</c:v>
                </c:pt>
                <c:pt idx="244">
                  <c:v>1.4926212835535242E-3</c:v>
                </c:pt>
                <c:pt idx="245">
                  <c:v>1.4921970847179059E-3</c:v>
                </c:pt>
                <c:pt idx="246">
                  <c:v>1.4917464538200342E-3</c:v>
                </c:pt>
                <c:pt idx="247">
                  <c:v>1.4912734851320836E-3</c:v>
                </c:pt>
                <c:pt idx="248">
                  <c:v>1.4897614951092286E-3</c:v>
                </c:pt>
                <c:pt idx="249">
                  <c:v>1.489240118048583E-3</c:v>
                </c:pt>
                <c:pt idx="250">
                  <c:v>1.4887168745995746E-3</c:v>
                </c:pt>
                <c:pt idx="251">
                  <c:v>1.4881958590462364E-3</c:v>
                </c:pt>
                <c:pt idx="252">
                  <c:v>1.4876811656783107E-3</c:v>
                </c:pt>
                <c:pt idx="253">
                  <c:v>1.4862159615844331E-3</c:v>
                </c:pt>
                <c:pt idx="254">
                  <c:v>1.4857674998691973E-3</c:v>
                </c:pt>
                <c:pt idx="255">
                  <c:v>1.4853458318030192E-3</c:v>
                </c:pt>
                <c:pt idx="256">
                  <c:v>1.4849543314579094E-3</c:v>
                </c:pt>
                <c:pt idx="257">
                  <c:v>1.4831698022430852E-3</c:v>
                </c:pt>
                <c:pt idx="258">
                  <c:v>1.4826685126932151E-3</c:v>
                </c:pt>
                <c:pt idx="259">
                  <c:v>1.4833149125620636E-3</c:v>
                </c:pt>
                <c:pt idx="260">
                  <c:v>1.4849340160967865E-3</c:v>
                </c:pt>
                <c:pt idx="261">
                  <c:v>1.4873508372056801E-3</c:v>
                </c:pt>
                <c:pt idx="262">
                  <c:v>1.4903904364992483E-3</c:v>
                </c:pt>
                <c:pt idx="263">
                  <c:v>1.493901602070148E-3</c:v>
                </c:pt>
                <c:pt idx="264">
                  <c:v>1.4978022343364631E-3</c:v>
                </c:pt>
                <c:pt idx="265">
                  <c:v>1.5020340701925499E-3</c:v>
                </c:pt>
                <c:pt idx="266">
                  <c:v>1.5065399612988689E-3</c:v>
                </c:pt>
                <c:pt idx="267">
                  <c:v>1.5112627597481448E-3</c:v>
                </c:pt>
                <c:pt idx="268">
                  <c:v>1.5161453180631921E-3</c:v>
                </c:pt>
                <c:pt idx="269">
                  <c:v>1.5211304892051702E-3</c:v>
                </c:pt>
                <c:pt idx="270">
                  <c:v>1.5261692670948848E-3</c:v>
                </c:pt>
                <c:pt idx="271">
                  <c:v>1.5312401462657982E-3</c:v>
                </c:pt>
                <c:pt idx="272">
                  <c:v>1.5363159749727097E-3</c:v>
                </c:pt>
                <c:pt idx="273">
                  <c:v>1.5413687465447243E-3</c:v>
                </c:pt>
                <c:pt idx="274">
                  <c:v>1.5460131211068736E-3</c:v>
                </c:pt>
                <c:pt idx="275">
                  <c:v>1.5509535634434242E-3</c:v>
                </c:pt>
                <c:pt idx="276">
                  <c:v>1.5557922027506714E-3</c:v>
                </c:pt>
                <c:pt idx="277">
                  <c:v>1.5604938338171219E-3</c:v>
                </c:pt>
                <c:pt idx="278">
                  <c:v>1.5649876894383722E-3</c:v>
                </c:pt>
                <c:pt idx="279">
                  <c:v>1.5435690585360272E-3</c:v>
                </c:pt>
                <c:pt idx="280">
                  <c:v>1.5472979108116756E-3</c:v>
                </c:pt>
                <c:pt idx="281">
                  <c:v>1.5505102932000321E-3</c:v>
                </c:pt>
                <c:pt idx="282">
                  <c:v>1.5531050886328996E-3</c:v>
                </c:pt>
                <c:pt idx="283">
                  <c:v>1.5549853343090122E-3</c:v>
                </c:pt>
                <c:pt idx="284">
                  <c:v>1.5561385352116086E-3</c:v>
                </c:pt>
                <c:pt idx="285">
                  <c:v>1.5566334817179971E-3</c:v>
                </c:pt>
                <c:pt idx="286">
                  <c:v>1.5565424765498132E-3</c:v>
                </c:pt>
                <c:pt idx="287">
                  <c:v>1.555670022002964E-3</c:v>
                </c:pt>
                <c:pt idx="288">
                  <c:v>1.5546458298203447E-3</c:v>
                </c:pt>
                <c:pt idx="289">
                  <c:v>1.5532363219135092E-3</c:v>
                </c:pt>
                <c:pt idx="290">
                  <c:v>1.5515154248024743E-3</c:v>
                </c:pt>
                <c:pt idx="291">
                  <c:v>1.5495641610048239E-3</c:v>
                </c:pt>
                <c:pt idx="292">
                  <c:v>1.5738729949084096E-3</c:v>
                </c:pt>
                <c:pt idx="293">
                  <c:v>1.5717630558582663E-3</c:v>
                </c:pt>
                <c:pt idx="294">
                  <c:v>1.5697277141053512E-3</c:v>
                </c:pt>
                <c:pt idx="295">
                  <c:v>1.5678696322725116E-3</c:v>
                </c:pt>
                <c:pt idx="296">
                  <c:v>1.5663425607887352E-3</c:v>
                </c:pt>
                <c:pt idx="297">
                  <c:v>1.5650658183133973E-3</c:v>
                </c:pt>
                <c:pt idx="298">
                  <c:v>1.5641024211181195E-3</c:v>
                </c:pt>
                <c:pt idx="299">
                  <c:v>1.5634356921826874E-3</c:v>
                </c:pt>
                <c:pt idx="300">
                  <c:v>1.5631161427472847E-3</c:v>
                </c:pt>
                <c:pt idx="301">
                  <c:v>1.563037438264354E-3</c:v>
                </c:pt>
                <c:pt idx="302">
                  <c:v>1.5632022485106737E-3</c:v>
                </c:pt>
                <c:pt idx="303">
                  <c:v>1.5635926620830142E-3</c:v>
                </c:pt>
                <c:pt idx="304">
                  <c:v>1.564187487503238E-3</c:v>
                </c:pt>
                <c:pt idx="305">
                  <c:v>1.5648824879240589E-3</c:v>
                </c:pt>
                <c:pt idx="306">
                  <c:v>1.5658199063952581E-3</c:v>
                </c:pt>
                <c:pt idx="307">
                  <c:v>1.5669048783062533E-3</c:v>
                </c:pt>
                <c:pt idx="308">
                  <c:v>1.5681179912666683E-3</c:v>
                </c:pt>
                <c:pt idx="309">
                  <c:v>1.5695532080815268E-3</c:v>
                </c:pt>
                <c:pt idx="310">
                  <c:v>1.570981263322543E-3</c:v>
                </c:pt>
                <c:pt idx="311">
                  <c:v>1.5725012609007808E-3</c:v>
                </c:pt>
                <c:pt idx="312">
                  <c:v>1.574105949133508E-3</c:v>
                </c:pt>
                <c:pt idx="313">
                  <c:v>1.5757880762163503E-3</c:v>
                </c:pt>
                <c:pt idx="314">
                  <c:v>1.5775403902093894E-3</c:v>
                </c:pt>
                <c:pt idx="315">
                  <c:v>1.5793556390293439E-3</c:v>
                </c:pt>
                <c:pt idx="316">
                  <c:v>1.5812277793581932E-3</c:v>
                </c:pt>
                <c:pt idx="317">
                  <c:v>1.5831556033794822E-3</c:v>
                </c:pt>
                <c:pt idx="318">
                  <c:v>1.585139112174954E-3</c:v>
                </c:pt>
                <c:pt idx="319">
                  <c:v>1.5871783068393858E-3</c:v>
                </c:pt>
                <c:pt idx="320">
                  <c:v>1.5892731884797171E-3</c:v>
                </c:pt>
                <c:pt idx="321">
                  <c:v>1.5914237582141848E-3</c:v>
                </c:pt>
                <c:pt idx="322">
                  <c:v>1.5936300171740575E-3</c:v>
                </c:pt>
                <c:pt idx="323">
                  <c:v>1.5958919665045061E-3</c:v>
                </c:pt>
                <c:pt idx="324">
                  <c:v>1.5982096073576524E-3</c:v>
                </c:pt>
                <c:pt idx="325">
                  <c:v>1.6005829409051681E-3</c:v>
                </c:pt>
                <c:pt idx="326">
                  <c:v>1.6028278499190054E-3</c:v>
                </c:pt>
                <c:pt idx="327">
                  <c:v>1.6053084966255156E-3</c:v>
                </c:pt>
                <c:pt idx="328">
                  <c:v>1.607844838563749E-3</c:v>
                </c:pt>
                <c:pt idx="329">
                  <c:v>1.6104368769353818E-3</c:v>
                </c:pt>
                <c:pt idx="330">
                  <c:v>1.6130846129561447E-3</c:v>
                </c:pt>
                <c:pt idx="331">
                  <c:v>1.6159925557132518E-3</c:v>
                </c:pt>
                <c:pt idx="332">
                  <c:v>1.6187557718521967E-3</c:v>
                </c:pt>
                <c:pt idx="333">
                  <c:v>1.6215746904737678E-3</c:v>
                </c:pt>
                <c:pt idx="334">
                  <c:v>1.6244493128552044E-3</c:v>
                </c:pt>
                <c:pt idx="335">
                  <c:v>1.6273796402859102E-3</c:v>
                </c:pt>
                <c:pt idx="336">
                  <c:v>1.6303656740713625E-3</c:v>
                </c:pt>
                <c:pt idx="337">
                  <c:v>1.6334074155278993E-3</c:v>
                </c:pt>
                <c:pt idx="338">
                  <c:v>1.6365048659805483E-3</c:v>
                </c:pt>
                <c:pt idx="339">
                  <c:v>1.6391840439280436E-3</c:v>
                </c:pt>
                <c:pt idx="340">
                  <c:v>1.6423847356752397E-3</c:v>
                </c:pt>
                <c:pt idx="341">
                  <c:v>1.6456411380114666E-3</c:v>
                </c:pt>
                <c:pt idx="342">
                  <c:v>1.6489532522796502E-3</c:v>
                </c:pt>
                <c:pt idx="343">
                  <c:v>1.6528067461636375E-3</c:v>
                </c:pt>
                <c:pt idx="344">
                  <c:v>1.6562382477336435E-3</c:v>
                </c:pt>
                <c:pt idx="345">
                  <c:v>1.6597254655432714E-3</c:v>
                </c:pt>
                <c:pt idx="346">
                  <c:v>1.6632684009869614E-3</c:v>
                </c:pt>
                <c:pt idx="347">
                  <c:v>1.6668670554755849E-3</c:v>
                </c:pt>
                <c:pt idx="348">
                  <c:v>1.670247565322607E-3</c:v>
                </c:pt>
                <c:pt idx="349">
                  <c:v>1.6739514413707207E-3</c:v>
                </c:pt>
                <c:pt idx="350">
                  <c:v>1.6777032633613319E-3</c:v>
                </c:pt>
                <c:pt idx="351">
                  <c:v>1.6814969844976689E-3</c:v>
                </c:pt>
                <c:pt idx="352">
                  <c:v>1.6867418602238293E-3</c:v>
                </c:pt>
                <c:pt idx="353">
                  <c:v>1.6906044334021543E-3</c:v>
                </c:pt>
                <c:pt idx="354">
                  <c:v>1.6944883786675581E-3</c:v>
                </c:pt>
                <c:pt idx="355">
                  <c:v>1.6983879696802128E-3</c:v>
                </c:pt>
                <c:pt idx="356">
                  <c:v>1.7036864620904731E-3</c:v>
                </c:pt>
                <c:pt idx="357">
                  <c:v>1.7053651497338702E-3</c:v>
                </c:pt>
                <c:pt idx="358">
                  <c:v>1.709280647835003E-3</c:v>
                </c:pt>
                <c:pt idx="359">
                  <c:v>1.7131893413849272E-3</c:v>
                </c:pt>
                <c:pt idx="360">
                  <c:v>1.7170853144613859E-3</c:v>
                </c:pt>
                <c:pt idx="361">
                  <c:v>1.7217935529079366E-3</c:v>
                </c:pt>
                <c:pt idx="362">
                  <c:v>1.7256458349068637E-3</c:v>
                </c:pt>
                <c:pt idx="363">
                  <c:v>1.729476944554259E-3</c:v>
                </c:pt>
                <c:pt idx="364">
                  <c:v>1.7332868812854681E-3</c:v>
                </c:pt>
                <c:pt idx="365">
                  <c:v>1.7370756445298837E-3</c:v>
                </c:pt>
                <c:pt idx="366">
                  <c:v>1.7408432337322052E-3</c:v>
                </c:pt>
                <c:pt idx="367">
                  <c:v>1.7445896483269272E-3</c:v>
                </c:pt>
                <c:pt idx="368">
                  <c:v>1.7483148877519466E-3</c:v>
                </c:pt>
                <c:pt idx="369">
                  <c:v>1.7512213651170009E-3</c:v>
                </c:pt>
                <c:pt idx="370">
                  <c:v>1.7557018388665727E-3</c:v>
                </c:pt>
                <c:pt idx="371">
                  <c:v>1.759363549443027E-3</c:v>
                </c:pt>
                <c:pt idx="372">
                  <c:v>1.7630040826285768E-3</c:v>
                </c:pt>
                <c:pt idx="373">
                  <c:v>1.7666234378670713E-3</c:v>
                </c:pt>
                <c:pt idx="374">
                  <c:v>1.7702216146134142E-3</c:v>
                </c:pt>
                <c:pt idx="375">
                  <c:v>1.7737986123140057E-3</c:v>
                </c:pt>
                <c:pt idx="376">
                  <c:v>1.7773544304228997E-3</c:v>
                </c:pt>
                <c:pt idx="377">
                  <c:v>1.7808890683950007E-3</c:v>
                </c:pt>
                <c:pt idx="378">
                  <c:v>1.7836421726518919E-3</c:v>
                </c:pt>
                <c:pt idx="379">
                  <c:v>1.7871385836684289E-3</c:v>
                </c:pt>
                <c:pt idx="380">
                  <c:v>1.7906138125660491E-3</c:v>
                </c:pt>
                <c:pt idx="381">
                  <c:v>1.7940678588203383E-3</c:v>
                </c:pt>
                <c:pt idx="382">
                  <c:v>1.7982445372136879E-3</c:v>
                </c:pt>
                <c:pt idx="383">
                  <c:v>1.8016520829953998E-3</c:v>
                </c:pt>
                <c:pt idx="384">
                  <c:v>1.8050384448629149E-3</c:v>
                </c:pt>
                <c:pt idx="385">
                  <c:v>1.8084036222864432E-3</c:v>
                </c:pt>
                <c:pt idx="386">
                  <c:v>1.8117476147344953E-3</c:v>
                </c:pt>
                <c:pt idx="387">
                  <c:v>1.8150704216764327E-3</c:v>
                </c:pt>
                <c:pt idx="388">
                  <c:v>1.8183720425858669E-3</c:v>
                </c:pt>
                <c:pt idx="389">
                  <c:v>1.8216524769338596E-3</c:v>
                </c:pt>
                <c:pt idx="390">
                  <c:v>1.8249117241982758E-3</c:v>
                </c:pt>
                <c:pt idx="391">
                  <c:v>1.827207372143036E-3</c:v>
                </c:pt>
                <c:pt idx="392">
                  <c:v>1.8304297525473245E-3</c:v>
                </c:pt>
                <c:pt idx="393">
                  <c:v>1.8336309441133736E-3</c:v>
                </c:pt>
                <c:pt idx="394">
                  <c:v>1.8368109463473559E-3</c:v>
                </c:pt>
                <c:pt idx="395">
                  <c:v>1.8408572917770864E-3</c:v>
                </c:pt>
                <c:pt idx="396">
                  <c:v>1.8446739032943922E-3</c:v>
                </c:pt>
                <c:pt idx="397">
                  <c:v>1.8477798755948459E-3</c:v>
                </c:pt>
                <c:pt idx="398">
                  <c:v>1.8510900918219822E-3</c:v>
                </c:pt>
                <c:pt idx="399">
                  <c:v>1.8539282452192606E-3</c:v>
                </c:pt>
                <c:pt idx="400">
                  <c:v>1.8569687864771517E-3</c:v>
                </c:pt>
                <c:pt idx="401">
                  <c:v>1.8599770042153582E-3</c:v>
                </c:pt>
                <c:pt idx="402">
                  <c:v>1.8629417671744489E-3</c:v>
                </c:pt>
                <c:pt idx="403">
                  <c:v>1.8658519438543063E-3</c:v>
                </c:pt>
                <c:pt idx="404">
                  <c:v>1.8688958685706702E-3</c:v>
                </c:pt>
                <c:pt idx="405">
                  <c:v>1.8716551717235929E-3</c:v>
                </c:pt>
                <c:pt idx="406">
                  <c:v>1.8743256454474856E-3</c:v>
                </c:pt>
                <c:pt idx="407">
                  <c:v>1.8768962782054492E-3</c:v>
                </c:pt>
                <c:pt idx="408">
                  <c:v>1.8791944137076632E-3</c:v>
                </c:pt>
                <c:pt idx="409">
                  <c:v>1.8815432976916823E-3</c:v>
                </c:pt>
                <c:pt idx="410">
                  <c:v>1.8837596681107454E-3</c:v>
                </c:pt>
                <c:pt idx="411">
                  <c:v>1.886396655973101E-3</c:v>
                </c:pt>
                <c:pt idx="412">
                  <c:v>1.8877503341518818E-3</c:v>
                </c:pt>
                <c:pt idx="413">
                  <c:v>1.8896085722011745E-3</c:v>
                </c:pt>
                <c:pt idx="414">
                  <c:v>1.8911848196728513E-3</c:v>
                </c:pt>
                <c:pt idx="415">
                  <c:v>1.8925951458443507E-3</c:v>
                </c:pt>
                <c:pt idx="416">
                  <c:v>1.8938395477571695E-3</c:v>
                </c:pt>
                <c:pt idx="417">
                  <c:v>1.8949180224345581E-3</c:v>
                </c:pt>
                <c:pt idx="418">
                  <c:v>1.8958305668954237E-3</c:v>
                </c:pt>
                <c:pt idx="419">
                  <c:v>1.8965771781378194E-3</c:v>
                </c:pt>
                <c:pt idx="420">
                  <c:v>1.8971578531589298E-3</c:v>
                </c:pt>
                <c:pt idx="421">
                  <c:v>1.8975725889368244E-3</c:v>
                </c:pt>
                <c:pt idx="422">
                  <c:v>1.8978213824426212E-3</c:v>
                </c:pt>
                <c:pt idx="423">
                  <c:v>1.8979042306352752E-3</c:v>
                </c:pt>
                <c:pt idx="424">
                  <c:v>1.8978211304572321E-3</c:v>
                </c:pt>
                <c:pt idx="425">
                  <c:v>1.8975720788491999E-3</c:v>
                </c:pt>
                <c:pt idx="426">
                  <c:v>1.8971570727319023E-3</c:v>
                </c:pt>
                <c:pt idx="427">
                  <c:v>1.8965761090217195E-3</c:v>
                </c:pt>
                <c:pt idx="428">
                  <c:v>1.8958291846150467E-3</c:v>
                </c:pt>
                <c:pt idx="429">
                  <c:v>1.8949162964074109E-3</c:v>
                </c:pt>
                <c:pt idx="430">
                  <c:v>1.8939324222162052E-3</c:v>
                </c:pt>
                <c:pt idx="431">
                  <c:v>1.8926993329046672E-3</c:v>
                </c:pt>
                <c:pt idx="432">
                  <c:v>1.89130027174851E-3</c:v>
                </c:pt>
                <c:pt idx="433">
                  <c:v>1.8897352356275919E-3</c:v>
                </c:pt>
                <c:pt idx="434">
                  <c:v>1.8878622886703521E-3</c:v>
                </c:pt>
                <c:pt idx="435">
                  <c:v>1.8859535516975265E-3</c:v>
                </c:pt>
                <c:pt idx="436">
                  <c:v>1.8838788288344512E-3</c:v>
                </c:pt>
                <c:pt idx="437">
                  <c:v>1.8816381168793395E-3</c:v>
                </c:pt>
                <c:pt idx="438">
                  <c:v>1.8792314126208464E-3</c:v>
                </c:pt>
                <c:pt idx="439">
                  <c:v>1.8766587128345954E-3</c:v>
                </c:pt>
                <c:pt idx="440">
                  <c:v>1.8739200142866516E-3</c:v>
                </c:pt>
                <c:pt idx="441">
                  <c:v>1.8710153137326533E-3</c:v>
                </c:pt>
                <c:pt idx="442">
                  <c:v>1.8679446079134692E-3</c:v>
                </c:pt>
                <c:pt idx="443">
                  <c:v>1.8649555568694479E-3</c:v>
                </c:pt>
                <c:pt idx="444">
                  <c:v>1.8615645869882944E-3</c:v>
                </c:pt>
                <c:pt idx="445">
                  <c:v>1.858007603824899E-3</c:v>
                </c:pt>
                <c:pt idx="446">
                  <c:v>1.854284604112424E-3</c:v>
                </c:pt>
                <c:pt idx="447">
                  <c:v>1.8498264575211925E-3</c:v>
                </c:pt>
                <c:pt idx="448">
                  <c:v>1.8457476970076799E-3</c:v>
                </c:pt>
                <c:pt idx="449">
                  <c:v>1.8415029096052263E-3</c:v>
                </c:pt>
                <c:pt idx="450">
                  <c:v>1.8370920920039524E-3</c:v>
                </c:pt>
                <c:pt idx="451">
                  <c:v>1.8325152408772897E-3</c:v>
                </c:pt>
                <c:pt idx="452">
                  <c:v>1.8281277515797001E-3</c:v>
                </c:pt>
                <c:pt idx="453">
                  <c:v>1.8232472101651354E-3</c:v>
                </c:pt>
                <c:pt idx="454">
                  <c:v>1.8182371902701888E-3</c:v>
                </c:pt>
                <c:pt idx="455">
                  <c:v>1.8131190175925127E-3</c:v>
                </c:pt>
                <c:pt idx="456">
                  <c:v>1.8071727284386515E-3</c:v>
                </c:pt>
                <c:pt idx="457">
                  <c:v>1.8019042843524418E-3</c:v>
                </c:pt>
                <c:pt idx="458">
                  <c:v>1.7965949780587008E-3</c:v>
                </c:pt>
                <c:pt idx="459">
                  <c:v>1.7912656740658116E-3</c:v>
                </c:pt>
                <c:pt idx="460">
                  <c:v>1.7862944230237457E-3</c:v>
                </c:pt>
                <c:pt idx="461">
                  <c:v>1.7809814429423669E-3</c:v>
                </c:pt>
                <c:pt idx="462">
                  <c:v>1.7742149555745887E-3</c:v>
                </c:pt>
                <c:pt idx="463">
                  <c:v>1.7690286940927795E-3</c:v>
                </c:pt>
                <c:pt idx="464">
                  <c:v>1.7636060796353075E-3</c:v>
                </c:pt>
                <c:pt idx="465">
                  <c:v>1.758623681641128E-3</c:v>
                </c:pt>
                <c:pt idx="466">
                  <c:v>1.7537494667242267E-3</c:v>
                </c:pt>
                <c:pt idx="467">
                  <c:v>1.7489834365398034E-3</c:v>
                </c:pt>
                <c:pt idx="468">
                  <c:v>1.7443255927673813E-3</c:v>
                </c:pt>
                <c:pt idx="469">
                  <c:v>1.739775937110818E-3</c:v>
                </c:pt>
                <c:pt idx="470">
                  <c:v>1.7353344713026382E-3</c:v>
                </c:pt>
                <c:pt idx="471">
                  <c:v>1.7310011970979615E-3</c:v>
                </c:pt>
                <c:pt idx="472">
                  <c:v>1.7267761162762327E-3</c:v>
                </c:pt>
                <c:pt idx="473">
                  <c:v>1.7226592306473091E-3</c:v>
                </c:pt>
                <c:pt idx="474">
                  <c:v>1.7186505420427687E-3</c:v>
                </c:pt>
                <c:pt idx="475">
                  <c:v>1.714750052318519E-3</c:v>
                </c:pt>
                <c:pt idx="476">
                  <c:v>1.7109577633582689E-3</c:v>
                </c:pt>
                <c:pt idx="477">
                  <c:v>1.7072736770683216E-3</c:v>
                </c:pt>
                <c:pt idx="478">
                  <c:v>1.7036977953836497E-3</c:v>
                </c:pt>
                <c:pt idx="479">
                  <c:v>1.7002301202644243E-3</c:v>
                </c:pt>
                <c:pt idx="480">
                  <c:v>1.696870653694278E-3</c:v>
                </c:pt>
                <c:pt idx="481">
                  <c:v>1.6936193976794297E-3</c:v>
                </c:pt>
                <c:pt idx="482">
                  <c:v>1.6906620125250226E-3</c:v>
                </c:pt>
                <c:pt idx="483">
                  <c:v>1.6876193491712249E-3</c:v>
                </c:pt>
                <c:pt idx="484">
                  <c:v>1.6846849009905145E-3</c:v>
                </c:pt>
                <c:pt idx="485">
                  <c:v>1.681858670071769E-3</c:v>
                </c:pt>
                <c:pt idx="486">
                  <c:v>1.6785279338527724E-3</c:v>
                </c:pt>
                <c:pt idx="487">
                  <c:v>1.6763843990424722E-3</c:v>
                </c:pt>
                <c:pt idx="488">
                  <c:v>1.6738906753305974E-3</c:v>
                </c:pt>
                <c:pt idx="489">
                  <c:v>1.6715051791673847E-3</c:v>
                </c:pt>
                <c:pt idx="490">
                  <c:v>1.6692279127875679E-3</c:v>
                </c:pt>
                <c:pt idx="491">
                  <c:v>1.6670588784580298E-3</c:v>
                </c:pt>
                <c:pt idx="492">
                  <c:v>1.664998078463899E-3</c:v>
                </c:pt>
                <c:pt idx="493">
                  <c:v>1.6630455151215844E-3</c:v>
                </c:pt>
                <c:pt idx="494">
                  <c:v>1.6612011907683444E-3</c:v>
                </c:pt>
                <c:pt idx="495">
                  <c:v>1.6596332214611209E-3</c:v>
                </c:pt>
                <c:pt idx="496">
                  <c:v>1.6579896686046425E-3</c:v>
                </c:pt>
                <c:pt idx="497">
                  <c:v>1.65645435809747E-3</c:v>
                </c:pt>
                <c:pt idx="498">
                  <c:v>1.6550272923225862E-3</c:v>
                </c:pt>
                <c:pt idx="499">
                  <c:v>1.653708473689619E-3</c:v>
                </c:pt>
                <c:pt idx="500">
                  <c:v>1.6524979046321775E-3</c:v>
                </c:pt>
                <c:pt idx="501">
                  <c:v>1.6513955876060749E-3</c:v>
                </c:pt>
                <c:pt idx="502">
                  <c:v>1.6504015250990989E-3</c:v>
                </c:pt>
                <c:pt idx="503">
                  <c:v>1.6495157196168009E-3</c:v>
                </c:pt>
                <c:pt idx="504">
                  <c:v>1.6487520986930232E-3</c:v>
                </c:pt>
                <c:pt idx="505">
                  <c:v>1.6480687094628751E-3</c:v>
                </c:pt>
                <c:pt idx="506">
                  <c:v>1.6474798692063201E-3</c:v>
                </c:pt>
                <c:pt idx="507">
                  <c:v>1.6469775806019034E-3</c:v>
                </c:pt>
                <c:pt idx="508">
                  <c:v>1.6465716537986718E-3</c:v>
                </c:pt>
                <c:pt idx="509">
                  <c:v>1.6462276662619563E-3</c:v>
                </c:pt>
                <c:pt idx="510">
                  <c:v>1.6459444126761527E-3</c:v>
                </c:pt>
                <c:pt idx="511">
                  <c:v>1.645714154823368E-3</c:v>
                </c:pt>
                <c:pt idx="512">
                  <c:v>1.6455141798218786E-3</c:v>
                </c:pt>
                <c:pt idx="513">
                  <c:v>1.645365558372666E-3</c:v>
                </c:pt>
                <c:pt idx="514">
                  <c:v>1.6452469720705685E-3</c:v>
                </c:pt>
                <c:pt idx="515">
                  <c:v>1.6451505968761507E-3</c:v>
                </c:pt>
                <c:pt idx="516">
                  <c:v>1.6450686084917166E-3</c:v>
                </c:pt>
                <c:pt idx="517">
                  <c:v>1.6450134354790797E-3</c:v>
                </c:pt>
                <c:pt idx="518">
                  <c:v>1.6449464862424903E-3</c:v>
                </c:pt>
                <c:pt idx="519">
                  <c:v>1.6448860983860353E-3</c:v>
                </c:pt>
                <c:pt idx="520">
                  <c:v>1.6448322720843591E-3</c:v>
                </c:pt>
                <c:pt idx="521">
                  <c:v>1.644785007504283E-3</c:v>
                </c:pt>
                <c:pt idx="522">
                  <c:v>1.6447443048126318E-3</c:v>
                </c:pt>
                <c:pt idx="523">
                  <c:v>1.6447101641718824E-3</c:v>
                </c:pt>
                <c:pt idx="524">
                  <c:v>1.6446825857419078E-3</c:v>
                </c:pt>
                <c:pt idx="525">
                  <c:v>1.6446615696799737E-3</c:v>
                </c:pt>
                <c:pt idx="526">
                  <c:v>1.6446471161407385E-3</c:v>
                </c:pt>
                <c:pt idx="527">
                  <c:v>1.6446392252736485E-3</c:v>
                </c:pt>
                <c:pt idx="528">
                  <c:v>1.6446378972290177E-3</c:v>
                </c:pt>
                <c:pt idx="529">
                  <c:v>1.6446431321493413E-3</c:v>
                </c:pt>
                <c:pt idx="530">
                  <c:v>1.6446549301779821E-3</c:v>
                </c:pt>
                <c:pt idx="531">
                  <c:v>1.6446732914539601E-3</c:v>
                </c:pt>
                <c:pt idx="532">
                  <c:v>1.6446982161145559E-3</c:v>
                </c:pt>
                <c:pt idx="533">
                  <c:v>1.6447297042901021E-3</c:v>
                </c:pt>
                <c:pt idx="534">
                  <c:v>1.6447386008169038E-3</c:v>
                </c:pt>
                <c:pt idx="535">
                  <c:v>1.6447826271203852E-3</c:v>
                </c:pt>
                <c:pt idx="536">
                  <c:v>1.6448332185441837E-3</c:v>
                </c:pt>
                <c:pt idx="537">
                  <c:v>1.6448903752086397E-3</c:v>
                </c:pt>
                <c:pt idx="538">
                  <c:v>1.644985602378907E-3</c:v>
                </c:pt>
                <c:pt idx="539">
                  <c:v>1.6450564742863808E-3</c:v>
                </c:pt>
                <c:pt idx="540">
                  <c:v>1.6451339105594265E-3</c:v>
                </c:pt>
                <c:pt idx="541">
                  <c:v>1.6452179113083916E-3</c:v>
                </c:pt>
                <c:pt idx="542">
                  <c:v>1.6453084766375409E-3</c:v>
                </c:pt>
                <c:pt idx="543">
                  <c:v>1.6454056066520072E-3</c:v>
                </c:pt>
                <c:pt idx="544">
                  <c:v>1.6455093014517107E-3</c:v>
                </c:pt>
                <c:pt idx="545">
                  <c:v>1.6456195611348331E-3</c:v>
                </c:pt>
                <c:pt idx="546">
                  <c:v>1.6457363857952136E-3</c:v>
                </c:pt>
                <c:pt idx="547">
                  <c:v>1.6457863931993444E-3</c:v>
                </c:pt>
                <c:pt idx="548">
                  <c:v>1.6459152009709044E-3</c:v>
                </c:pt>
                <c:pt idx="549">
                  <c:v>1.6460505764079869E-3</c:v>
                </c:pt>
                <c:pt idx="550">
                  <c:v>1.6461925195923044E-3</c:v>
                </c:pt>
                <c:pt idx="551">
                  <c:v>1.6463410306011284E-3</c:v>
                </c:pt>
                <c:pt idx="552">
                  <c:v>1.6464961095108421E-3</c:v>
                </c:pt>
                <c:pt idx="553">
                  <c:v>1.6466577563942764E-3</c:v>
                </c:pt>
                <c:pt idx="554">
                  <c:v>1.6468259713198208E-3</c:v>
                </c:pt>
                <c:pt idx="555">
                  <c:v>1.6470007543549769E-3</c:v>
                </c:pt>
                <c:pt idx="556">
                  <c:v>1.6471403425568285E-3</c:v>
                </c:pt>
                <c:pt idx="557">
                  <c:v>1.6473268927613251E-3</c:v>
                </c:pt>
                <c:pt idx="558">
                  <c:v>1.6475179543629214E-3</c:v>
                </c:pt>
                <c:pt idx="559">
                  <c:v>1.6477122176910422E-3</c:v>
                </c:pt>
                <c:pt idx="560">
                  <c:v>1.6480349110253633E-3</c:v>
                </c:pt>
                <c:pt idx="561">
                  <c:v>1.6482310087069336E-3</c:v>
                </c:pt>
                <c:pt idx="562">
                  <c:v>1.6484260724129911E-3</c:v>
                </c:pt>
                <c:pt idx="563">
                  <c:v>1.648618835454173E-3</c:v>
                </c:pt>
                <c:pt idx="564">
                  <c:v>1.648767312552109E-3</c:v>
                </c:pt>
                <c:pt idx="565">
                  <c:v>1.6489522121607E-3</c:v>
                </c:pt>
                <c:pt idx="566">
                  <c:v>1.6491310547137742E-3</c:v>
                </c:pt>
                <c:pt idx="567">
                  <c:v>1.6493025594090547E-3</c:v>
                </c:pt>
                <c:pt idx="568">
                  <c:v>1.6494654454249384E-3</c:v>
                </c:pt>
                <c:pt idx="569">
                  <c:v>1.6496562956849403E-3</c:v>
                </c:pt>
                <c:pt idx="570">
                  <c:v>1.649798704469704E-3</c:v>
                </c:pt>
                <c:pt idx="571">
                  <c:v>1.6499310308282708E-3</c:v>
                </c:pt>
                <c:pt idx="572">
                  <c:v>1.6500532746242264E-3</c:v>
                </c:pt>
                <c:pt idx="573">
                  <c:v>1.6501654357150754E-3</c:v>
                </c:pt>
                <c:pt idx="574">
                  <c:v>1.6502675139626688E-3</c:v>
                </c:pt>
                <c:pt idx="575">
                  <c:v>1.6503595092201683E-3</c:v>
                </c:pt>
                <c:pt idx="576">
                  <c:v>1.6504414213433394E-3</c:v>
                </c:pt>
                <c:pt idx="577">
                  <c:v>1.6505132501870821E-3</c:v>
                </c:pt>
                <c:pt idx="578">
                  <c:v>1.6505749956010818E-3</c:v>
                </c:pt>
                <c:pt idx="579">
                  <c:v>1.6506266574376292E-3</c:v>
                </c:pt>
                <c:pt idx="580">
                  <c:v>1.650668235543805E-3</c:v>
                </c:pt>
                <c:pt idx="581">
                  <c:v>1.6506997297649484E-3</c:v>
                </c:pt>
                <c:pt idx="582">
                  <c:v>1.6507211399490089E-3</c:v>
                </c:pt>
                <c:pt idx="583">
                  <c:v>1.6507324659361137E-3</c:v>
                </c:pt>
                <c:pt idx="584">
                  <c:v>1.6507337075707352E-3</c:v>
                </c:pt>
                <c:pt idx="585">
                  <c:v>1.6507248646912623E-3</c:v>
                </c:pt>
                <c:pt idx="586">
                  <c:v>1.6506788774874612E-3</c:v>
                </c:pt>
                <c:pt idx="587">
                  <c:v>1.6506504899867595E-3</c:v>
                </c:pt>
                <c:pt idx="588">
                  <c:v>1.6506120171908218E-3</c:v>
                </c:pt>
                <c:pt idx="589">
                  <c:v>1.6505634589336262E-3</c:v>
                </c:pt>
                <c:pt idx="590">
                  <c:v>1.650504815049152E-3</c:v>
                </c:pt>
                <c:pt idx="591">
                  <c:v>1.6504600234518883E-3</c:v>
                </c:pt>
                <c:pt idx="592">
                  <c:v>1.6503805843557182E-3</c:v>
                </c:pt>
                <c:pt idx="593">
                  <c:v>1.6502910594039192E-3</c:v>
                </c:pt>
                <c:pt idx="594">
                  <c:v>1.6501914484227153E-3</c:v>
                </c:pt>
                <c:pt idx="595">
                  <c:v>1.6500817512374675E-3</c:v>
                </c:pt>
                <c:pt idx="596">
                  <c:v>1.6499619676665789E-3</c:v>
                </c:pt>
                <c:pt idx="597">
                  <c:v>1.6498320975310643E-3</c:v>
                </c:pt>
                <c:pt idx="598">
                  <c:v>1.6496921406501967E-3</c:v>
                </c:pt>
                <c:pt idx="599">
                  <c:v>1.6495041265516264E-3</c:v>
                </c:pt>
                <c:pt idx="600">
                  <c:v>1.649345238167399E-3</c:v>
                </c:pt>
                <c:pt idx="601">
                  <c:v>1.6491762619494921E-3</c:v>
                </c:pt>
                <c:pt idx="602">
                  <c:v>1.6489971977140527E-3</c:v>
                </c:pt>
                <c:pt idx="603">
                  <c:v>1.6488080452745635E-3</c:v>
                </c:pt>
                <c:pt idx="604">
                  <c:v>1.648608804445395E-3</c:v>
                </c:pt>
                <c:pt idx="605">
                  <c:v>1.6483994750347009E-3</c:v>
                </c:pt>
                <c:pt idx="606">
                  <c:v>1.6481800568559635E-3</c:v>
                </c:pt>
                <c:pt idx="607">
                  <c:v>1.6479505497137836E-3</c:v>
                </c:pt>
                <c:pt idx="608">
                  <c:v>1.6476975281506708E-3</c:v>
                </c:pt>
                <c:pt idx="609">
                  <c:v>1.6474496081452473E-3</c:v>
                </c:pt>
                <c:pt idx="610">
                  <c:v>1.6471945251343547E-3</c:v>
                </c:pt>
                <c:pt idx="611">
                  <c:v>1.6469341414943111E-3</c:v>
                </c:pt>
                <c:pt idx="612">
                  <c:v>1.6467110590686089E-3</c:v>
                </c:pt>
                <c:pt idx="613">
                  <c:v>1.6464470995517563E-3</c:v>
                </c:pt>
                <c:pt idx="614">
                  <c:v>1.6461838590449722E-3</c:v>
                </c:pt>
                <c:pt idx="615">
                  <c:v>1.6459231390081085E-3</c:v>
                </c:pt>
                <c:pt idx="616">
                  <c:v>1.6456667409566212E-3</c:v>
                </c:pt>
                <c:pt idx="617">
                  <c:v>1.6453991486188547E-3</c:v>
                </c:pt>
                <c:pt idx="618">
                  <c:v>1.6451558019722843E-3</c:v>
                </c:pt>
                <c:pt idx="619">
                  <c:v>1.6449221409204585E-3</c:v>
                </c:pt>
                <c:pt idx="620">
                  <c:v>1.6446999870972107E-3</c:v>
                </c:pt>
                <c:pt idx="621">
                  <c:v>1.6445124478537826E-3</c:v>
                </c:pt>
                <c:pt idx="622">
                  <c:v>1.6443180821241838E-3</c:v>
                </c:pt>
                <c:pt idx="623">
                  <c:v>1.6441373045921089E-3</c:v>
                </c:pt>
                <c:pt idx="624">
                  <c:v>1.6439701155251708E-3</c:v>
                </c:pt>
                <c:pt idx="625">
                  <c:v>1.6438165151840285E-3</c:v>
                </c:pt>
                <c:pt idx="626">
                  <c:v>1.6436765038197873E-3</c:v>
                </c:pt>
                <c:pt idx="627">
                  <c:v>1.6435500816792065E-3</c:v>
                </c:pt>
                <c:pt idx="628">
                  <c:v>1.6434372489960089E-3</c:v>
                </c:pt>
                <c:pt idx="629">
                  <c:v>1.6433380059995787E-3</c:v>
                </c:pt>
                <c:pt idx="630">
                  <c:v>1.6432523529123482E-3</c:v>
                </c:pt>
                <c:pt idx="631">
                  <c:v>1.6431802899454498E-3</c:v>
                </c:pt>
                <c:pt idx="632">
                  <c:v>1.6431218173021999E-3</c:v>
                </c:pt>
                <c:pt idx="633">
                  <c:v>1.6430769351807022E-3</c:v>
                </c:pt>
                <c:pt idx="634">
                  <c:v>1.6430456437695022E-3</c:v>
                </c:pt>
                <c:pt idx="635">
                  <c:v>1.6430279432475842E-3</c:v>
                </c:pt>
                <c:pt idx="636">
                  <c:v>1.6430238337887242E-3</c:v>
                </c:pt>
                <c:pt idx="637">
                  <c:v>1.643033315556269E-3</c:v>
                </c:pt>
                <c:pt idx="638">
                  <c:v>1.6430170583355873E-3</c:v>
                </c:pt>
                <c:pt idx="639">
                  <c:v>1.6430526858268735E-3</c:v>
                </c:pt>
                <c:pt idx="640">
                  <c:v>1.6431019064307309E-3</c:v>
                </c:pt>
                <c:pt idx="641">
                  <c:v>1.6431647202754052E-3</c:v>
                </c:pt>
                <c:pt idx="642">
                  <c:v>1.6432411274882701E-3</c:v>
                </c:pt>
                <c:pt idx="643">
                  <c:v>1.6433756301433792E-3</c:v>
                </c:pt>
                <c:pt idx="644">
                  <c:v>1.643480254436956E-3</c:v>
                </c:pt>
                <c:pt idx="645">
                  <c:v>1.6435984709848115E-3</c:v>
                </c:pt>
                <c:pt idx="646">
                  <c:v>1.6437302798799139E-3</c:v>
                </c:pt>
                <c:pt idx="647">
                  <c:v>1.6438756812091511E-3</c:v>
                </c:pt>
                <c:pt idx="648">
                  <c:v>1.644034675045509E-3</c:v>
                </c:pt>
                <c:pt idx="649">
                  <c:v>1.6442072614602336E-3</c:v>
                </c:pt>
                <c:pt idx="650">
                  <c:v>1.6443934405124096E-3</c:v>
                </c:pt>
                <c:pt idx="651">
                  <c:v>1.6445405103708791E-3</c:v>
                </c:pt>
                <c:pt idx="652">
                  <c:v>1.644752856308637E-3</c:v>
                </c:pt>
                <c:pt idx="653">
                  <c:v>1.6449787964517137E-3</c:v>
                </c:pt>
                <c:pt idx="654">
                  <c:v>1.6452183308282246E-3</c:v>
                </c:pt>
                <c:pt idx="655">
                  <c:v>1.6454519170912008E-3</c:v>
                </c:pt>
                <c:pt idx="656">
                  <c:v>1.6457773953670631E-3</c:v>
                </c:pt>
                <c:pt idx="657">
                  <c:v>1.6460596545764747E-3</c:v>
                </c:pt>
                <c:pt idx="658">
                  <c:v>1.6463555080553343E-3</c:v>
                </c:pt>
                <c:pt idx="659">
                  <c:v>1.6466649557913401E-3</c:v>
                </c:pt>
                <c:pt idx="660">
                  <c:v>1.6469259100535538E-3</c:v>
                </c:pt>
                <c:pt idx="661">
                  <c:v>1.6472534422504737E-3</c:v>
                </c:pt>
                <c:pt idx="662">
                  <c:v>1.6475701001317233E-3</c:v>
                </c:pt>
                <c:pt idx="663">
                  <c:v>1.6478587546187029E-3</c:v>
                </c:pt>
                <c:pt idx="664">
                  <c:v>1.6482726394247511E-3</c:v>
                </c:pt>
                <c:pt idx="665">
                  <c:v>1.6484179063151827E-3</c:v>
                </c:pt>
                <c:pt idx="666">
                  <c:v>1.6484783581578637E-3</c:v>
                </c:pt>
                <c:pt idx="667">
                  <c:v>1.6484375938884575E-3</c:v>
                </c:pt>
                <c:pt idx="668">
                  <c:v>1.6481566568608205E-3</c:v>
                </c:pt>
                <c:pt idx="669">
                  <c:v>1.6480312985296328E-3</c:v>
                </c:pt>
                <c:pt idx="670">
                  <c:v>1.64763037851684E-3</c:v>
                </c:pt>
                <c:pt idx="671">
                  <c:v>1.6470639596893929E-3</c:v>
                </c:pt>
                <c:pt idx="672">
                  <c:v>1.6463151002569067E-3</c:v>
                </c:pt>
                <c:pt idx="673">
                  <c:v>1.6448205134876543E-3</c:v>
                </c:pt>
                <c:pt idx="674">
                  <c:v>1.643563053031892E-3</c:v>
                </c:pt>
                <c:pt idx="675">
                  <c:v>1.6420989433053928E-3</c:v>
                </c:pt>
                <c:pt idx="676">
                  <c:v>1.6404281830491611E-3</c:v>
                </c:pt>
                <c:pt idx="677">
                  <c:v>1.6385507709207933E-3</c:v>
                </c:pt>
                <c:pt idx="678">
                  <c:v>1.6364667054962105E-3</c:v>
                </c:pt>
                <c:pt idx="679">
                  <c:v>1.6341759852748746E-3</c:v>
                </c:pt>
                <c:pt idx="680">
                  <c:v>1.6316786086719671E-3</c:v>
                </c:pt>
                <c:pt idx="681">
                  <c:v>1.6289745740227313E-3</c:v>
                </c:pt>
                <c:pt idx="682">
                  <c:v>1.6260638795833442E-3</c:v>
                </c:pt>
                <c:pt idx="683">
                  <c:v>1.6229465235265755E-3</c:v>
                </c:pt>
                <c:pt idx="684">
                  <c:v>1.619622503949595E-3</c:v>
                </c:pt>
                <c:pt idx="685">
                  <c:v>1.6160918188635586E-3</c:v>
                </c:pt>
                <c:pt idx="686">
                  <c:v>1.6123544662014298E-3</c:v>
                </c:pt>
                <c:pt idx="687">
                  <c:v>1.6084104438144871E-3</c:v>
                </c:pt>
                <c:pt idx="688">
                  <c:v>1.6042597494758185E-3</c:v>
                </c:pt>
                <c:pt idx="689">
                  <c:v>1.5999023808750991E-3</c:v>
                </c:pt>
                <c:pt idx="690">
                  <c:v>1.5956673247993491E-3</c:v>
                </c:pt>
                <c:pt idx="691">
                  <c:v>1.5909114257085391E-3</c:v>
                </c:pt>
                <c:pt idx="692">
                  <c:v>1.5859488489598826E-3</c:v>
                </c:pt>
                <c:pt idx="693">
                  <c:v>1.5807795919602916E-3</c:v>
                </c:pt>
                <c:pt idx="694">
                  <c:v>1.5750153374942096E-3</c:v>
                </c:pt>
                <c:pt idx="695">
                  <c:v>1.5694178703209638E-3</c:v>
                </c:pt>
                <c:pt idx="696">
                  <c:v>1.5636137104656162E-3</c:v>
                </c:pt>
                <c:pt idx="697">
                  <c:v>1.557602854974879E-3</c:v>
                </c:pt>
                <c:pt idx="698">
                  <c:v>1.5513853008129203E-3</c:v>
                </c:pt>
                <c:pt idx="699">
                  <c:v>1.5449610448674449E-3</c:v>
                </c:pt>
                <c:pt idx="700">
                  <c:v>1.538330083939274E-3</c:v>
                </c:pt>
                <c:pt idx="701">
                  <c:v>1.5314924147527683E-3</c:v>
                </c:pt>
                <c:pt idx="702">
                  <c:v>1.5244480339514782E-3</c:v>
                </c:pt>
                <c:pt idx="703">
                  <c:v>1.5177189796678533E-3</c:v>
                </c:pt>
                <c:pt idx="704">
                  <c:v>1.5102760456686196E-3</c:v>
                </c:pt>
                <c:pt idx="705">
                  <c:v>1.5026263940329703E-3</c:v>
                </c:pt>
                <c:pt idx="706">
                  <c:v>1.4947700211233759E-3</c:v>
                </c:pt>
                <c:pt idx="707">
                  <c:v>1.4861204699236907E-3</c:v>
                </c:pt>
                <c:pt idx="708">
                  <c:v>1.4778360090952347E-3</c:v>
                </c:pt>
                <c:pt idx="709">
                  <c:v>1.4693448197746761E-3</c:v>
                </c:pt>
                <c:pt idx="710">
                  <c:v>1.4600198937569616E-3</c:v>
                </c:pt>
                <c:pt idx="711">
                  <c:v>1.4517422399178415E-3</c:v>
                </c:pt>
                <c:pt idx="712">
                  <c:v>1.4426367054740652E-3</c:v>
                </c:pt>
                <c:pt idx="713">
                  <c:v>1.4333723445343338E-3</c:v>
                </c:pt>
                <c:pt idx="714">
                  <c:v>1.4240049996230297E-3</c:v>
                </c:pt>
                <c:pt idx="715">
                  <c:v>1.4145905416915738E-3</c:v>
                </c:pt>
                <c:pt idx="716">
                  <c:v>1.4039224153364937E-3</c:v>
                </c:pt>
                <c:pt idx="717">
                  <c:v>1.3946199132461191E-3</c:v>
                </c:pt>
                <c:pt idx="718">
                  <c:v>1.3854464262908414E-3</c:v>
                </c:pt>
                <c:pt idx="719">
                  <c:v>1.3764566185083035E-3</c:v>
                </c:pt>
                <c:pt idx="720">
                  <c:v>1.3682344831654411E-3</c:v>
                </c:pt>
                <c:pt idx="721">
                  <c:v>1.3597433289645796E-3</c:v>
                </c:pt>
                <c:pt idx="722">
                  <c:v>1.3515980442936563E-3</c:v>
                </c:pt>
                <c:pt idx="723">
                  <c:v>1.3417226970495327E-3</c:v>
                </c:pt>
                <c:pt idx="724">
                  <c:v>1.3324826050891171E-3</c:v>
                </c:pt>
                <c:pt idx="725">
                  <c:v>1.3275930145617582E-3</c:v>
                </c:pt>
                <c:pt idx="726">
                  <c:v>1.3033587032379688E-3</c:v>
                </c:pt>
                <c:pt idx="727">
                  <c:v>1.291450532060142E-3</c:v>
                </c:pt>
                <c:pt idx="728">
                  <c:v>1.2885840150277054E-3</c:v>
                </c:pt>
                <c:pt idx="729">
                  <c:v>1.2955384785077028E-3</c:v>
                </c:pt>
                <c:pt idx="730">
                  <c:v>1.3134561429675538E-3</c:v>
                </c:pt>
                <c:pt idx="731">
                  <c:v>1.3417001802078395E-3</c:v>
                </c:pt>
                <c:pt idx="732">
                  <c:v>1.3765136225760699E-3</c:v>
                </c:pt>
                <c:pt idx="733">
                  <c:v>1.4270693563407377E-3</c:v>
                </c:pt>
                <c:pt idx="734">
                  <c:v>1.4898922073476248E-3</c:v>
                </c:pt>
                <c:pt idx="735">
                  <c:v>1.5490850431885434E-3</c:v>
                </c:pt>
                <c:pt idx="736">
                  <c:v>1.6103203196625379E-3</c:v>
                </c:pt>
                <c:pt idx="737">
                  <c:v>1.6696698803238662E-3</c:v>
                </c:pt>
                <c:pt idx="738">
                  <c:v>1.7207377177498179E-3</c:v>
                </c:pt>
                <c:pt idx="739">
                  <c:v>1.7609819820700902E-3</c:v>
                </c:pt>
                <c:pt idx="740">
                  <c:v>1.7932341663984275E-3</c:v>
                </c:pt>
                <c:pt idx="741">
                  <c:v>1.8161784684325617E-3</c:v>
                </c:pt>
                <c:pt idx="742">
                  <c:v>1.8286965223640837E-3</c:v>
                </c:pt>
                <c:pt idx="743">
                  <c:v>1.8324917359674696E-3</c:v>
                </c:pt>
                <c:pt idx="744">
                  <c:v>1.8274872146744059E-3</c:v>
                </c:pt>
                <c:pt idx="745">
                  <c:v>1.8118566691484022E-3</c:v>
                </c:pt>
                <c:pt idx="746">
                  <c:v>1.790240957007071E-3</c:v>
                </c:pt>
                <c:pt idx="747">
                  <c:v>1.7627528940383531E-3</c:v>
                </c:pt>
                <c:pt idx="748">
                  <c:v>1.7294951012995271E-3</c:v>
                </c:pt>
                <c:pt idx="749">
                  <c:v>1.6985256705335048E-3</c:v>
                </c:pt>
                <c:pt idx="750">
                  <c:v>1.6660070613289842E-3</c:v>
                </c:pt>
                <c:pt idx="751">
                  <c:v>1.6373883274636482E-3</c:v>
                </c:pt>
                <c:pt idx="752">
                  <c:v>1.606945781379673E-3</c:v>
                </c:pt>
                <c:pt idx="753">
                  <c:v>1.5806036409684934E-3</c:v>
                </c:pt>
                <c:pt idx="754">
                  <c:v>1.5536335284359534E-3</c:v>
                </c:pt>
                <c:pt idx="755">
                  <c:v>1.5273633872981713E-3</c:v>
                </c:pt>
                <c:pt idx="756">
                  <c:v>1.5034041907760268E-3</c:v>
                </c:pt>
                <c:pt idx="757">
                  <c:v>1.4784161281333752E-3</c:v>
                </c:pt>
                <c:pt idx="758">
                  <c:v>1.4564228512473198E-3</c:v>
                </c:pt>
                <c:pt idx="759">
                  <c:v>1.4362272617886133E-3</c:v>
                </c:pt>
                <c:pt idx="760">
                  <c:v>1.4129670316636901E-3</c:v>
                </c:pt>
                <c:pt idx="761">
                  <c:v>1.3917869024245317E-3</c:v>
                </c:pt>
                <c:pt idx="762">
                  <c:v>1.3740722224033965E-3</c:v>
                </c:pt>
                <c:pt idx="763">
                  <c:v>1.3549362193516871E-3</c:v>
                </c:pt>
                <c:pt idx="764">
                  <c:v>1.3387071882916702E-3</c:v>
                </c:pt>
                <c:pt idx="765">
                  <c:v>1.3225150191928797E-3</c:v>
                </c:pt>
                <c:pt idx="766">
                  <c:v>1.3068615298024271E-3</c:v>
                </c:pt>
                <c:pt idx="767">
                  <c:v>1.2935528950759334E-3</c:v>
                </c:pt>
                <c:pt idx="768">
                  <c:v>1.2795284139244245E-3</c:v>
                </c:pt>
                <c:pt idx="769">
                  <c:v>1.2664463709934886E-3</c:v>
                </c:pt>
                <c:pt idx="770">
                  <c:v>1.2562055611765946E-3</c:v>
                </c:pt>
                <c:pt idx="771">
                  <c:v>1.2463753352721391E-3</c:v>
                </c:pt>
                <c:pt idx="772">
                  <c:v>1.2370074701676843E-3</c:v>
                </c:pt>
                <c:pt idx="773">
                  <c:v>1.2282970469578297E-3</c:v>
                </c:pt>
                <c:pt idx="774">
                  <c:v>1.220997027642742E-3</c:v>
                </c:pt>
                <c:pt idx="775">
                  <c:v>1.2143020982735581E-3</c:v>
                </c:pt>
                <c:pt idx="776">
                  <c:v>1.2085927850627853E-3</c:v>
                </c:pt>
                <c:pt idx="777">
                  <c:v>1.2042736876247007E-3</c:v>
                </c:pt>
                <c:pt idx="778">
                  <c:v>1.2006037488657261E-3</c:v>
                </c:pt>
                <c:pt idx="779">
                  <c:v>1.1981965253413662E-3</c:v>
                </c:pt>
                <c:pt idx="780">
                  <c:v>1.196619688477174E-3</c:v>
                </c:pt>
                <c:pt idx="781">
                  <c:v>1.1959788759880342E-3</c:v>
                </c:pt>
                <c:pt idx="782">
                  <c:v>1.1961494558226198E-3</c:v>
                </c:pt>
                <c:pt idx="783">
                  <c:v>1.1965030097456624E-3</c:v>
                </c:pt>
                <c:pt idx="784">
                  <c:v>1.1967746758383812E-3</c:v>
                </c:pt>
                <c:pt idx="785">
                  <c:v>1.1968357738997727E-3</c:v>
                </c:pt>
                <c:pt idx="786">
                  <c:v>1.1966883975990453E-3</c:v>
                </c:pt>
                <c:pt idx="787">
                  <c:v>1.1963030726749018E-3</c:v>
                </c:pt>
                <c:pt idx="788">
                  <c:v>1.1957698662093483E-3</c:v>
                </c:pt>
                <c:pt idx="789">
                  <c:v>1.1950368085645001E-3</c:v>
                </c:pt>
                <c:pt idx="790">
                  <c:v>1.1939590697309863E-3</c:v>
                </c:pt>
                <c:pt idx="791">
                  <c:v>1.1926194414151325E-3</c:v>
                </c:pt>
                <c:pt idx="792">
                  <c:v>1.1913032969781412E-3</c:v>
                </c:pt>
                <c:pt idx="793">
                  <c:v>1.1895914777976489E-3</c:v>
                </c:pt>
                <c:pt idx="794">
                  <c:v>1.1879452016298857E-3</c:v>
                </c:pt>
                <c:pt idx="795">
                  <c:v>1.1859937869315596E-3</c:v>
                </c:pt>
                <c:pt idx="796">
                  <c:v>1.1838564566169912E-3</c:v>
                </c:pt>
                <c:pt idx="797">
                  <c:v>1.1812675646154427E-3</c:v>
                </c:pt>
                <c:pt idx="798">
                  <c:v>1.178689364858555E-3</c:v>
                </c:pt>
                <c:pt idx="799">
                  <c:v>1.1757067539592131E-3</c:v>
                </c:pt>
                <c:pt idx="800">
                  <c:v>1.1726911706874156E-3</c:v>
                </c:pt>
                <c:pt idx="801">
                  <c:v>1.1692585846536842E-3</c:v>
                </c:pt>
                <c:pt idx="802">
                  <c:v>1.1659248535161558E-3</c:v>
                </c:pt>
                <c:pt idx="803">
                  <c:v>1.1620075125801273E-3</c:v>
                </c:pt>
                <c:pt idx="804">
                  <c:v>1.1578563780512627E-3</c:v>
                </c:pt>
                <c:pt idx="805">
                  <c:v>1.1539768180623966E-3</c:v>
                </c:pt>
                <c:pt idx="806">
                  <c:v>1.1499938984344416E-3</c:v>
                </c:pt>
                <c:pt idx="807">
                  <c:v>1.1455078015487861E-3</c:v>
                </c:pt>
                <c:pt idx="808">
                  <c:v>1.1405864254024952E-3</c:v>
                </c:pt>
                <c:pt idx="809">
                  <c:v>1.1357222121776318E-3</c:v>
                </c:pt>
                <c:pt idx="810">
                  <c:v>1.1303687574481594E-3</c:v>
                </c:pt>
                <c:pt idx="811">
                  <c:v>1.1247364347806935E-3</c:v>
                </c:pt>
                <c:pt idx="812">
                  <c:v>1.1192990735464647E-3</c:v>
                </c:pt>
                <c:pt idx="813">
                  <c:v>1.1131606454875664E-3</c:v>
                </c:pt>
                <c:pt idx="814">
                  <c:v>1.1075181541189139E-3</c:v>
                </c:pt>
                <c:pt idx="815">
                  <c:v>1.1007927178837643E-3</c:v>
                </c:pt>
                <c:pt idx="816">
                  <c:v>1.0948364065016224E-3</c:v>
                </c:pt>
                <c:pt idx="817">
                  <c:v>1.0886531818152124E-3</c:v>
                </c:pt>
                <c:pt idx="818">
                  <c:v>1.0810631198021736E-3</c:v>
                </c:pt>
                <c:pt idx="819">
                  <c:v>1.0746490506144523E-3</c:v>
                </c:pt>
                <c:pt idx="820">
                  <c:v>1.0669735839930385E-3</c:v>
                </c:pt>
                <c:pt idx="821">
                  <c:v>1.059793071233002E-3</c:v>
                </c:pt>
                <c:pt idx="822">
                  <c:v>1.0516714156423405E-3</c:v>
                </c:pt>
                <c:pt idx="823">
                  <c:v>1.0441878951780344E-3</c:v>
                </c:pt>
                <c:pt idx="824">
                  <c:v>1.0360936071088043E-3</c:v>
                </c:pt>
                <c:pt idx="825">
                  <c:v>1.0275257439646083E-3</c:v>
                </c:pt>
                <c:pt idx="826">
                  <c:v>1.0195676160069667E-3</c:v>
                </c:pt>
                <c:pt idx="827">
                  <c:v>1.0103488994710474E-3</c:v>
                </c:pt>
                <c:pt idx="828">
                  <c:v>1.0007755061256542E-3</c:v>
                </c:pt>
                <c:pt idx="829">
                  <c:v>9.924444370165101E-4</c:v>
                </c:pt>
                <c:pt idx="830">
                  <c:v>9.8358923254423906E-4</c:v>
                </c:pt>
                <c:pt idx="831">
                  <c:v>9.7402217543082238E-4</c:v>
                </c:pt>
                <c:pt idx="832">
                  <c:v>9.639683601869245E-4</c:v>
                </c:pt>
                <c:pt idx="833">
                  <c:v>9.5410889229858957E-4</c:v>
                </c:pt>
                <c:pt idx="834">
                  <c:v>9.4362382723905784E-4</c:v>
                </c:pt>
                <c:pt idx="835">
                  <c:v>9.3262734615073839E-4</c:v>
                </c:pt>
                <c:pt idx="836">
                  <c:v>9.2242782032420263E-4</c:v>
                </c:pt>
                <c:pt idx="837">
                  <c:v>9.1113932192219901E-4</c:v>
                </c:pt>
                <c:pt idx="838">
                  <c:v>9.0033875883133163E-4</c:v>
                </c:pt>
                <c:pt idx="839">
                  <c:v>8.884513637434921E-4</c:v>
                </c:pt>
                <c:pt idx="840">
                  <c:v>8.7789465258467092E-4</c:v>
                </c:pt>
                <c:pt idx="841">
                  <c:v>8.6743460282832918E-4</c:v>
                </c:pt>
                <c:pt idx="842">
                  <c:v>8.5608390671037572E-4</c:v>
                </c:pt>
                <c:pt idx="843">
                  <c:v>8.4467818938034449E-4</c:v>
                </c:pt>
                <c:pt idx="844">
                  <c:v>8.3396548971795097E-4</c:v>
                </c:pt>
                <c:pt idx="845">
                  <c:v>8.2307129912596519E-4</c:v>
                </c:pt>
                <c:pt idx="846">
                  <c:v>8.1229589187563865E-4</c:v>
                </c:pt>
                <c:pt idx="847">
                  <c:v>8.024688017187389E-4</c:v>
                </c:pt>
                <c:pt idx="848">
                  <c:v>7.9207783810744843E-4</c:v>
                </c:pt>
                <c:pt idx="849">
                  <c:v>7.8300135407263077E-4</c:v>
                </c:pt>
                <c:pt idx="850">
                  <c:v>7.7300570083796601E-4</c:v>
                </c:pt>
                <c:pt idx="851">
                  <c:v>7.6452337154453431E-4</c:v>
                </c:pt>
                <c:pt idx="852">
                  <c:v>7.5605508959638093E-4</c:v>
                </c:pt>
                <c:pt idx="853">
                  <c:v>7.4653154978139742E-4</c:v>
                </c:pt>
                <c:pt idx="854">
                  <c:v>7.3787399169353632E-4</c:v>
                </c:pt>
                <c:pt idx="855">
                  <c:v>7.3010129363530914E-4</c:v>
                </c:pt>
                <c:pt idx="856">
                  <c:v>7.2234697103993467E-4</c:v>
                </c:pt>
                <c:pt idx="857">
                  <c:v>7.145197079509915E-4</c:v>
                </c:pt>
                <c:pt idx="858">
                  <c:v>7.0685548364337637E-4</c:v>
                </c:pt>
                <c:pt idx="859">
                  <c:v>6.9994212025402923E-4</c:v>
                </c:pt>
                <c:pt idx="860">
                  <c:v>6.9270691166525497E-4</c:v>
                </c:pt>
                <c:pt idx="861">
                  <c:v>6.865399102657932E-4</c:v>
                </c:pt>
                <c:pt idx="862">
                  <c:v>6.7974081576537351E-4</c:v>
                </c:pt>
                <c:pt idx="863">
                  <c:v>6.740331473189809E-4</c:v>
                </c:pt>
                <c:pt idx="864">
                  <c:v>6.6853440403406503E-4</c:v>
                </c:pt>
                <c:pt idx="865">
                  <c:v>6.626552348566201E-4</c:v>
                </c:pt>
                <c:pt idx="866">
                  <c:v>6.5741465121292586E-4</c:v>
                </c:pt>
                <c:pt idx="867">
                  <c:v>6.5199062755574855E-4</c:v>
                </c:pt>
                <c:pt idx="868">
                  <c:v>6.4729869055334989E-4</c:v>
                </c:pt>
                <c:pt idx="869">
                  <c:v>6.424557234858113E-4</c:v>
                </c:pt>
                <c:pt idx="870">
                  <c:v>6.3818648590686401E-4</c:v>
                </c:pt>
                <c:pt idx="871">
                  <c:v>6.3424803684294928E-4</c:v>
                </c:pt>
                <c:pt idx="872">
                  <c:v>6.3016578723296135E-4</c:v>
                </c:pt>
                <c:pt idx="873">
                  <c:v>6.262710562380952E-4</c:v>
                </c:pt>
                <c:pt idx="874">
                  <c:v>6.2308169317554056E-4</c:v>
                </c:pt>
                <c:pt idx="875">
                  <c:v>6.2013770300992956E-4</c:v>
                </c:pt>
                <c:pt idx="876">
                  <c:v>6.1707888584181143E-4</c:v>
                </c:pt>
                <c:pt idx="877">
                  <c:v>6.1448265534674168E-4</c:v>
                </c:pt>
                <c:pt idx="878">
                  <c:v>6.1192103448696328E-4</c:v>
                </c:pt>
                <c:pt idx="879">
                  <c:v>6.0983124819599145E-4</c:v>
                </c:pt>
                <c:pt idx="880">
                  <c:v>6.0779533724312357E-4</c:v>
                </c:pt>
                <c:pt idx="881">
                  <c:v>6.0619255262934005E-4</c:v>
                </c:pt>
                <c:pt idx="882">
                  <c:v>6.047887613862598E-4</c:v>
                </c:pt>
                <c:pt idx="883">
                  <c:v>6.0353929586119161E-4</c:v>
                </c:pt>
                <c:pt idx="884">
                  <c:v>6.0262783393127961E-4</c:v>
                </c:pt>
                <c:pt idx="885">
                  <c:v>6.0188534823257811E-4</c:v>
                </c:pt>
                <c:pt idx="886">
                  <c:v>6.0142902156435502E-4</c:v>
                </c:pt>
                <c:pt idx="887">
                  <c:v>6.0126656090183153E-4</c:v>
                </c:pt>
                <c:pt idx="888">
                  <c:v>6.0128751890772998E-4</c:v>
                </c:pt>
                <c:pt idx="889">
                  <c:v>6.0160133325427856E-4</c:v>
                </c:pt>
                <c:pt idx="890">
                  <c:v>6.0211348806762238E-4</c:v>
                </c:pt>
                <c:pt idx="891">
                  <c:v>6.0291353566262196E-4</c:v>
                </c:pt>
                <c:pt idx="892">
                  <c:v>6.039297692626306E-4</c:v>
                </c:pt>
                <c:pt idx="893">
                  <c:v>6.0524324423480783E-4</c:v>
                </c:pt>
                <c:pt idx="894">
                  <c:v>6.0674966266836827E-4</c:v>
                </c:pt>
                <c:pt idx="895">
                  <c:v>6.0862728813564776E-4</c:v>
                </c:pt>
                <c:pt idx="896">
                  <c:v>6.1052282924662152E-4</c:v>
                </c:pt>
                <c:pt idx="897">
                  <c:v>6.1292192917193622E-4</c:v>
                </c:pt>
                <c:pt idx="898">
                  <c:v>6.1527615712453354E-4</c:v>
                </c:pt>
                <c:pt idx="899">
                  <c:v>6.1785894949361111E-4</c:v>
                </c:pt>
                <c:pt idx="900">
                  <c:v>6.2064417111673369E-4</c:v>
                </c:pt>
                <c:pt idx="901">
                  <c:v>6.2312383341287837E-4</c:v>
                </c:pt>
                <c:pt idx="902">
                  <c:v>6.2575832870262645E-4</c:v>
                </c:pt>
                <c:pt idx="903">
                  <c:v>6.2803929202866898E-4</c:v>
                </c:pt>
                <c:pt idx="904">
                  <c:v>6.3042291525094996E-4</c:v>
                </c:pt>
                <c:pt idx="905">
                  <c:v>6.3247581162645221E-4</c:v>
                </c:pt>
                <c:pt idx="906">
                  <c:v>6.3451079614048646E-4</c:v>
                </c:pt>
                <c:pt idx="907">
                  <c:v>6.3643338622492059E-4</c:v>
                </c:pt>
                <c:pt idx="908">
                  <c:v>6.3814886525070946E-4</c:v>
                </c:pt>
                <c:pt idx="909">
                  <c:v>6.3983241068488184E-4</c:v>
                </c:pt>
                <c:pt idx="910">
                  <c:v>6.4154299822451709E-4</c:v>
                </c:pt>
                <c:pt idx="911">
                  <c:v>6.427876163207849E-4</c:v>
                </c:pt>
                <c:pt idx="912">
                  <c:v>6.4413149465736806E-4</c:v>
                </c:pt>
                <c:pt idx="913">
                  <c:v>6.452171670299732E-4</c:v>
                </c:pt>
                <c:pt idx="914">
                  <c:v>6.4639895180462759E-4</c:v>
                </c:pt>
                <c:pt idx="915">
                  <c:v>6.474166618382661E-4</c:v>
                </c:pt>
                <c:pt idx="916">
                  <c:v>6.4820083665342865E-4</c:v>
                </c:pt>
                <c:pt idx="917">
                  <c:v>6.4898062045370096E-4</c:v>
                </c:pt>
                <c:pt idx="918">
                  <c:v>6.4957769479084999E-4</c:v>
                </c:pt>
                <c:pt idx="919">
                  <c:v>6.5000921694124969E-4</c:v>
                </c:pt>
                <c:pt idx="920">
                  <c:v>6.5040960205831055E-4</c:v>
                </c:pt>
                <c:pt idx="921">
                  <c:v>6.5069611636112308E-4</c:v>
                </c:pt>
                <c:pt idx="922">
                  <c:v>6.508354304968697E-4</c:v>
                </c:pt>
                <c:pt idx="923">
                  <c:v>6.5084594983510352E-4</c:v>
                </c:pt>
                <c:pt idx="924">
                  <c:v>6.5076355829997955E-4</c:v>
                </c:pt>
                <c:pt idx="925">
                  <c:v>6.5056097854179415E-4</c:v>
                </c:pt>
                <c:pt idx="926">
                  <c:v>6.5026655534843741E-4</c:v>
                </c:pt>
                <c:pt idx="927">
                  <c:v>6.4978201255095312E-4</c:v>
                </c:pt>
                <c:pt idx="928">
                  <c:v>6.4917834993869113E-4</c:v>
                </c:pt>
                <c:pt idx="929">
                  <c:v>6.4852404109090774E-4</c:v>
                </c:pt>
                <c:pt idx="930">
                  <c:v>6.4767393421992503E-4</c:v>
                </c:pt>
                <c:pt idx="931">
                  <c:v>6.4678935071071919E-4</c:v>
                </c:pt>
                <c:pt idx="932">
                  <c:v>6.4568921019496871E-4</c:v>
                </c:pt>
                <c:pt idx="933">
                  <c:v>6.4458592610831117E-4</c:v>
                </c:pt>
                <c:pt idx="934">
                  <c:v>6.4343241405352865E-4</c:v>
                </c:pt>
                <c:pt idx="935">
                  <c:v>6.4197767579558807E-4</c:v>
                </c:pt>
                <c:pt idx="936">
                  <c:v>6.4052449609145086E-4</c:v>
                </c:pt>
                <c:pt idx="937">
                  <c:v>6.3881012469182638E-4</c:v>
                </c:pt>
                <c:pt idx="938">
                  <c:v>6.3713755044055367E-4</c:v>
                </c:pt>
                <c:pt idx="939">
                  <c:v>6.351722578518855E-4</c:v>
                </c:pt>
                <c:pt idx="940">
                  <c:v>6.3328984882522754E-4</c:v>
                </c:pt>
                <c:pt idx="941">
                  <c:v>6.3122189031960922E-4</c:v>
                </c:pt>
                <c:pt idx="942">
                  <c:v>6.2892655692674444E-4</c:v>
                </c:pt>
                <c:pt idx="943">
                  <c:v>6.2648361201503126E-4</c:v>
                </c:pt>
                <c:pt idx="944">
                  <c:v>6.2412855320245243E-4</c:v>
                </c:pt>
                <c:pt idx="945">
                  <c:v>6.2138442875691625E-4</c:v>
                </c:pt>
                <c:pt idx="946">
                  <c:v>6.1888731384033245E-4</c:v>
                </c:pt>
                <c:pt idx="947">
                  <c:v>6.1632039217481699E-4</c:v>
                </c:pt>
                <c:pt idx="948">
                  <c:v>6.1342638307649959E-4</c:v>
                </c:pt>
                <c:pt idx="949">
                  <c:v>6.1029362411441426E-4</c:v>
                </c:pt>
                <c:pt idx="950">
                  <c:v>6.0719533261876547E-4</c:v>
                </c:pt>
                <c:pt idx="951">
                  <c:v>6.0385906022168701E-4</c:v>
                </c:pt>
                <c:pt idx="952">
                  <c:v>6.0023710081421981E-4</c:v>
                </c:pt>
                <c:pt idx="953">
                  <c:v>5.9686631230416662E-4</c:v>
                </c:pt>
                <c:pt idx="954">
                  <c:v>5.9347763894468386E-4</c:v>
                </c:pt>
                <c:pt idx="955">
                  <c:v>5.8965054730997224E-4</c:v>
                </c:pt>
                <c:pt idx="956">
                  <c:v>5.8607550826295096E-4</c:v>
                </c:pt>
                <c:pt idx="957">
                  <c:v>5.8230928687387495E-4</c:v>
                </c:pt>
                <c:pt idx="958">
                  <c:v>5.7871980634715235E-4</c:v>
                </c:pt>
                <c:pt idx="959">
                  <c:v>5.743532627560978E-4</c:v>
                </c:pt>
                <c:pt idx="960">
                  <c:v>5.7078582134164821E-4</c:v>
                </c:pt>
                <c:pt idx="961">
                  <c:v>5.6662119029988328E-4</c:v>
                </c:pt>
                <c:pt idx="962">
                  <c:v>5.628725816329283E-4</c:v>
                </c:pt>
                <c:pt idx="963">
                  <c:v>5.5883786034584271E-4</c:v>
                </c:pt>
                <c:pt idx="964">
                  <c:v>5.5511650919732106E-4</c:v>
                </c:pt>
                <c:pt idx="965">
                  <c:v>5.5111653239970672E-4</c:v>
                </c:pt>
                <c:pt idx="966">
                  <c:v>5.4760963026811993E-4</c:v>
                </c:pt>
                <c:pt idx="967">
                  <c:v>5.4364541286557391E-4</c:v>
                </c:pt>
                <c:pt idx="968">
                  <c:v>5.4021072565718295E-4</c:v>
                </c:pt>
                <c:pt idx="969">
                  <c:v>5.368189389296802E-4</c:v>
                </c:pt>
                <c:pt idx="970">
                  <c:v>5.3306412223945616E-4</c:v>
                </c:pt>
                <c:pt idx="971">
                  <c:v>5.2960429656962599E-4</c:v>
                </c:pt>
                <c:pt idx="972">
                  <c:v>5.2588793903052787E-4</c:v>
                </c:pt>
                <c:pt idx="973">
                  <c:v>5.2254686417722504E-4</c:v>
                </c:pt>
                <c:pt idx="974">
                  <c:v>5.1891285816980763E-4</c:v>
                </c:pt>
                <c:pt idx="975">
                  <c:v>5.1568786935718078E-4</c:v>
                </c:pt>
                <c:pt idx="976">
                  <c:v>5.1233471823646654E-4</c:v>
                </c:pt>
                <c:pt idx="977">
                  <c:v>5.0890366329079707E-4</c:v>
                </c:pt>
                <c:pt idx="978">
                  <c:v>5.0582723747805147E-4</c:v>
                </c:pt>
                <c:pt idx="979">
                  <c:v>5.0239603335811012E-4</c:v>
                </c:pt>
                <c:pt idx="980">
                  <c:v>4.9896947278323459E-4</c:v>
                </c:pt>
                <c:pt idx="981">
                  <c:v>4.9609106343666796E-4</c:v>
                </c:pt>
                <c:pt idx="982">
                  <c:v>4.9302056832759705E-4</c:v>
                </c:pt>
                <c:pt idx="983">
                  <c:v>4.8981481010483725E-4</c:v>
                </c:pt>
                <c:pt idx="984">
                  <c:v>4.8688138891366667E-4</c:v>
                </c:pt>
                <c:pt idx="985">
                  <c:v>4.8391189385726778E-4</c:v>
                </c:pt>
                <c:pt idx="986">
                  <c:v>4.8083727717908482E-4</c:v>
                </c:pt>
                <c:pt idx="987">
                  <c:v>4.7776881779782246E-4</c:v>
                </c:pt>
                <c:pt idx="988">
                  <c:v>4.7495043037601263E-4</c:v>
                </c:pt>
                <c:pt idx="989">
                  <c:v>4.7192960924712091E-4</c:v>
                </c:pt>
                <c:pt idx="990">
                  <c:v>4.6907463134133846E-4</c:v>
                </c:pt>
                <c:pt idx="991">
                  <c:v>4.6631496899039379E-4</c:v>
                </c:pt>
                <c:pt idx="992">
                  <c:v>4.6371262873456942E-4</c:v>
                </c:pt>
                <c:pt idx="993">
                  <c:v>4.6113639014604309E-4</c:v>
                </c:pt>
                <c:pt idx="994">
                  <c:v>4.5834921090910814E-4</c:v>
                </c:pt>
                <c:pt idx="995">
                  <c:v>4.5587734731178386E-4</c:v>
                </c:pt>
                <c:pt idx="996">
                  <c:v>4.5314029769092171E-4</c:v>
                </c:pt>
                <c:pt idx="997">
                  <c:v>4.5068952076951843E-4</c:v>
                </c:pt>
                <c:pt idx="998">
                  <c:v>4.4806362708884814E-4</c:v>
                </c:pt>
                <c:pt idx="999">
                  <c:v>4.4565898622407271E-4</c:v>
                </c:pt>
                <c:pt idx="1000">
                  <c:v>4.4334649166372087E-4</c:v>
                </c:pt>
                <c:pt idx="1001">
                  <c:v>4.4084002497246644E-4</c:v>
                </c:pt>
                <c:pt idx="1002">
                  <c:v>4.3832242801861154E-4</c:v>
                </c:pt>
                <c:pt idx="1003">
                  <c:v>4.3614791479171418E-4</c:v>
                </c:pt>
                <c:pt idx="1004">
                  <c:v>4.3402432652492676E-4</c:v>
                </c:pt>
                <c:pt idx="1005">
                  <c:v>4.3167841982137516E-4</c:v>
                </c:pt>
                <c:pt idx="1006">
                  <c:v>4.2953560200502047E-4</c:v>
                </c:pt>
                <c:pt idx="1007">
                  <c:v>4.2724714487514005E-4</c:v>
                </c:pt>
                <c:pt idx="1008">
                  <c:v>4.2520418334910173E-4</c:v>
                </c:pt>
                <c:pt idx="1009">
                  <c:v>4.2299812539192162E-4</c:v>
                </c:pt>
                <c:pt idx="1010">
                  <c:v>4.2105225873011187E-4</c:v>
                </c:pt>
                <c:pt idx="1011">
                  <c:v>4.1905441921614474E-4</c:v>
                </c:pt>
                <c:pt idx="1012">
                  <c:v>4.1701327166106077E-4</c:v>
                </c:pt>
                <c:pt idx="1013">
                  <c:v>4.1519687497526547E-4</c:v>
                </c:pt>
                <c:pt idx="1014">
                  <c:v>4.1319368005066082E-4</c:v>
                </c:pt>
                <c:pt idx="1015">
                  <c:v>4.1121428055910028E-4</c:v>
                </c:pt>
                <c:pt idx="1016">
                  <c:v>4.095667154824234E-4</c:v>
                </c:pt>
                <c:pt idx="1017">
                  <c:v>4.0781859956468859E-4</c:v>
                </c:pt>
                <c:pt idx="1018">
                  <c:v>4.0601685612204688E-4</c:v>
                </c:pt>
                <c:pt idx="1019">
                  <c:v>4.0438173826875742E-4</c:v>
                </c:pt>
                <c:pt idx="1020">
                  <c:v>4.0274902725016132E-4</c:v>
                </c:pt>
                <c:pt idx="1021">
                  <c:v>4.010641026234215E-4</c:v>
                </c:pt>
                <c:pt idx="1022">
                  <c:v>3.9940453894721228E-4</c:v>
                </c:pt>
                <c:pt idx="1023">
                  <c:v>3.9790377950804472E-4</c:v>
                </c:pt>
                <c:pt idx="1024">
                  <c:v>3.9631115427113568E-4</c:v>
                </c:pt>
                <c:pt idx="1025">
                  <c:v>3.9492835200327647E-4</c:v>
                </c:pt>
                <c:pt idx="1026">
                  <c:v>3.9340373365629594E-4</c:v>
                </c:pt>
                <c:pt idx="1027">
                  <c:v>3.9209304328089063E-4</c:v>
                </c:pt>
                <c:pt idx="1028">
                  <c:v>3.9084080642860439E-4</c:v>
                </c:pt>
                <c:pt idx="1029">
                  <c:v>3.8946114596700825E-4</c:v>
                </c:pt>
                <c:pt idx="1030">
                  <c:v>3.8822232999813876E-4</c:v>
                </c:pt>
                <c:pt idx="1031">
                  <c:v>3.8691352721025203E-4</c:v>
                </c:pt>
                <c:pt idx="1032">
                  <c:v>3.8576116018497128E-4</c:v>
                </c:pt>
                <c:pt idx="1033">
                  <c:v>3.8453475518915141E-4</c:v>
                </c:pt>
                <c:pt idx="1034">
                  <c:v>3.8346599807416101E-4</c:v>
                </c:pt>
                <c:pt idx="1035">
                  <c:v>3.8239922703587476E-4</c:v>
                </c:pt>
                <c:pt idx="1036">
                  <c:v>3.8131073064529529E-4</c:v>
                </c:pt>
                <c:pt idx="1037">
                  <c:v>3.8035084828504789E-4</c:v>
                </c:pt>
                <c:pt idx="1038">
                  <c:v>3.7933427769587524E-4</c:v>
                </c:pt>
                <c:pt idx="1039">
                  <c:v>3.7834224441716385E-4</c:v>
                </c:pt>
                <c:pt idx="1040">
                  <c:v>3.7752260847566648E-4</c:v>
                </c:pt>
                <c:pt idx="1041">
                  <c:v>3.7669907305036554E-4</c:v>
                </c:pt>
                <c:pt idx="1042">
                  <c:v>3.7594615965978132E-4</c:v>
                </c:pt>
                <c:pt idx="1043">
                  <c:v>3.7512100055594761E-4</c:v>
                </c:pt>
                <c:pt idx="1044">
                  <c:v>3.7434317646385402E-4</c:v>
                </c:pt>
                <c:pt idx="1045">
                  <c:v>3.7367592380992132E-4</c:v>
                </c:pt>
                <c:pt idx="1046">
                  <c:v>3.7303583098842637E-4</c:v>
                </c:pt>
                <c:pt idx="1047">
                  <c:v>3.7238330336960418E-4</c:v>
                </c:pt>
                <c:pt idx="1048">
                  <c:v>3.7182559783222047E-4</c:v>
                </c:pt>
                <c:pt idx="1049">
                  <c:v>3.7125054992070972E-4</c:v>
                </c:pt>
                <c:pt idx="1050">
                  <c:v>3.7071916693981032E-4</c:v>
                </c:pt>
                <c:pt idx="1051">
                  <c:v>3.7030326234149032E-4</c:v>
                </c:pt>
                <c:pt idx="1052">
                  <c:v>3.6987682712345035E-4</c:v>
                </c:pt>
                <c:pt idx="1053">
                  <c:v>3.6947986960749607E-4</c:v>
                </c:pt>
                <c:pt idx="1054">
                  <c:v>3.6914305016820005E-4</c:v>
                </c:pt>
                <c:pt idx="1055">
                  <c:v>3.6884858650026477E-4</c:v>
                </c:pt>
                <c:pt idx="1056">
                  <c:v>3.6855179728154976E-4</c:v>
                </c:pt>
                <c:pt idx="1057">
                  <c:v>3.6830029127916074E-4</c:v>
                </c:pt>
                <c:pt idx="1058">
                  <c:v>3.6811779207933729E-4</c:v>
                </c:pt>
                <c:pt idx="1059">
                  <c:v>3.6795321007565985E-4</c:v>
                </c:pt>
                <c:pt idx="1060">
                  <c:v>3.6782845238558792E-4</c:v>
                </c:pt>
                <c:pt idx="1061">
                  <c:v>3.6775189646652377E-4</c:v>
                </c:pt>
                <c:pt idx="1062">
                  <c:v>3.6769912016569768E-4</c:v>
                </c:pt>
                <c:pt idx="1063">
                  <c:v>3.6771883825371075E-4</c:v>
                </c:pt>
                <c:pt idx="1064">
                  <c:v>3.677469640445798E-4</c:v>
                </c:pt>
                <c:pt idx="1065">
                  <c:v>3.6782640675129836E-4</c:v>
                </c:pt>
                <c:pt idx="1066">
                  <c:v>3.6794549529119668E-4</c:v>
                </c:pt>
                <c:pt idx="1067">
                  <c:v>3.680911882054513E-4</c:v>
                </c:pt>
                <c:pt idx="1068">
                  <c:v>3.6829262288916743E-4</c:v>
                </c:pt>
                <c:pt idx="1069">
                  <c:v>3.6850163699376787E-4</c:v>
                </c:pt>
                <c:pt idx="1070">
                  <c:v>3.6879360711411339E-4</c:v>
                </c:pt>
                <c:pt idx="1071">
                  <c:v>3.6909235428418674E-4</c:v>
                </c:pt>
                <c:pt idx="1072">
                  <c:v>3.6944512622336806E-4</c:v>
                </c:pt>
                <c:pt idx="1073">
                  <c:v>3.6980092308258605E-4</c:v>
                </c:pt>
                <c:pt idx="1074">
                  <c:v>3.7027371219828902E-4</c:v>
                </c:pt>
                <c:pt idx="1075">
                  <c:v>3.7066967903847531E-4</c:v>
                </c:pt>
                <c:pt idx="1076">
                  <c:v>3.7108343673743303E-4</c:v>
                </c:pt>
                <c:pt idx="1077">
                  <c:v>3.7154361069981559E-4</c:v>
                </c:pt>
                <c:pt idx="1078">
                  <c:v>3.719625136734744E-4</c:v>
                </c:pt>
                <c:pt idx="1079">
                  <c:v>3.7234241281247291E-4</c:v>
                </c:pt>
                <c:pt idx="1080">
                  <c:v>3.7276125369005778E-4</c:v>
                </c:pt>
                <c:pt idx="1081">
                  <c:v>3.7317829332520966E-4</c:v>
                </c:pt>
                <c:pt idx="1082">
                  <c:v>3.7353286993849818E-4</c:v>
                </c:pt>
                <c:pt idx="1083">
                  <c:v>3.738630240775094E-4</c:v>
                </c:pt>
                <c:pt idx="1084">
                  <c:v>3.7422608651652318E-4</c:v>
                </c:pt>
                <c:pt idx="1085">
                  <c:v>3.745745416652152E-4</c:v>
                </c:pt>
                <c:pt idx="1086">
                  <c:v>3.7488032670813902E-4</c:v>
                </c:pt>
                <c:pt idx="1087">
                  <c:v>3.751611346978238E-4</c:v>
                </c:pt>
                <c:pt idx="1088">
                  <c:v>3.7547091206354202E-4</c:v>
                </c:pt>
                <c:pt idx="1089">
                  <c:v>3.7573817114710042E-4</c:v>
                </c:pt>
                <c:pt idx="1090">
                  <c:v>3.7601474034591135E-4</c:v>
                </c:pt>
                <c:pt idx="1091">
                  <c:v>3.7626012799441E-4</c:v>
                </c:pt>
                <c:pt idx="1092">
                  <c:v>3.7650209426011525E-4</c:v>
                </c:pt>
                <c:pt idx="1093">
                  <c:v>3.7672885971827986E-4</c:v>
                </c:pt>
                <c:pt idx="1094">
                  <c:v>3.7695314515719634E-4</c:v>
                </c:pt>
                <c:pt idx="1095">
                  <c:v>3.7712537454215322E-4</c:v>
                </c:pt>
                <c:pt idx="1096">
                  <c:v>3.7733153193909418E-4</c:v>
                </c:pt>
                <c:pt idx="1097">
                  <c:v>3.7747958458876543E-4</c:v>
                </c:pt>
                <c:pt idx="1098">
                  <c:v>3.7765059657034195E-4</c:v>
                </c:pt>
                <c:pt idx="1099">
                  <c:v>3.7779817961959127E-4</c:v>
                </c:pt>
                <c:pt idx="1100">
                  <c:v>3.7793602055044475E-4</c:v>
                </c:pt>
                <c:pt idx="1101">
                  <c:v>3.7806429154253317E-4</c:v>
                </c:pt>
                <c:pt idx="1102">
                  <c:v>3.7816823224640344E-4</c:v>
                </c:pt>
                <c:pt idx="1103">
                  <c:v>3.7826863112344102E-4</c:v>
                </c:pt>
                <c:pt idx="1104">
                  <c:v>3.7833984098677945E-4</c:v>
                </c:pt>
                <c:pt idx="1105">
                  <c:v>3.7842809509089272E-4</c:v>
                </c:pt>
                <c:pt idx="1106">
                  <c:v>3.7847302840862511E-4</c:v>
                </c:pt>
                <c:pt idx="1107">
                  <c:v>3.7850082474211177E-4</c:v>
                </c:pt>
                <c:pt idx="1108">
                  <c:v>3.785327025855878E-4</c:v>
                </c:pt>
                <c:pt idx="1109">
                  <c:v>3.7855619691687381E-4</c:v>
                </c:pt>
                <c:pt idx="1110">
                  <c:v>3.785652049419887E-4</c:v>
                </c:pt>
                <c:pt idx="1111">
                  <c:v>3.7855076106554485E-4</c:v>
                </c:pt>
                <c:pt idx="1112">
                  <c:v>3.785469153075368E-4</c:v>
                </c:pt>
                <c:pt idx="1113">
                  <c:v>3.7849908029796708E-4</c:v>
                </c:pt>
                <c:pt idx="1114">
                  <c:v>3.7846319134275577E-4</c:v>
                </c:pt>
                <c:pt idx="1115">
                  <c:v>3.7838841999878262E-4</c:v>
                </c:pt>
                <c:pt idx="1116">
                  <c:v>3.7830922406288572E-4</c:v>
                </c:pt>
                <c:pt idx="1117">
                  <c:v>3.7822456173182764E-4</c:v>
                </c:pt>
                <c:pt idx="1118">
                  <c:v>3.7811335534159579E-4</c:v>
                </c:pt>
                <c:pt idx="1119">
                  <c:v>3.779957908607301E-4</c:v>
                </c:pt>
                <c:pt idx="1120">
                  <c:v>3.7786889685561403E-4</c:v>
                </c:pt>
                <c:pt idx="1121">
                  <c:v>3.7774196125659344E-4</c:v>
                </c:pt>
                <c:pt idx="1122">
                  <c:v>3.7759172216977454E-4</c:v>
                </c:pt>
                <c:pt idx="1123">
                  <c:v>3.7741936021853592E-4</c:v>
                </c:pt>
                <c:pt idx="1124">
                  <c:v>3.7725298252864938E-4</c:v>
                </c:pt>
                <c:pt idx="1125">
                  <c:v>3.7707416119057893E-4</c:v>
                </c:pt>
                <c:pt idx="1126">
                  <c:v>3.7685270156636013E-4</c:v>
                </c:pt>
                <c:pt idx="1127">
                  <c:v>3.7661969513947888E-4</c:v>
                </c:pt>
                <c:pt idx="1128">
                  <c:v>3.7639922740987427E-4</c:v>
                </c:pt>
                <c:pt idx="1129">
                  <c:v>3.7614046442405354E-4</c:v>
                </c:pt>
                <c:pt idx="1130">
                  <c:v>3.7589112548388429E-4</c:v>
                </c:pt>
                <c:pt idx="1131">
                  <c:v>3.7560473723274868E-4</c:v>
                </c:pt>
                <c:pt idx="1132">
                  <c:v>3.7533073248852133E-4</c:v>
                </c:pt>
                <c:pt idx="1133">
                  <c:v>3.7505710930365796E-4</c:v>
                </c:pt>
                <c:pt idx="1134">
                  <c:v>3.7472925797091619E-4</c:v>
                </c:pt>
                <c:pt idx="1135">
                  <c:v>3.7443010661997178E-4</c:v>
                </c:pt>
                <c:pt idx="1136">
                  <c:v>3.7407537163858251E-4</c:v>
                </c:pt>
                <c:pt idx="1137">
                  <c:v>3.7374022028582518E-4</c:v>
                </c:pt>
                <c:pt idx="1138">
                  <c:v>3.7335762223953718E-4</c:v>
                </c:pt>
                <c:pt idx="1139">
                  <c:v>3.7299770997757491E-4</c:v>
                </c:pt>
                <c:pt idx="1140">
                  <c:v>3.7262301788472483E-4</c:v>
                </c:pt>
                <c:pt idx="1141">
                  <c:v>3.722008673850254E-4</c:v>
                </c:pt>
                <c:pt idx="1142">
                  <c:v>3.7180544682691163E-4</c:v>
                </c:pt>
                <c:pt idx="1143">
                  <c:v>3.7135432022239456E-4</c:v>
                </c:pt>
                <c:pt idx="1144">
                  <c:v>3.7088690628661863E-4</c:v>
                </c:pt>
                <c:pt idx="1145">
                  <c:v>3.7047821003695185E-4</c:v>
                </c:pt>
                <c:pt idx="1146">
                  <c:v>3.7003258232120098E-4</c:v>
                </c:pt>
                <c:pt idx="1147">
                  <c:v>3.6956603661915301E-4</c:v>
                </c:pt>
                <c:pt idx="1148">
                  <c:v>3.6905097497290547E-4</c:v>
                </c:pt>
                <c:pt idx="1149">
                  <c:v>3.6856031712933709E-4</c:v>
                </c:pt>
                <c:pt idx="1150">
                  <c:v>3.6801827426534862E-4</c:v>
                </c:pt>
                <c:pt idx="1151">
                  <c:v>3.6745610435038201E-4</c:v>
                </c:pt>
                <c:pt idx="1152">
                  <c:v>3.6693237406080961E-4</c:v>
                </c:pt>
                <c:pt idx="1153">
                  <c:v>3.663423371206339E-4</c:v>
                </c:pt>
                <c:pt idx="1154">
                  <c:v>3.6578251018148933E-4</c:v>
                </c:pt>
                <c:pt idx="1155">
                  <c:v>3.6517689713604518E-4</c:v>
                </c:pt>
                <c:pt idx="1156">
                  <c:v>3.6460096867293405E-4</c:v>
                </c:pt>
                <c:pt idx="1157">
                  <c:v>3.6403424803556003E-4</c:v>
                </c:pt>
                <c:pt idx="1158">
                  <c:v>3.6335545985163777E-4</c:v>
                </c:pt>
                <c:pt idx="1159">
                  <c:v>3.6278482178440322E-4</c:v>
                </c:pt>
                <c:pt idx="1160">
                  <c:v>3.6209879107737888E-4</c:v>
                </c:pt>
                <c:pt idx="1161">
                  <c:v>3.6146245801461571E-4</c:v>
                </c:pt>
                <c:pt idx="1162">
                  <c:v>3.607541560407242E-4</c:v>
                </c:pt>
                <c:pt idx="1163">
                  <c:v>3.6008688419628468E-4</c:v>
                </c:pt>
                <c:pt idx="1164">
                  <c:v>3.5934510895244739E-4</c:v>
                </c:pt>
                <c:pt idx="1165">
                  <c:v>3.5867057314220574E-4</c:v>
                </c:pt>
                <c:pt idx="1166">
                  <c:v>3.5789491465113704E-4</c:v>
                </c:pt>
                <c:pt idx="1167">
                  <c:v>3.5719609832109492E-4</c:v>
                </c:pt>
                <c:pt idx="1168">
                  <c:v>3.5650034695691377E-4</c:v>
                </c:pt>
                <c:pt idx="1169">
                  <c:v>3.5569752114354529E-4</c:v>
                </c:pt>
                <c:pt idx="1170">
                  <c:v>3.5494147422514451E-4</c:v>
                </c:pt>
                <c:pt idx="1171">
                  <c:v>3.5410368142131752E-4</c:v>
                </c:pt>
                <c:pt idx="1172">
                  <c:v>3.5332937926153656E-4</c:v>
                </c:pt>
                <c:pt idx="1173">
                  <c:v>3.5246370688601404E-4</c:v>
                </c:pt>
                <c:pt idx="1174">
                  <c:v>3.5167221080442939E-4</c:v>
                </c:pt>
                <c:pt idx="1175">
                  <c:v>3.508356161585624E-4</c:v>
                </c:pt>
                <c:pt idx="1176">
                  <c:v>3.4994550974824529E-4</c:v>
                </c:pt>
                <c:pt idx="1177">
                  <c:v>3.4911722635272858E-4</c:v>
                </c:pt>
                <c:pt idx="1178">
                  <c:v>3.4818273464761167E-4</c:v>
                </c:pt>
                <c:pt idx="1179">
                  <c:v>3.4723363603428401E-4</c:v>
                </c:pt>
                <c:pt idx="1180">
                  <c:v>3.463780953591334E-4</c:v>
                </c:pt>
                <c:pt idx="1181">
                  <c:v>3.4553012440186916E-4</c:v>
                </c:pt>
                <c:pt idx="1182">
                  <c:v>3.446018064331216E-4</c:v>
                </c:pt>
                <c:pt idx="1183">
                  <c:v>3.4361858261821188E-4</c:v>
                </c:pt>
                <c:pt idx="1184">
                  <c:v>3.4267368249856541E-4</c:v>
                </c:pt>
                <c:pt idx="1185">
                  <c:v>3.4166341652744434E-4</c:v>
                </c:pt>
                <c:pt idx="1186">
                  <c:v>3.4062872264004757E-4</c:v>
                </c:pt>
                <c:pt idx="1187">
                  <c:v>3.3965500061473516E-4</c:v>
                </c:pt>
                <c:pt idx="1188">
                  <c:v>3.3858172013459184E-4</c:v>
                </c:pt>
                <c:pt idx="1189">
                  <c:v>3.3761595902070951E-4</c:v>
                </c:pt>
                <c:pt idx="1190">
                  <c:v>3.3650369083819583E-4</c:v>
                </c:pt>
                <c:pt idx="1191">
                  <c:v>3.3551435438826643E-4</c:v>
                </c:pt>
                <c:pt idx="1192">
                  <c:v>3.3452897921608122E-4</c:v>
                </c:pt>
                <c:pt idx="1193">
                  <c:v>3.3342141991794111E-4</c:v>
                </c:pt>
                <c:pt idx="1194">
                  <c:v>3.3239987796686299E-4</c:v>
                </c:pt>
                <c:pt idx="1195">
                  <c:v>3.3129853466595804E-4</c:v>
                </c:pt>
                <c:pt idx="1196">
                  <c:v>3.3030615949348596E-4</c:v>
                </c:pt>
                <c:pt idx="1197">
                  <c:v>3.2923516300846761E-4</c:v>
                </c:pt>
                <c:pt idx="1198">
                  <c:v>3.2824959529281078E-4</c:v>
                </c:pt>
                <c:pt idx="1199">
                  <c:v>3.2729394328108626E-4</c:v>
                </c:pt>
                <c:pt idx="1200">
                  <c:v>3.2625109230988159E-4</c:v>
                </c:pt>
                <c:pt idx="1201">
                  <c:v>3.2519752875163985E-4</c:v>
                </c:pt>
                <c:pt idx="1202">
                  <c:v>3.2427841843673047E-4</c:v>
                </c:pt>
                <c:pt idx="1203">
                  <c:v>3.2337886609110425E-4</c:v>
                </c:pt>
                <c:pt idx="1204">
                  <c:v>3.223738993211496E-4</c:v>
                </c:pt>
                <c:pt idx="1205">
                  <c:v>3.2145029333917243E-4</c:v>
                </c:pt>
                <c:pt idx="1206">
                  <c:v>3.2045492001106426E-4</c:v>
                </c:pt>
                <c:pt idx="1207">
                  <c:v>3.195588837762893E-4</c:v>
                </c:pt>
                <c:pt idx="1208">
                  <c:v>3.1858297764473121E-4</c:v>
                </c:pt>
                <c:pt idx="1209">
                  <c:v>3.1771378653142838E-4</c:v>
                </c:pt>
                <c:pt idx="1210">
                  <c:v>3.168167225934479E-4</c:v>
                </c:pt>
                <c:pt idx="1211">
                  <c:v>3.1588756180898382E-4</c:v>
                </c:pt>
                <c:pt idx="1212">
                  <c:v>3.150527847237683E-4</c:v>
                </c:pt>
                <c:pt idx="1213">
                  <c:v>3.1412478113690412E-4</c:v>
                </c:pt>
                <c:pt idx="1214">
                  <c:v>3.1319856380824379E-4</c:v>
                </c:pt>
                <c:pt idx="1215">
                  <c:v>3.1241966869978519E-4</c:v>
                </c:pt>
                <c:pt idx="1216">
                  <c:v>3.1161043712928885E-4</c:v>
                </c:pt>
                <c:pt idx="1217">
                  <c:v>3.1077735953528515E-4</c:v>
                </c:pt>
                <c:pt idx="1218">
                  <c:v>3.0991325227146694E-4</c:v>
                </c:pt>
                <c:pt idx="1219">
                  <c:v>3.0910660071547993E-4</c:v>
                </c:pt>
                <c:pt idx="1220">
                  <c:v>3.0826138289105458E-4</c:v>
                </c:pt>
                <c:pt idx="1221">
                  <c:v>3.0741835947461008E-4</c:v>
                </c:pt>
                <c:pt idx="1222">
                  <c:v>3.0664668998645409E-4</c:v>
                </c:pt>
                <c:pt idx="1223">
                  <c:v>3.0581573588266825E-4</c:v>
                </c:pt>
                <c:pt idx="1224">
                  <c:v>3.0507614993795923E-4</c:v>
                </c:pt>
                <c:pt idx="1225">
                  <c:v>3.0425769595429034E-4</c:v>
                </c:pt>
                <c:pt idx="1226">
                  <c:v>3.035422105268637E-4</c:v>
                </c:pt>
                <c:pt idx="1227">
                  <c:v>3.0283229361551933E-4</c:v>
                </c:pt>
                <c:pt idx="1228">
                  <c:v>3.0200851443146562E-4</c:v>
                </c:pt>
                <c:pt idx="1229">
                  <c:v>3.0125315914885254E-4</c:v>
                </c:pt>
                <c:pt idx="1230">
                  <c:v>3.0055971506061461E-4</c:v>
                </c:pt>
                <c:pt idx="1231">
                  <c:v>2.9986278562763469E-4</c:v>
                </c:pt>
                <c:pt idx="1232">
                  <c:v>2.9913092816659988E-4</c:v>
                </c:pt>
                <c:pt idx="1233">
                  <c:v>2.9839170089645921E-4</c:v>
                </c:pt>
                <c:pt idx="1234">
                  <c:v>2.9773932693930374E-4</c:v>
                </c:pt>
                <c:pt idx="1235">
                  <c:v>2.9703060195803137E-4</c:v>
                </c:pt>
                <c:pt idx="1236">
                  <c:v>2.9637416703387487E-4</c:v>
                </c:pt>
                <c:pt idx="1237">
                  <c:v>2.9569537663431868E-4</c:v>
                </c:pt>
                <c:pt idx="1238">
                  <c:v>2.9510893218425045E-4</c:v>
                </c:pt>
                <c:pt idx="1239">
                  <c:v>2.9453973017403313E-4</c:v>
                </c:pt>
                <c:pt idx="1240">
                  <c:v>2.9390795697192829E-4</c:v>
                </c:pt>
                <c:pt idx="1241">
                  <c:v>2.9333414585242922E-4</c:v>
                </c:pt>
                <c:pt idx="1242">
                  <c:v>2.9268106343472832E-4</c:v>
                </c:pt>
                <c:pt idx="1243">
                  <c:v>2.9204272789725653E-4</c:v>
                </c:pt>
                <c:pt idx="1244">
                  <c:v>2.9147537769150158E-4</c:v>
                </c:pt>
                <c:pt idx="1245">
                  <c:v>2.9090034996252876E-4</c:v>
                </c:pt>
                <c:pt idx="1246">
                  <c:v>2.9029868652246001E-4</c:v>
                </c:pt>
                <c:pt idx="1247">
                  <c:v>2.8976072626996086E-4</c:v>
                </c:pt>
                <c:pt idx="1248">
                  <c:v>2.8917032876307758E-4</c:v>
                </c:pt>
                <c:pt idx="1249">
                  <c:v>2.8858676782064253E-4</c:v>
                </c:pt>
                <c:pt idx="1250">
                  <c:v>2.8809937969189424E-4</c:v>
                </c:pt>
                <c:pt idx="1251">
                  <c:v>2.8759203619082782E-4</c:v>
                </c:pt>
                <c:pt idx="1252">
                  <c:v>2.8708102074963358E-4</c:v>
                </c:pt>
                <c:pt idx="1253">
                  <c:v>2.8654446551187353E-4</c:v>
                </c:pt>
                <c:pt idx="1254">
                  <c:v>2.8605484327217344E-4</c:v>
                </c:pt>
                <c:pt idx="1255">
                  <c:v>2.8553719143815763E-4</c:v>
                </c:pt>
                <c:pt idx="1256">
                  <c:v>2.8502678194971317E-4</c:v>
                </c:pt>
                <c:pt idx="1257">
                  <c:v>2.845671167245557E-4</c:v>
                </c:pt>
                <c:pt idx="1258">
                  <c:v>2.8407382868370686E-4</c:v>
                </c:pt>
                <c:pt idx="1259">
                  <c:v>2.8363811511944448E-4</c:v>
                </c:pt>
                <c:pt idx="1260">
                  <c:v>2.8316044057334275E-4</c:v>
                </c:pt>
                <c:pt idx="1261">
                  <c:v>2.8274350990307139E-4</c:v>
                </c:pt>
                <c:pt idx="1262">
                  <c:v>2.8235243369889064E-4</c:v>
                </c:pt>
                <c:pt idx="1263">
                  <c:v>2.8188145086313881E-4</c:v>
                </c:pt>
                <c:pt idx="1264">
                  <c:v>2.8151049735650798E-4</c:v>
                </c:pt>
                <c:pt idx="1265">
                  <c:v>2.8108433065197284E-4</c:v>
                </c:pt>
                <c:pt idx="1266">
                  <c:v>2.8070576442925602E-4</c:v>
                </c:pt>
                <c:pt idx="1267">
                  <c:v>2.8029908555259487E-4</c:v>
                </c:pt>
                <c:pt idx="1268">
                  <c:v>2.7993887597537858E-4</c:v>
                </c:pt>
                <c:pt idx="1269">
                  <c:v>2.7958482910349358E-4</c:v>
                </c:pt>
                <c:pt idx="1270">
                  <c:v>2.7920791202280196E-4</c:v>
                </c:pt>
                <c:pt idx="1271">
                  <c:v>2.7884040583327913E-4</c:v>
                </c:pt>
                <c:pt idx="1272">
                  <c:v>2.7851485091926267E-4</c:v>
                </c:pt>
                <c:pt idx="1273">
                  <c:v>2.7816658104048812E-4</c:v>
                </c:pt>
                <c:pt idx="1274">
                  <c:v>2.7786900320246524E-4</c:v>
                </c:pt>
                <c:pt idx="1275">
                  <c:v>2.7757894441531906E-4</c:v>
                </c:pt>
                <c:pt idx="1276">
                  <c:v>2.7728893967768516E-4</c:v>
                </c:pt>
                <c:pt idx="1277">
                  <c:v>2.769771414962395E-4</c:v>
                </c:pt>
                <c:pt idx="1278">
                  <c:v>2.767050743854001E-4</c:v>
                </c:pt>
                <c:pt idx="1279">
                  <c:v>2.7641123242579894E-4</c:v>
                </c:pt>
                <c:pt idx="1280">
                  <c:v>2.7613110004369185E-4</c:v>
                </c:pt>
                <c:pt idx="1281">
                  <c:v>2.758844304910817E-4</c:v>
                </c:pt>
                <c:pt idx="1282">
                  <c:v>2.75643439318074E-4</c:v>
                </c:pt>
                <c:pt idx="1283">
                  <c:v>2.75398327697296E-4</c:v>
                </c:pt>
                <c:pt idx="1284">
                  <c:v>2.751844874406828E-4</c:v>
                </c:pt>
                <c:pt idx="1285">
                  <c:v>2.7498212715729338E-4</c:v>
                </c:pt>
                <c:pt idx="1286">
                  <c:v>2.7479101491821502E-4</c:v>
                </c:pt>
                <c:pt idx="1287">
                  <c:v>2.7456883152479194E-4</c:v>
                </c:pt>
                <c:pt idx="1288">
                  <c:v>2.7439399469021773E-4</c:v>
                </c:pt>
                <c:pt idx="1289">
                  <c:v>2.7419737323718454E-4</c:v>
                </c:pt>
                <c:pt idx="1290">
                  <c:v>2.7402748617103186E-4</c:v>
                </c:pt>
                <c:pt idx="1291">
                  <c:v>2.7384769108176107E-4</c:v>
                </c:pt>
                <c:pt idx="1292">
                  <c:v>2.7369818860355655E-4</c:v>
                </c:pt>
                <c:pt idx="1293">
                  <c:v>2.735405501438793E-4</c:v>
                </c:pt>
                <c:pt idx="1294">
                  <c:v>2.7339990848584961E-4</c:v>
                </c:pt>
                <c:pt idx="1295">
                  <c:v>2.7326470316799221E-4</c:v>
                </c:pt>
                <c:pt idx="1296">
                  <c:v>2.7314105999010335E-4</c:v>
                </c:pt>
                <c:pt idx="1297">
                  <c:v>2.730498944912502E-4</c:v>
                </c:pt>
                <c:pt idx="1298">
                  <c:v>2.7293622558439805E-4</c:v>
                </c:pt>
                <c:pt idx="1299">
                  <c:v>2.7284877028265798E-4</c:v>
                </c:pt>
                <c:pt idx="1300">
                  <c:v>2.7275827059925883E-4</c:v>
                </c:pt>
                <c:pt idx="1301">
                  <c:v>2.7268485821439151E-4</c:v>
                </c:pt>
                <c:pt idx="1302">
                  <c:v>2.7261385067019975E-4</c:v>
                </c:pt>
                <c:pt idx="1303">
                  <c:v>2.7255375214159036E-4</c:v>
                </c:pt>
                <c:pt idx="1304">
                  <c:v>2.7252000741497927E-4</c:v>
                </c:pt>
                <c:pt idx="1305">
                  <c:v>2.7246867111399738E-4</c:v>
                </c:pt>
                <c:pt idx="1306">
                  <c:v>2.724294573486219E-4</c:v>
                </c:pt>
                <c:pt idx="1307">
                  <c:v>2.7240640718595444E-4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429376"/>
        <c:axId val="563430912"/>
      </c:lineChart>
      <c:dateAx>
        <c:axId val="563429376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63430912"/>
        <c:crosses val="autoZero"/>
        <c:auto val="1"/>
        <c:lblOffset val="100"/>
        <c:baseTimeUnit val="days"/>
        <c:majorUnit val="6"/>
        <c:majorTimeUnit val="months"/>
      </c:dateAx>
      <c:valAx>
        <c:axId val="563430912"/>
        <c:scaling>
          <c:orientation val="minMax"/>
          <c:max val="3.0000000000000001E-3"/>
          <c:min val="1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63429376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'6M Delta'!$Y$2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'6M Delta'!$R$3:$R$1310</c:f>
              <c:numCache>
                <c:formatCode>ddd\,\ dd\-mmm\-yyyy</c:formatCode>
                <c:ptCount val="1308"/>
                <c:pt idx="0">
                  <c:v>42123</c:v>
                </c:pt>
                <c:pt idx="1">
                  <c:v>42157</c:v>
                </c:pt>
                <c:pt idx="2">
                  <c:v>42186</c:v>
                </c:pt>
                <c:pt idx="3">
                  <c:v>42216</c:v>
                </c:pt>
                <c:pt idx="4">
                  <c:v>42249</c:v>
                </c:pt>
                <c:pt idx="5">
                  <c:v>42278</c:v>
                </c:pt>
                <c:pt idx="6">
                  <c:v>42310</c:v>
                </c:pt>
                <c:pt idx="7">
                  <c:v>42340</c:v>
                </c:pt>
                <c:pt idx="8">
                  <c:v>42369</c:v>
                </c:pt>
                <c:pt idx="9">
                  <c:v>42402</c:v>
                </c:pt>
                <c:pt idx="10">
                  <c:v>42431</c:v>
                </c:pt>
                <c:pt idx="11">
                  <c:v>42460</c:v>
                </c:pt>
                <c:pt idx="12">
                  <c:v>42493</c:v>
                </c:pt>
                <c:pt idx="13">
                  <c:v>42522</c:v>
                </c:pt>
                <c:pt idx="14">
                  <c:v>42552</c:v>
                </c:pt>
                <c:pt idx="15">
                  <c:v>42584</c:v>
                </c:pt>
                <c:pt idx="16">
                  <c:v>42613</c:v>
                </c:pt>
                <c:pt idx="17">
                  <c:v>42646</c:v>
                </c:pt>
                <c:pt idx="18">
                  <c:v>42676</c:v>
                </c:pt>
                <c:pt idx="19">
                  <c:v>42859</c:v>
                </c:pt>
                <c:pt idx="20">
                  <c:v>43040</c:v>
                </c:pt>
                <c:pt idx="21">
                  <c:v>43223</c:v>
                </c:pt>
                <c:pt idx="22">
                  <c:v>43404</c:v>
                </c:pt>
                <c:pt idx="23">
                  <c:v>43587</c:v>
                </c:pt>
                <c:pt idx="24">
                  <c:v>43769</c:v>
                </c:pt>
                <c:pt idx="25">
                  <c:v>43955</c:v>
                </c:pt>
                <c:pt idx="26">
                  <c:v>44137</c:v>
                </c:pt>
                <c:pt idx="27">
                  <c:v>44319</c:v>
                </c:pt>
                <c:pt idx="28">
                  <c:v>44502</c:v>
                </c:pt>
                <c:pt idx="29">
                  <c:v>44684</c:v>
                </c:pt>
                <c:pt idx="30">
                  <c:v>44867</c:v>
                </c:pt>
                <c:pt idx="31">
                  <c:v>45050</c:v>
                </c:pt>
                <c:pt idx="32">
                  <c:v>45231</c:v>
                </c:pt>
                <c:pt idx="33">
                  <c:v>45414</c:v>
                </c:pt>
                <c:pt idx="34">
                  <c:v>45596</c:v>
                </c:pt>
                <c:pt idx="35">
                  <c:v>45779</c:v>
                </c:pt>
                <c:pt idx="36">
                  <c:v>45961</c:v>
                </c:pt>
                <c:pt idx="37">
                  <c:v>46146</c:v>
                </c:pt>
                <c:pt idx="38">
                  <c:v>46328</c:v>
                </c:pt>
                <c:pt idx="39">
                  <c:v>46510</c:v>
                </c:pt>
                <c:pt idx="40">
                  <c:v>46693</c:v>
                </c:pt>
                <c:pt idx="41">
                  <c:v>46877</c:v>
                </c:pt>
                <c:pt idx="42">
                  <c:v>47058</c:v>
                </c:pt>
                <c:pt idx="43">
                  <c:v>47241</c:v>
                </c:pt>
                <c:pt idx="44">
                  <c:v>47422</c:v>
                </c:pt>
                <c:pt idx="45">
                  <c:v>47605</c:v>
                </c:pt>
                <c:pt idx="46">
                  <c:v>47787</c:v>
                </c:pt>
                <c:pt idx="47">
                  <c:v>47970</c:v>
                </c:pt>
                <c:pt idx="48">
                  <c:v>48152</c:v>
                </c:pt>
                <c:pt idx="49">
                  <c:v>48337</c:v>
                </c:pt>
                <c:pt idx="50">
                  <c:v>48520</c:v>
                </c:pt>
                <c:pt idx="51">
                  <c:v>48702</c:v>
                </c:pt>
                <c:pt idx="52">
                  <c:v>48885</c:v>
                </c:pt>
                <c:pt idx="53">
                  <c:v>49068</c:v>
                </c:pt>
                <c:pt idx="54">
                  <c:v>49249</c:v>
                </c:pt>
                <c:pt idx="55">
                  <c:v>49432</c:v>
                </c:pt>
                <c:pt idx="56">
                  <c:v>49613</c:v>
                </c:pt>
                <c:pt idx="57">
                  <c:v>49797</c:v>
                </c:pt>
                <c:pt idx="58">
                  <c:v>49979</c:v>
                </c:pt>
                <c:pt idx="59">
                  <c:v>50164</c:v>
                </c:pt>
                <c:pt idx="60">
                  <c:v>50346</c:v>
                </c:pt>
                <c:pt idx="61">
                  <c:v>50528</c:v>
                </c:pt>
                <c:pt idx="62">
                  <c:v>50711</c:v>
                </c:pt>
                <c:pt idx="63">
                  <c:v>50893</c:v>
                </c:pt>
                <c:pt idx="64">
                  <c:v>51076</c:v>
                </c:pt>
                <c:pt idx="65">
                  <c:v>51259</c:v>
                </c:pt>
                <c:pt idx="66">
                  <c:v>51440</c:v>
                </c:pt>
                <c:pt idx="67">
                  <c:v>51623</c:v>
                </c:pt>
                <c:pt idx="68">
                  <c:v>51805</c:v>
                </c:pt>
                <c:pt idx="69">
                  <c:v>51988</c:v>
                </c:pt>
                <c:pt idx="70">
                  <c:v>52170</c:v>
                </c:pt>
                <c:pt idx="71">
                  <c:v>52355</c:v>
                </c:pt>
                <c:pt idx="72">
                  <c:v>52537</c:v>
                </c:pt>
                <c:pt idx="73">
                  <c:v>52720</c:v>
                </c:pt>
                <c:pt idx="74">
                  <c:v>52903</c:v>
                </c:pt>
                <c:pt idx="75">
                  <c:v>53086</c:v>
                </c:pt>
                <c:pt idx="76">
                  <c:v>53267</c:v>
                </c:pt>
                <c:pt idx="77">
                  <c:v>53450</c:v>
                </c:pt>
                <c:pt idx="78">
                  <c:v>53631</c:v>
                </c:pt>
                <c:pt idx="79">
                  <c:v>53814</c:v>
                </c:pt>
                <c:pt idx="80">
                  <c:v>53996</c:v>
                </c:pt>
                <c:pt idx="81">
                  <c:v>54182</c:v>
                </c:pt>
                <c:pt idx="82">
                  <c:v>54364</c:v>
                </c:pt>
                <c:pt idx="83">
                  <c:v>54546</c:v>
                </c:pt>
                <c:pt idx="84">
                  <c:v>54729</c:v>
                </c:pt>
                <c:pt idx="85">
                  <c:v>54911</c:v>
                </c:pt>
                <c:pt idx="86">
                  <c:v>55094</c:v>
                </c:pt>
                <c:pt idx="87">
                  <c:v>55277</c:v>
                </c:pt>
                <c:pt idx="88">
                  <c:v>55458</c:v>
                </c:pt>
                <c:pt idx="89">
                  <c:v>55641</c:v>
                </c:pt>
                <c:pt idx="90">
                  <c:v>55823</c:v>
                </c:pt>
                <c:pt idx="91">
                  <c:v>56006</c:v>
                </c:pt>
                <c:pt idx="92">
                  <c:v>56188</c:v>
                </c:pt>
                <c:pt idx="93">
                  <c:v>56373</c:v>
                </c:pt>
                <c:pt idx="94">
                  <c:v>56555</c:v>
                </c:pt>
                <c:pt idx="95">
                  <c:v>56737</c:v>
                </c:pt>
                <c:pt idx="96">
                  <c:v>56920</c:v>
                </c:pt>
                <c:pt idx="97">
                  <c:v>57104</c:v>
                </c:pt>
                <c:pt idx="98">
                  <c:v>57285</c:v>
                </c:pt>
                <c:pt idx="99">
                  <c:v>57468</c:v>
                </c:pt>
                <c:pt idx="100">
                  <c:v>57649</c:v>
                </c:pt>
                <c:pt idx="101">
                  <c:v>57832</c:v>
                </c:pt>
                <c:pt idx="102">
                  <c:v>58014</c:v>
                </c:pt>
                <c:pt idx="103">
                  <c:v>58197</c:v>
                </c:pt>
                <c:pt idx="104">
                  <c:v>58379</c:v>
                </c:pt>
                <c:pt idx="105">
                  <c:v>58564</c:v>
                </c:pt>
                <c:pt idx="106">
                  <c:v>58747</c:v>
                </c:pt>
                <c:pt idx="107">
                  <c:v>58929</c:v>
                </c:pt>
                <c:pt idx="108">
                  <c:v>59112</c:v>
                </c:pt>
                <c:pt idx="109">
                  <c:v>59295</c:v>
                </c:pt>
                <c:pt idx="110">
                  <c:v>59476</c:v>
                </c:pt>
                <c:pt idx="111">
                  <c:v>59659</c:v>
                </c:pt>
                <c:pt idx="112">
                  <c:v>59840</c:v>
                </c:pt>
                <c:pt idx="113">
                  <c:v>60024</c:v>
                </c:pt>
                <c:pt idx="114">
                  <c:v>60206</c:v>
                </c:pt>
                <c:pt idx="115">
                  <c:v>60391</c:v>
                </c:pt>
                <c:pt idx="116">
                  <c:v>60573</c:v>
                </c:pt>
                <c:pt idx="117">
                  <c:v>60755</c:v>
                </c:pt>
                <c:pt idx="118">
                  <c:v>60938</c:v>
                </c:pt>
                <c:pt idx="119">
                  <c:v>61120</c:v>
                </c:pt>
                <c:pt idx="120">
                  <c:v>61303</c:v>
                </c:pt>
                <c:pt idx="121">
                  <c:v>61486</c:v>
                </c:pt>
                <c:pt idx="122">
                  <c:v>61667</c:v>
                </c:pt>
                <c:pt idx="123">
                  <c:v>61850</c:v>
                </c:pt>
                <c:pt idx="124">
                  <c:v>62032</c:v>
                </c:pt>
                <c:pt idx="125">
                  <c:v>62215</c:v>
                </c:pt>
                <c:pt idx="126">
                  <c:v>62397</c:v>
                </c:pt>
                <c:pt idx="127">
                  <c:v>62582</c:v>
                </c:pt>
                <c:pt idx="128">
                  <c:v>62764</c:v>
                </c:pt>
                <c:pt idx="129">
                  <c:v>62947</c:v>
                </c:pt>
                <c:pt idx="130">
                  <c:v>63130</c:v>
                </c:pt>
                <c:pt idx="131">
                  <c:v>63313</c:v>
                </c:pt>
                <c:pt idx="132">
                  <c:v>63494</c:v>
                </c:pt>
              </c:numCache>
            </c:numRef>
          </c:cat>
          <c:val>
            <c:numRef>
              <c:f>'6M Delta'!$Y$3:$Y$1310</c:f>
              <c:numCache>
                <c:formatCode>0.0000%</c:formatCode>
                <c:ptCount val="1308"/>
                <c:pt idx="0">
                  <c:v>1.8942957375210634E-3</c:v>
                </c:pt>
                <c:pt idx="1">
                  <c:v>1.9937697814862289E-3</c:v>
                </c:pt>
                <c:pt idx="2">
                  <c:v>2.071324606305016E-3</c:v>
                </c:pt>
                <c:pt idx="3">
                  <c:v>2.0672192202637533E-3</c:v>
                </c:pt>
                <c:pt idx="4">
                  <c:v>2.0746846731141671E-3</c:v>
                </c:pt>
                <c:pt idx="5">
                  <c:v>2.1135760459639157E-3</c:v>
                </c:pt>
                <c:pt idx="6">
                  <c:v>2.1183985134731013E-3</c:v>
                </c:pt>
                <c:pt idx="7">
                  <c:v>2.1508598054292569E-3</c:v>
                </c:pt>
                <c:pt idx="8">
                  <c:v>2.1526840363907561E-3</c:v>
                </c:pt>
                <c:pt idx="9">
                  <c:v>2.1875971017809035E-3</c:v>
                </c:pt>
                <c:pt idx="10">
                  <c:v>2.1865991228681883E-3</c:v>
                </c:pt>
                <c:pt idx="11">
                  <c:v>2.1833506671402898E-3</c:v>
                </c:pt>
                <c:pt idx="12">
                  <c:v>2.1942426298175179E-3</c:v>
                </c:pt>
                <c:pt idx="13">
                  <c:v>2.2046028877280143E-3</c:v>
                </c:pt>
                <c:pt idx="14">
                  <c:v>2.2193233464577905E-3</c:v>
                </c:pt>
                <c:pt idx="15">
                  <c:v>2.2598799232618739E-3</c:v>
                </c:pt>
                <c:pt idx="16">
                  <c:v>2.2742248489893823E-3</c:v>
                </c:pt>
                <c:pt idx="17">
                  <c:v>2.2867972492815014E-3</c:v>
                </c:pt>
                <c:pt idx="18">
                  <c:v>2.2992278818851934E-3</c:v>
                </c:pt>
                <c:pt idx="19">
                  <c:v>2.3464791820481147E-3</c:v>
                </c:pt>
                <c:pt idx="20">
                  <c:v>2.5123426268510271E-3</c:v>
                </c:pt>
                <c:pt idx="21">
                  <c:v>2.5990290705301153E-3</c:v>
                </c:pt>
                <c:pt idx="22">
                  <c:v>2.6768676234705958E-3</c:v>
                </c:pt>
                <c:pt idx="23">
                  <c:v>2.7462850488762531E-3</c:v>
                </c:pt>
                <c:pt idx="24">
                  <c:v>2.7134434667276377E-3</c:v>
                </c:pt>
                <c:pt idx="25">
                  <c:v>2.5841067625487699E-3</c:v>
                </c:pt>
                <c:pt idx="26">
                  <c:v>2.4828525020796377E-3</c:v>
                </c:pt>
                <c:pt idx="27">
                  <c:v>2.4329046602088126E-3</c:v>
                </c:pt>
                <c:pt idx="28">
                  <c:v>2.4362068202816506E-3</c:v>
                </c:pt>
                <c:pt idx="29">
                  <c:v>2.4647098348019444E-3</c:v>
                </c:pt>
                <c:pt idx="30">
                  <c:v>2.4097499837766297E-3</c:v>
                </c:pt>
                <c:pt idx="31">
                  <c:v>2.2810721188782157E-3</c:v>
                </c:pt>
                <c:pt idx="32">
                  <c:v>2.219057363808557E-3</c:v>
                </c:pt>
                <c:pt idx="33">
                  <c:v>2.2033762591129455E-3</c:v>
                </c:pt>
                <c:pt idx="34">
                  <c:v>2.0615600082541366E-3</c:v>
                </c:pt>
                <c:pt idx="35">
                  <c:v>1.8338101067390811E-3</c:v>
                </c:pt>
                <c:pt idx="36">
                  <c:v>1.8674376115656102E-3</c:v>
                </c:pt>
                <c:pt idx="37">
                  <c:v>2.1336598082874365E-3</c:v>
                </c:pt>
                <c:pt idx="38">
                  <c:v>2.1783690746813005E-3</c:v>
                </c:pt>
                <c:pt idx="39">
                  <c:v>1.9707040567704948E-3</c:v>
                </c:pt>
                <c:pt idx="40">
                  <c:v>1.751877038654882E-3</c:v>
                </c:pt>
                <c:pt idx="41">
                  <c:v>1.5737782627081309E-3</c:v>
                </c:pt>
                <c:pt idx="42">
                  <c:v>1.4449931655831014E-3</c:v>
                </c:pt>
                <c:pt idx="43">
                  <c:v>1.3568208434964982E-3</c:v>
                </c:pt>
                <c:pt idx="44">
                  <c:v>1.3140665484638377E-3</c:v>
                </c:pt>
                <c:pt idx="45">
                  <c:v>1.3056091650261396E-3</c:v>
                </c:pt>
                <c:pt idx="46">
                  <c:v>1.2985483673767367E-3</c:v>
                </c:pt>
                <c:pt idx="47">
                  <c:v>1.2849439655994686E-3</c:v>
                </c:pt>
                <c:pt idx="48">
                  <c:v>1.264970275125973E-3</c:v>
                </c:pt>
                <c:pt idx="49">
                  <c:v>1.237852439236126E-3</c:v>
                </c:pt>
                <c:pt idx="50">
                  <c:v>1.2046939475209729E-3</c:v>
                </c:pt>
                <c:pt idx="51">
                  <c:v>1.164769837790347E-3</c:v>
                </c:pt>
                <c:pt idx="52">
                  <c:v>1.1186159232501325E-3</c:v>
                </c:pt>
                <c:pt idx="53">
                  <c:v>1.0649717946593067E-3</c:v>
                </c:pt>
                <c:pt idx="54">
                  <c:v>1.0065943605525214E-3</c:v>
                </c:pt>
                <c:pt idx="55">
                  <c:v>9.4253205576408372E-4</c:v>
                </c:pt>
                <c:pt idx="56">
                  <c:v>8.8614532605142855E-4</c:v>
                </c:pt>
                <c:pt idx="57">
                  <c:v>8.3630817928091565E-4</c:v>
                </c:pt>
                <c:pt idx="58">
                  <c:v>7.9596840951881402E-4</c:v>
                </c:pt>
                <c:pt idx="59">
                  <c:v>7.6283514105838189E-4</c:v>
                </c:pt>
                <c:pt idx="60">
                  <c:v>7.3884087420458128E-4</c:v>
                </c:pt>
                <c:pt idx="61">
                  <c:v>7.2294633006759861E-4</c:v>
                </c:pt>
                <c:pt idx="62">
                  <c:v>7.1530188529339567E-4</c:v>
                </c:pt>
                <c:pt idx="63">
                  <c:v>7.1602045317951425E-4</c:v>
                </c:pt>
                <c:pt idx="64">
                  <c:v>7.2489877881167473E-4</c:v>
                </c:pt>
                <c:pt idx="65">
                  <c:v>7.3990394534573928E-4</c:v>
                </c:pt>
                <c:pt idx="66">
                  <c:v>7.5066021230134859E-4</c:v>
                </c:pt>
                <c:pt idx="67">
                  <c:v>7.5596091334010664E-4</c:v>
                </c:pt>
                <c:pt idx="68">
                  <c:v>7.5509081015414856E-4</c:v>
                </c:pt>
                <c:pt idx="69">
                  <c:v>7.483109493115498E-4</c:v>
                </c:pt>
                <c:pt idx="70">
                  <c:v>7.357275636973009E-4</c:v>
                </c:pt>
                <c:pt idx="71">
                  <c:v>7.1669163894126642E-4</c:v>
                </c:pt>
                <c:pt idx="72">
                  <c:v>6.9220433474971935E-4</c:v>
                </c:pt>
                <c:pt idx="73">
                  <c:v>6.6136867571639328E-4</c:v>
                </c:pt>
                <c:pt idx="74">
                  <c:v>6.2496116589794322E-4</c:v>
                </c:pt>
                <c:pt idx="75">
                  <c:v>5.8396272955896222E-4</c:v>
                </c:pt>
                <c:pt idx="76">
                  <c:v>5.4800511550359525E-4</c:v>
                </c:pt>
                <c:pt idx="77">
                  <c:v>5.1660651139982458E-4</c:v>
                </c:pt>
                <c:pt idx="78">
                  <c:v>4.9160615316512848E-4</c:v>
                </c:pt>
                <c:pt idx="79">
                  <c:v>4.7142467791020867E-4</c:v>
                </c:pt>
                <c:pt idx="80">
                  <c:v>4.5722196367728798E-4</c:v>
                </c:pt>
                <c:pt idx="81">
                  <c:v>4.4829518987987704E-4</c:v>
                </c:pt>
                <c:pt idx="82">
                  <c:v>4.4517573779850536E-4</c:v>
                </c:pt>
                <c:pt idx="83">
                  <c:v>4.476491061194722E-4</c:v>
                </c:pt>
                <c:pt idx="84">
                  <c:v>4.5557105837149524E-4</c:v>
                </c:pt>
                <c:pt idx="85">
                  <c:v>4.6875016878099827E-4</c:v>
                </c:pt>
                <c:pt idx="86">
                  <c:v>4.8486405338942114E-4</c:v>
                </c:pt>
                <c:pt idx="87">
                  <c:v>5.0422203922043975E-4</c:v>
                </c:pt>
                <c:pt idx="88">
                  <c:v>5.2553570779790247E-4</c:v>
                </c:pt>
                <c:pt idx="89">
                  <c:v>5.5027108441594013E-4</c:v>
                </c:pt>
                <c:pt idx="90">
                  <c:v>5.769010421498447E-4</c:v>
                </c:pt>
                <c:pt idx="91">
                  <c:v>6.0723053744190635E-4</c:v>
                </c:pt>
                <c:pt idx="92">
                  <c:v>6.3931286314380855E-4</c:v>
                </c:pt>
                <c:pt idx="93">
                  <c:v>6.7545003115763481E-4</c:v>
                </c:pt>
                <c:pt idx="94">
                  <c:v>7.1316364725462506E-4</c:v>
                </c:pt>
                <c:pt idx="95">
                  <c:v>7.5095696136550164E-4</c:v>
                </c:pt>
                <c:pt idx="96">
                  <c:v>7.7668153859465714E-4</c:v>
                </c:pt>
                <c:pt idx="97">
                  <c:v>7.8809179673103042E-4</c:v>
                </c:pt>
                <c:pt idx="98">
                  <c:v>7.8476824653969136E-4</c:v>
                </c:pt>
                <c:pt idx="99">
                  <c:v>7.6671476547404954E-4</c:v>
                </c:pt>
                <c:pt idx="100">
                  <c:v>7.3509919013991457E-4</c:v>
                </c:pt>
                <c:pt idx="101">
                  <c:v>6.8759169075954547E-4</c:v>
                </c:pt>
                <c:pt idx="102">
                  <c:v>6.2730384831285145E-4</c:v>
                </c:pt>
                <c:pt idx="103">
                  <c:v>5.5051522385432105E-4</c:v>
                </c:pt>
                <c:pt idx="104">
                  <c:v>4.6121256983006585E-4</c:v>
                </c:pt>
                <c:pt idx="105">
                  <c:v>3.6016133476938269E-4</c:v>
                </c:pt>
                <c:pt idx="106">
                  <c:v>2.7405249001668901E-4</c:v>
                </c:pt>
                <c:pt idx="107">
                  <c:v>2.0481686301150864E-4</c:v>
                </c:pt>
                <c:pt idx="108">
                  <c:v>1.5381996705934441E-4</c:v>
                </c:pt>
                <c:pt idx="109">
                  <c:v>1.1981491870434718E-4</c:v>
                </c:pt>
                <c:pt idx="110">
                  <c:v>1.0419478323922191E-4</c:v>
                </c:pt>
                <c:pt idx="111">
                  <c:v>1.0596635683719682E-4</c:v>
                </c:pt>
                <c:pt idx="112">
                  <c:v>1.2486261470218661E-4</c:v>
                </c:pt>
                <c:pt idx="113">
                  <c:v>1.6242952693830068E-4</c:v>
                </c:pt>
                <c:pt idx="114">
                  <c:v>2.1624163708583877E-4</c:v>
                </c:pt>
                <c:pt idx="115">
                  <c:v>2.84888281901618E-4</c:v>
                </c:pt>
                <c:pt idx="116">
                  <c:v>3.4480402633887443E-4</c:v>
                </c:pt>
                <c:pt idx="117">
                  <c:v>3.9413071499895622E-4</c:v>
                </c:pt>
                <c:pt idx="118">
                  <c:v>4.3186595270524545E-4</c:v>
                </c:pt>
                <c:pt idx="119">
                  <c:v>4.587099876258334E-4</c:v>
                </c:pt>
                <c:pt idx="120">
                  <c:v>4.7407564915746565E-4</c:v>
                </c:pt>
                <c:pt idx="121">
                  <c:v>4.7823438096584667E-4</c:v>
                </c:pt>
                <c:pt idx="122">
                  <c:v>4.7124501376034043E-4</c:v>
                </c:pt>
                <c:pt idx="123">
                  <c:v>4.5259591419644432E-4</c:v>
                </c:pt>
                <c:pt idx="124">
                  <c:v>4.2343905435661931E-4</c:v>
                </c:pt>
                <c:pt idx="125">
                  <c:v>3.8472132372041785E-4</c:v>
                </c:pt>
                <c:pt idx="126">
                  <c:v>3.4855071123296617E-4</c:v>
                </c:pt>
                <c:pt idx="127">
                  <c:v>3.1531554198269487E-4</c:v>
                </c:pt>
                <c:pt idx="128">
                  <c:v>2.8709113300376746E-4</c:v>
                </c:pt>
                <c:pt idx="129">
                  <c:v>2.62537216453162E-4</c:v>
                </c:pt>
                <c:pt idx="130">
                  <c:v>2.4234236298687102E-4</c:v>
                </c:pt>
                <c:pt idx="131">
                  <c:v>2.2591954692900099E-4</c:v>
                </c:pt>
                <c:pt idx="132">
                  <c:v>2.1401012392867173E-4</c:v>
                </c:pt>
              </c:numCache>
            </c:numRef>
          </c:val>
          <c:smooth val="0"/>
        </c:ser>
        <c:ser>
          <c:idx val="1"/>
          <c:order val="1"/>
          <c:tx>
            <c:v>SimpleFromCont</c:v>
          </c:tx>
          <c:spPr>
            <a:ln w="28575">
              <a:noFill/>
            </a:ln>
          </c:spPr>
          <c:marker>
            <c:symbol val="square"/>
            <c:size val="2"/>
          </c:marker>
          <c:val>
            <c:numRef>
              <c:f>'6M Delta'!$Z$3:$Z$135</c:f>
              <c:numCache>
                <c:formatCode>0.0000%</c:formatCode>
                <c:ptCount val="133"/>
                <c:pt idx="0">
                  <c:v>1.9263043326094255E-3</c:v>
                </c:pt>
                <c:pt idx="1">
                  <c:v>1.9675604728208265E-3</c:v>
                </c:pt>
                <c:pt idx="2">
                  <c:v>2.0475265816874491E-3</c:v>
                </c:pt>
                <c:pt idx="3">
                  <c:v>2.0238019946285228E-3</c:v>
                </c:pt>
                <c:pt idx="4">
                  <c:v>2.05961909487608E-3</c:v>
                </c:pt>
                <c:pt idx="5">
                  <c:v>2.1019405564676576E-3</c:v>
                </c:pt>
                <c:pt idx="6">
                  <c:v>2.1222332163543588E-3</c:v>
                </c:pt>
                <c:pt idx="7">
                  <c:v>2.1636482051303678E-3</c:v>
                </c:pt>
                <c:pt idx="8">
                  <c:v>2.1785175944912544E-3</c:v>
                </c:pt>
                <c:pt idx="9">
                  <c:v>2.2082313703125503E-3</c:v>
                </c:pt>
                <c:pt idx="10">
                  <c:v>2.2586931728868038E-3</c:v>
                </c:pt>
                <c:pt idx="11">
                  <c:v>2.270291239329458E-3</c:v>
                </c:pt>
                <c:pt idx="12">
                  <c:v>2.3097414649041062E-3</c:v>
                </c:pt>
                <c:pt idx="13">
                  <c:v>2.3191623933560418E-3</c:v>
                </c:pt>
                <c:pt idx="14">
                  <c:v>2.3676533713970285E-3</c:v>
                </c:pt>
                <c:pt idx="15">
                  <c:v>2.3772891132367289E-3</c:v>
                </c:pt>
                <c:pt idx="16">
                  <c:v>2.3570282914107074E-3</c:v>
                </c:pt>
                <c:pt idx="17">
                  <c:v>2.3916553949652991E-3</c:v>
                </c:pt>
                <c:pt idx="18">
                  <c:v>2.3965897616451087E-3</c:v>
                </c:pt>
                <c:pt idx="19">
                  <c:v>2.5613695479919118E-3</c:v>
                </c:pt>
                <c:pt idx="20">
                  <c:v>2.5732969931652047E-3</c:v>
                </c:pt>
                <c:pt idx="21">
                  <c:v>2.6766294697957711E-3</c:v>
                </c:pt>
                <c:pt idx="22">
                  <c:v>2.6293008123413233E-3</c:v>
                </c:pt>
                <c:pt idx="23">
                  <c:v>2.7103587533644385E-3</c:v>
                </c:pt>
                <c:pt idx="24">
                  <c:v>2.6456316761051713E-3</c:v>
                </c:pt>
                <c:pt idx="25">
                  <c:v>2.6549449269576467E-3</c:v>
                </c:pt>
                <c:pt idx="26">
                  <c:v>2.5967136428518963E-3</c:v>
                </c:pt>
                <c:pt idx="27">
                  <c:v>2.5863827993808895E-3</c:v>
                </c:pt>
                <c:pt idx="28">
                  <c:v>2.4991911859430986E-3</c:v>
                </c:pt>
                <c:pt idx="29">
                  <c:v>2.4883656409931064E-3</c:v>
                </c:pt>
                <c:pt idx="30">
                  <c:v>2.3923366735965354E-3</c:v>
                </c:pt>
                <c:pt idx="31">
                  <c:v>2.3963543443336812E-3</c:v>
                </c:pt>
                <c:pt idx="32">
                  <c:v>2.2959022077594375E-3</c:v>
                </c:pt>
                <c:pt idx="33">
                  <c:v>2.266946124738268E-3</c:v>
                </c:pt>
                <c:pt idx="34">
                  <c:v>2.1417037282888533E-3</c:v>
                </c:pt>
                <c:pt idx="35">
                  <c:v>2.1205679560475157E-3</c:v>
                </c:pt>
                <c:pt idx="36">
                  <c:v>2.0093421245120108E-3</c:v>
                </c:pt>
                <c:pt idx="37">
                  <c:v>1.9740229839747669E-3</c:v>
                </c:pt>
                <c:pt idx="38">
                  <c:v>1.8872792558823823E-3</c:v>
                </c:pt>
                <c:pt idx="39">
                  <c:v>1.8421944950474051E-3</c:v>
                </c:pt>
                <c:pt idx="40">
                  <c:v>1.7585648434988448E-3</c:v>
                </c:pt>
                <c:pt idx="41">
                  <c:v>1.7322182212234573E-3</c:v>
                </c:pt>
                <c:pt idx="42">
                  <c:v>1.6352601411866209E-3</c:v>
                </c:pt>
                <c:pt idx="43">
                  <c:v>1.6098686430673886E-3</c:v>
                </c:pt>
                <c:pt idx="44">
                  <c:v>1.5107196245373034E-3</c:v>
                </c:pt>
                <c:pt idx="45">
                  <c:v>1.4947148369595057E-3</c:v>
                </c:pt>
                <c:pt idx="46">
                  <c:v>1.4020274207319741E-3</c:v>
                </c:pt>
                <c:pt idx="47">
                  <c:v>1.3797129427633398E-3</c:v>
                </c:pt>
                <c:pt idx="48">
                  <c:v>1.3081233054175086E-3</c:v>
                </c:pt>
                <c:pt idx="49">
                  <c:v>1.2732713394886254E-3</c:v>
                </c:pt>
                <c:pt idx="50">
                  <c:v>1.2072114614509097E-3</c:v>
                </c:pt>
                <c:pt idx="51">
                  <c:v>1.182646786207108E-3</c:v>
                </c:pt>
                <c:pt idx="52">
                  <c:v>1.1218890463533505E-3</c:v>
                </c:pt>
                <c:pt idx="53">
                  <c:v>1.1112958159689244E-3</c:v>
                </c:pt>
                <c:pt idx="54">
                  <c:v>1.0499313693091874E-3</c:v>
                </c:pt>
                <c:pt idx="55">
                  <c:v>1.0352991408167952E-3</c:v>
                </c:pt>
                <c:pt idx="56">
                  <c:v>9.7903903259741469E-4</c:v>
                </c:pt>
                <c:pt idx="57">
                  <c:v>9.6112190223675981E-4</c:v>
                </c:pt>
                <c:pt idx="58">
                  <c:v>9.0961696352249868E-4</c:v>
                </c:pt>
                <c:pt idx="59">
                  <c:v>8.9398111081267725E-4</c:v>
                </c:pt>
                <c:pt idx="60">
                  <c:v>8.5630203377096484E-4</c:v>
                </c:pt>
                <c:pt idx="61">
                  <c:v>8.3861705979835187E-4</c:v>
                </c:pt>
                <c:pt idx="62">
                  <c:v>7.9989840097295412E-4</c:v>
                </c:pt>
                <c:pt idx="63">
                  <c:v>7.8879265345457427E-4</c:v>
                </c:pt>
                <c:pt idx="64">
                  <c:v>7.5760602428891243E-4</c:v>
                </c:pt>
                <c:pt idx="65">
                  <c:v>7.5205775902766861E-4</c:v>
                </c:pt>
                <c:pt idx="66">
                  <c:v>7.1213750642578678E-4</c:v>
                </c:pt>
                <c:pt idx="67">
                  <c:v>7.1194033659701533E-4</c:v>
                </c:pt>
                <c:pt idx="68">
                  <c:v>6.7513780962305504E-4</c:v>
                </c:pt>
                <c:pt idx="69">
                  <c:v>6.7250606226425746E-4</c:v>
                </c:pt>
                <c:pt idx="70">
                  <c:v>6.4220717922800624E-4</c:v>
                </c:pt>
                <c:pt idx="71">
                  <c:v>6.372145817733465E-4</c:v>
                </c:pt>
                <c:pt idx="72">
                  <c:v>6.1615086739789503E-4</c:v>
                </c:pt>
                <c:pt idx="73">
                  <c:v>6.0924083253309958E-4</c:v>
                </c:pt>
                <c:pt idx="74">
                  <c:v>5.8681119116975279E-4</c:v>
                </c:pt>
                <c:pt idx="75">
                  <c:v>5.9067893757407282E-4</c:v>
                </c:pt>
                <c:pt idx="76">
                  <c:v>5.6701125196176761E-4</c:v>
                </c:pt>
                <c:pt idx="77">
                  <c:v>5.6858427527102908E-4</c:v>
                </c:pt>
                <c:pt idx="78">
                  <c:v>5.4368557893095344E-4</c:v>
                </c:pt>
                <c:pt idx="79">
                  <c:v>5.4905858846503218E-4</c:v>
                </c:pt>
                <c:pt idx="80">
                  <c:v>5.2864689949203524E-4</c:v>
                </c:pt>
                <c:pt idx="81">
                  <c:v>5.2597506636801843E-4</c:v>
                </c:pt>
                <c:pt idx="82">
                  <c:v>5.1263904210686721E-4</c:v>
                </c:pt>
                <c:pt idx="83">
                  <c:v>5.1096376254245617E-4</c:v>
                </c:pt>
                <c:pt idx="84">
                  <c:v>4.9594164016714831E-4</c:v>
                </c:pt>
                <c:pt idx="85">
                  <c:v>4.9771274252194593E-4</c:v>
                </c:pt>
                <c:pt idx="86">
                  <c:v>4.8371337060494228E-4</c:v>
                </c:pt>
                <c:pt idx="87">
                  <c:v>4.9128543610987884E-4</c:v>
                </c:pt>
                <c:pt idx="88">
                  <c:v>4.7819403032441218E-4</c:v>
                </c:pt>
                <c:pt idx="89">
                  <c:v>4.8097509705248396E-4</c:v>
                </c:pt>
                <c:pt idx="90">
                  <c:v>4.6355792852723028E-4</c:v>
                </c:pt>
                <c:pt idx="91">
                  <c:v>4.693756545382365E-4</c:v>
                </c:pt>
                <c:pt idx="92">
                  <c:v>4.5528050443501738E-4</c:v>
                </c:pt>
                <c:pt idx="93">
                  <c:v>4.5893715501736041E-4</c:v>
                </c:pt>
                <c:pt idx="94">
                  <c:v>4.5045530877876893E-4</c:v>
                </c:pt>
                <c:pt idx="95">
                  <c:v>4.52063788449089E-4</c:v>
                </c:pt>
                <c:pt idx="96">
                  <c:v>4.4407431052131805E-4</c:v>
                </c:pt>
                <c:pt idx="97">
                  <c:v>4.5083150743240377E-4</c:v>
                </c:pt>
                <c:pt idx="98">
                  <c:v>4.3849125888751879E-4</c:v>
                </c:pt>
                <c:pt idx="99">
                  <c:v>4.4551635855269819E-4</c:v>
                </c:pt>
                <c:pt idx="100">
                  <c:v>4.3124603760150035E-4</c:v>
                </c:pt>
                <c:pt idx="101">
                  <c:v>4.4086920640062466E-4</c:v>
                </c:pt>
                <c:pt idx="102">
                  <c:v>4.270022856348027E-4</c:v>
                </c:pt>
                <c:pt idx="103">
                  <c:v>4.3445514991631958E-4</c:v>
                </c:pt>
                <c:pt idx="104">
                  <c:v>4.2563087338111849E-4</c:v>
                </c:pt>
                <c:pt idx="105">
                  <c:v>4.2857756464742775E-4</c:v>
                </c:pt>
                <c:pt idx="106">
                  <c:v>4.2003889264484939E-4</c:v>
                </c:pt>
                <c:pt idx="107">
                  <c:v>4.2551252482210067E-4</c:v>
                </c:pt>
                <c:pt idx="108">
                  <c:v>4.1722245830856002E-4</c:v>
                </c:pt>
                <c:pt idx="109">
                  <c:v>4.2742275589462988E-4</c:v>
                </c:pt>
                <c:pt idx="110">
                  <c:v>4.1706246479406814E-4</c:v>
                </c:pt>
                <c:pt idx="111">
                  <c:v>4.2507691275254052E-4</c:v>
                </c:pt>
                <c:pt idx="112">
                  <c:v>4.1491743380589165E-4</c:v>
                </c:pt>
                <c:pt idx="113">
                  <c:v>4.2075621251041844E-4</c:v>
                </c:pt>
                <c:pt idx="114">
                  <c:v>4.1077248870672998E-4</c:v>
                </c:pt>
                <c:pt idx="115">
                  <c:v>4.1671046969096135E-4</c:v>
                </c:pt>
                <c:pt idx="116">
                  <c:v>4.114019123064314E-4</c:v>
                </c:pt>
                <c:pt idx="117">
                  <c:v>4.1518005192267142E-4</c:v>
                </c:pt>
                <c:pt idx="118">
                  <c:v>4.0773487751137073E-4</c:v>
                </c:pt>
                <c:pt idx="119">
                  <c:v>4.1384527428706526E-4</c:v>
                </c:pt>
                <c:pt idx="120">
                  <c:v>4.0875455844525358E-4</c:v>
                </c:pt>
                <c:pt idx="121">
                  <c:v>4.1716481700767265E-4</c:v>
                </c:pt>
                <c:pt idx="122">
                  <c:v>4.0544862586451444E-4</c:v>
                </c:pt>
                <c:pt idx="123">
                  <c:v>4.1614918362565569E-4</c:v>
                </c:pt>
                <c:pt idx="124">
                  <c:v>4.0452374922089653E-4</c:v>
                </c:pt>
                <c:pt idx="125">
                  <c:v>4.130330162302721E-4</c:v>
                </c:pt>
                <c:pt idx="126">
                  <c:v>4.0372065395210925E-4</c:v>
                </c:pt>
                <c:pt idx="127">
                  <c:v>4.1003756790331224E-4</c:v>
                </c:pt>
                <c:pt idx="128">
                  <c:v>4.0524576652845593E-4</c:v>
                </c:pt>
                <c:pt idx="129">
                  <c:v>4.0937847369696074E-4</c:v>
                </c:pt>
                <c:pt idx="130">
                  <c:v>4.0241411135609912E-4</c:v>
                </c:pt>
                <c:pt idx="131">
                  <c:v>4.1324732395931949E-4</c:v>
                </c:pt>
                <c:pt idx="132">
                  <c:v>4.0411117802131537E-4</c:v>
                </c:pt>
              </c:numCache>
            </c:numRef>
          </c:val>
          <c:smooth val="0"/>
        </c:ser>
        <c:ser>
          <c:idx val="2"/>
          <c:order val="2"/>
          <c:tx>
            <c:v>Simple</c:v>
          </c:tx>
          <c:spPr>
            <a:ln w="28575">
              <a:noFill/>
            </a:ln>
          </c:spPr>
          <c:marker>
            <c:symbol val="triangle"/>
            <c:size val="2"/>
          </c:marker>
          <c:val>
            <c:numRef>
              <c:f>'6M Delta'!$AC$3:$AC$135</c:f>
              <c:numCache>
                <c:formatCode>0.0000%</c:formatCode>
                <c:ptCount val="133"/>
                <c:pt idx="0">
                  <c:v>1.8942957375210632E-3</c:v>
                </c:pt>
                <c:pt idx="1">
                  <c:v>1.9343766554649712E-3</c:v>
                </c:pt>
                <c:pt idx="2">
                  <c:v>1.9673734013832731E-3</c:v>
                </c:pt>
                <c:pt idx="3">
                  <c:v>2.0003800688911232E-3</c:v>
                </c:pt>
                <c:pt idx="4">
                  <c:v>2.0353909882307166E-3</c:v>
                </c:pt>
                <c:pt idx="5">
                  <c:v>2.0650610753661443E-3</c:v>
                </c:pt>
                <c:pt idx="6">
                  <c:v>2.0966356743028231E-3</c:v>
                </c:pt>
                <c:pt idx="7">
                  <c:v>2.1251507099771202E-3</c:v>
                </c:pt>
                <c:pt idx="8">
                  <c:v>2.1517375635079299E-3</c:v>
                </c:pt>
                <c:pt idx="9">
                  <c:v>2.1808479275649316E-3</c:v>
                </c:pt>
                <c:pt idx="10">
                  <c:v>2.2054464728427374E-3</c:v>
                </c:pt>
                <c:pt idx="11">
                  <c:v>2.2291451252911534E-3</c:v>
                </c:pt>
                <c:pt idx="12">
                  <c:v>2.2550417432800904E-3</c:v>
                </c:pt>
                <c:pt idx="13">
                  <c:v>2.2768789147649101E-3</c:v>
                </c:pt>
                <c:pt idx="14">
                  <c:v>2.2985830471260126E-3</c:v>
                </c:pt>
                <c:pt idx="15">
                  <c:v>2.320762798156714E-3</c:v>
                </c:pt>
                <c:pt idx="16">
                  <c:v>2.3400162584973306E-3</c:v>
                </c:pt>
                <c:pt idx="17">
                  <c:v>2.3609682290386428E-3</c:v>
                </c:pt>
                <c:pt idx="18">
                  <c:v>2.3791511989861378E-3</c:v>
                </c:pt>
                <c:pt idx="19">
                  <c:v>2.4732939873221165E-3</c:v>
                </c:pt>
                <c:pt idx="20">
                  <c:v>2.5407222430698893E-3</c:v>
                </c:pt>
                <c:pt idx="21">
                  <c:v>2.5863472495142492E-3</c:v>
                </c:pt>
                <c:pt idx="22">
                  <c:v>2.612177841301357E-3</c:v>
                </c:pt>
                <c:pt idx="23">
                  <c:v>2.621501338949454E-3</c:v>
                </c:pt>
                <c:pt idx="24">
                  <c:v>2.6164315349836344E-3</c:v>
                </c:pt>
                <c:pt idx="25">
                  <c:v>2.598690697849649E-3</c:v>
                </c:pt>
                <c:pt idx="26">
                  <c:v>2.570961106339364E-3</c:v>
                </c:pt>
                <c:pt idx="27">
                  <c:v>2.5346527058414019E-3</c:v>
                </c:pt>
                <c:pt idx="28">
                  <c:v>2.4909806316102236E-3</c:v>
                </c:pt>
                <c:pt idx="29">
                  <c:v>2.4417239914915475E-3</c:v>
                </c:pt>
                <c:pt idx="30">
                  <c:v>2.3874941783164983E-3</c:v>
                </c:pt>
                <c:pt idx="31">
                  <c:v>2.3295621238679644E-3</c:v>
                </c:pt>
                <c:pt idx="32">
                  <c:v>2.2694912903625467E-3</c:v>
                </c:pt>
                <c:pt idx="33">
                  <c:v>2.2067205666015683E-3</c:v>
                </c:pt>
                <c:pt idx="34">
                  <c:v>2.1429249182086862E-3</c:v>
                </c:pt>
                <c:pt idx="35">
                  <c:v>2.0779817614249856E-3</c:v>
                </c:pt>
                <c:pt idx="36">
                  <c:v>2.0130952327214978E-3</c:v>
                </c:pt>
                <c:pt idx="37">
                  <c:v>1.9472692044539531E-3</c:v>
                </c:pt>
                <c:pt idx="38">
                  <c:v>1.8830018688316252E-3</c:v>
                </c:pt>
                <c:pt idx="39">
                  <c:v>1.8195261222573394E-3</c:v>
                </c:pt>
                <c:pt idx="40">
                  <c:v>1.7567556929756569E-3</c:v>
                </c:pt>
                <c:pt idx="41">
                  <c:v>1.6949230902377423E-3</c:v>
                </c:pt>
                <c:pt idx="42">
                  <c:v>1.635523578500408E-3</c:v>
                </c:pt>
                <c:pt idx="43">
                  <c:v>1.5770437892574786E-3</c:v>
                </c:pt>
                <c:pt idx="44">
                  <c:v>1.5208697943228E-3</c:v>
                </c:pt>
                <c:pt idx="45">
                  <c:v>1.4658437029606659E-3</c:v>
                </c:pt>
                <c:pt idx="46">
                  <c:v>1.4129427157506718E-3</c:v>
                </c:pt>
                <c:pt idx="47">
                  <c:v>1.3616269669576506E-3</c:v>
                </c:pt>
                <c:pt idx="48">
                  <c:v>1.3124814752108515E-3</c:v>
                </c:pt>
                <c:pt idx="49">
                  <c:v>1.2644672187687893E-3</c:v>
                </c:pt>
                <c:pt idx="50">
                  <c:v>1.2188945284895931E-3</c:v>
                </c:pt>
                <c:pt idx="51">
                  <c:v>1.1754535000577022E-3</c:v>
                </c:pt>
                <c:pt idx="52">
                  <c:v>1.1336438659546007E-3</c:v>
                </c:pt>
                <c:pt idx="53">
                  <c:v>1.0936788610420782E-3</c:v>
                </c:pt>
                <c:pt idx="54">
                  <c:v>1.0559289225920481E-3</c:v>
                </c:pt>
                <c:pt idx="55">
                  <c:v>1.0195180596995431E-3</c:v>
                </c:pt>
                <c:pt idx="56">
                  <c:v>9.8519694724989509E-4</c:v>
                </c:pt>
                <c:pt idx="57">
                  <c:v>9.5198195694056527E-4</c:v>
                </c:pt>
                <c:pt idx="58">
                  <c:v>9.2073771381801406E-4</c:v>
                </c:pt>
                <c:pt idx="59">
                  <c:v>8.9056432452101341E-4</c:v>
                </c:pt>
                <c:pt idx="60">
                  <c:v>8.623853692904305E-4</c:v>
                </c:pt>
                <c:pt idx="61">
                  <c:v>8.3564394563635726E-4</c:v>
                </c:pt>
                <c:pt idx="62">
                  <c:v>8.1014913480333107E-4</c:v>
                </c:pt>
                <c:pt idx="63">
                  <c:v>7.8612408583320396E-4</c:v>
                </c:pt>
                <c:pt idx="64">
                  <c:v>7.6324928427193598E-4</c:v>
                </c:pt>
                <c:pt idx="65">
                  <c:v>7.4160525144502496E-4</c:v>
                </c:pt>
                <c:pt idx="66">
                  <c:v>7.2135529541213943E-4</c:v>
                </c:pt>
                <c:pt idx="67">
                  <c:v>7.0199924153404138E-4</c:v>
                </c:pt>
                <c:pt idx="68">
                  <c:v>6.8381234735989281E-4</c:v>
                </c:pt>
                <c:pt idx="69">
                  <c:v>6.6654441094806663E-4</c:v>
                </c:pt>
                <c:pt idx="70">
                  <c:v>6.5033560193069847E-4</c:v>
                </c:pt>
                <c:pt idx="71">
                  <c:v>6.3479731272821972E-4</c:v>
                </c:pt>
                <c:pt idx="72">
                  <c:v>6.2038758848159388E-4</c:v>
                </c:pt>
                <c:pt idx="73">
                  <c:v>6.0673092827035792E-4</c:v>
                </c:pt>
                <c:pt idx="74">
                  <c:v>5.9386609885133616E-4</c:v>
                </c:pt>
                <c:pt idx="75">
                  <c:v>5.8175198245163375E-4</c:v>
                </c:pt>
                <c:pt idx="76">
                  <c:v>5.7047002436310681E-4</c:v>
                </c:pt>
                <c:pt idx="77">
                  <c:v>5.5973340294846624E-4</c:v>
                </c:pt>
                <c:pt idx="78">
                  <c:v>5.4974141943152897E-4</c:v>
                </c:pt>
                <c:pt idx="79">
                  <c:v>5.4023892550180818E-4</c:v>
                </c:pt>
                <c:pt idx="80">
                  <c:v>5.3135397707445718E-4</c:v>
                </c:pt>
                <c:pt idx="81">
                  <c:v>5.2282418296964168E-4</c:v>
                </c:pt>
                <c:pt idx="82">
                  <c:v>5.1498628783151431E-4</c:v>
                </c:pt>
                <c:pt idx="83">
                  <c:v>5.0762295923710587E-4</c:v>
                </c:pt>
                <c:pt idx="84">
                  <c:v>5.0067060331236029E-4</c:v>
                </c:pt>
                <c:pt idx="85">
                  <c:v>4.9417962772993896E-4</c:v>
                </c:pt>
                <c:pt idx="86">
                  <c:v>4.8805423812224927E-4</c:v>
                </c:pt>
                <c:pt idx="87">
                  <c:v>4.8230792090362231E-4</c:v>
                </c:pt>
                <c:pt idx="88">
                  <c:v>4.7697561124444848E-4</c:v>
                </c:pt>
                <c:pt idx="89">
                  <c:v>4.7191870227518678E-4</c:v>
                </c:pt>
                <c:pt idx="90">
                  <c:v>4.6720325758099616E-4</c:v>
                </c:pt>
                <c:pt idx="91">
                  <c:v>4.627587598385164E-4</c:v>
                </c:pt>
                <c:pt idx="92">
                  <c:v>4.5861622477973369E-4</c:v>
                </c:pt>
                <c:pt idx="93">
                  <c:v>4.5467215112085806E-4</c:v>
                </c:pt>
                <c:pt idx="94">
                  <c:v>4.5103863389919156E-4</c:v>
                </c:pt>
                <c:pt idx="95">
                  <c:v>4.4763488245971514E-4</c:v>
                </c:pt>
                <c:pt idx="96">
                  <c:v>4.4443004485115317E-4</c:v>
                </c:pt>
                <c:pt idx="97">
                  <c:v>4.4141425236855915E-4</c:v>
                </c:pt>
                <c:pt idx="98">
                  <c:v>4.3863733084570621E-4</c:v>
                </c:pt>
                <c:pt idx="99">
                  <c:v>4.3600922882122684E-4</c:v>
                </c:pt>
                <c:pt idx="100">
                  <c:v>4.3357648404840755E-4</c:v>
                </c:pt>
                <c:pt idx="101">
                  <c:v>4.3127490803381718E-4</c:v>
                </c:pt>
                <c:pt idx="102">
                  <c:v>4.2913375479463857E-4</c:v>
                </c:pt>
                <c:pt idx="103">
                  <c:v>4.2712021287969273E-4</c:v>
                </c:pt>
                <c:pt idx="104">
                  <c:v>4.2524761886790328E-4</c:v>
                </c:pt>
                <c:pt idx="105">
                  <c:v>4.234685909623269E-4</c:v>
                </c:pt>
                <c:pt idx="106">
                  <c:v>4.2182440836731962E-4</c:v>
                </c:pt>
                <c:pt idx="107">
                  <c:v>4.2029601359210847E-4</c:v>
                </c:pt>
                <c:pt idx="108">
                  <c:v>4.1885979739783038E-4</c:v>
                </c:pt>
                <c:pt idx="109">
                  <c:v>4.1751801585444408E-4</c:v>
                </c:pt>
                <c:pt idx="110">
                  <c:v>4.1627787334717583E-4</c:v>
                </c:pt>
                <c:pt idx="111">
                  <c:v>4.1510634675947139E-4</c:v>
                </c:pt>
                <c:pt idx="112">
                  <c:v>4.1402384750588564E-4</c:v>
                </c:pt>
                <c:pt idx="113">
                  <c:v>4.1299610887361249E-4</c:v>
                </c:pt>
                <c:pt idx="114">
                  <c:v>4.1204700946966482E-4</c:v>
                </c:pt>
                <c:pt idx="115">
                  <c:v>4.1114656494597855E-4</c:v>
                </c:pt>
                <c:pt idx="116">
                  <c:v>4.1031987333237601E-4</c:v>
                </c:pt>
                <c:pt idx="117">
                  <c:v>4.0954803248647789E-4</c:v>
                </c:pt>
                <c:pt idx="118">
                  <c:v>4.0882366153322539E-4</c:v>
                </c:pt>
                <c:pt idx="119">
                  <c:v>4.0815132864149985E-4</c:v>
                </c:pt>
                <c:pt idx="120">
                  <c:v>4.0752048566985077E-4</c:v>
                </c:pt>
                <c:pt idx="121">
                  <c:v>4.0693198310836937E-4</c:v>
                </c:pt>
                <c:pt idx="122">
                  <c:v>4.0638883242303039E-4</c:v>
                </c:pt>
                <c:pt idx="123">
                  <c:v>4.0587644731346047E-4</c:v>
                </c:pt>
                <c:pt idx="124">
                  <c:v>4.0540112183122729E-4</c:v>
                </c:pt>
                <c:pt idx="125">
                  <c:v>4.0495535891776712E-4</c:v>
                </c:pt>
                <c:pt idx="126">
                  <c:v>4.0454191817670889E-4</c:v>
                </c:pt>
                <c:pt idx="127">
                  <c:v>4.0415017750986823E-4</c:v>
                </c:pt>
                <c:pt idx="128">
                  <c:v>4.0379097728797739E-4</c:v>
                </c:pt>
                <c:pt idx="129">
                  <c:v>4.0345424479984037E-4</c:v>
                </c:pt>
                <c:pt idx="130">
                  <c:v>4.0314038897328502E-4</c:v>
                </c:pt>
                <c:pt idx="131">
                  <c:v>4.0284788158609076E-4</c:v>
                </c:pt>
                <c:pt idx="132">
                  <c:v>4.0257817055520468E-4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232576"/>
        <c:axId val="164562048"/>
      </c:lineChart>
      <c:dateAx>
        <c:axId val="164232576"/>
        <c:scaling>
          <c:orientation val="minMax"/>
          <c:max val="6403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64562048"/>
        <c:crosses val="autoZero"/>
        <c:auto val="1"/>
        <c:lblOffset val="100"/>
        <c:baseTimeUnit val="days"/>
        <c:majorUnit val="60"/>
        <c:majorTimeUnit val="months"/>
      </c:dateAx>
      <c:valAx>
        <c:axId val="164562048"/>
        <c:scaling>
          <c:orientation val="minMax"/>
          <c:max val="3.000000000000000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64232576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476250</xdr:colOff>
      <xdr:row>0</xdr:row>
      <xdr:rowOff>0</xdr:rowOff>
    </xdr:from>
    <xdr:to>
      <xdr:col>39</xdr:col>
      <xdr:colOff>285750</xdr:colOff>
      <xdr:row>20</xdr:row>
      <xdr:rowOff>9524</xdr:rowOff>
    </xdr:to>
    <xdr:graphicFrame macro="">
      <xdr:nvGraphicFramePr>
        <xdr:cNvPr id="4" name="Delt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9</xdr:row>
          <xdr:rowOff>123825</xdr:rowOff>
        </xdr:from>
        <xdr:to>
          <xdr:col>28</xdr:col>
          <xdr:colOff>361950</xdr:colOff>
          <xdr:row>11</xdr:row>
          <xdr:rowOff>19050</xdr:rowOff>
        </xdr:to>
        <xdr:sp macro="" textlink="">
          <xdr:nvSpPr>
            <xdr:cNvPr id="3075" name="Length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</xdr:row>
          <xdr:rowOff>276225</xdr:rowOff>
        </xdr:from>
        <xdr:to>
          <xdr:col>28</xdr:col>
          <xdr:colOff>361950</xdr:colOff>
          <xdr:row>2</xdr:row>
          <xdr:rowOff>171450</xdr:rowOff>
        </xdr:to>
        <xdr:sp macro="" textlink="">
          <xdr:nvSpPr>
            <xdr:cNvPr id="3076" name="Length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17</xdr:row>
          <xdr:rowOff>152400</xdr:rowOff>
        </xdr:from>
        <xdr:to>
          <xdr:col>28</xdr:col>
          <xdr:colOff>361950</xdr:colOff>
          <xdr:row>19</xdr:row>
          <xdr:rowOff>47625</xdr:rowOff>
        </xdr:to>
        <xdr:sp macro="" textlink="">
          <xdr:nvSpPr>
            <xdr:cNvPr id="3077" name="Length7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4</xdr:row>
          <xdr:rowOff>38100</xdr:rowOff>
        </xdr:from>
        <xdr:to>
          <xdr:col>28</xdr:col>
          <xdr:colOff>361950</xdr:colOff>
          <xdr:row>5</xdr:row>
          <xdr:rowOff>123825</xdr:rowOff>
        </xdr:to>
        <xdr:sp macro="" textlink="">
          <xdr:nvSpPr>
            <xdr:cNvPr id="3078" name="Length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6</xdr:row>
          <xdr:rowOff>171450</xdr:rowOff>
        </xdr:from>
        <xdr:to>
          <xdr:col>28</xdr:col>
          <xdr:colOff>361950</xdr:colOff>
          <xdr:row>8</xdr:row>
          <xdr:rowOff>66675</xdr:rowOff>
        </xdr:to>
        <xdr:sp macro="" textlink="">
          <xdr:nvSpPr>
            <xdr:cNvPr id="3079" name="Length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12</xdr:row>
          <xdr:rowOff>66675</xdr:rowOff>
        </xdr:from>
        <xdr:to>
          <xdr:col>28</xdr:col>
          <xdr:colOff>361950</xdr:colOff>
          <xdr:row>13</xdr:row>
          <xdr:rowOff>152400</xdr:rowOff>
        </xdr:to>
        <xdr:sp macro="" textlink="">
          <xdr:nvSpPr>
            <xdr:cNvPr id="3080" name="Length5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15</xdr:row>
          <xdr:rowOff>19050</xdr:rowOff>
        </xdr:from>
        <xdr:to>
          <xdr:col>28</xdr:col>
          <xdr:colOff>361950</xdr:colOff>
          <xdr:row>16</xdr:row>
          <xdr:rowOff>104775</xdr:rowOff>
        </xdr:to>
        <xdr:sp macro="" textlink="">
          <xdr:nvSpPr>
            <xdr:cNvPr id="3081" name="Length6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495300</xdr:colOff>
      <xdr:row>20</xdr:row>
      <xdr:rowOff>66675</xdr:rowOff>
    </xdr:from>
    <xdr:to>
      <xdr:col>39</xdr:col>
      <xdr:colOff>304800</xdr:colOff>
      <xdr:row>41</xdr:row>
      <xdr:rowOff>76199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9</xdr:row>
          <xdr:rowOff>123825</xdr:rowOff>
        </xdr:from>
        <xdr:to>
          <xdr:col>32</xdr:col>
          <xdr:colOff>361950</xdr:colOff>
          <xdr:row>11</xdr:row>
          <xdr:rowOff>114300</xdr:rowOff>
        </xdr:to>
        <xdr:sp macro="" textlink="">
          <xdr:nvSpPr>
            <xdr:cNvPr id="5121" name="Length4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1</xdr:row>
          <xdr:rowOff>276225</xdr:rowOff>
        </xdr:from>
        <xdr:to>
          <xdr:col>32</xdr:col>
          <xdr:colOff>361950</xdr:colOff>
          <xdr:row>3</xdr:row>
          <xdr:rowOff>123825</xdr:rowOff>
        </xdr:to>
        <xdr:sp macro="" textlink="">
          <xdr:nvSpPr>
            <xdr:cNvPr id="5122" name="Length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18</xdr:row>
          <xdr:rowOff>0</xdr:rowOff>
        </xdr:from>
        <xdr:to>
          <xdr:col>32</xdr:col>
          <xdr:colOff>361950</xdr:colOff>
          <xdr:row>19</xdr:row>
          <xdr:rowOff>133350</xdr:rowOff>
        </xdr:to>
        <xdr:sp macro="" textlink="">
          <xdr:nvSpPr>
            <xdr:cNvPr id="5123" name="Length7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4</xdr:row>
          <xdr:rowOff>38100</xdr:rowOff>
        </xdr:from>
        <xdr:to>
          <xdr:col>32</xdr:col>
          <xdr:colOff>361950</xdr:colOff>
          <xdr:row>6</xdr:row>
          <xdr:rowOff>28575</xdr:rowOff>
        </xdr:to>
        <xdr:sp macro="" textlink="">
          <xdr:nvSpPr>
            <xdr:cNvPr id="5124" name="Length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7</xdr:row>
          <xdr:rowOff>0</xdr:rowOff>
        </xdr:from>
        <xdr:to>
          <xdr:col>32</xdr:col>
          <xdr:colOff>361950</xdr:colOff>
          <xdr:row>8</xdr:row>
          <xdr:rowOff>133350</xdr:rowOff>
        </xdr:to>
        <xdr:sp macro="" textlink="">
          <xdr:nvSpPr>
            <xdr:cNvPr id="5125" name="Length3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12</xdr:row>
          <xdr:rowOff>66675</xdr:rowOff>
        </xdr:from>
        <xdr:to>
          <xdr:col>32</xdr:col>
          <xdr:colOff>361950</xdr:colOff>
          <xdr:row>14</xdr:row>
          <xdr:rowOff>57150</xdr:rowOff>
        </xdr:to>
        <xdr:sp macro="" textlink="">
          <xdr:nvSpPr>
            <xdr:cNvPr id="5126" name="Length5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15</xdr:row>
          <xdr:rowOff>19050</xdr:rowOff>
        </xdr:from>
        <xdr:to>
          <xdr:col>32</xdr:col>
          <xdr:colOff>361950</xdr:colOff>
          <xdr:row>17</xdr:row>
          <xdr:rowOff>9525</xdr:rowOff>
        </xdr:to>
        <xdr:sp macro="" textlink="">
          <xdr:nvSpPr>
            <xdr:cNvPr id="5127" name="Length6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9525</xdr:colOff>
      <xdr:row>1</xdr:row>
      <xdr:rowOff>238125</xdr:rowOff>
    </xdr:from>
    <xdr:to>
      <xdr:col>43</xdr:col>
      <xdr:colOff>428625</xdr:colOff>
      <xdr:row>22</xdr:row>
      <xdr:rowOff>104774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  <sheetName val="Mx_Deposits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308</v>
          </cell>
        </row>
        <row r="7">
          <cell r="D7">
            <v>1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EUR6M#0000</v>
          </cell>
        </row>
        <row r="7">
          <cell r="D7" t="str">
            <v>EUR6M#0000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6E</v>
          </cell>
        </row>
        <row r="7">
          <cell r="D7" t="str">
            <v>6E</v>
          </cell>
        </row>
      </sheetData>
      <sheetData sheetId="5">
        <row r="6">
          <cell r="D6" t="str">
            <v>3E</v>
          </cell>
        </row>
        <row r="7">
          <cell r="D7" t="str">
            <v>3E</v>
          </cell>
        </row>
      </sheetData>
      <sheetData sheetId="6">
        <row r="6">
          <cell r="D6" t="str">
            <v>12E</v>
          </cell>
        </row>
        <row r="7">
          <cell r="D7" t="str">
            <v>12E</v>
          </cell>
        </row>
      </sheetData>
      <sheetData sheetId="7">
        <row r="6">
          <cell r="D6" t="str">
            <v>EURTND_Quote#0000</v>
          </cell>
        </row>
        <row r="7">
          <cell r="D7" t="str">
            <v>EURSND_Quote#0000</v>
          </cell>
        </row>
      </sheetData>
      <sheetData sheetId="8">
        <row r="6">
          <cell r="D6" t="str">
            <v>EUR2x5F_Quote</v>
          </cell>
        </row>
        <row r="7">
          <cell r="D7" t="str">
            <v>EUR3x6F_Quote</v>
          </cell>
        </row>
      </sheetData>
      <sheetData sheetId="9">
        <row r="6">
          <cell r="D6" t="str">
            <v>K5</v>
          </cell>
        </row>
        <row r="7">
          <cell r="D7" t="str">
            <v>M5</v>
          </cell>
        </row>
      </sheetData>
      <sheetData sheetId="10">
        <row r="6">
          <cell r="D6" t="str">
            <v>Future Code</v>
          </cell>
        </row>
        <row r="7">
          <cell r="D7" t="str">
            <v>K5</v>
          </cell>
        </row>
      </sheetData>
      <sheetData sheetId="11">
        <row r="6">
          <cell r="D6" t="str">
            <v>K5</v>
          </cell>
        </row>
        <row r="7">
          <cell r="D7" t="str">
            <v>M5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  <row r="7">
          <cell r="D7" t="str">
            <v>3W</v>
          </cell>
        </row>
      </sheetData>
      <sheetData sheetId="14">
        <row r="6">
          <cell r="D6" t="str">
            <v>OIS</v>
          </cell>
        </row>
        <row r="7">
          <cell r="D7" t="str">
            <v>OIS</v>
          </cell>
        </row>
      </sheetData>
      <sheetData sheetId="15">
        <row r="6">
          <cell r="D6" t="str">
            <v>Z5</v>
          </cell>
        </row>
        <row r="7">
          <cell r="D7" t="str">
            <v>H6</v>
          </cell>
        </row>
      </sheetData>
      <sheetData sheetId="16">
        <row r="6">
          <cell r="D6" t="str">
            <v>X1S</v>
          </cell>
        </row>
        <row r="7">
          <cell r="D7" t="str">
            <v>X1S</v>
          </cell>
        </row>
      </sheetData>
      <sheetData sheetId="17">
        <row r="6">
          <cell r="D6" t="str">
            <v>1E</v>
          </cell>
        </row>
        <row r="7">
          <cell r="D7" t="str">
            <v>1E</v>
          </cell>
        </row>
      </sheetData>
      <sheetData sheetId="18">
        <row r="6">
          <cell r="D6">
            <v>12</v>
          </cell>
        </row>
        <row r="7">
          <cell r="D7">
            <v>12</v>
          </cell>
        </row>
      </sheetData>
      <sheetData sheetId="19">
        <row r="6">
          <cell r="D6" t="str">
            <v>3E</v>
          </cell>
        </row>
        <row r="7">
          <cell r="D7" t="str">
            <v>3E</v>
          </cell>
        </row>
      </sheetData>
      <sheetData sheetId="20"/>
      <sheetData sheetId="21">
        <row r="6">
          <cell r="D6" t="str">
            <v>6E</v>
          </cell>
        </row>
        <row r="7">
          <cell r="D7" t="str">
            <v>6E</v>
          </cell>
        </row>
      </sheetData>
      <sheetData sheetId="22">
        <row r="6">
          <cell r="D6" t="str">
            <v>EUR1F2Y_Quote</v>
          </cell>
        </row>
        <row r="7">
          <cell r="D7" t="str">
            <v>EUR1F3Y_Quote</v>
          </cell>
        </row>
      </sheetData>
      <sheetData sheetId="23">
        <row r="6">
          <cell r="D6" t="str">
            <v>1E</v>
          </cell>
        </row>
        <row r="7">
          <cell r="D7" t="str">
            <v>1E</v>
          </cell>
        </row>
      </sheetData>
      <sheetData sheetId="24">
        <row r="6">
          <cell r="D6" t="str">
            <v>3E</v>
          </cell>
        </row>
        <row r="7">
          <cell r="D7" t="str">
            <v>3E</v>
          </cell>
        </row>
      </sheetData>
      <sheetData sheetId="25">
        <row r="6">
          <cell r="D6" t="str">
            <v>3E</v>
          </cell>
        </row>
        <row r="7">
          <cell r="D7" t="str">
            <v>3E</v>
          </cell>
        </row>
      </sheetData>
      <sheetData sheetId="26">
        <row r="6">
          <cell r="D6" t="str">
            <v>6E</v>
          </cell>
        </row>
        <row r="7">
          <cell r="D7" t="str">
            <v>6E</v>
          </cell>
        </row>
      </sheetData>
      <sheetData sheetId="27">
        <row r="6">
          <cell r="D6" t="str">
            <v>12E</v>
          </cell>
        </row>
        <row r="7">
          <cell r="D7" t="str">
            <v>12E</v>
          </cell>
        </row>
      </sheetData>
      <sheetData sheetId="28">
        <row r="6">
          <cell r="D6">
            <v>42118</v>
          </cell>
        </row>
        <row r="7">
          <cell r="D7">
            <v>42117</v>
          </cell>
        </row>
      </sheetData>
      <sheetData sheetId="29">
        <row r="6">
          <cell r="D6">
            <v>42118</v>
          </cell>
        </row>
        <row r="7">
          <cell r="D7">
            <v>42117</v>
          </cell>
        </row>
      </sheetData>
      <sheetData sheetId="30">
        <row r="6">
          <cell r="D6">
            <v>42121</v>
          </cell>
        </row>
        <row r="7">
          <cell r="D7">
            <v>42118</v>
          </cell>
        </row>
      </sheetData>
      <sheetData sheetId="31">
        <row r="6">
          <cell r="D6" t="str">
            <v>EURSWD_Mx_Quote#0000</v>
          </cell>
        </row>
        <row r="7">
          <cell r="D7" t="str">
            <v>EUR2WD_Mx_Quote#0000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9"/>
  <sheetViews>
    <sheetView workbookViewId="0">
      <selection activeCell="I4" sqref="I4"/>
    </sheetView>
  </sheetViews>
  <sheetFormatPr defaultColWidth="9.140625" defaultRowHeight="11.25" x14ac:dyDescent="0.2"/>
  <cols>
    <col min="1" max="2" width="2.42578125" style="1" customWidth="1"/>
    <col min="3" max="3" width="20.85546875" style="1" customWidth="1"/>
    <col min="4" max="4" width="30.7109375" style="1" customWidth="1"/>
    <col min="5" max="7" width="2.42578125" style="1" customWidth="1"/>
    <col min="8" max="8" width="23.5703125" style="1" bestFit="1" customWidth="1"/>
    <col min="9" max="9" width="33.7109375" style="1" bestFit="1" customWidth="1"/>
    <col min="10" max="10" width="2.42578125" style="1" customWidth="1"/>
    <col min="11" max="16384" width="9.140625" style="1"/>
  </cols>
  <sheetData>
    <row r="1" spans="1:34" ht="12" thickBot="1" x14ac:dyDescent="0.25">
      <c r="B1" s="1" t="str">
        <f>_xll.qlxlVersion(TRUE,EvaluationDate)</f>
        <v>QuantLibXL 1.6.0 - MS VC++ (version unknown) - Multithreaded Dynamic Runtime library - Release Configuration - Apr 24 2015 16:36:54</v>
      </c>
    </row>
    <row r="2" spans="1:34" ht="19.5" thickBot="1" x14ac:dyDescent="0.25">
      <c r="B2" s="2" t="s">
        <v>3</v>
      </c>
      <c r="C2" s="2"/>
      <c r="D2" s="2"/>
      <c r="E2" s="3"/>
      <c r="G2" s="2" t="s">
        <v>13</v>
      </c>
      <c r="H2" s="2"/>
      <c r="I2" s="2"/>
      <c r="J2" s="3"/>
    </row>
    <row r="3" spans="1:34" x14ac:dyDescent="0.2">
      <c r="B3" s="4"/>
      <c r="C3" s="5"/>
      <c r="D3" s="5"/>
      <c r="E3" s="6"/>
      <c r="G3" s="22"/>
      <c r="H3" s="23"/>
      <c r="I3" s="23"/>
      <c r="J3" s="24"/>
    </row>
    <row r="4" spans="1:34" x14ac:dyDescent="0.2">
      <c r="B4" s="4"/>
      <c r="C4" s="7" t="s">
        <v>4</v>
      </c>
      <c r="D4" s="8" t="s">
        <v>1</v>
      </c>
      <c r="E4" s="6"/>
      <c r="G4" s="15"/>
      <c r="H4" s="7" t="s">
        <v>15</v>
      </c>
      <c r="I4" s="19"/>
      <c r="J4" s="16"/>
    </row>
    <row r="5" spans="1:34" s="10" customFormat="1" x14ac:dyDescent="0.2">
      <c r="A5" s="1"/>
      <c r="B5" s="4"/>
      <c r="C5" s="7" t="s">
        <v>5</v>
      </c>
      <c r="D5" s="9" t="s">
        <v>6</v>
      </c>
      <c r="E5" s="6"/>
      <c r="F5" s="1"/>
      <c r="G5" s="15"/>
      <c r="H5" s="7" t="s">
        <v>16</v>
      </c>
      <c r="I5" s="19">
        <f>_xll.qlSettingsEvaluationDate(Trigger)</f>
        <v>42121</v>
      </c>
      <c r="J5" s="1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s="10" customFormat="1" x14ac:dyDescent="0.2">
      <c r="A6" s="1"/>
      <c r="B6" s="4"/>
      <c r="C6" s="7" t="s">
        <v>2</v>
      </c>
      <c r="D6" s="9" t="str">
        <f>IF(UPPER(Currency)&lt;&gt;"EUR","L","")&amp;"ibor"</f>
        <v>ibor</v>
      </c>
      <c r="E6" s="6"/>
      <c r="F6" s="1"/>
      <c r="G6" s="15"/>
      <c r="H6" s="17" t="s">
        <v>14</v>
      </c>
      <c r="I6" s="18">
        <f>_xll.qlCalendarAdvance(Calendar,EvaluationDate,"2D","f")</f>
        <v>42123</v>
      </c>
      <c r="J6" s="16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x14ac:dyDescent="0.2">
      <c r="B7" s="4"/>
      <c r="C7" s="7" t="s">
        <v>7</v>
      </c>
      <c r="D7" s="11" t="s">
        <v>8</v>
      </c>
      <c r="E7" s="6"/>
      <c r="G7" s="15"/>
      <c r="H7" s="7" t="s">
        <v>17</v>
      </c>
      <c r="I7" s="20">
        <f>[1]!TriggerCounter</f>
        <v>308</v>
      </c>
      <c r="J7" s="16"/>
    </row>
    <row r="8" spans="1:34" x14ac:dyDescent="0.2">
      <c r="B8" s="4"/>
      <c r="C8" s="7" t="s">
        <v>9</v>
      </c>
      <c r="D8" s="12" t="s">
        <v>10</v>
      </c>
      <c r="E8" s="6"/>
      <c r="G8" s="15"/>
      <c r="H8" s="7" t="s">
        <v>18</v>
      </c>
      <c r="I8" s="21">
        <f>[1]!LastFixingsTrigger</f>
        <v>1</v>
      </c>
      <c r="J8" s="16"/>
    </row>
    <row r="9" spans="1:34" ht="12" thickBot="1" x14ac:dyDescent="0.25">
      <c r="B9" s="4"/>
      <c r="C9" s="7" t="s">
        <v>11</v>
      </c>
      <c r="D9" s="12" t="s">
        <v>12</v>
      </c>
      <c r="E9" s="6"/>
      <c r="G9" s="25"/>
      <c r="H9" s="26"/>
      <c r="I9" s="26"/>
      <c r="J9" s="27"/>
    </row>
    <row r="10" spans="1:34" ht="12" thickBot="1" x14ac:dyDescent="0.25">
      <c r="B10" s="82"/>
      <c r="C10" s="83"/>
      <c r="D10" s="83"/>
      <c r="E10" s="13"/>
    </row>
    <row r="11" spans="1:34" x14ac:dyDescent="0.2">
      <c r="C11" s="14"/>
      <c r="D11" s="14"/>
      <c r="E11" s="14"/>
    </row>
    <row r="12" spans="1:34" x14ac:dyDescent="0.2">
      <c r="C12" s="14"/>
      <c r="D12" s="14"/>
      <c r="E12" s="14"/>
    </row>
    <row r="13" spans="1:34" x14ac:dyDescent="0.2">
      <c r="C13" s="14"/>
      <c r="D13" s="14"/>
      <c r="E13" s="14"/>
    </row>
    <row r="14" spans="1:34" x14ac:dyDescent="0.2">
      <c r="C14" s="14"/>
      <c r="D14" s="14"/>
      <c r="E14" s="14"/>
    </row>
    <row r="15" spans="1:34" x14ac:dyDescent="0.2">
      <c r="C15" s="14"/>
      <c r="D15" s="14"/>
      <c r="E15" s="14"/>
    </row>
    <row r="16" spans="1:34" x14ac:dyDescent="0.2">
      <c r="C16" s="14"/>
      <c r="D16" s="14"/>
      <c r="E16" s="14"/>
    </row>
    <row r="17" spans="3:5" x14ac:dyDescent="0.2">
      <c r="C17" s="14"/>
      <c r="D17" s="14"/>
      <c r="E17" s="14"/>
    </row>
    <row r="18" spans="3:5" x14ac:dyDescent="0.2">
      <c r="C18" s="14"/>
      <c r="D18" s="14"/>
      <c r="E18" s="14"/>
    </row>
    <row r="19" spans="3:5" x14ac:dyDescent="0.2">
      <c r="C19" s="14"/>
      <c r="D19" s="14"/>
      <c r="E19" s="14"/>
    </row>
  </sheetData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74"/>
  <sheetViews>
    <sheetView showGridLines="0" topLeftCell="K1" workbookViewId="0">
      <selection activeCell="K1" sqref="K1"/>
    </sheetView>
  </sheetViews>
  <sheetFormatPr defaultRowHeight="15" outlineLevelCol="1" x14ac:dyDescent="0.25"/>
  <cols>
    <col min="1" max="1" width="6" hidden="1" customWidth="1" outlineLevel="1"/>
    <col min="2" max="2" width="17.28515625" hidden="1" customWidth="1" outlineLevel="1"/>
    <col min="3" max="3" width="7" hidden="1" customWidth="1" outlineLevel="1"/>
    <col min="4" max="4" width="17.28515625" hidden="1" customWidth="1" outlineLevel="1"/>
    <col min="5" max="5" width="9.140625" hidden="1" customWidth="1" outlineLevel="1"/>
    <col min="6" max="6" width="9.42578125" hidden="1" customWidth="1" outlineLevel="1"/>
    <col min="7" max="7" width="6" hidden="1" customWidth="1" outlineLevel="1"/>
    <col min="8" max="8" width="7" hidden="1" customWidth="1" outlineLevel="1"/>
    <col min="9" max="9" width="12" hidden="1" customWidth="1" outlineLevel="1"/>
    <col min="10" max="10" width="9.28515625" hidden="1" customWidth="1" outlineLevel="1"/>
    <col min="11" max="11" width="2.7109375" customWidth="1" collapsed="1"/>
    <col min="13" max="13" width="10.140625" bestFit="1" customWidth="1"/>
    <col min="14" max="14" width="2.7109375" customWidth="1"/>
    <col min="15" max="15" width="3.85546875" bestFit="1" customWidth="1"/>
    <col min="16" max="18" width="17.5703125" bestFit="1" customWidth="1"/>
    <col min="19" max="19" width="6.5703125" bestFit="1" customWidth="1"/>
    <col min="20" max="20" width="8.140625" bestFit="1" customWidth="1"/>
    <col min="21" max="22" width="11.5703125" hidden="1" customWidth="1" outlineLevel="1"/>
    <col min="23" max="23" width="8.85546875" bestFit="1" customWidth="1" collapsed="1"/>
    <col min="24" max="24" width="12" bestFit="1" customWidth="1"/>
    <col min="25" max="25" width="8.85546875" customWidth="1"/>
    <col min="26" max="26" width="15.140625" customWidth="1"/>
  </cols>
  <sheetData>
    <row r="1" spans="1:26" x14ac:dyDescent="0.25">
      <c r="A1" s="42" t="s">
        <v>32</v>
      </c>
      <c r="B1" s="42"/>
      <c r="C1" s="42"/>
      <c r="D1" s="42"/>
      <c r="E1" s="42"/>
      <c r="F1" s="42" t="s">
        <v>33</v>
      </c>
      <c r="G1" s="42"/>
      <c r="H1" s="42"/>
      <c r="I1" s="42"/>
      <c r="J1" s="42"/>
    </row>
    <row r="2" spans="1:26" ht="30" x14ac:dyDescent="0.25">
      <c r="A2" s="43" t="s">
        <v>34</v>
      </c>
      <c r="B2" s="43" t="s">
        <v>35</v>
      </c>
      <c r="C2" s="43" t="s">
        <v>36</v>
      </c>
      <c r="D2" s="43" t="s">
        <v>37</v>
      </c>
      <c r="E2" s="43" t="s">
        <v>38</v>
      </c>
      <c r="F2" s="43" t="s">
        <v>35</v>
      </c>
      <c r="G2" s="43" t="s">
        <v>37</v>
      </c>
      <c r="H2" s="43" t="s">
        <v>38</v>
      </c>
      <c r="I2" s="43" t="s">
        <v>39</v>
      </c>
      <c r="J2" s="43" t="s">
        <v>40</v>
      </c>
      <c r="P2" s="30" t="s">
        <v>22</v>
      </c>
      <c r="Q2" s="30" t="s">
        <v>23</v>
      </c>
      <c r="R2" s="30" t="s">
        <v>24</v>
      </c>
      <c r="S2" s="30" t="s">
        <v>28</v>
      </c>
      <c r="T2" s="30" t="s">
        <v>25</v>
      </c>
      <c r="U2" s="30" t="s">
        <v>26</v>
      </c>
      <c r="V2" s="30" t="str">
        <f>"P(d+"&amp;M3&amp;")"</f>
        <v>P(d+3M)</v>
      </c>
      <c r="W2" s="30" t="s">
        <v>27</v>
      </c>
      <c r="X2" s="30" t="s">
        <v>29</v>
      </c>
      <c r="Y2" s="30" t="s">
        <v>43</v>
      </c>
      <c r="Z2" s="54"/>
    </row>
    <row r="3" spans="1:26" x14ac:dyDescent="0.25">
      <c r="A3" s="46" t="str">
        <f>_xll.qlPeriodEquivalent(C3&amp;"M")</f>
        <v>1Y</v>
      </c>
      <c r="B3" s="38">
        <f>_xll.qlDateEndOfMonth(EDATE(_xll.qlSettingsEvaluationDate(Trigger),-1))</f>
        <v>42094</v>
      </c>
      <c r="C3" s="39">
        <v>12</v>
      </c>
      <c r="D3" s="38">
        <f>EDATE($P$3,C3)</f>
        <v>42487</v>
      </c>
      <c r="E3" s="40">
        <f>IF(C3&lt;=12,1,IF(C3&lt;=24,3,IF(C3&lt;=120,6,IF(C3&lt;=240,12,IF(C3&lt;=360,36,60)))))</f>
        <v>1</v>
      </c>
      <c r="F3" s="44">
        <f>ROUNDDOWN(I3*10,2)/10</f>
        <v>0</v>
      </c>
      <c r="G3" s="45">
        <f>IF(J3-I3&gt;1%,(QUOTIENT(J3*10000,50)+1)*0.5%,(QUOTIENT(J3*10000,10)+1)*0.1%)</f>
        <v>1E-3</v>
      </c>
      <c r="H3" s="40">
        <f>IF(G3-F3&lt;0.5%,0.025%,IF(G3-F3&lt;1%,0.1%,IF(G3-F3&lt;2%,0.25%,0.5%)))</f>
        <v>2.5000000000000001E-4</v>
      </c>
      <c r="I3" s="45">
        <f>MIN(_xll.ohPack($X$3:INDEX($X$3:$X$3536,MATCH(D3+1,$Q$3:$Q$3536,1),1)))</f>
        <v>2.5873192586754051E-4</v>
      </c>
      <c r="J3" s="45">
        <f>MAX(_xll.ohPack($X$3:INDEX($X$3:$X$3536,MATCH(D3+1,$Q$3:$Q$3536,1),1)))</f>
        <v>3.9870428775361233E-4</v>
      </c>
      <c r="L3" s="28" t="s">
        <v>21</v>
      </c>
      <c r="M3" s="29" t="s">
        <v>0</v>
      </c>
      <c r="O3" s="36" t="s">
        <v>30</v>
      </c>
      <c r="P3" s="31">
        <f>EvaluationDate</f>
        <v>42121</v>
      </c>
      <c r="Q3" s="31">
        <f>_xll.qlInterestRateIndexValueDate(Index,P3,Trigger)</f>
        <v>42123</v>
      </c>
      <c r="R3" s="31">
        <f>_xll.qlInterestRateIndexMaturity(Index,Q3,Trigger)</f>
        <v>42214</v>
      </c>
      <c r="S3" s="32">
        <f>_xll.qlDayCounterYearFraction(DayCounter,Q3,R3,,,Trigger)</f>
        <v>0.25277777777777777</v>
      </c>
      <c r="T3" s="33">
        <f>_xll.qlIndexFixing(Index,P3,,AllTriggers)</f>
        <v>-2.0000000000000002E-5</v>
      </c>
      <c r="U3" s="34">
        <f>_xll.qlYieldTSDiscount(OisCurve,Q3,,AllTriggers)</f>
        <v>1</v>
      </c>
      <c r="V3" s="34">
        <f>_xll.qlYieldTSDiscount(OisCurve,R3,,AllTriggers)</f>
        <v>1.0002680162579118</v>
      </c>
      <c r="W3" s="33">
        <f>(U3/V3-1)/S3</f>
        <v>-1.0600000000004441E-3</v>
      </c>
      <c r="X3" s="35">
        <f>LN((1+T3*S3)/(1+W3*S3))</f>
        <v>2.6292477963591468E-4</v>
      </c>
      <c r="Y3" s="33">
        <f>T3-W3</f>
        <v>1.040000000000444E-3</v>
      </c>
      <c r="Z3" s="54"/>
    </row>
    <row r="4" spans="1:26" x14ac:dyDescent="0.25">
      <c r="A4" s="46" t="str">
        <f>_xll.qlPeriodEquivalent(C4&amp;"M")</f>
        <v>2Y</v>
      </c>
      <c r="B4" s="38">
        <f>_xll.qlDateEndOfMonth(EDATE(_xll.qlIMMNextDate(_xll.qlSettingsEvaluationDate(Trigger)-1,TRUE),-3))</f>
        <v>42094</v>
      </c>
      <c r="C4" s="39">
        <v>24</v>
      </c>
      <c r="D4" s="38">
        <f t="shared" ref="D4:D9" si="0">EDATE($P$3,C4)</f>
        <v>42852</v>
      </c>
      <c r="E4" s="40">
        <f t="shared" ref="E4:E9" si="1">IF(C4&lt;=12,1,IF(C4&lt;=24,3,IF(C4&lt;=120,6,IF(C4&lt;=240,12,IF(C4&lt;=360,36,60)))))</f>
        <v>3</v>
      </c>
      <c r="F4" s="44">
        <f t="shared" ref="F4:F9" si="2">ROUNDDOWN(I4*10,2)/10</f>
        <v>0</v>
      </c>
      <c r="G4" s="45">
        <f t="shared" ref="G4:G9" si="3">IF(J4-I4&gt;1%,(QUOTIENT(J4*10000,50)+1)*0.5%,(QUOTIENT(J4*10000,10)+1)*0.1%)</f>
        <v>1E-3</v>
      </c>
      <c r="H4" s="40">
        <f t="shared" ref="H4:H9" si="4">IF(G4-F4&lt;0.5%,0.025%,IF(G4-F4&lt;1%,0.1%,IF(G4-F4&lt;2%,0.25%,0.5%)))</f>
        <v>2.5000000000000001E-4</v>
      </c>
      <c r="I4" s="45">
        <f>MIN(_xll.ohPack($X$3:INDEX($X$3:$X$3536,MATCH(D4+1,$Q$3:$Q$3536,1),1)))</f>
        <v>2.5873192586754051E-4</v>
      </c>
      <c r="J4" s="45">
        <f>MAX(_xll.ohPack($X$3:INDEX($X$3:$X$3536,MATCH(D4+1,$Q$3:$Q$3536,1),1)))</f>
        <v>3.9977945892233298E-4</v>
      </c>
      <c r="L4" s="28" t="s">
        <v>20</v>
      </c>
      <c r="M4" s="29" t="str">
        <f>PROPER(Currency)&amp;IborType&amp;M3</f>
        <v>Euribor3M</v>
      </c>
      <c r="O4" s="35" t="s">
        <v>30</v>
      </c>
      <c r="P4" s="31">
        <f>_xll.qlCalendarAdvance(Calendar,P3,O3,"f",,Trigger)</f>
        <v>42122</v>
      </c>
      <c r="Q4" s="31">
        <f>_xll.qlInterestRateIndexValueDate(Index,P4,Trigger)</f>
        <v>42124</v>
      </c>
      <c r="R4" s="31">
        <f>_xll.qlInterestRateIndexMaturity(Index,Q4,Trigger)</f>
        <v>42216</v>
      </c>
      <c r="S4" s="32">
        <f>_xll.qlDayCounterYearFraction(DayCounter,Q4,R4,,,Trigger)</f>
        <v>0.25555555555555554</v>
      </c>
      <c r="T4" s="33">
        <f>_xll.qlIndexFixing(Index,P4,,AllTriggers)</f>
        <v>-5.8991280707689974E-5</v>
      </c>
      <c r="U4" s="34">
        <f>_xll.qlYieldTSDiscount(OisCurve,Q4,,AllTriggers)</f>
        <v>1.0000008691139421</v>
      </c>
      <c r="V4" s="34">
        <f>_xll.qlYieldTSDiscount(OisCurve,R4,,AllTriggers)</f>
        <v>1.0002747144296831</v>
      </c>
      <c r="W4" s="33">
        <f t="shared" ref="W4:W67" si="5">(U4/V4-1)/S4</f>
        <v>-1.0712743322953109E-3</v>
      </c>
      <c r="X4" s="35">
        <f t="shared" ref="X4:X67" si="6">LN((1+T4*S4)/(1+W4*S4))</f>
        <v>2.5873192586754051E-4</v>
      </c>
      <c r="Y4" s="33">
        <f t="shared" ref="Y4:Y67" si="7">T4-W4</f>
        <v>1.012283051587621E-3</v>
      </c>
      <c r="Z4" s="54"/>
    </row>
    <row r="5" spans="1:26" x14ac:dyDescent="0.25">
      <c r="A5" s="46" t="str">
        <f>_xll.qlPeriodEquivalent(C5&amp;"M")</f>
        <v>5Y</v>
      </c>
      <c r="B5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39">
        <v>60</v>
      </c>
      <c r="D5" s="38">
        <f t="shared" si="0"/>
        <v>43948</v>
      </c>
      <c r="E5" s="40">
        <f t="shared" si="1"/>
        <v>6</v>
      </c>
      <c r="F5" s="44">
        <f t="shared" si="2"/>
        <v>0</v>
      </c>
      <c r="G5" s="45">
        <f t="shared" si="3"/>
        <v>1E-3</v>
      </c>
      <c r="H5" s="40">
        <f t="shared" si="4"/>
        <v>2.5000000000000001E-4</v>
      </c>
      <c r="I5" s="45">
        <f>MIN(_xll.ohPack($X$3:INDEX($X$3:$X$3536,MATCH(D5+1,$Q$3:$Q$3536,1),1)))</f>
        <v>2.5873192586754051E-4</v>
      </c>
      <c r="J5" s="45">
        <f>MAX(_xll.ohPack($X$3:INDEX($X$3:$X$3536,MATCH(D5+1,$Q$3:$Q$3536,1),1)))</f>
        <v>4.8472492199594716E-4</v>
      </c>
      <c r="O5" s="35" t="s">
        <v>30</v>
      </c>
      <c r="P5" s="31">
        <f>_xll.qlCalendarAdvance(Calendar,P4,O4,"f",,Trigger)</f>
        <v>42123</v>
      </c>
      <c r="Q5" s="31">
        <f>_xll.qlInterestRateIndexValueDate(Index,P5,Trigger)</f>
        <v>42128</v>
      </c>
      <c r="R5" s="31">
        <f>_xll.qlInterestRateIndexMaturity(Index,Q5,Trigger)</f>
        <v>42220</v>
      </c>
      <c r="S5" s="32">
        <f>_xll.qlDayCounterYearFraction(DayCounter,Q5,R5,,,Trigger)</f>
        <v>0.25555555555555554</v>
      </c>
      <c r="T5" s="33">
        <f>_xll.qlIndexFixing(Index,P5,,AllTriggers)</f>
        <v>-5.3519515362954671E-5</v>
      </c>
      <c r="U5" s="34">
        <f>_xll.qlYieldTSDiscount(OisCurve,Q5,,AllTriggers)</f>
        <v>1.0000051589208132</v>
      </c>
      <c r="V5" s="34">
        <f>_xll.qlYieldTSDiscount(OisCurve,R5,,AllTriggers)</f>
        <v>1.0002882432472582</v>
      </c>
      <c r="W5" s="33">
        <f t="shared" si="5"/>
        <v>-1.1074020762230873E-3</v>
      </c>
      <c r="X5" s="35">
        <f t="shared" si="6"/>
        <v>2.6936550263287259E-4</v>
      </c>
      <c r="Y5" s="33">
        <f t="shared" si="7"/>
        <v>1.0538825608601326E-3</v>
      </c>
      <c r="Z5" s="54"/>
    </row>
    <row r="6" spans="1:26" x14ac:dyDescent="0.25">
      <c r="A6" s="46" t="str">
        <f>_xll.qlPeriodEquivalent(C6&amp;"M")</f>
        <v>10Y</v>
      </c>
      <c r="B6" s="38">
        <f t="shared" ref="B6:B9" si="8">B5</f>
        <v>42004</v>
      </c>
      <c r="C6" s="39">
        <v>120</v>
      </c>
      <c r="D6" s="38">
        <f t="shared" si="0"/>
        <v>45774</v>
      </c>
      <c r="E6" s="40">
        <f t="shared" si="1"/>
        <v>6</v>
      </c>
      <c r="F6" s="44">
        <f t="shared" si="2"/>
        <v>0</v>
      </c>
      <c r="G6" s="45">
        <f t="shared" si="3"/>
        <v>1E-3</v>
      </c>
      <c r="H6" s="40">
        <f t="shared" si="4"/>
        <v>2.5000000000000001E-4</v>
      </c>
      <c r="I6" s="45">
        <f>MIN(_xll.ohPack($X$3:INDEX($X$3:$X$3536,MATCH(D6+1,$Q$3:$Q$3536,1),1)))</f>
        <v>2.5873192586754051E-4</v>
      </c>
      <c r="J6" s="45">
        <f>MAX(_xll.ohPack($X$3:INDEX($X$3:$X$3536,MATCH(D6+1,$Q$3:$Q$3536,1),1)))</f>
        <v>4.8472492199594716E-4</v>
      </c>
      <c r="O6" s="35" t="s">
        <v>30</v>
      </c>
      <c r="P6" s="31">
        <f>_xll.qlCalendarAdvance(Calendar,P5,O5,"f",,Trigger)</f>
        <v>42124</v>
      </c>
      <c r="Q6" s="31">
        <f>_xll.qlInterestRateIndexValueDate(Index,P6,Trigger)</f>
        <v>42129</v>
      </c>
      <c r="R6" s="31">
        <f>_xll.qlInterestRateIndexMaturity(Index,Q6,Trigger)</f>
        <v>42221</v>
      </c>
      <c r="S6" s="32">
        <f>_xll.qlDayCounterYearFraction(DayCounter,Q6,R6,,,Trigger)</f>
        <v>0.25555555555555554</v>
      </c>
      <c r="T6" s="33">
        <f>_xll.qlIndexFixing(Index,P6,,AllTriggers)</f>
        <v>-5.2008210568166298E-5</v>
      </c>
      <c r="U6" s="34">
        <f>_xll.qlYieldTSDiscount(OisCurve,Q6,,AllTriggers)</f>
        <v>1.0000066380478649</v>
      </c>
      <c r="V6" s="34">
        <f>_xll.qlYieldTSDiscount(OisCurve,R6,,AllTriggers)</f>
        <v>1.0002916610813719</v>
      </c>
      <c r="W6" s="33">
        <f t="shared" si="5"/>
        <v>-1.1149823254679074E-3</v>
      </c>
      <c r="X6" s="35">
        <f t="shared" si="6"/>
        <v>2.716894552428311E-4</v>
      </c>
      <c r="Y6" s="33">
        <f t="shared" si="7"/>
        <v>1.0629741148997411E-3</v>
      </c>
      <c r="Z6" s="54"/>
    </row>
    <row r="7" spans="1:26" x14ac:dyDescent="0.25">
      <c r="A7" s="46" t="str">
        <f>_xll.qlPeriodEquivalent(C7&amp;"M")</f>
        <v>20Y</v>
      </c>
      <c r="B7" s="38">
        <f>IF(AND(MONTH(B6)=12),B6,_xll.qlDateEndOfMonth(EDATE(B6,-6)))</f>
        <v>42004</v>
      </c>
      <c r="C7" s="39">
        <v>240</v>
      </c>
      <c r="D7" s="38">
        <f t="shared" si="0"/>
        <v>49426</v>
      </c>
      <c r="E7" s="41">
        <f t="shared" si="1"/>
        <v>12</v>
      </c>
      <c r="F7" s="44">
        <f t="shared" si="2"/>
        <v>0</v>
      </c>
      <c r="G7" s="45">
        <f t="shared" si="3"/>
        <v>1E-3</v>
      </c>
      <c r="H7" s="40">
        <f t="shared" si="4"/>
        <v>2.5000000000000001E-4</v>
      </c>
      <c r="I7" s="45">
        <f>MIN(_xll.ohPack($X$3:INDEX($X$3:$X$3536,MATCH(D7+1,$Q$3:$Q$3536,1),1)))</f>
        <v>2.1877554557855447E-4</v>
      </c>
      <c r="J7" s="45">
        <f>MAX(_xll.ohPack($X$3:INDEX($X$3:$X$3536,MATCH(D7+1,$Q$3:$Q$3536,1),1)))</f>
        <v>4.8472492199594716E-4</v>
      </c>
      <c r="O7" s="35" t="s">
        <v>30</v>
      </c>
      <c r="P7" s="31">
        <f>_xll.qlCalendarAdvance(Calendar,P6,O6,"f",,Trigger)</f>
        <v>42128</v>
      </c>
      <c r="Q7" s="31">
        <f>_xll.qlInterestRateIndexValueDate(Index,P7,Trigger)</f>
        <v>42130</v>
      </c>
      <c r="R7" s="31">
        <f>_xll.qlInterestRateIndexMaturity(Index,Q7,Trigger)</f>
        <v>42222</v>
      </c>
      <c r="S7" s="32">
        <f>_xll.qlDayCounterYearFraction(DayCounter,Q7,R7,,,Trigger)</f>
        <v>0.25555555555555554</v>
      </c>
      <c r="T7" s="33">
        <f>_xll.qlIndexFixing(Index,P7,,AllTriggers)</f>
        <v>-5.0445436238656725E-5</v>
      </c>
      <c r="U7" s="34">
        <f>_xll.qlYieldTSDiscount(OisCurve,Q7,,AllTriggers)</f>
        <v>1.0000083611810198</v>
      </c>
      <c r="V7" s="34">
        <f>_xll.qlYieldTSDiscount(OisCurve,R7,,AllTriggers)</f>
        <v>1.0002950959209236</v>
      </c>
      <c r="W7" s="33">
        <f t="shared" si="5"/>
        <v>-1.1216745024013864E-3</v>
      </c>
      <c r="X7" s="35">
        <f t="shared" si="6"/>
        <v>2.7379954804019425E-4</v>
      </c>
      <c r="Y7" s="33">
        <f t="shared" si="7"/>
        <v>1.0712290661627297E-3</v>
      </c>
      <c r="Z7" s="54"/>
    </row>
    <row r="8" spans="1:26" x14ac:dyDescent="0.25">
      <c r="A8" s="46" t="str">
        <f>_xll.qlPeriodEquivalent(C8&amp;"M")</f>
        <v>30Y</v>
      </c>
      <c r="B8" s="38">
        <f t="shared" si="8"/>
        <v>42004</v>
      </c>
      <c r="C8" s="39">
        <v>360</v>
      </c>
      <c r="D8" s="38">
        <f t="shared" si="0"/>
        <v>53079</v>
      </c>
      <c r="E8" s="41">
        <f t="shared" si="1"/>
        <v>36</v>
      </c>
      <c r="F8" s="44">
        <f t="shared" si="2"/>
        <v>0</v>
      </c>
      <c r="G8" s="45">
        <f t="shared" si="3"/>
        <v>1E-3</v>
      </c>
      <c r="H8" s="40">
        <f t="shared" si="4"/>
        <v>2.5000000000000001E-4</v>
      </c>
      <c r="I8" s="45">
        <f>MIN(_xll.ohPack($X$3:INDEX($X$3:$X$3536,MATCH(D8+1,$Q$3:$Q$3536,1),1)))</f>
        <v>1.4619865868449109E-4</v>
      </c>
      <c r="J8" s="45">
        <f>MAX(_xll.ohPack($X$3:INDEX($X$3:$X$3536,MATCH(D8+1,$Q$3:$Q$3536,1),1)))</f>
        <v>4.8472492199594716E-4</v>
      </c>
      <c r="O8" s="35" t="s">
        <v>30</v>
      </c>
      <c r="P8" s="31">
        <f>_xll.qlCalendarAdvance(Calendar,P7,O7,"f",,Trigger)</f>
        <v>42129</v>
      </c>
      <c r="Q8" s="31">
        <f>_xll.qlInterestRateIndexValueDate(Index,P8,Trigger)</f>
        <v>42131</v>
      </c>
      <c r="R8" s="31">
        <f>_xll.qlInterestRateIndexMaturity(Index,Q8,Trigger)</f>
        <v>42223</v>
      </c>
      <c r="S8" s="32">
        <f>_xll.qlDayCounterYearFraction(DayCounter,Q8,R8,,,Trigger)</f>
        <v>0.25555555555555554</v>
      </c>
      <c r="T8" s="33">
        <f>_xll.qlIndexFixing(Index,P8,,AllTriggers)</f>
        <v>-4.8834130303890887E-5</v>
      </c>
      <c r="U8" s="34">
        <f>_xll.qlYieldTSDiscount(OisCurve,Q8,,AllTriggers)</f>
        <v>1.0000103543996641</v>
      </c>
      <c r="V8" s="34">
        <f>_xll.qlYieldTSDiscount(OisCurve,R8,,AllTriggers)</f>
        <v>1.0002985491427228</v>
      </c>
      <c r="W8" s="33">
        <f t="shared" si="5"/>
        <v>-1.1273819808707926E-3</v>
      </c>
      <c r="X8" s="35">
        <f t="shared" si="6"/>
        <v>2.7567032856411791E-4</v>
      </c>
      <c r="Y8" s="33">
        <f t="shared" si="7"/>
        <v>1.0785478505669016E-3</v>
      </c>
      <c r="Z8" s="54"/>
    </row>
    <row r="9" spans="1:26" x14ac:dyDescent="0.25">
      <c r="A9" s="47" t="str">
        <f>_xll.qlPeriodEquivalent(C9&amp;"M")</f>
        <v>60Y</v>
      </c>
      <c r="B9" s="48">
        <f t="shared" si="8"/>
        <v>42004</v>
      </c>
      <c r="C9" s="49">
        <v>720</v>
      </c>
      <c r="D9" s="48">
        <f t="shared" si="0"/>
        <v>64036</v>
      </c>
      <c r="E9" s="50">
        <f t="shared" si="1"/>
        <v>60</v>
      </c>
      <c r="F9" s="51">
        <f t="shared" si="2"/>
        <v>0</v>
      </c>
      <c r="G9" s="52">
        <f t="shared" si="3"/>
        <v>1E-3</v>
      </c>
      <c r="H9" s="53">
        <f t="shared" si="4"/>
        <v>2.5000000000000001E-4</v>
      </c>
      <c r="I9" s="52">
        <f>MIN(_xll.ohPack($X$3:INDEX($X$3:$X$3536,MATCH(D9+1,$Q$3:$Q$3536,1),1)))</f>
        <v>6.7412287828074537E-5</v>
      </c>
      <c r="J9" s="52">
        <f>MAX(_xll.ohPack($X$3:INDEX($X$3:$X$3536,MATCH(D9+1,$Q$3:$Q$3536,1),1)))</f>
        <v>4.8472492199594716E-4</v>
      </c>
      <c r="O9" s="35" t="s">
        <v>30</v>
      </c>
      <c r="P9" s="31">
        <f>_xll.qlCalendarAdvance(Calendar,P8,O8,"f",,Trigger)</f>
        <v>42130</v>
      </c>
      <c r="Q9" s="31">
        <f>_xll.qlInterestRateIndexValueDate(Index,P9,Trigger)</f>
        <v>42132</v>
      </c>
      <c r="R9" s="31">
        <f>_xll.qlInterestRateIndexMaturity(Index,Q9,Trigger)</f>
        <v>42226</v>
      </c>
      <c r="S9" s="32">
        <f>_xll.qlDayCounterYearFraction(DayCounter,Q9,R9,,,Trigger)</f>
        <v>0.26111111111111113</v>
      </c>
      <c r="T9" s="33">
        <f>_xll.qlIndexFixing(Index,P9,,AllTriggers)</f>
        <v>-4.4707870561400363E-5</v>
      </c>
      <c r="U9" s="34">
        <f>_xll.qlYieldTSDiscount(OisCurve,Q9,,AllTriggers)</f>
        <v>1.000012585426346</v>
      </c>
      <c r="V9" s="34">
        <f>_xll.qlYieldTSDiscount(OisCurve,R9,,AllTriggers)</f>
        <v>1.0003090328699975</v>
      </c>
      <c r="W9" s="33">
        <f t="shared" si="5"/>
        <v>-1.1349798891686115E-3</v>
      </c>
      <c r="X9" s="35">
        <f t="shared" si="6"/>
        <v>2.8472599212933506E-4</v>
      </c>
      <c r="Y9" s="33">
        <f t="shared" si="7"/>
        <v>1.0902720186072112E-3</v>
      </c>
      <c r="Z9" s="54"/>
    </row>
    <row r="10" spans="1:26" x14ac:dyDescent="0.25">
      <c r="A10" s="46" t="str">
        <f>_xll.qlPeriodEquivalent(C10&amp;"M")</f>
        <v>1Y</v>
      </c>
      <c r="B10" s="38">
        <f>_xll.qlDateEndOfMonth(EDATE(_xll.qlSettingsEvaluationDate(Trigger),-1))</f>
        <v>42094</v>
      </c>
      <c r="C10" s="39">
        <v>12</v>
      </c>
      <c r="D10" s="38">
        <f>EDATE($P$3,C10)</f>
        <v>42487</v>
      </c>
      <c r="E10" s="40">
        <f>IF(C10&lt;=12,1,IF(C10&lt;=24,3,IF(C10&lt;=120,6,IF(C10&lt;=240,12,IF(C10&lt;=360,36,60)))))</f>
        <v>1</v>
      </c>
      <c r="F10" s="44">
        <f>ROUNDDOWN(I10*10,2)/10</f>
        <v>1E-3</v>
      </c>
      <c r="G10" s="45">
        <f>IF(J10-I10&gt;1%,(QUOTIENT(J10*10000,50)+1)*0.5%,(QUOTIENT(J10*10000,10)+1)*0.1%)</f>
        <v>2E-3</v>
      </c>
      <c r="H10" s="40">
        <f>IF(G10-F10&lt;0.5%,0.025%,IF(G10-F10&lt;1%,0.1%,IF(G10-F10&lt;2%,0.25%,0.5%)))</f>
        <v>2.5000000000000001E-4</v>
      </c>
      <c r="I10" s="45">
        <f>MIN(_xll.ohPack($Y$3:INDEX($Y$3:$Y$3536,MATCH(D10+1,$Q$3:$Q$3536,1),1)))</f>
        <v>1.012283051587621E-3</v>
      </c>
      <c r="J10" s="45">
        <f>MAX(_xll.ohPack($Y$3:INDEX($Y$3:$Y$3536,MATCH(D10+1,$Q$3:$Q$3536,1),1)))</f>
        <v>1.5709800135796925E-3</v>
      </c>
      <c r="O10" s="35" t="s">
        <v>30</v>
      </c>
      <c r="P10" s="31">
        <f>_xll.qlCalendarAdvance(Calendar,P9,O9,"f",,Trigger)</f>
        <v>42131</v>
      </c>
      <c r="Q10" s="31">
        <f>_xll.qlInterestRateIndexValueDate(Index,P10,Trigger)</f>
        <v>42135</v>
      </c>
      <c r="R10" s="31">
        <f>_xll.qlInterestRateIndexMaturity(Index,Q10,Trigger)</f>
        <v>42227</v>
      </c>
      <c r="S10" s="32">
        <f>_xll.qlDayCounterYearFraction(DayCounter,Q10,R10,,,Trigger)</f>
        <v>0.25555555555555554</v>
      </c>
      <c r="T10" s="33">
        <f>_xll.qlIndexFixing(Index,P10,,AllTriggers)</f>
        <v>-4.1962349205393323E-5</v>
      </c>
      <c r="U10" s="34">
        <f>_xll.qlYieldTSDiscount(OisCurve,Q10,,AllTriggers)</f>
        <v>1.0000202366838917</v>
      </c>
      <c r="V10" s="34">
        <f>_xll.qlYieldTSDiscount(OisCurve,R10,,AllTriggers)</f>
        <v>1.0003125733892819</v>
      </c>
      <c r="W10" s="33">
        <f t="shared" si="5"/>
        <v>-1.1435687893109362E-3</v>
      </c>
      <c r="X10" s="35">
        <f t="shared" si="6"/>
        <v>2.815643003016362E-4</v>
      </c>
      <c r="Y10" s="33">
        <f t="shared" si="7"/>
        <v>1.1016064401055429E-3</v>
      </c>
      <c r="Z10" s="54"/>
    </row>
    <row r="11" spans="1:26" x14ac:dyDescent="0.25">
      <c r="A11" s="46" t="str">
        <f>_xll.qlPeriodEquivalent(C11&amp;"M")</f>
        <v>2Y</v>
      </c>
      <c r="B11" s="38">
        <f>_xll.qlDateEndOfMonth(EDATE(_xll.qlIMMNextDate(_xll.qlSettingsEvaluationDate(Trigger)-1,TRUE),-3))</f>
        <v>42094</v>
      </c>
      <c r="C11" s="39">
        <v>24</v>
      </c>
      <c r="D11" s="38">
        <f t="shared" ref="D11:D16" si="9">EDATE($P$3,C11)</f>
        <v>42852</v>
      </c>
      <c r="E11" s="40">
        <f t="shared" ref="E11:E16" si="10">IF(C11&lt;=12,1,IF(C11&lt;=24,3,IF(C11&lt;=120,6,IF(C11&lt;=240,12,IF(C11&lt;=360,36,60)))))</f>
        <v>3</v>
      </c>
      <c r="F11" s="44">
        <f t="shared" ref="F11:F16" si="11">ROUNDDOWN(I11*10,2)/10</f>
        <v>1E-3</v>
      </c>
      <c r="G11" s="45">
        <f t="shared" ref="G11:G16" si="12">IF(J11-I11&gt;1%,(QUOTIENT(J11*10000,50)+1)*0.5%,(QUOTIENT(J11*10000,10)+1)*0.1%)</f>
        <v>2E-3</v>
      </c>
      <c r="H11" s="40">
        <f t="shared" ref="H11:H16" si="13">IF(G11-F11&lt;0.5%,0.025%,IF(G11-F11&lt;1%,0.1%,IF(G11-F11&lt;2%,0.25%,0.5%)))</f>
        <v>2.5000000000000001E-4</v>
      </c>
      <c r="I11" s="45">
        <f>MIN(_xll.ohPack($Y$3:INDEX($Y$3:$Y$3536,MATCH(D11+1,$Q$3:$Q$3536,1),1)))</f>
        <v>1.012283051587621E-3</v>
      </c>
      <c r="J11" s="45">
        <f>MAX(_xll.ohPack($Y$3:INDEX($Y$3:$Y$3536,MATCH(D11+1,$Q$3:$Q$3536,1),1)))</f>
        <v>1.5738729949084096E-3</v>
      </c>
      <c r="O11" s="35" t="s">
        <v>30</v>
      </c>
      <c r="P11" s="31">
        <f>_xll.qlCalendarAdvance(Calendar,P10,O10,"f",,Trigger)</f>
        <v>42132</v>
      </c>
      <c r="Q11" s="31">
        <f>_xll.qlInterestRateIndexValueDate(Index,P11,Trigger)</f>
        <v>42136</v>
      </c>
      <c r="R11" s="31">
        <f>_xll.qlInterestRateIndexMaturity(Index,Q11,Trigger)</f>
        <v>42228</v>
      </c>
      <c r="S11" s="32">
        <f>_xll.qlDayCounterYearFraction(DayCounter,Q11,R11,,,Trigger)</f>
        <v>0.25555555555555554</v>
      </c>
      <c r="T11" s="33">
        <f>_xll.qlIndexFixing(Index,P11,,AllTriggers)</f>
        <v>-4.0152454294928795E-5</v>
      </c>
      <c r="U11" s="34">
        <f>_xll.qlYieldTSDiscount(OisCurve,Q11,,AllTriggers)</f>
        <v>1.0000229502700846</v>
      </c>
      <c r="V11" s="34">
        <f>_xll.qlYieldTSDiscount(OisCurve,R11,,AllTriggers)</f>
        <v>1.0003161391751656</v>
      </c>
      <c r="W11" s="33">
        <f t="shared" si="5"/>
        <v>-1.1468983534262231E-3</v>
      </c>
      <c r="X11" s="35">
        <f t="shared" si="6"/>
        <v>2.8287797156445932E-4</v>
      </c>
      <c r="Y11" s="33">
        <f t="shared" si="7"/>
        <v>1.1067458991312943E-3</v>
      </c>
      <c r="Z11" s="54"/>
    </row>
    <row r="12" spans="1:26" x14ac:dyDescent="0.25">
      <c r="A12" s="46" t="str">
        <f>_xll.qlPeriodEquivalent(C12&amp;"M")</f>
        <v>5Y</v>
      </c>
      <c r="B12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39">
        <v>60</v>
      </c>
      <c r="D12" s="38">
        <f t="shared" si="9"/>
        <v>43948</v>
      </c>
      <c r="E12" s="40">
        <f t="shared" si="10"/>
        <v>6</v>
      </c>
      <c r="F12" s="44">
        <f t="shared" si="11"/>
        <v>1E-3</v>
      </c>
      <c r="G12" s="45">
        <f t="shared" si="12"/>
        <v>2E-3</v>
      </c>
      <c r="H12" s="40">
        <f t="shared" si="13"/>
        <v>2.5000000000000001E-4</v>
      </c>
      <c r="I12" s="45">
        <f>MIN(_xll.ohPack($Y$3:INDEX($Y$3:$Y$3536,MATCH(D12+1,$Q$3:$Q$3536,1),1)))</f>
        <v>1.012283051587621E-3</v>
      </c>
      <c r="J12" s="45">
        <f>MAX(_xll.ohPack($Y$3:INDEX($Y$3:$Y$3536,MATCH(D12+1,$Q$3:$Q$3536,1),1)))</f>
        <v>1.8979042306352752E-3</v>
      </c>
      <c r="O12" s="35" t="s">
        <v>30</v>
      </c>
      <c r="P12" s="31">
        <f>_xll.qlCalendarAdvance(Calendar,P11,O11,"f",,Trigger)</f>
        <v>42135</v>
      </c>
      <c r="Q12" s="31">
        <f>_xll.qlInterestRateIndexValueDate(Index,P12,Trigger)</f>
        <v>42137</v>
      </c>
      <c r="R12" s="31">
        <f>_xll.qlInterestRateIndexMaturity(Index,Q12,Trigger)</f>
        <v>42229</v>
      </c>
      <c r="S12" s="32">
        <f>_xll.qlDayCounterYearFraction(DayCounter,Q12,R12,,,Trigger)</f>
        <v>0.25555555555555554</v>
      </c>
      <c r="T12" s="33">
        <f>_xll.qlIndexFixing(Index,P12,,AllTriggers)</f>
        <v>-3.8311655428113767E-5</v>
      </c>
      <c r="U12" s="34">
        <f>_xll.qlYieldTSDiscount(OisCurve,Q12,,AllTriggers)</f>
        <v>1.0000256673258827</v>
      </c>
      <c r="V12" s="34">
        <f>_xll.qlYieldTSDiscount(OisCurve,R12,,AllTriggers)</f>
        <v>1.0003197316045813</v>
      </c>
      <c r="W12" s="33">
        <f t="shared" si="5"/>
        <v>-1.1503185147664497E-3</v>
      </c>
      <c r="X12" s="35">
        <f t="shared" si="6"/>
        <v>2.8422270052495824E-4</v>
      </c>
      <c r="Y12" s="33">
        <f t="shared" si="7"/>
        <v>1.112006859338336E-3</v>
      </c>
      <c r="Z12" s="54"/>
    </row>
    <row r="13" spans="1:26" x14ac:dyDescent="0.25">
      <c r="A13" s="46" t="str">
        <f>_xll.qlPeriodEquivalent(C13&amp;"M")</f>
        <v>10Y</v>
      </c>
      <c r="B13" s="38">
        <f t="shared" ref="B13:B16" si="14">B12</f>
        <v>42004</v>
      </c>
      <c r="C13" s="39">
        <v>120</v>
      </c>
      <c r="D13" s="38">
        <f t="shared" si="9"/>
        <v>45774</v>
      </c>
      <c r="E13" s="40">
        <f t="shared" si="10"/>
        <v>6</v>
      </c>
      <c r="F13" s="44">
        <f t="shared" si="11"/>
        <v>1E-3</v>
      </c>
      <c r="G13" s="45">
        <f t="shared" si="12"/>
        <v>2E-3</v>
      </c>
      <c r="H13" s="40">
        <f t="shared" si="13"/>
        <v>2.5000000000000001E-4</v>
      </c>
      <c r="I13" s="45">
        <f>MIN(_xll.ohPack($Y$3:INDEX($Y$3:$Y$3536,MATCH(D13+1,$Q$3:$Q$3536,1),1)))</f>
        <v>1.012283051587621E-3</v>
      </c>
      <c r="J13" s="45">
        <f>MAX(_xll.ohPack($Y$3:INDEX($Y$3:$Y$3536,MATCH(D13+1,$Q$3:$Q$3536,1),1)))</f>
        <v>1.8979042306352752E-3</v>
      </c>
      <c r="O13" s="35" t="s">
        <v>30</v>
      </c>
      <c r="P13" s="31">
        <f>_xll.qlCalendarAdvance(Calendar,P12,O12,"f",,Trigger)</f>
        <v>42136</v>
      </c>
      <c r="Q13" s="31">
        <f>_xll.qlInterestRateIndexValueDate(Index,P13,Trigger)</f>
        <v>42138</v>
      </c>
      <c r="R13" s="31">
        <f>_xll.qlInterestRateIndexMaturity(Index,Q13,Trigger)</f>
        <v>42230</v>
      </c>
      <c r="S13" s="32">
        <f>_xll.qlDayCounterYearFraction(DayCounter,Q13,R13,,,Trigger)</f>
        <v>0.25555555555555554</v>
      </c>
      <c r="T13" s="33">
        <f>_xll.qlIndexFixing(Index,P13,,AllTriggers)</f>
        <v>-3.6442890558307112E-5</v>
      </c>
      <c r="U13" s="34">
        <f>_xll.qlYieldTSDiscount(OisCurve,Q13,,AllTriggers)</f>
        <v>1.0000283494517839</v>
      </c>
      <c r="V13" s="34">
        <f>_xll.qlYieldTSDiscount(OisCurve,R13,,AllTriggers)</f>
        <v>1.000323352054485</v>
      </c>
      <c r="W13" s="33">
        <f t="shared" si="5"/>
        <v>-1.1539848671920203E-3</v>
      </c>
      <c r="X13" s="35">
        <f t="shared" si="6"/>
        <v>2.8563751101988948E-4</v>
      </c>
      <c r="Y13" s="33">
        <f t="shared" si="7"/>
        <v>1.1175419766337132E-3</v>
      </c>
      <c r="Z13" s="54"/>
    </row>
    <row r="14" spans="1:26" x14ac:dyDescent="0.25">
      <c r="A14" s="46" t="str">
        <f>_xll.qlPeriodEquivalent(C14&amp;"M")</f>
        <v>20Y</v>
      </c>
      <c r="B14" s="38">
        <f>IF(AND(MONTH(B13)=12),B13,_xll.qlDateEndOfMonth(EDATE(B13,-6)))</f>
        <v>42004</v>
      </c>
      <c r="C14" s="39">
        <v>240</v>
      </c>
      <c r="D14" s="38">
        <f t="shared" si="9"/>
        <v>49426</v>
      </c>
      <c r="E14" s="41">
        <f t="shared" si="10"/>
        <v>12</v>
      </c>
      <c r="F14" s="44">
        <f t="shared" si="11"/>
        <v>0</v>
      </c>
      <c r="G14" s="45">
        <f t="shared" si="12"/>
        <v>2E-3</v>
      </c>
      <c r="H14" s="40">
        <f t="shared" si="13"/>
        <v>2.5000000000000001E-4</v>
      </c>
      <c r="I14" s="45">
        <f>MIN(_xll.ohPack($Y$3:INDEX($Y$3:$Y$3536,MATCH(D14+1,$Q$3:$Q$3536,1),1)))</f>
        <v>8.6743460282832918E-4</v>
      </c>
      <c r="J14" s="45">
        <f>MAX(_xll.ohPack($Y$3:INDEX($Y$3:$Y$3536,MATCH(D14+1,$Q$3:$Q$3536,1),1)))</f>
        <v>1.8979042306352752E-3</v>
      </c>
      <c r="O14" s="35" t="s">
        <v>30</v>
      </c>
      <c r="P14" s="31">
        <f>_xll.qlCalendarAdvance(Calendar,P13,O13,"f",,Trigger)</f>
        <v>42137</v>
      </c>
      <c r="Q14" s="31">
        <f>_xll.qlInterestRateIndexValueDate(Index,P14,Trigger)</f>
        <v>42139</v>
      </c>
      <c r="R14" s="31">
        <f>_xll.qlInterestRateIndexMaturity(Index,Q14,Trigger)</f>
        <v>42233</v>
      </c>
      <c r="S14" s="32">
        <f>_xll.qlDayCounterYearFraction(DayCounter,Q14,R14,,,Trigger)</f>
        <v>0.26111111111111113</v>
      </c>
      <c r="T14" s="33">
        <f>_xll.qlIndexFixing(Index,P14,,AllTriggers)</f>
        <v>-3.1818141646114698E-5</v>
      </c>
      <c r="U14" s="34">
        <f>_xll.qlYieldTSDiscount(OisCurve,Q14,,AllTriggers)</f>
        <v>1.0000309921263169</v>
      </c>
      <c r="V14" s="34">
        <f>_xll.qlYieldTSDiscount(OisCurve,R14,,AllTriggers)</f>
        <v>1.0003343952970103</v>
      </c>
      <c r="W14" s="33">
        <f t="shared" si="5"/>
        <v>-1.1615811626117657E-3</v>
      </c>
      <c r="X14" s="35">
        <f t="shared" si="6"/>
        <v>2.9503964846208381E-4</v>
      </c>
      <c r="Y14" s="33">
        <f t="shared" si="7"/>
        <v>1.1297630209656511E-3</v>
      </c>
      <c r="Z14" s="54"/>
    </row>
    <row r="15" spans="1:26" x14ac:dyDescent="0.25">
      <c r="A15" s="46" t="str">
        <f>_xll.qlPeriodEquivalent(C15&amp;"M")</f>
        <v>30Y</v>
      </c>
      <c r="B15" s="38">
        <f t="shared" si="14"/>
        <v>42004</v>
      </c>
      <c r="C15" s="39">
        <v>360</v>
      </c>
      <c r="D15" s="38">
        <f t="shared" si="9"/>
        <v>53079</v>
      </c>
      <c r="E15" s="41">
        <f t="shared" si="10"/>
        <v>36</v>
      </c>
      <c r="F15" s="44">
        <f t="shared" si="11"/>
        <v>0</v>
      </c>
      <c r="G15" s="45">
        <f t="shared" si="12"/>
        <v>2E-3</v>
      </c>
      <c r="H15" s="40">
        <f t="shared" si="13"/>
        <v>2.5000000000000001E-4</v>
      </c>
      <c r="I15" s="45">
        <f>MIN(_xll.ohPack($Y$3:INDEX($Y$3:$Y$3536,MATCH(D15+1,$Q$3:$Q$3536,1),1)))</f>
        <v>5.7871980634715235E-4</v>
      </c>
      <c r="J15" s="45">
        <f>MAX(_xll.ohPack($Y$3:INDEX($Y$3:$Y$3536,MATCH(D15+1,$Q$3:$Q$3536,1),1)))</f>
        <v>1.8979042306352752E-3</v>
      </c>
      <c r="O15" s="35" t="s">
        <v>30</v>
      </c>
      <c r="P15" s="31">
        <f>_xll.qlCalendarAdvance(Calendar,P14,O14,"f",,Trigger)</f>
        <v>42138</v>
      </c>
      <c r="Q15" s="31">
        <f>_xll.qlInterestRateIndexValueDate(Index,P15,Trigger)</f>
        <v>42142</v>
      </c>
      <c r="R15" s="31">
        <f>_xll.qlInterestRateIndexMaturity(Index,Q15,Trigger)</f>
        <v>42234</v>
      </c>
      <c r="S15" s="32">
        <f>_xll.qlDayCounterYearFraction(DayCounter,Q15,R15,,,Trigger)</f>
        <v>0.25555555555555554</v>
      </c>
      <c r="T15" s="33">
        <f>_xll.qlIndexFixing(Index,P15,,AllTriggers)</f>
        <v>-2.8746930375698973E-5</v>
      </c>
      <c r="U15" s="34">
        <f>_xll.qlYieldTSDiscount(OisCurve,Q15,,AllTriggers)</f>
        <v>1.0000387229231118</v>
      </c>
      <c r="V15" s="34">
        <f>_xll.qlYieldTSDiscount(OisCurve,R15,,AllTriggers)</f>
        <v>1.0003381415988677</v>
      </c>
      <c r="W15" s="33">
        <f t="shared" si="5"/>
        <v>-1.1712422507085794E-3</v>
      </c>
      <c r="X15" s="35">
        <f t="shared" si="6"/>
        <v>2.9201580373500245E-4</v>
      </c>
      <c r="Y15" s="33">
        <f t="shared" si="7"/>
        <v>1.1424953203328803E-3</v>
      </c>
      <c r="Z15" s="54"/>
    </row>
    <row r="16" spans="1:26" x14ac:dyDescent="0.25">
      <c r="A16" s="47" t="str">
        <f>_xll.qlPeriodEquivalent(C16&amp;"M")</f>
        <v>60Y</v>
      </c>
      <c r="B16" s="48">
        <f t="shared" si="14"/>
        <v>42004</v>
      </c>
      <c r="C16" s="49">
        <v>720</v>
      </c>
      <c r="D16" s="48">
        <f t="shared" si="9"/>
        <v>64036</v>
      </c>
      <c r="E16" s="50">
        <f t="shared" si="10"/>
        <v>60</v>
      </c>
      <c r="F16" s="51">
        <f t="shared" si="11"/>
        <v>0</v>
      </c>
      <c r="G16" s="52">
        <f t="shared" si="12"/>
        <v>2E-3</v>
      </c>
      <c r="H16" s="53">
        <f t="shared" si="13"/>
        <v>2.5000000000000001E-4</v>
      </c>
      <c r="I16" s="52">
        <f>MIN(_xll.ohPack($Y$3:INDEX($Y$3:$Y$3536,MATCH(D16+1,$Q$3:$Q$3536,1),1)))</f>
        <v>2.7240640718595444E-4</v>
      </c>
      <c r="J16" s="52">
        <f>MAX(_xll.ohPack($Y$3:INDEX($Y$3:$Y$3536,MATCH(D16+1,$Q$3:$Q$3536,1),1)))</f>
        <v>1.8979042306352752E-3</v>
      </c>
      <c r="O16" s="35" t="s">
        <v>30</v>
      </c>
      <c r="P16" s="31">
        <f>_xll.qlCalendarAdvance(Calendar,P15,O15,"f",,Trigger)</f>
        <v>42139</v>
      </c>
      <c r="Q16" s="31">
        <f>_xll.qlInterestRateIndexValueDate(Index,P16,Trigger)</f>
        <v>42143</v>
      </c>
      <c r="R16" s="31">
        <f>_xll.qlInterestRateIndexMaturity(Index,Q16,Trigger)</f>
        <v>42235</v>
      </c>
      <c r="S16" s="32">
        <f>_xll.qlDayCounterYearFraction(DayCounter,Q16,R16,,,Trigger)</f>
        <v>0.25555555555555554</v>
      </c>
      <c r="T16" s="33">
        <f>_xll.qlIndexFixing(Index,P16,,AllTriggers)</f>
        <v>-2.6782405025043047E-5</v>
      </c>
      <c r="U16" s="34">
        <f>_xll.qlYieldTSDiscount(OisCurve,Q16,,AllTriggers)</f>
        <v>1.0000412472737981</v>
      </c>
      <c r="V16" s="34">
        <f>_xll.qlYieldTSDiscount(OisCurve,R16,,AllTriggers)</f>
        <v>1.0003419228063306</v>
      </c>
      <c r="W16" s="33">
        <f t="shared" si="5"/>
        <v>-1.1761542776776654E-3</v>
      </c>
      <c r="X16" s="35">
        <f t="shared" si="6"/>
        <v>2.937735250783269E-4</v>
      </c>
      <c r="Y16" s="33">
        <f t="shared" si="7"/>
        <v>1.1493718726526224E-3</v>
      </c>
      <c r="Z16" s="54"/>
    </row>
    <row r="17" spans="15:26" x14ac:dyDescent="0.25">
      <c r="O17" s="35" t="s">
        <v>30</v>
      </c>
      <c r="P17" s="31">
        <f>_xll.qlCalendarAdvance(Calendar,P16,O16,"f",,Trigger)</f>
        <v>42142</v>
      </c>
      <c r="Q17" s="31">
        <f>_xll.qlInterestRateIndexValueDate(Index,P17,Trigger)</f>
        <v>42144</v>
      </c>
      <c r="R17" s="31">
        <f>_xll.qlInterestRateIndexMaturity(Index,Q17,Trigger)</f>
        <v>42236</v>
      </c>
      <c r="S17" s="32">
        <f>_xll.qlDayCounterYearFraction(DayCounter,Q17,R17,,,Trigger)</f>
        <v>0.25555555555555554</v>
      </c>
      <c r="T17" s="33">
        <f>_xll.qlIndexFixing(Index,P17,,AllTriggers)</f>
        <v>-2.4807541523182458E-5</v>
      </c>
      <c r="U17" s="34">
        <f>_xll.qlYieldTSDiscount(OisCurve,Q17,,AllTriggers)</f>
        <v>1.0000437519141463</v>
      </c>
      <c r="V17" s="34">
        <f>_xll.qlYieldTSDiscount(OisCurve,R17,,AllTriggers)</f>
        <v>1.0003457402964939</v>
      </c>
      <c r="W17" s="33">
        <f t="shared" si="5"/>
        <v>-1.1812852521425369E-3</v>
      </c>
      <c r="X17" s="35">
        <f t="shared" si="6"/>
        <v>2.9558985987897333E-4</v>
      </c>
      <c r="Y17" s="33">
        <f t="shared" si="7"/>
        <v>1.1564777106193545E-3</v>
      </c>
      <c r="Z17" s="54"/>
    </row>
    <row r="18" spans="15:26" x14ac:dyDescent="0.25">
      <c r="O18" s="35" t="s">
        <v>30</v>
      </c>
      <c r="P18" s="31">
        <f>_xll.qlCalendarAdvance(Calendar,P17,O17,"f",,Trigger)</f>
        <v>42143</v>
      </c>
      <c r="Q18" s="31">
        <f>_xll.qlInterestRateIndexValueDate(Index,P18,Trigger)</f>
        <v>42145</v>
      </c>
      <c r="R18" s="31">
        <f>_xll.qlInterestRateIndexMaturity(Index,Q18,Trigger)</f>
        <v>42237</v>
      </c>
      <c r="S18" s="32">
        <f>_xll.qlDayCounterYearFraction(DayCounter,Q18,R18,,,Trigger)</f>
        <v>0.25555555555555554</v>
      </c>
      <c r="T18" s="33">
        <f>_xll.qlIndexFixing(Index,P18,,AllTriggers)</f>
        <v>-2.2825277862140776E-5</v>
      </c>
      <c r="U18" s="34">
        <f>_xll.qlYieldTSDiscount(OisCurve,Q18,,AllTriggers)</f>
        <v>1.0000462408819626</v>
      </c>
      <c r="V18" s="34">
        <f>_xll.qlYieldTSDiscount(OisCurve,R18,,AllTriggers)</f>
        <v>1.0003495954464772</v>
      </c>
      <c r="W18" s="33">
        <f t="shared" si="5"/>
        <v>-1.1866247616609815E-3</v>
      </c>
      <c r="X18" s="35">
        <f t="shared" si="6"/>
        <v>2.974613957639462E-4</v>
      </c>
      <c r="Y18" s="33">
        <f t="shared" si="7"/>
        <v>1.1637994837988407E-3</v>
      </c>
      <c r="Z18" s="54"/>
    </row>
    <row r="19" spans="15:26" x14ac:dyDescent="0.25">
      <c r="O19" s="35" t="s">
        <v>30</v>
      </c>
      <c r="P19" s="31">
        <f>_xll.qlCalendarAdvance(Calendar,P18,O18,"f",,Trigger)</f>
        <v>42144</v>
      </c>
      <c r="Q19" s="31">
        <f>_xll.qlInterestRateIndexValueDate(Index,P19,Trigger)</f>
        <v>42146</v>
      </c>
      <c r="R19" s="31">
        <f>_xll.qlInterestRateIndexMaturity(Index,Q19,Trigger)</f>
        <v>42240</v>
      </c>
      <c r="S19" s="32">
        <f>_xll.qlDayCounterYearFraction(DayCounter,Q19,R19,,,Trigger)</f>
        <v>0.26111111111111113</v>
      </c>
      <c r="T19" s="33">
        <f>_xll.qlIndexFixing(Index,P19,,AllTriggers)</f>
        <v>-1.8084991771798027E-5</v>
      </c>
      <c r="U19" s="34">
        <f>_xll.qlYieldTSDiscount(OisCurve,Q19,,AllTriggers)</f>
        <v>1.0000487185729903</v>
      </c>
      <c r="V19" s="34">
        <f>_xll.qlYieldTSDiscount(OisCurve,R19,,AllTriggers)</f>
        <v>1.0003614006269288</v>
      </c>
      <c r="W19" s="33">
        <f t="shared" si="5"/>
        <v>-1.1970731155135173E-3</v>
      </c>
      <c r="X19" s="35">
        <f t="shared" si="6"/>
        <v>3.0789574772753704E-4</v>
      </c>
      <c r="Y19" s="33">
        <f t="shared" si="7"/>
        <v>1.1789881237417193E-3</v>
      </c>
      <c r="Z19" s="54"/>
    </row>
    <row r="20" spans="15:26" x14ac:dyDescent="0.25">
      <c r="O20" s="35" t="s">
        <v>30</v>
      </c>
      <c r="P20" s="31">
        <f>_xll.qlCalendarAdvance(Calendar,P19,O19,"f",,Trigger)</f>
        <v>42145</v>
      </c>
      <c r="Q20" s="31">
        <f>_xll.qlInterestRateIndexValueDate(Index,P20,Trigger)</f>
        <v>42149</v>
      </c>
      <c r="R20" s="31">
        <f>_xll.qlInterestRateIndexMaturity(Index,Q20,Trigger)</f>
        <v>42241</v>
      </c>
      <c r="S20" s="32">
        <f>_xll.qlDayCounterYearFraction(DayCounter,Q20,R20,,,Trigger)</f>
        <v>0.25555555555555554</v>
      </c>
      <c r="T20" s="33">
        <f>_xll.qlIndexFixing(Index,P20,,AllTriggers)</f>
        <v>-1.4880981733812327E-5</v>
      </c>
      <c r="U20" s="34">
        <f>_xll.qlYieldTSDiscount(OisCurve,Q20,,AllTriggers)</f>
        <v>1.0000561288381797</v>
      </c>
      <c r="V20" s="34">
        <f>_xll.qlYieldTSDiscount(OisCurve,R20,,AllTriggers)</f>
        <v>1.0003654201879051</v>
      </c>
      <c r="W20" s="33">
        <f t="shared" si="5"/>
        <v>-1.2098284032026401E-3</v>
      </c>
      <c r="X20" s="35">
        <f t="shared" si="6"/>
        <v>3.054232504080923E-4</v>
      </c>
      <c r="Y20" s="33">
        <f t="shared" si="7"/>
        <v>1.1949474214688277E-3</v>
      </c>
      <c r="Z20" s="54"/>
    </row>
    <row r="21" spans="15:26" x14ac:dyDescent="0.25">
      <c r="O21" s="35" t="s">
        <v>30</v>
      </c>
      <c r="P21" s="31">
        <f>_xll.qlCalendarAdvance(Calendar,P20,O20,"f",,Trigger)</f>
        <v>42146</v>
      </c>
      <c r="Q21" s="31">
        <f>_xll.qlInterestRateIndexValueDate(Index,P21,Trigger)</f>
        <v>42150</v>
      </c>
      <c r="R21" s="31">
        <f>_xll.qlInterestRateIndexMaturity(Index,Q21,Trigger)</f>
        <v>42242</v>
      </c>
      <c r="S21" s="32">
        <f>_xll.qlDayCounterYearFraction(DayCounter,Q21,R21,,,Trigger)</f>
        <v>0.25555555555555554</v>
      </c>
      <c r="T21" s="33">
        <f>_xll.qlIndexFixing(Index,P21,,AllTriggers)</f>
        <v>-1.2905787407019069E-5</v>
      </c>
      <c r="U21" s="34">
        <f>_xll.qlYieldTSDiscount(OisCurve,Q21,,AllTriggers)</f>
        <v>1.0000586062751133</v>
      </c>
      <c r="V21" s="34">
        <f>_xll.qlYieldTSDiscount(OisCurve,R21,,AllTriggers)</f>
        <v>1.0003694842946915</v>
      </c>
      <c r="W21" s="33">
        <f t="shared" si="5"/>
        <v>-1.216029903094078E-3</v>
      </c>
      <c r="X21" s="35">
        <f t="shared" si="6"/>
        <v>3.0751334323641968E-4</v>
      </c>
      <c r="Y21" s="33">
        <f t="shared" si="7"/>
        <v>1.203124115687059E-3</v>
      </c>
      <c r="Z21" s="54"/>
    </row>
    <row r="22" spans="15:26" x14ac:dyDescent="0.25">
      <c r="O22" s="35" t="s">
        <v>30</v>
      </c>
      <c r="P22" s="31">
        <f>_xll.qlCalendarAdvance(Calendar,P21,O21,"f",,Trigger)</f>
        <v>42149</v>
      </c>
      <c r="Q22" s="31">
        <f>_xll.qlInterestRateIndexValueDate(Index,P22,Trigger)</f>
        <v>42151</v>
      </c>
      <c r="R22" s="31">
        <f>_xll.qlInterestRateIndexMaturity(Index,Q22,Trigger)</f>
        <v>42243</v>
      </c>
      <c r="S22" s="32">
        <f>_xll.qlDayCounterYearFraction(DayCounter,Q22,R22,,,Trigger)</f>
        <v>0.25555555555555554</v>
      </c>
      <c r="T22" s="33">
        <f>_xll.qlIndexFixing(Index,P22,,AllTriggers)</f>
        <v>-1.0940821013508733E-5</v>
      </c>
      <c r="U22" s="34">
        <f>_xll.qlYieldTSDiscount(OisCurve,Q22,,AllTriggers)</f>
        <v>1.0000610948620106</v>
      </c>
      <c r="V22" s="34">
        <f>_xll.qlYieldTSDiscount(OisCurve,R22,,AllTriggers)</f>
        <v>1.0003735943245684</v>
      </c>
      <c r="W22" s="33">
        <f t="shared" si="5"/>
        <v>-1.2223673144306575E-3</v>
      </c>
      <c r="X22" s="35">
        <f t="shared" si="6"/>
        <v>3.0963556828848338E-4</v>
      </c>
      <c r="Y22" s="33">
        <f t="shared" si="7"/>
        <v>1.2114264934171488E-3</v>
      </c>
      <c r="Z22" s="54"/>
    </row>
    <row r="23" spans="15:26" x14ac:dyDescent="0.25">
      <c r="O23" s="35" t="s">
        <v>30</v>
      </c>
      <c r="P23" s="31">
        <f>_xll.qlCalendarAdvance(Calendar,P22,O22,"f",,Trigger)</f>
        <v>42150</v>
      </c>
      <c r="Q23" s="31">
        <f>_xll.qlInterestRateIndexValueDate(Index,P23,Trigger)</f>
        <v>42152</v>
      </c>
      <c r="R23" s="31">
        <f>_xll.qlInterestRateIndexMaturity(Index,Q23,Trigger)</f>
        <v>42244</v>
      </c>
      <c r="S23" s="32">
        <f>_xll.qlDayCounterYearFraction(DayCounter,Q23,R23,,,Trigger)</f>
        <v>0.25555555555555554</v>
      </c>
      <c r="T23" s="33">
        <f>_xll.qlIndexFixing(Index,P23,,AllTriggers)</f>
        <v>-8.9890205896172777E-6</v>
      </c>
      <c r="U23" s="34">
        <f>_xll.qlYieldTSDiscount(OisCurve,Q23,,AllTriggers)</f>
        <v>1.0000635990843556</v>
      </c>
      <c r="V23" s="34">
        <f>_xll.qlYieldTSDiscount(OisCurve,R23,,AllTriggers)</f>
        <v>1.0003777516548449</v>
      </c>
      <c r="W23" s="33">
        <f t="shared" si="5"/>
        <v>-1.2288284751418976E-3</v>
      </c>
      <c r="X23" s="35">
        <f t="shared" si="6"/>
        <v>3.1178606584260555E-4</v>
      </c>
      <c r="Y23" s="33">
        <f t="shared" si="7"/>
        <v>1.2198394545522803E-3</v>
      </c>
      <c r="Z23" s="54"/>
    </row>
    <row r="24" spans="15:26" x14ac:dyDescent="0.25">
      <c r="O24" s="35" t="s">
        <v>30</v>
      </c>
      <c r="P24" s="31">
        <f>_xll.qlCalendarAdvance(Calendar,P23,O23,"f",,Trigger)</f>
        <v>42151</v>
      </c>
      <c r="Q24" s="31">
        <f>_xll.qlInterestRateIndexValueDate(Index,P24,Trigger)</f>
        <v>42153</v>
      </c>
      <c r="R24" s="31">
        <f>_xll.qlInterestRateIndexMaturity(Index,Q24,Trigger)</f>
        <v>42247</v>
      </c>
      <c r="S24" s="32">
        <f>_xll.qlDayCounterYearFraction(DayCounter,Q24,R24,,,Trigger)</f>
        <v>0.26111111111111113</v>
      </c>
      <c r="T24" s="33">
        <f>_xll.qlIndexFixing(Index,P24,,AllTriggers)</f>
        <v>-4.494712848296035E-6</v>
      </c>
      <c r="U24" s="34">
        <f>_xll.qlYieldTSDiscount(OisCurve,Q24,,AllTriggers)</f>
        <v>1.0000661234276784</v>
      </c>
      <c r="V24" s="34">
        <f>_xll.qlYieldTSDiscount(OisCurve,R24,,AllTriggers)</f>
        <v>1.0003905212216078</v>
      </c>
      <c r="W24" s="33">
        <f t="shared" si="5"/>
        <v>-1.2418895457195955E-3</v>
      </c>
      <c r="X24" s="35">
        <f t="shared" si="6"/>
        <v>3.2315012626641634E-4</v>
      </c>
      <c r="Y24" s="33">
        <f t="shared" si="7"/>
        <v>1.2373948328712994E-3</v>
      </c>
      <c r="Z24" s="54"/>
    </row>
    <row r="25" spans="15:26" x14ac:dyDescent="0.25">
      <c r="O25" s="35" t="s">
        <v>30</v>
      </c>
      <c r="P25" s="31">
        <f>_xll.qlCalendarAdvance(Calendar,P24,O24,"f",,Trigger)</f>
        <v>42152</v>
      </c>
      <c r="Q25" s="31">
        <f>_xll.qlInterestRateIndexValueDate(Index,P25,Trigger)</f>
        <v>42156</v>
      </c>
      <c r="R25" s="31">
        <f>_xll.qlInterestRateIndexMaturity(Index,Q25,Trigger)</f>
        <v>42248</v>
      </c>
      <c r="S25" s="32">
        <f>_xll.qlDayCounterYearFraction(DayCounter,Q25,R25,,,Trigger)</f>
        <v>0.25555555555555554</v>
      </c>
      <c r="T25" s="33">
        <f>_xll.qlIndexFixing(Index,P25,,AllTriggers)</f>
        <v>-1.3634121553490994E-6</v>
      </c>
      <c r="U25" s="34">
        <f>_xll.qlYieldTSDiscount(OisCurve,Q25,,AllTriggers)</f>
        <v>1.0000738443402748</v>
      </c>
      <c r="V25" s="34">
        <f>_xll.qlYieldTSDiscount(OisCurve,R25,,AllTriggers)</f>
        <v>1.0003948783917092</v>
      </c>
      <c r="W25" s="33">
        <f t="shared" si="5"/>
        <v>-1.2557243428557502E-3</v>
      </c>
      <c r="X25" s="35">
        <f t="shared" si="6"/>
        <v>3.206104062279555E-4</v>
      </c>
      <c r="Y25" s="33">
        <f t="shared" si="7"/>
        <v>1.2543609307004012E-3</v>
      </c>
      <c r="Z25" s="54"/>
    </row>
    <row r="26" spans="15:26" x14ac:dyDescent="0.25">
      <c r="O26" s="35" t="s">
        <v>30</v>
      </c>
      <c r="P26" s="31">
        <f>_xll.qlCalendarAdvance(Calendar,P25,O25,"f",,Trigger)</f>
        <v>42153</v>
      </c>
      <c r="Q26" s="31">
        <f>_xll.qlInterestRateIndexValueDate(Index,P26,Trigger)</f>
        <v>42157</v>
      </c>
      <c r="R26" s="31">
        <f>_xll.qlInterestRateIndexMaturity(Index,Q26,Trigger)</f>
        <v>42249</v>
      </c>
      <c r="S26" s="32">
        <f>_xll.qlDayCounterYearFraction(DayCounter,Q26,R26,,,Trigger)</f>
        <v>0.25555555555555554</v>
      </c>
      <c r="T26" s="33">
        <f>_xll.qlIndexFixing(Index,P26,,AllTriggers)</f>
        <v>4.9058443047053524E-7</v>
      </c>
      <c r="U26" s="34">
        <f>_xll.qlYieldTSDiscount(OisCurve,Q26,,AllTriggers)</f>
        <v>1.0000764697691278</v>
      </c>
      <c r="V26" s="34">
        <f>_xll.qlYieldTSDiscount(OisCurve,R26,,AllTriggers)</f>
        <v>1.0003992709363221</v>
      </c>
      <c r="W26" s="33">
        <f t="shared" si="5"/>
        <v>-1.2626308702548671E-3</v>
      </c>
      <c r="X26" s="35">
        <f t="shared" si="6"/>
        <v>3.2284977499706836E-4</v>
      </c>
      <c r="Y26" s="33">
        <f t="shared" si="7"/>
        <v>1.2631214546853376E-3</v>
      </c>
      <c r="Z26" s="54"/>
    </row>
    <row r="27" spans="15:26" x14ac:dyDescent="0.25">
      <c r="O27" s="35" t="s">
        <v>30</v>
      </c>
      <c r="P27" s="31">
        <f>_xll.qlCalendarAdvance(Calendar,P26,O26,"f",,Trigger)</f>
        <v>42156</v>
      </c>
      <c r="Q27" s="31">
        <f>_xll.qlInterestRateIndexValueDate(Index,P27,Trigger)</f>
        <v>42158</v>
      </c>
      <c r="R27" s="31">
        <f>_xll.qlInterestRateIndexMaturity(Index,Q27,Trigger)</f>
        <v>42250</v>
      </c>
      <c r="S27" s="32">
        <f>_xll.qlDayCounterYearFraction(DayCounter,Q27,R27,,,Trigger)</f>
        <v>0.25555555555555554</v>
      </c>
      <c r="T27" s="33">
        <f>_xll.qlIndexFixing(Index,P27,,AllTriggers)</f>
        <v>2.3216332656339489E-6</v>
      </c>
      <c r="U27" s="34">
        <f>_xll.qlYieldTSDiscount(OisCurve,Q27,,AllTriggers)</f>
        <v>1.0000791220144563</v>
      </c>
      <c r="V27" s="34">
        <f>_xll.qlYieldTSDiscount(OisCurve,R27,,AllTriggers)</f>
        <v>1.000403681419747</v>
      </c>
      <c r="W27" s="33">
        <f t="shared" si="5"/>
        <v>-1.269502589573653E-3</v>
      </c>
      <c r="X27" s="35">
        <f t="shared" si="6"/>
        <v>3.2507438395205983E-4</v>
      </c>
      <c r="Y27" s="33">
        <f t="shared" si="7"/>
        <v>1.2718242228392869E-3</v>
      </c>
      <c r="Z27" s="54"/>
    </row>
    <row r="28" spans="15:26" x14ac:dyDescent="0.25">
      <c r="O28" s="35" t="s">
        <v>30</v>
      </c>
      <c r="P28" s="31">
        <f>_xll.qlCalendarAdvance(Calendar,P27,O27,"f",,Trigger)</f>
        <v>42157</v>
      </c>
      <c r="Q28" s="31">
        <f>_xll.qlInterestRateIndexValueDate(Index,P28,Trigger)</f>
        <v>42159</v>
      </c>
      <c r="R28" s="31">
        <f>_xll.qlInterestRateIndexMaturity(Index,Q28,Trigger)</f>
        <v>42251</v>
      </c>
      <c r="S28" s="32">
        <f>_xll.qlDayCounterYearFraction(DayCounter,Q28,R28,,,Trigger)</f>
        <v>0.25555555555555554</v>
      </c>
      <c r="T28" s="33">
        <f>_xll.qlIndexFixing(Index,P28,,AllTriggers)</f>
        <v>4.1287579242444829E-6</v>
      </c>
      <c r="U28" s="34">
        <f>_xll.qlYieldTSDiscount(OisCurve,Q28,,AllTriggers)</f>
        <v>1.0000818016287607</v>
      </c>
      <c r="V28" s="34">
        <f>_xll.qlYieldTSDiscount(OisCurve,R28,,AllTriggers)</f>
        <v>1.0004080924059786</v>
      </c>
      <c r="W28" s="33">
        <f t="shared" si="5"/>
        <v>-1.2762691620559837E-3</v>
      </c>
      <c r="X28" s="35">
        <f t="shared" si="6"/>
        <v>3.2726600219878553E-4</v>
      </c>
      <c r="Y28" s="33">
        <f t="shared" si="7"/>
        <v>1.2803979199802282E-3</v>
      </c>
      <c r="Z28" s="54"/>
    </row>
    <row r="29" spans="15:26" x14ac:dyDescent="0.25">
      <c r="O29" s="35" t="s">
        <v>30</v>
      </c>
      <c r="P29" s="31">
        <f>_xll.qlCalendarAdvance(Calendar,P28,O28,"f",,Trigger)</f>
        <v>42158</v>
      </c>
      <c r="Q29" s="31">
        <f>_xll.qlInterestRateIndexValueDate(Index,P29,Trigger)</f>
        <v>42160</v>
      </c>
      <c r="R29" s="31">
        <f>_xll.qlInterestRateIndexMaturity(Index,Q29,Trigger)</f>
        <v>42254</v>
      </c>
      <c r="S29" s="32">
        <f>_xll.qlDayCounterYearFraction(DayCounter,Q29,R29,,,Trigger)</f>
        <v>0.26111111111111113</v>
      </c>
      <c r="T29" s="33">
        <f>_xll.qlIndexFixing(Index,P29,,AllTriggers)</f>
        <v>8.0761437307942921E-6</v>
      </c>
      <c r="U29" s="34">
        <f>_xll.qlYieldTSDiscount(OisCurve,Q29,,AllTriggers)</f>
        <v>1.0000845091645505</v>
      </c>
      <c r="V29" s="34">
        <f>_xll.qlYieldTSDiscount(OisCurve,R29,,AllTriggers)</f>
        <v>1.0004211540168664</v>
      </c>
      <c r="W29" s="33">
        <f t="shared" si="5"/>
        <v>-1.2887354017143693E-3</v>
      </c>
      <c r="X29" s="35">
        <f t="shared" si="6"/>
        <v>3.3866853119313991E-4</v>
      </c>
      <c r="Y29" s="33">
        <f t="shared" si="7"/>
        <v>1.2968115454451636E-3</v>
      </c>
      <c r="Z29" s="54"/>
    </row>
    <row r="30" spans="15:26" x14ac:dyDescent="0.25">
      <c r="O30" s="35" t="s">
        <v>30</v>
      </c>
      <c r="P30" s="31">
        <f>_xll.qlCalendarAdvance(Calendar,P29,O29,"f",,Trigger)</f>
        <v>42159</v>
      </c>
      <c r="Q30" s="31">
        <f>_xll.qlInterestRateIndexValueDate(Index,P30,Trigger)</f>
        <v>42163</v>
      </c>
      <c r="R30" s="31">
        <f>_xll.qlInterestRateIndexMaturity(Index,Q30,Trigger)</f>
        <v>42255</v>
      </c>
      <c r="S30" s="32">
        <f>_xll.qlDayCounterYearFraction(DayCounter,Q30,R30,,,Trigger)</f>
        <v>0.25555555555555554</v>
      </c>
      <c r="T30" s="33">
        <f>_xll.qlIndexFixing(Index,P30,,AllTriggers)</f>
        <v>1.1098486179648921E-5</v>
      </c>
      <c r="U30" s="34">
        <f>_xll.qlYieldTSDiscount(OisCurve,Q30,,AllTriggers)</f>
        <v>1.0000928048260447</v>
      </c>
      <c r="V30" s="34">
        <f>_xll.qlYieldTSDiscount(OisCurve,R30,,AllTriggers)</f>
        <v>1.0004253926481697</v>
      </c>
      <c r="W30" s="33">
        <f t="shared" si="5"/>
        <v>-1.3008772247074844E-3</v>
      </c>
      <c r="X30" s="35">
        <f t="shared" si="6"/>
        <v>3.353379502045335E-4</v>
      </c>
      <c r="Y30" s="33">
        <f t="shared" si="7"/>
        <v>1.3119757108871334E-3</v>
      </c>
      <c r="Z30" s="54"/>
    </row>
    <row r="31" spans="15:26" x14ac:dyDescent="0.25">
      <c r="O31" s="35" t="s">
        <v>30</v>
      </c>
      <c r="P31" s="31">
        <f>_xll.qlCalendarAdvance(Calendar,P30,O30,"f",,Trigger)</f>
        <v>42160</v>
      </c>
      <c r="Q31" s="31">
        <f>_xll.qlInterestRateIndexValueDate(Index,P31,Trigger)</f>
        <v>42164</v>
      </c>
      <c r="R31" s="31">
        <f>_xll.qlInterestRateIndexMaturity(Index,Q31,Trigger)</f>
        <v>42256</v>
      </c>
      <c r="S31" s="32">
        <f>_xll.qlDayCounterYearFraction(DayCounter,Q31,R31,,,Trigger)</f>
        <v>0.25555555555555554</v>
      </c>
      <c r="T31" s="33">
        <f>_xll.qlIndexFixing(Index,P31,,AllTriggers)</f>
        <v>1.2771343494060076E-5</v>
      </c>
      <c r="U31" s="34">
        <f>_xll.qlYieldTSDiscount(OisCurve,Q31,,AllTriggers)</f>
        <v>1.0000956295730323</v>
      </c>
      <c r="V31" s="34">
        <f>_xll.qlYieldTSDiscount(OisCurve,R31,,AllTriggers)</f>
        <v>1.00042954459772</v>
      </c>
      <c r="W31" s="33">
        <f t="shared" si="5"/>
        <v>-1.3060629973427051E-3</v>
      </c>
      <c r="X31" s="35">
        <f t="shared" si="6"/>
        <v>3.370911514884286E-4</v>
      </c>
      <c r="Y31" s="33">
        <f t="shared" si="7"/>
        <v>1.3188343408367651E-3</v>
      </c>
      <c r="Z31" s="54"/>
    </row>
    <row r="32" spans="15:26" x14ac:dyDescent="0.25">
      <c r="O32" s="35" t="s">
        <v>30</v>
      </c>
      <c r="P32" s="31">
        <f>_xll.qlCalendarAdvance(Calendar,P31,O31,"f",,Trigger)</f>
        <v>42163</v>
      </c>
      <c r="Q32" s="31">
        <f>_xll.qlInterestRateIndexValueDate(Index,P32,Trigger)</f>
        <v>42165</v>
      </c>
      <c r="R32" s="31">
        <f>_xll.qlInterestRateIndexMaturity(Index,Q32,Trigger)</f>
        <v>42257</v>
      </c>
      <c r="S32" s="32">
        <f>_xll.qlDayCounterYearFraction(DayCounter,Q32,R32,,,Trigger)</f>
        <v>0.25555555555555554</v>
      </c>
      <c r="T32" s="33">
        <f>_xll.qlIndexFixing(Index,P32,,AllTriggers)</f>
        <v>1.4414418040045851E-5</v>
      </c>
      <c r="U32" s="34">
        <f>_xll.qlYieldTSDiscount(OisCurve,Q32,,AllTriggers)</f>
        <v>1.0000984850041772</v>
      </c>
      <c r="V32" s="34">
        <f>_xll.qlYieldTSDiscount(OisCurve,R32,,AllTriggers)</f>
        <v>1.0004335967058429</v>
      </c>
      <c r="W32" s="33">
        <f t="shared" si="5"/>
        <v>-1.3107383268710132E-3</v>
      </c>
      <c r="X32" s="35">
        <f t="shared" si="6"/>
        <v>3.3870625293327516E-4</v>
      </c>
      <c r="Y32" s="33">
        <f t="shared" si="7"/>
        <v>1.3251527449110591E-3</v>
      </c>
      <c r="Z32" s="54"/>
    </row>
    <row r="33" spans="15:26" x14ac:dyDescent="0.25">
      <c r="O33" s="35" t="s">
        <v>30</v>
      </c>
      <c r="P33" s="31">
        <f>_xll.qlCalendarAdvance(Calendar,P32,O32,"f",,Trigger)</f>
        <v>42164</v>
      </c>
      <c r="Q33" s="31">
        <f>_xll.qlInterestRateIndexValueDate(Index,P33,Trigger)</f>
        <v>42166</v>
      </c>
      <c r="R33" s="31">
        <f>_xll.qlInterestRateIndexMaturity(Index,Q33,Trigger)</f>
        <v>42258</v>
      </c>
      <c r="S33" s="32">
        <f>_xll.qlDayCounterYearFraction(DayCounter,Q33,R33,,,Trigger)</f>
        <v>0.25555555555555554</v>
      </c>
      <c r="T33" s="33">
        <f>_xll.qlIndexFixing(Index,P33,,AllTriggers)</f>
        <v>1.6026733383889752E-5</v>
      </c>
      <c r="U33" s="34">
        <f>_xll.qlYieldTSDiscount(OisCurve,Q33,,AllTriggers)</f>
        <v>1.0001013716720406</v>
      </c>
      <c r="V33" s="34">
        <f>_xll.qlYieldTSDiscount(OisCurve,R33,,AllTriggers)</f>
        <v>1.0004375529251082</v>
      </c>
      <c r="W33" s="33">
        <f t="shared" si="5"/>
        <v>-1.3149165142622987E-3</v>
      </c>
      <c r="X33" s="35">
        <f t="shared" si="6"/>
        <v>3.4018640482760945E-4</v>
      </c>
      <c r="Y33" s="33">
        <f t="shared" si="7"/>
        <v>1.3309432476461885E-3</v>
      </c>
      <c r="Z33" s="54"/>
    </row>
    <row r="34" spans="15:26" x14ac:dyDescent="0.25">
      <c r="O34" s="35" t="s">
        <v>30</v>
      </c>
      <c r="P34" s="31">
        <f>_xll.qlCalendarAdvance(Calendar,P33,O33,"f",,Trigger)</f>
        <v>42165</v>
      </c>
      <c r="Q34" s="31">
        <f>_xll.qlInterestRateIndexValueDate(Index,P34,Trigger)</f>
        <v>42167</v>
      </c>
      <c r="R34" s="31">
        <f>_xll.qlInterestRateIndexMaturity(Index,Q34,Trigger)</f>
        <v>42261</v>
      </c>
      <c r="S34" s="32">
        <f>_xll.qlDayCounterYearFraction(DayCounter,Q34,R34,,,Trigger)</f>
        <v>0.26111111111111113</v>
      </c>
      <c r="T34" s="33">
        <f>_xll.qlIndexFixing(Index,P34,,AllTriggers)</f>
        <v>1.9190034146424357E-5</v>
      </c>
      <c r="U34" s="34">
        <f>_xll.qlYieldTSDiscount(OisCurve,Q34,,AllTriggers)</f>
        <v>1.0001042901291926</v>
      </c>
      <c r="V34" s="34">
        <f>_xll.qlYieldTSDiscount(OisCurve,R34,,AllTriggers)</f>
        <v>1.0004489285583689</v>
      </c>
      <c r="W34" s="33">
        <f t="shared" si="5"/>
        <v>-1.3192995851589537E-3</v>
      </c>
      <c r="X34" s="35">
        <f t="shared" si="6"/>
        <v>3.4955384732133756E-4</v>
      </c>
      <c r="Y34" s="33">
        <f t="shared" si="7"/>
        <v>1.338489619305378E-3</v>
      </c>
      <c r="Z34" s="54"/>
    </row>
    <row r="35" spans="15:26" x14ac:dyDescent="0.25">
      <c r="O35" s="35" t="s">
        <v>30</v>
      </c>
      <c r="P35" s="31">
        <f>_xll.qlCalendarAdvance(Calendar,P34,O34,"f",,Trigger)</f>
        <v>42166</v>
      </c>
      <c r="Q35" s="31">
        <f>_xll.qlInterestRateIndexValueDate(Index,P35,Trigger)</f>
        <v>42170</v>
      </c>
      <c r="R35" s="31">
        <f>_xll.qlInterestRateIndexMaturity(Index,Q35,Trigger)</f>
        <v>42262</v>
      </c>
      <c r="S35" s="32">
        <f>_xll.qlDayCounterYearFraction(DayCounter,Q35,R35,,,Trigger)</f>
        <v>0.25555555555555554</v>
      </c>
      <c r="T35" s="33">
        <f>_xll.qlIndexFixing(Index,P35,,AllTriggers)</f>
        <v>2.2148873998351565E-5</v>
      </c>
      <c r="U35" s="34">
        <f>_xll.qlYieldTSDiscount(OisCurve,Q35,,AllTriggers)</f>
        <v>1.0001132417622269</v>
      </c>
      <c r="V35" s="34">
        <f>_xll.qlYieldTSDiscount(OisCurve,R35,,AllTriggers)</f>
        <v>1.0004525835315463</v>
      </c>
      <c r="W35" s="33">
        <f t="shared" si="5"/>
        <v>-1.3272584020418904E-3</v>
      </c>
      <c r="X35" s="35">
        <f t="shared" si="6"/>
        <v>3.4490604742820803E-4</v>
      </c>
      <c r="Y35" s="33">
        <f t="shared" si="7"/>
        <v>1.349407276040242E-3</v>
      </c>
      <c r="Z35" s="54"/>
    </row>
    <row r="36" spans="15:26" x14ac:dyDescent="0.25">
      <c r="O36" s="35" t="s">
        <v>30</v>
      </c>
      <c r="P36" s="31">
        <f>_xll.qlCalendarAdvance(Calendar,P35,O35,"f",,Trigger)</f>
        <v>42167</v>
      </c>
      <c r="Q36" s="31">
        <f>_xll.qlInterestRateIndexValueDate(Index,P36,Trigger)</f>
        <v>42171</v>
      </c>
      <c r="R36" s="31">
        <f>_xll.qlInterestRateIndexMaturity(Index,Q36,Trigger)</f>
        <v>42263</v>
      </c>
      <c r="S36" s="32">
        <f>_xll.qlDayCounterYearFraction(DayCounter,Q36,R36,,,Trigger)</f>
        <v>0.25555555555555554</v>
      </c>
      <c r="T36" s="33">
        <f>_xll.qlIndexFixing(Index,P36,,AllTriggers)</f>
        <v>2.3592746770999927E-5</v>
      </c>
      <c r="U36" s="34">
        <f>_xll.qlYieldTSDiscount(OisCurve,Q36,,AllTriggers)</f>
        <v>1.0001162929024288</v>
      </c>
      <c r="V36" s="34">
        <f>_xll.qlYieldTSDiscount(OisCurve,R36,,AllTriggers)</f>
        <v>1.000456183771248</v>
      </c>
      <c r="W36" s="33">
        <f t="shared" si="5"/>
        <v>-1.3294012962565731E-3</v>
      </c>
      <c r="X36" s="35">
        <f t="shared" si="6"/>
        <v>3.4582284946388451E-4</v>
      </c>
      <c r="Y36" s="33">
        <f t="shared" si="7"/>
        <v>1.352994043027573E-3</v>
      </c>
      <c r="Z36" s="54"/>
    </row>
    <row r="37" spans="15:26" x14ac:dyDescent="0.25">
      <c r="O37" s="35" t="s">
        <v>30</v>
      </c>
      <c r="P37" s="31">
        <f>_xll.qlCalendarAdvance(Calendar,P36,O36,"f",,Trigger)</f>
        <v>42170</v>
      </c>
      <c r="Q37" s="31">
        <f>_xll.qlInterestRateIndexValueDate(Index,P37,Trigger)</f>
        <v>42172</v>
      </c>
      <c r="R37" s="31">
        <f>_xll.qlInterestRateIndexMaturity(Index,Q37,Trigger)</f>
        <v>42264</v>
      </c>
      <c r="S37" s="32">
        <f>_xll.qlDayCounterYearFraction(DayCounter,Q37,R37,,,Trigger)</f>
        <v>0.25555555555555554</v>
      </c>
      <c r="T37" s="33">
        <f>_xll.qlIndexFixing(Index,P37,,AllTriggers)</f>
        <v>2.5000001713141369E-5</v>
      </c>
      <c r="U37" s="34">
        <f>_xll.qlYieldTSDiscount(OisCurve,Q37,,AllTriggers)</f>
        <v>1.0001193785949163</v>
      </c>
      <c r="V37" s="34">
        <f>_xll.qlYieldTSDiscount(OisCurve,R37,,AllTriggers)</f>
        <v>1.000459737508957</v>
      </c>
      <c r="W37" s="33">
        <f t="shared" si="5"/>
        <v>-1.3312272137720195E-3</v>
      </c>
      <c r="X37" s="35">
        <f t="shared" si="6"/>
        <v>3.4664926110614369E-4</v>
      </c>
      <c r="Y37" s="33">
        <f t="shared" si="7"/>
        <v>1.356227215485161E-3</v>
      </c>
      <c r="Z37" s="54"/>
    </row>
    <row r="38" spans="15:26" x14ac:dyDescent="0.25">
      <c r="O38" s="35" t="s">
        <v>30</v>
      </c>
      <c r="P38" s="31">
        <f>_xll.qlCalendarAdvance(Calendar,P37,O37,"f",,Trigger)</f>
        <v>42171</v>
      </c>
      <c r="Q38" s="31">
        <f>_xll.qlInterestRateIndexValueDate(Index,P38,Trigger)</f>
        <v>42173</v>
      </c>
      <c r="R38" s="31">
        <f>_xll.qlInterestRateIndexMaturity(Index,Q38,Trigger)</f>
        <v>42265</v>
      </c>
      <c r="S38" s="32">
        <f>_xll.qlDayCounterYearFraction(DayCounter,Q38,R38,,,Trigger)</f>
        <v>0.25555555555555554</v>
      </c>
      <c r="T38" s="33">
        <f>_xll.qlIndexFixing(Index,P38,,AllTriggers)</f>
        <v>2.6371657742769344E-5</v>
      </c>
      <c r="U38" s="34">
        <f>_xll.qlYieldTSDiscount(OisCurve,Q38,,AllTriggers)</f>
        <v>1.0001224993923192</v>
      </c>
      <c r="V38" s="34">
        <f>_xll.qlYieldTSDiscount(OisCurve,R38,,AllTriggers)</f>
        <v>1.0004632529762807</v>
      </c>
      <c r="W38" s="33">
        <f t="shared" si="5"/>
        <v>-1.3327661815139584E-3</v>
      </c>
      <c r="X38" s="35">
        <f t="shared" si="6"/>
        <v>3.4739321880178635E-4</v>
      </c>
      <c r="Y38" s="33">
        <f t="shared" si="7"/>
        <v>1.3591378392567278E-3</v>
      </c>
      <c r="Z38" s="54"/>
    </row>
    <row r="39" spans="15:26" x14ac:dyDescent="0.25">
      <c r="O39" s="35" t="s">
        <v>30</v>
      </c>
      <c r="P39" s="31">
        <f>_xll.qlCalendarAdvance(Calendar,P38,O38,"f",,Trigger)</f>
        <v>42172</v>
      </c>
      <c r="Q39" s="31">
        <f>_xll.qlInterestRateIndexValueDate(Index,P39,Trigger)</f>
        <v>42174</v>
      </c>
      <c r="R39" s="31">
        <f>_xll.qlInterestRateIndexMaturity(Index,Q39,Trigger)</f>
        <v>42268</v>
      </c>
      <c r="S39" s="32">
        <f>_xll.qlDayCounterYearFraction(DayCounter,Q39,R39,,,Trigger)</f>
        <v>0.26111111111111113</v>
      </c>
      <c r="T39" s="33">
        <f>_xll.qlIndexFixing(Index,P39,,AllTriggers)</f>
        <v>2.857139605841389E-5</v>
      </c>
      <c r="U39" s="34">
        <f>_xll.qlYieldTSDiscount(OisCurve,Q39,,AllTriggers)</f>
        <v>1.0001256558472778</v>
      </c>
      <c r="V39" s="34">
        <f>_xll.qlYieldTSDiscount(OisCurve,R39,,AllTriggers)</f>
        <v>1.0004736520738098</v>
      </c>
      <c r="W39" s="33">
        <f t="shared" si="5"/>
        <v>-1.3321205442091179E-3</v>
      </c>
      <c r="X39" s="35">
        <f t="shared" si="6"/>
        <v>3.5535226397413007E-4</v>
      </c>
      <c r="Y39" s="33">
        <f t="shared" si="7"/>
        <v>1.3606919402675318E-3</v>
      </c>
      <c r="Z39" s="54"/>
    </row>
    <row r="40" spans="15:26" x14ac:dyDescent="0.25">
      <c r="O40" s="35" t="s">
        <v>30</v>
      </c>
      <c r="P40" s="31">
        <f>_xll.qlCalendarAdvance(Calendar,P39,O39,"f",,Trigger)</f>
        <v>42173</v>
      </c>
      <c r="Q40" s="31">
        <f>_xll.qlInterestRateIndexValueDate(Index,P40,Trigger)</f>
        <v>42177</v>
      </c>
      <c r="R40" s="31">
        <f>_xll.qlInterestRateIndexMaturity(Index,Q40,Trigger)</f>
        <v>42269</v>
      </c>
      <c r="S40" s="32">
        <f>_xll.qlDayCounterYearFraction(DayCounter,Q40,R40,,,Trigger)</f>
        <v>0.25555555555555554</v>
      </c>
      <c r="T40" s="33">
        <f>_xll.qlIndexFixing(Index,P40,,AllTriggers)</f>
        <v>3.1547384198015315E-5</v>
      </c>
      <c r="U40" s="34">
        <f>_xll.qlYieldTSDiscount(OisCurve,Q40,,AllTriggers)</f>
        <v>1.0001353446840524</v>
      </c>
      <c r="V40" s="34">
        <f>_xll.qlYieldTSDiscount(OisCurve,R40,,AllTriggers)</f>
        <v>1.0004770967780439</v>
      </c>
      <c r="W40" s="33">
        <f t="shared" si="5"/>
        <v>-1.3366530896927549E-3</v>
      </c>
      <c r="X40" s="35">
        <f t="shared" si="6"/>
        <v>3.4970955457161126E-4</v>
      </c>
      <c r="Y40" s="33">
        <f t="shared" si="7"/>
        <v>1.3682004738907701E-3</v>
      </c>
      <c r="Z40" s="54"/>
    </row>
    <row r="41" spans="15:26" x14ac:dyDescent="0.25">
      <c r="O41" s="35" t="s">
        <v>30</v>
      </c>
      <c r="P41" s="31">
        <f>_xll.qlCalendarAdvance(Calendar,P40,O40,"f",,Trigger)</f>
        <v>42174</v>
      </c>
      <c r="Q41" s="31">
        <f>_xll.qlInterestRateIndexValueDate(Index,P41,Trigger)</f>
        <v>42178</v>
      </c>
      <c r="R41" s="31">
        <f>_xll.qlInterestRateIndexMaturity(Index,Q41,Trigger)</f>
        <v>42270</v>
      </c>
      <c r="S41" s="32">
        <f>_xll.qlDayCounterYearFraction(DayCounter,Q41,R41,,,Trigger)</f>
        <v>0.25555555555555554</v>
      </c>
      <c r="T41" s="33">
        <f>_xll.qlIndexFixing(Index,P41,,AllTriggers)</f>
        <v>3.2772109227233294E-5</v>
      </c>
      <c r="U41" s="34">
        <f>_xll.qlYieldTSDiscount(OisCurve,Q41,,AllTriggers)</f>
        <v>1.0001386492958544</v>
      </c>
      <c r="V41" s="34">
        <f>_xll.qlYieldTSDiscount(OisCurve,R41,,AllTriggers)</f>
        <v>1.0004805443716953</v>
      </c>
      <c r="W41" s="33">
        <f t="shared" si="5"/>
        <v>-1.3372077091305223E-3</v>
      </c>
      <c r="X41" s="35">
        <f t="shared" si="6"/>
        <v>3.5016432180534878E-4</v>
      </c>
      <c r="Y41" s="33">
        <f t="shared" si="7"/>
        <v>1.3699798183577556E-3</v>
      </c>
      <c r="Z41" s="54"/>
    </row>
    <row r="42" spans="15:26" x14ac:dyDescent="0.25">
      <c r="O42" s="35" t="s">
        <v>30</v>
      </c>
      <c r="P42" s="31">
        <f>_xll.qlCalendarAdvance(Calendar,P41,O41,"f",,Trigger)</f>
        <v>42177</v>
      </c>
      <c r="Q42" s="31">
        <f>_xll.qlInterestRateIndexValueDate(Index,P42,Trigger)</f>
        <v>42179</v>
      </c>
      <c r="R42" s="31">
        <f>_xll.qlInterestRateIndexMaturity(Index,Q42,Trigger)</f>
        <v>42271</v>
      </c>
      <c r="S42" s="32">
        <f>_xll.qlDayCounterYearFraction(DayCounter,Q42,R42,,,Trigger)</f>
        <v>0.25555555555555554</v>
      </c>
      <c r="T42" s="33">
        <f>_xll.qlIndexFixing(Index,P42,,AllTriggers)</f>
        <v>3.397255876353109E-5</v>
      </c>
      <c r="U42" s="34">
        <f>_xll.qlYieldTSDiscount(OisCurve,Q42,,AllTriggers)</f>
        <v>1.0001419923285786</v>
      </c>
      <c r="V42" s="34">
        <f>_xll.qlYieldTSDiscount(OisCurve,R42,,AllTriggers)</f>
        <v>1.0004840030870676</v>
      </c>
      <c r="W42" s="33">
        <f t="shared" si="5"/>
        <v>-1.3376555385905592E-3</v>
      </c>
      <c r="X42" s="35">
        <f t="shared" si="6"/>
        <v>3.5058558517301144E-4</v>
      </c>
      <c r="Y42" s="33">
        <f t="shared" si="7"/>
        <v>1.3716280973540902E-3</v>
      </c>
      <c r="Z42" s="54"/>
    </row>
    <row r="43" spans="15:26" x14ac:dyDescent="0.25">
      <c r="O43" s="35" t="s">
        <v>30</v>
      </c>
      <c r="P43" s="31">
        <f>_xll.qlCalendarAdvance(Calendar,P42,O42,"f",,Trigger)</f>
        <v>42178</v>
      </c>
      <c r="Q43" s="31">
        <f>_xll.qlInterestRateIndexValueDate(Index,P43,Trigger)</f>
        <v>42180</v>
      </c>
      <c r="R43" s="31">
        <f>_xll.qlInterestRateIndexMaturity(Index,Q43,Trigger)</f>
        <v>42272</v>
      </c>
      <c r="S43" s="32">
        <f>_xll.qlDayCounterYearFraction(DayCounter,Q43,R43,,,Trigger)</f>
        <v>0.25555555555555554</v>
      </c>
      <c r="T43" s="33">
        <f>_xll.qlIndexFixing(Index,P43,,AllTriggers)</f>
        <v>3.5150436382450202E-5</v>
      </c>
      <c r="U43" s="34">
        <f>_xll.qlYieldTSDiscount(OisCurve,Q43,,AllTriggers)</f>
        <v>1.0001453743349327</v>
      </c>
      <c r="V43" s="34">
        <f>_xll.qlYieldTSDiscount(OisCurve,R43,,AllTriggers)</f>
        <v>1.0004874811565785</v>
      </c>
      <c r="W43" s="33">
        <f t="shared" si="5"/>
        <v>-1.3380266045528639E-3</v>
      </c>
      <c r="X43" s="35">
        <f t="shared" si="6"/>
        <v>3.5098145608372433E-4</v>
      </c>
      <c r="Y43" s="33">
        <f t="shared" si="7"/>
        <v>1.3731770409353141E-3</v>
      </c>
      <c r="Z43" s="54"/>
    </row>
    <row r="44" spans="15:26" x14ac:dyDescent="0.25">
      <c r="O44" s="35" t="s">
        <v>30</v>
      </c>
      <c r="P44" s="31">
        <f>_xll.qlCalendarAdvance(Calendar,P43,O43,"f",,Trigger)</f>
        <v>42179</v>
      </c>
      <c r="Q44" s="31">
        <f>_xll.qlInterestRateIndexValueDate(Index,P44,Trigger)</f>
        <v>42181</v>
      </c>
      <c r="R44" s="31">
        <f>_xll.qlInterestRateIndexMaturity(Index,Q44,Trigger)</f>
        <v>42275</v>
      </c>
      <c r="S44" s="32">
        <f>_xll.qlDayCounterYearFraction(DayCounter,Q44,R44,,,Trigger)</f>
        <v>0.26111111111111113</v>
      </c>
      <c r="T44" s="33">
        <f>_xll.qlIndexFixing(Index,P44,,AllTriggers)</f>
        <v>3.6501014670361505E-5</v>
      </c>
      <c r="U44" s="34">
        <f>_xll.qlYieldTSDiscount(OisCurve,Q44,,AllTriggers)</f>
        <v>1.0001487958676367</v>
      </c>
      <c r="V44" s="34">
        <f>_xll.qlYieldTSDiscount(OisCurve,R44,,AllTriggers)</f>
        <v>1.0004981138158608</v>
      </c>
      <c r="W44" s="33">
        <f t="shared" si="5"/>
        <v>-1.3371473671533994E-3</v>
      </c>
      <c r="X44" s="35">
        <f t="shared" si="6"/>
        <v>3.5873577480534201E-4</v>
      </c>
      <c r="Y44" s="33">
        <f t="shared" si="7"/>
        <v>1.3736483818237609E-3</v>
      </c>
      <c r="Z44" s="54"/>
    </row>
    <row r="45" spans="15:26" x14ac:dyDescent="0.25">
      <c r="O45" s="35" t="s">
        <v>30</v>
      </c>
      <c r="P45" s="31">
        <f>_xll.qlCalendarAdvance(Calendar,P44,O44,"f",,Trigger)</f>
        <v>42180</v>
      </c>
      <c r="Q45" s="31">
        <f>_xll.qlInterestRateIndexValueDate(Index,P45,Trigger)</f>
        <v>42184</v>
      </c>
      <c r="R45" s="31">
        <f>_xll.qlInterestRateIndexMaturity(Index,Q45,Trigger)</f>
        <v>42276</v>
      </c>
      <c r="S45" s="32">
        <f>_xll.qlDayCounterYearFraction(DayCounter,Q45,R45,,,Trigger)</f>
        <v>0.25555555555555554</v>
      </c>
      <c r="T45" s="33">
        <f>_xll.qlIndexFixing(Index,P45,,AllTriggers)</f>
        <v>3.9670299284663585E-5</v>
      </c>
      <c r="U45" s="34">
        <f>_xll.qlYieldTSDiscount(OisCurve,Q45,,AllTriggers)</f>
        <v>1.0001593031512297</v>
      </c>
      <c r="V45" s="34">
        <f>_xll.qlYieldTSDiscount(OisCurve,R45,,AllTriggers)</f>
        <v>1.0005017516284418</v>
      </c>
      <c r="W45" s="33">
        <f t="shared" si="5"/>
        <v>-1.3393437624812426E-3</v>
      </c>
      <c r="X45" s="35">
        <f t="shared" si="6"/>
        <v>3.5247324333743913E-4</v>
      </c>
      <c r="Y45" s="33">
        <f t="shared" si="7"/>
        <v>1.3790140617659062E-3</v>
      </c>
      <c r="Z45" s="54"/>
    </row>
    <row r="46" spans="15:26" x14ac:dyDescent="0.25">
      <c r="O46" s="35" t="s">
        <v>30</v>
      </c>
      <c r="P46" s="31">
        <f>_xll.qlCalendarAdvance(Calendar,P45,O45,"f",,Trigger)</f>
        <v>42181</v>
      </c>
      <c r="Q46" s="31">
        <f>_xll.qlInterestRateIndexValueDate(Index,P46,Trigger)</f>
        <v>42185</v>
      </c>
      <c r="R46" s="31">
        <f>_xll.qlInterestRateIndexMaturity(Index,Q46,Trigger)</f>
        <v>42277</v>
      </c>
      <c r="S46" s="32">
        <f>_xll.qlDayCounterYearFraction(DayCounter,Q46,R46,,,Trigger)</f>
        <v>0.25555555555555554</v>
      </c>
      <c r="T46" s="33">
        <f>_xll.qlIndexFixing(Index,P46,,AllTriggers)</f>
        <v>4.0760162399202372E-5</v>
      </c>
      <c r="U46" s="34">
        <f>_xll.qlYieldTSDiscount(OisCurve,Q46,,AllTriggers)</f>
        <v>1.0001628875700255</v>
      </c>
      <c r="V46" s="34">
        <f>_xll.qlYieldTSDiscount(OisCurve,R46,,AllTriggers)</f>
        <v>1.0005054479850894</v>
      </c>
      <c r="W46" s="33">
        <f t="shared" si="5"/>
        <v>-1.3397766106880849E-3</v>
      </c>
      <c r="X46" s="35">
        <f t="shared" si="6"/>
        <v>3.5286241569342126E-4</v>
      </c>
      <c r="Y46" s="33">
        <f t="shared" si="7"/>
        <v>1.3805367730872872E-3</v>
      </c>
      <c r="Z46" s="54"/>
    </row>
    <row r="47" spans="15:26" x14ac:dyDescent="0.25">
      <c r="O47" s="35" t="s">
        <v>30</v>
      </c>
      <c r="P47" s="31">
        <f>_xll.qlCalendarAdvance(Calendar,P46,O46,"f",,Trigger)</f>
        <v>42184</v>
      </c>
      <c r="Q47" s="31">
        <f>_xll.qlInterestRateIndexValueDate(Index,P47,Trigger)</f>
        <v>42186</v>
      </c>
      <c r="R47" s="31">
        <f>_xll.qlInterestRateIndexMaturity(Index,Q47,Trigger)</f>
        <v>42278</v>
      </c>
      <c r="S47" s="32">
        <f>_xll.qlDayCounterYearFraction(DayCounter,Q47,R47,,,Trigger)</f>
        <v>0.25555555555555554</v>
      </c>
      <c r="T47" s="33">
        <f>_xll.qlIndexFixing(Index,P47,,AllTriggers)</f>
        <v>4.1833423281977886E-5</v>
      </c>
      <c r="U47" s="34">
        <f>_xll.qlYieldTSDiscount(OisCurve,Q47,,AllTriggers)</f>
        <v>1.0001665097984198</v>
      </c>
      <c r="V47" s="34">
        <f>_xll.qlYieldTSDiscount(OisCurve,R47,,AllTriggers)</f>
        <v>1.0005092012492021</v>
      </c>
      <c r="W47" s="33">
        <f t="shared" si="5"/>
        <v>-1.3402840722152322E-3</v>
      </c>
      <c r="X47" s="35">
        <f t="shared" si="6"/>
        <v>3.53266419618577E-4</v>
      </c>
      <c r="Y47" s="33">
        <f t="shared" si="7"/>
        <v>1.3821174954972101E-3</v>
      </c>
      <c r="Z47" s="54"/>
    </row>
    <row r="48" spans="15:26" x14ac:dyDescent="0.25">
      <c r="O48" s="35" t="s">
        <v>30</v>
      </c>
      <c r="P48" s="31">
        <f>_xll.qlCalendarAdvance(Calendar,P47,O47,"f",,Trigger)</f>
        <v>42185</v>
      </c>
      <c r="Q48" s="31">
        <f>_xll.qlInterestRateIndexValueDate(Index,P48,Trigger)</f>
        <v>42187</v>
      </c>
      <c r="R48" s="31">
        <f>_xll.qlInterestRateIndexMaturity(Index,Q48,Trigger)</f>
        <v>42279</v>
      </c>
      <c r="S48" s="32">
        <f>_xll.qlDayCounterYearFraction(DayCounter,Q48,R48,,,Trigger)</f>
        <v>0.25555555555555554</v>
      </c>
      <c r="T48" s="33">
        <f>_xll.qlIndexFixing(Index,P48,,AllTriggers)</f>
        <v>4.2887533701798851E-5</v>
      </c>
      <c r="U48" s="34">
        <f>_xll.qlYieldTSDiscount(OisCurve,Q48,,AllTriggers)</f>
        <v>1.0001701659086111</v>
      </c>
      <c r="V48" s="34">
        <f>_xll.qlYieldTSDiscount(OisCurve,R48,,AllTriggers)</f>
        <v>1.0005130078102098</v>
      </c>
      <c r="W48" s="33">
        <f t="shared" si="5"/>
        <v>-1.3408673916810057E-3</v>
      </c>
      <c r="X48" s="35">
        <f t="shared" si="6"/>
        <v>3.5368492209430678E-4</v>
      </c>
      <c r="Y48" s="33">
        <f t="shared" si="7"/>
        <v>1.3837549253828045E-3</v>
      </c>
      <c r="Z48" s="54"/>
    </row>
    <row r="49" spans="15:26" x14ac:dyDescent="0.25">
      <c r="O49" s="35" t="s">
        <v>30</v>
      </c>
      <c r="P49" s="31">
        <f>_xll.qlCalendarAdvance(Calendar,P48,O48,"f",,Trigger)</f>
        <v>42186</v>
      </c>
      <c r="Q49" s="31">
        <f>_xll.qlInterestRateIndexValueDate(Index,P49,Trigger)</f>
        <v>42188</v>
      </c>
      <c r="R49" s="31">
        <f>_xll.qlInterestRateIndexMaturity(Index,Q49,Trigger)</f>
        <v>42282</v>
      </c>
      <c r="S49" s="32">
        <f>_xll.qlDayCounterYearFraction(DayCounter,Q49,R49,,,Trigger)</f>
        <v>0.26111111111111113</v>
      </c>
      <c r="T49" s="33">
        <f>_xll.qlIndexFixing(Index,P49,,AllTriggers)</f>
        <v>4.3508234217095504E-5</v>
      </c>
      <c r="U49" s="34">
        <f>_xll.qlYieldTSDiscount(OisCurve,Q49,,AllTriggers)</f>
        <v>1.0001738519727439</v>
      </c>
      <c r="V49" s="34">
        <f>_xll.qlYieldTSDiscount(OisCurve,R49,,AllTriggers)</f>
        <v>1.0005247111681992</v>
      </c>
      <c r="W49" s="33">
        <f t="shared" si="5"/>
        <v>-1.3430113746338442E-3</v>
      </c>
      <c r="X49" s="35">
        <f t="shared" si="6"/>
        <v>3.6209711203819103E-4</v>
      </c>
      <c r="Y49" s="33">
        <f t="shared" si="7"/>
        <v>1.3865196088509396E-3</v>
      </c>
      <c r="Z49" s="54"/>
    </row>
    <row r="50" spans="15:26" x14ac:dyDescent="0.25">
      <c r="O50" s="35" t="s">
        <v>30</v>
      </c>
      <c r="P50" s="31">
        <f>_xll.qlCalendarAdvance(Calendar,P49,O49,"f",,Trigger)</f>
        <v>42187</v>
      </c>
      <c r="Q50" s="31">
        <f>_xll.qlInterestRateIndexValueDate(Index,P50,Trigger)</f>
        <v>42191</v>
      </c>
      <c r="R50" s="31">
        <f>_xll.qlInterestRateIndexMaturity(Index,Q50,Trigger)</f>
        <v>42283</v>
      </c>
      <c r="S50" s="32">
        <f>_xll.qlDayCounterYearFraction(DayCounter,Q50,R50,,,Trigger)</f>
        <v>0.25555555555555554</v>
      </c>
      <c r="T50" s="33">
        <f>_xll.qlIndexFixing(Index,P50,,AllTriggers)</f>
        <v>4.6861506059070954E-5</v>
      </c>
      <c r="U50" s="34">
        <f>_xll.qlYieldTSDiscount(OisCurve,Q50,,AllTriggers)</f>
        <v>1.0001850506094079</v>
      </c>
      <c r="V50" s="34">
        <f>_xll.qlYieldTSDiscount(OisCurve,R50,,AllTriggers)</f>
        <v>1.0005286948101375</v>
      </c>
      <c r="W50" s="33">
        <f t="shared" si="5"/>
        <v>-1.3439841410669757E-3</v>
      </c>
      <c r="X50" s="35">
        <f t="shared" si="6"/>
        <v>3.5549725712773363E-4</v>
      </c>
      <c r="Y50" s="33">
        <f t="shared" si="7"/>
        <v>1.3908456471260467E-3</v>
      </c>
      <c r="Z50" s="54"/>
    </row>
    <row r="51" spans="15:26" x14ac:dyDescent="0.25">
      <c r="O51" s="35" t="s">
        <v>30</v>
      </c>
      <c r="P51" s="31">
        <f>_xll.qlCalendarAdvance(Calendar,P50,O50,"f",,Trigger)</f>
        <v>42188</v>
      </c>
      <c r="Q51" s="31">
        <f>_xll.qlInterestRateIndexValueDate(Index,P51,Trigger)</f>
        <v>42192</v>
      </c>
      <c r="R51" s="31">
        <f>_xll.qlInterestRateIndexMaturity(Index,Q51,Trigger)</f>
        <v>42284</v>
      </c>
      <c r="S51" s="32">
        <f>_xll.qlDayCounterYearFraction(DayCounter,Q51,R51,,,Trigger)</f>
        <v>0.25555555555555554</v>
      </c>
      <c r="T51" s="33">
        <f>_xll.qlIndexFixing(Index,P51,,AllTriggers)</f>
        <v>4.7781640626740426E-5</v>
      </c>
      <c r="U51" s="34">
        <f>_xll.qlYieldTSDiscount(OisCurve,Q51,,AllTriggers)</f>
        <v>1.0001888172096391</v>
      </c>
      <c r="V51" s="34">
        <f>_xll.qlYieldTSDiscount(OisCurve,R51,,AllTriggers)</f>
        <v>1.0005327136953941</v>
      </c>
      <c r="W51" s="33">
        <f t="shared" si="5"/>
        <v>-1.344965419281747E-3</v>
      </c>
      <c r="X51" s="35">
        <f t="shared" si="6"/>
        <v>3.5598325707563962E-4</v>
      </c>
      <c r="Y51" s="33">
        <f t="shared" si="7"/>
        <v>1.3927470599084874E-3</v>
      </c>
      <c r="Z51" s="54"/>
    </row>
    <row r="52" spans="15:26" x14ac:dyDescent="0.25">
      <c r="O52" s="35" t="s">
        <v>30</v>
      </c>
      <c r="P52" s="31">
        <f>_xll.qlCalendarAdvance(Calendar,P51,O51,"f",,Trigger)</f>
        <v>42191</v>
      </c>
      <c r="Q52" s="31">
        <f>_xll.qlInterestRateIndexValueDate(Index,P52,Trigger)</f>
        <v>42193</v>
      </c>
      <c r="R52" s="31">
        <f>_xll.qlInterestRateIndexMaturity(Index,Q52,Trigger)</f>
        <v>42285</v>
      </c>
      <c r="S52" s="32">
        <f>_xll.qlDayCounterYearFraction(DayCounter,Q52,R52,,,Trigger)</f>
        <v>0.25555555555555554</v>
      </c>
      <c r="T52" s="33">
        <f>_xll.qlIndexFixing(Index,P52,,AllTriggers)</f>
        <v>4.8667335300864195E-5</v>
      </c>
      <c r="U52" s="34">
        <f>_xll.qlYieldTSDiscount(OisCurve,Q52,,AllTriggers)</f>
        <v>1.0001925941236911</v>
      </c>
      <c r="V52" s="34">
        <f>_xll.qlYieldTSDiscount(OisCurve,R52,,AllTriggers)</f>
        <v>1.0005367642130978</v>
      </c>
      <c r="W52" s="33">
        <f t="shared" si="5"/>
        <v>-1.3460300230190873E-3</v>
      </c>
      <c r="X52" s="35">
        <f t="shared" si="6"/>
        <v>3.5648175746196806E-4</v>
      </c>
      <c r="Y52" s="33">
        <f t="shared" si="7"/>
        <v>1.3946973583199515E-3</v>
      </c>
      <c r="Z52" s="54"/>
    </row>
    <row r="53" spans="15:26" x14ac:dyDescent="0.25">
      <c r="O53" s="35" t="s">
        <v>30</v>
      </c>
      <c r="P53" s="31">
        <f>_xll.qlCalendarAdvance(Calendar,P52,O52,"f",,Trigger)</f>
        <v>42192</v>
      </c>
      <c r="Q53" s="31">
        <f>_xll.qlInterestRateIndexValueDate(Index,P53,Trigger)</f>
        <v>42194</v>
      </c>
      <c r="R53" s="31">
        <f>_xll.qlInterestRateIndexMaturity(Index,Q53,Trigger)</f>
        <v>42286</v>
      </c>
      <c r="S53" s="32">
        <f>_xll.qlDayCounterYearFraction(DayCounter,Q53,R53,,,Trigger)</f>
        <v>0.25555555555555554</v>
      </c>
      <c r="T53" s="33">
        <f>_xll.qlIndexFixing(Index,P53,,AllTriggers)</f>
        <v>4.9516041838086792E-5</v>
      </c>
      <c r="U53" s="34">
        <f>_xll.qlYieldTSDiscount(OisCurve,Q53,,AllTriggers)</f>
        <v>1.0001963774233655</v>
      </c>
      <c r="V53" s="34">
        <f>_xll.qlYieldTSDiscount(OisCurve,R53,,AllTriggers)</f>
        <v>1.0005408427523212</v>
      </c>
      <c r="W53" s="33">
        <f t="shared" si="5"/>
        <v>-1.3471791968525709E-3</v>
      </c>
      <c r="X53" s="35">
        <f t="shared" si="6"/>
        <v>3.5699242526783623E-4</v>
      </c>
      <c r="Y53" s="33">
        <f t="shared" si="7"/>
        <v>1.3966952386906576E-3</v>
      </c>
      <c r="Z53" s="54"/>
    </row>
    <row r="54" spans="15:26" x14ac:dyDescent="0.25">
      <c r="O54" s="35" t="s">
        <v>30</v>
      </c>
      <c r="P54" s="31">
        <f>_xll.qlCalendarAdvance(Calendar,P53,O53,"f",,Trigger)</f>
        <v>42193</v>
      </c>
      <c r="Q54" s="31">
        <f>_xll.qlInterestRateIndexValueDate(Index,P54,Trigger)</f>
        <v>42195</v>
      </c>
      <c r="R54" s="31">
        <f>_xll.qlInterestRateIndexMaturity(Index,Q54,Trigger)</f>
        <v>42289</v>
      </c>
      <c r="S54" s="32">
        <f>_xll.qlDayCounterYearFraction(DayCounter,Q54,R54,,,Trigger)</f>
        <v>0.26111111111111113</v>
      </c>
      <c r="T54" s="33">
        <f>_xll.qlIndexFixing(Index,P54,,AllTriggers)</f>
        <v>4.9374988105747714E-5</v>
      </c>
      <c r="U54" s="34">
        <f>_xll.qlYieldTSDiscount(OisCurve,Q54,,AllTriggers)</f>
        <v>1.0002001631804043</v>
      </c>
      <c r="V54" s="34">
        <f>_xll.qlYieldTSDiscount(OisCurve,R54,,AllTriggers)</f>
        <v>1.0005532103889931</v>
      </c>
      <c r="W54" s="33">
        <f t="shared" si="5"/>
        <v>-1.3513481126529146E-3</v>
      </c>
      <c r="X54" s="35">
        <f t="shared" si="6"/>
        <v>3.6580654900956414E-4</v>
      </c>
      <c r="Y54" s="33">
        <f t="shared" si="7"/>
        <v>1.4007231007586622E-3</v>
      </c>
      <c r="Z54" s="54"/>
    </row>
    <row r="55" spans="15:26" x14ac:dyDescent="0.25">
      <c r="O55" s="35" t="s">
        <v>30</v>
      </c>
      <c r="P55" s="31">
        <f>_xll.qlCalendarAdvance(Calendar,P54,O54,"f",,Trigger)</f>
        <v>42194</v>
      </c>
      <c r="Q55" s="31">
        <f>_xll.qlInterestRateIndexValueDate(Index,P55,Trigger)</f>
        <v>42198</v>
      </c>
      <c r="R55" s="31">
        <f>_xll.qlInterestRateIndexMaturity(Index,Q55,Trigger)</f>
        <v>42290</v>
      </c>
      <c r="S55" s="32">
        <f>_xll.qlDayCounterYearFraction(DayCounter,Q55,R55,,,Trigger)</f>
        <v>0.25555555555555554</v>
      </c>
      <c r="T55" s="33">
        <f>_xll.qlIndexFixing(Index,P55,,AllTriggers)</f>
        <v>5.2490021696986446E-5</v>
      </c>
      <c r="U55" s="34">
        <f>_xll.qlYieldTSDiscount(OisCurve,Q55,,AllTriggers)</f>
        <v>1.000211495912239</v>
      </c>
      <c r="V55" s="34">
        <f>_xll.qlYieldTSDiscount(OisCurve,R55,,AllTriggers)</f>
        <v>1.0005573649038884</v>
      </c>
      <c r="W55" s="33">
        <f t="shared" si="5"/>
        <v>-1.352646484428281E-3</v>
      </c>
      <c r="X55" s="35">
        <f t="shared" si="6"/>
        <v>3.5915011031830671E-4</v>
      </c>
      <c r="Y55" s="33">
        <f t="shared" si="7"/>
        <v>1.4051365061252675E-3</v>
      </c>
      <c r="Z55" s="54"/>
    </row>
    <row r="56" spans="15:26" x14ac:dyDescent="0.25">
      <c r="O56" s="35" t="s">
        <v>30</v>
      </c>
      <c r="P56" s="31">
        <f>_xll.qlCalendarAdvance(Calendar,P55,O55,"f",,Trigger)</f>
        <v>42195</v>
      </c>
      <c r="Q56" s="31">
        <f>_xll.qlInterestRateIndexValueDate(Index,P56,Trigger)</f>
        <v>42199</v>
      </c>
      <c r="R56" s="31">
        <f>_xll.qlInterestRateIndexMaturity(Index,Q56,Trigger)</f>
        <v>42291</v>
      </c>
      <c r="S56" s="32">
        <f>_xll.qlDayCounterYearFraction(DayCounter,Q56,R56,,,Trigger)</f>
        <v>0.25555555555555554</v>
      </c>
      <c r="T56" s="33">
        <f>_xll.qlIndexFixing(Index,P56,,AllTriggers)</f>
        <v>5.3115563851583502E-5</v>
      </c>
      <c r="U56" s="34">
        <f>_xll.qlYieldTSDiscount(OisCurve,Q56,,AllTriggers)</f>
        <v>1.0002152522149705</v>
      </c>
      <c r="V56" s="34">
        <f>_xll.qlYieldTSDiscount(OisCurve,R56,,AllTriggers)</f>
        <v>1.0005615293848074</v>
      </c>
      <c r="W56" s="33">
        <f t="shared" si="5"/>
        <v>-1.3542371771314904E-3</v>
      </c>
      <c r="X56" s="35">
        <f t="shared" si="6"/>
        <v>3.5971661994376906E-4</v>
      </c>
      <c r="Y56" s="33">
        <f t="shared" si="7"/>
        <v>1.4073527409830739E-3</v>
      </c>
      <c r="Z56" s="54"/>
    </row>
    <row r="57" spans="15:26" x14ac:dyDescent="0.25">
      <c r="O57" s="35" t="s">
        <v>30</v>
      </c>
      <c r="P57" s="31">
        <f>_xll.qlCalendarAdvance(Calendar,P56,O56,"f",,Trigger)</f>
        <v>42198</v>
      </c>
      <c r="Q57" s="31">
        <f>_xll.qlInterestRateIndexValueDate(Index,P57,Trigger)</f>
        <v>42200</v>
      </c>
      <c r="R57" s="31">
        <f>_xll.qlInterestRateIndexMaturity(Index,Q57,Trigger)</f>
        <v>42292</v>
      </c>
      <c r="S57" s="32">
        <f>_xll.qlDayCounterYearFraction(DayCounter,Q57,R57,,,Trigger)</f>
        <v>0.25555555555555554</v>
      </c>
      <c r="T57" s="33">
        <f>_xll.qlIndexFixing(Index,P57,,AllTriggers)</f>
        <v>5.3688828383949406E-5</v>
      </c>
      <c r="U57" s="34">
        <f>_xll.qlYieldTSDiscount(OisCurve,Q57,,AllTriggers)</f>
        <v>1.0002189913328883</v>
      </c>
      <c r="V57" s="34">
        <f>_xll.qlYieldTSDiscount(OisCurve,R57,,AllTriggers)</f>
        <v>1.0005657002204742</v>
      </c>
      <c r="W57" s="33">
        <f t="shared" si="5"/>
        <v>-1.3559199072328374E-3</v>
      </c>
      <c r="X57" s="35">
        <f t="shared" si="6"/>
        <v>3.6029329887673789E-4</v>
      </c>
      <c r="Y57" s="33">
        <f t="shared" si="7"/>
        <v>1.4096087356167868E-3</v>
      </c>
      <c r="Z57" s="54"/>
    </row>
    <row r="58" spans="15:26" x14ac:dyDescent="0.25">
      <c r="O58" s="35" t="s">
        <v>30</v>
      </c>
      <c r="P58" s="31">
        <f>_xll.qlCalendarAdvance(Calendar,P57,O57,"f",,Trigger)</f>
        <v>42199</v>
      </c>
      <c r="Q58" s="31">
        <f>_xll.qlInterestRateIndexValueDate(Index,P58,Trigger)</f>
        <v>42201</v>
      </c>
      <c r="R58" s="31">
        <f>_xll.qlInterestRateIndexMaturity(Index,Q58,Trigger)</f>
        <v>42293</v>
      </c>
      <c r="S58" s="32">
        <f>_xll.qlDayCounterYearFraction(DayCounter,Q58,R58,,,Trigger)</f>
        <v>0.25555555555555554</v>
      </c>
      <c r="T58" s="33">
        <f>_xll.qlIndexFixing(Index,P58,,AllTriggers)</f>
        <v>5.4207267052466456E-5</v>
      </c>
      <c r="U58" s="34">
        <f>_xll.qlYieldTSDiscount(OisCurve,Q58,,AllTriggers)</f>
        <v>1.0002227093373808</v>
      </c>
      <c r="V58" s="34">
        <f>_xll.qlYieldTSDiscount(OisCurve,R58,,AllTriggers)</f>
        <v>1.0005698737995523</v>
      </c>
      <c r="W58" s="33">
        <f t="shared" si="5"/>
        <v>-1.3576959192520266E-3</v>
      </c>
      <c r="X58" s="35">
        <f t="shared" si="6"/>
        <v>3.6087981409961637E-4</v>
      </c>
      <c r="Y58" s="33">
        <f t="shared" si="7"/>
        <v>1.411903186304493E-3</v>
      </c>
      <c r="Z58" s="54"/>
    </row>
    <row r="59" spans="15:26" x14ac:dyDescent="0.25">
      <c r="O59" s="35" t="s">
        <v>30</v>
      </c>
      <c r="P59" s="31">
        <f>_xll.qlCalendarAdvance(Calendar,P58,O58,"f",,Trigger)</f>
        <v>42200</v>
      </c>
      <c r="Q59" s="31">
        <f>_xll.qlInterestRateIndexValueDate(Index,P59,Trigger)</f>
        <v>42202</v>
      </c>
      <c r="R59" s="31">
        <f>_xll.qlInterestRateIndexMaturity(Index,Q59,Trigger)</f>
        <v>42296</v>
      </c>
      <c r="S59" s="32">
        <f>_xll.qlDayCounterYearFraction(DayCounter,Q59,R59,,,Trigger)</f>
        <v>0.26111111111111113</v>
      </c>
      <c r="T59" s="33">
        <f>_xll.qlIndexFixing(Index,P59,,AllTriggers)</f>
        <v>5.3264552841572431E-5</v>
      </c>
      <c r="U59" s="34">
        <f>_xll.qlYieldTSDiscount(OisCurve,Q59,,AllTriggers)</f>
        <v>1.0002264022997793</v>
      </c>
      <c r="V59" s="34">
        <f>_xll.qlYieldTSDiscount(OisCurve,R59,,AllTriggers)</f>
        <v>1.000582374882987</v>
      </c>
      <c r="W59" s="33">
        <f t="shared" si="5"/>
        <v>-1.3625057657020616E-3</v>
      </c>
      <c r="X59" s="35">
        <f t="shared" si="6"/>
        <v>3.6973656375981304E-4</v>
      </c>
      <c r="Y59" s="33">
        <f t="shared" si="7"/>
        <v>1.415770318543634E-3</v>
      </c>
      <c r="Z59" s="54"/>
    </row>
    <row r="60" spans="15:26" x14ac:dyDescent="0.25">
      <c r="O60" s="35" t="s">
        <v>30</v>
      </c>
      <c r="P60" s="31">
        <f>_xll.qlCalendarAdvance(Calendar,P59,O59,"f",,Trigger)</f>
        <v>42201</v>
      </c>
      <c r="Q60" s="31">
        <f>_xll.qlInterestRateIndexValueDate(Index,P60,Trigger)</f>
        <v>42205</v>
      </c>
      <c r="R60" s="31">
        <f>_xll.qlInterestRateIndexMaturity(Index,Q60,Trigger)</f>
        <v>42297</v>
      </c>
      <c r="S60" s="32">
        <f>_xll.qlDayCounterYearFraction(DayCounter,Q60,R60,,,Trigger)</f>
        <v>0.25555555555555554</v>
      </c>
      <c r="T60" s="33">
        <f>_xll.qlIndexFixing(Index,P60,,AllTriggers)</f>
        <v>5.5681798151427259E-5</v>
      </c>
      <c r="U60" s="34">
        <f>_xll.qlYieldTSDiscount(OisCurve,Q60,,AllTriggers)</f>
        <v>1.0002372916468851</v>
      </c>
      <c r="V60" s="34">
        <f>_xll.qlYieldTSDiscount(OisCurve,R60,,AllTriggers)</f>
        <v>1.0005865233211424</v>
      </c>
      <c r="W60" s="33">
        <f t="shared" si="5"/>
        <v>-1.3657576766263023E-3</v>
      </c>
      <c r="X60" s="35">
        <f t="shared" si="6"/>
        <v>3.6331757750951996E-4</v>
      </c>
      <c r="Y60" s="33">
        <f t="shared" si="7"/>
        <v>1.4214394747777295E-3</v>
      </c>
      <c r="Z60" s="54"/>
    </row>
    <row r="61" spans="15:26" x14ac:dyDescent="0.25">
      <c r="O61" s="35" t="s">
        <v>30</v>
      </c>
      <c r="P61" s="31">
        <f>_xll.qlCalendarAdvance(Calendar,P60,O60,"f",,Trigger)</f>
        <v>42202</v>
      </c>
      <c r="Q61" s="31">
        <f>_xll.qlInterestRateIndexValueDate(Index,P61,Trigger)</f>
        <v>42206</v>
      </c>
      <c r="R61" s="31">
        <f>_xll.qlInterestRateIndexMaturity(Index,Q61,Trigger)</f>
        <v>42298</v>
      </c>
      <c r="S61" s="32">
        <f>_xll.qlDayCounterYearFraction(DayCounter,Q61,R61,,,Trigger)</f>
        <v>0.25555555555555554</v>
      </c>
      <c r="T61" s="33">
        <f>_xll.qlIndexFixing(Index,P61,,AllTriggers)</f>
        <v>5.5887883821695418E-5</v>
      </c>
      <c r="U61" s="34">
        <f>_xll.qlYieldTSDiscount(OisCurve,Q61,,AllTriggers)</f>
        <v>1.0002408451531108</v>
      </c>
      <c r="V61" s="34">
        <f>_xll.qlYieldTSDiscount(OisCurve,R61,,AllTriggers)</f>
        <v>1.0005906564451257</v>
      </c>
      <c r="W61" s="33">
        <f t="shared" si="5"/>
        <v>-1.3680187657396359E-3</v>
      </c>
      <c r="X61" s="35">
        <f t="shared" si="6"/>
        <v>3.6394827889809408E-4</v>
      </c>
      <c r="Y61" s="33">
        <f t="shared" si="7"/>
        <v>1.4239066495613313E-3</v>
      </c>
      <c r="Z61" s="54"/>
    </row>
    <row r="62" spans="15:26" x14ac:dyDescent="0.25">
      <c r="O62" s="35" t="s">
        <v>30</v>
      </c>
      <c r="P62" s="31">
        <f>_xll.qlCalendarAdvance(Calendar,P61,O61,"f",,Trigger)</f>
        <v>42205</v>
      </c>
      <c r="Q62" s="31">
        <f>_xll.qlInterestRateIndexValueDate(Index,P62,Trigger)</f>
        <v>42207</v>
      </c>
      <c r="R62" s="31">
        <f>_xll.qlInterestRateIndexMaturity(Index,Q62,Trigger)</f>
        <v>42299</v>
      </c>
      <c r="S62" s="32">
        <f>_xll.qlDayCounterYearFraction(DayCounter,Q62,R62,,,Trigger)</f>
        <v>0.25555555555555554</v>
      </c>
      <c r="T62" s="33">
        <f>_xll.qlIndexFixing(Index,P62,,AllTriggers)</f>
        <v>5.6023854174932936E-5</v>
      </c>
      <c r="U62" s="34">
        <f>_xll.qlYieldTSDiscount(OisCurve,Q62,,AllTriggers)</f>
        <v>1.0002443539730776</v>
      </c>
      <c r="V62" s="34">
        <f>_xll.qlYieldTSDiscount(OisCurve,R62,,AllTriggers)</f>
        <v>1.000594770643241</v>
      </c>
      <c r="W62" s="33">
        <f t="shared" si="5"/>
        <v>-1.370380603703536E-3</v>
      </c>
      <c r="X62" s="35">
        <f t="shared" si="6"/>
        <v>3.6458681846427717E-4</v>
      </c>
      <c r="Y62" s="33">
        <f t="shared" si="7"/>
        <v>1.4264044578784689E-3</v>
      </c>
      <c r="Z62" s="54"/>
    </row>
    <row r="63" spans="15:26" x14ac:dyDescent="0.25">
      <c r="O63" s="35" t="s">
        <v>30</v>
      </c>
      <c r="P63" s="31">
        <f>_xll.qlCalendarAdvance(Calendar,P62,O62,"f",,Trigger)</f>
        <v>42206</v>
      </c>
      <c r="Q63" s="31">
        <f>_xll.qlInterestRateIndexValueDate(Index,P63,Trigger)</f>
        <v>42208</v>
      </c>
      <c r="R63" s="31">
        <f>_xll.qlInterestRateIndexMaturity(Index,Q63,Trigger)</f>
        <v>42300</v>
      </c>
      <c r="S63" s="32">
        <f>_xll.qlDayCounterYearFraction(DayCounter,Q63,R63,,,Trigger)</f>
        <v>0.25555555555555554</v>
      </c>
      <c r="T63" s="33">
        <f>_xll.qlIndexFixing(Index,P63,,AllTriggers)</f>
        <v>5.6087160979079662E-5</v>
      </c>
      <c r="U63" s="34">
        <f>_xll.qlYieldTSDiscount(OisCurve,Q63,,AllTriggers)</f>
        <v>1.0002478161655164</v>
      </c>
      <c r="V63" s="34">
        <f>_xll.qlYieldTSDiscount(OisCurve,R63,,AllTriggers)</f>
        <v>1.0005988623037343</v>
      </c>
      <c r="W63" s="33">
        <f t="shared" si="5"/>
        <v>-1.3728366615962518E-3</v>
      </c>
      <c r="X63" s="35">
        <f t="shared" si="6"/>
        <v>3.6523087596285685E-4</v>
      </c>
      <c r="Y63" s="33">
        <f t="shared" si="7"/>
        <v>1.4289238225753315E-3</v>
      </c>
      <c r="Z63" s="54"/>
    </row>
    <row r="64" spans="15:26" x14ac:dyDescent="0.25">
      <c r="O64" s="35" t="s">
        <v>30</v>
      </c>
      <c r="P64" s="31">
        <f>_xll.qlCalendarAdvance(Calendar,P63,O63,"f",,Trigger)</f>
        <v>42207</v>
      </c>
      <c r="Q64" s="31">
        <f>_xll.qlInterestRateIndexValueDate(Index,P64,Trigger)</f>
        <v>42209</v>
      </c>
      <c r="R64" s="31">
        <f>_xll.qlInterestRateIndexMaturity(Index,Q64,Trigger)</f>
        <v>42303</v>
      </c>
      <c r="S64" s="32">
        <f>_xll.qlDayCounterYearFraction(DayCounter,Q64,R64,,,Trigger)</f>
        <v>0.26111111111111113</v>
      </c>
      <c r="T64" s="33">
        <f>_xll.qlIndexFixing(Index,P64,,AllTriggers)</f>
        <v>5.4321477757670499E-5</v>
      </c>
      <c r="U64" s="34">
        <f>_xll.qlYieldTSDiscount(OisCurve,Q64,,AllTriggers)</f>
        <v>1.0002512377400394</v>
      </c>
      <c r="V64" s="34">
        <f>_xll.qlYieldTSDiscount(OisCurve,R64,,AllTriggers)</f>
        <v>1.0006109659410849</v>
      </c>
      <c r="W64" s="33">
        <f t="shared" si="5"/>
        <v>-1.3768412689673742E-3</v>
      </c>
      <c r="X64" s="35">
        <f t="shared" si="6"/>
        <v>3.7375703307972852E-4</v>
      </c>
      <c r="Y64" s="33">
        <f t="shared" si="7"/>
        <v>1.4311627467250446E-3</v>
      </c>
      <c r="Z64" s="54"/>
    </row>
    <row r="65" spans="15:26" x14ac:dyDescent="0.25">
      <c r="O65" s="35" t="s">
        <v>30</v>
      </c>
      <c r="P65" s="31">
        <f>_xll.qlCalendarAdvance(Calendar,P64,O64,"f",,Trigger)</f>
        <v>42208</v>
      </c>
      <c r="Q65" s="31">
        <f>_xll.qlInterestRateIndexValueDate(Index,P65,Trigger)</f>
        <v>42212</v>
      </c>
      <c r="R65" s="31">
        <f>_xll.qlInterestRateIndexMaturity(Index,Q65,Trigger)</f>
        <v>42304</v>
      </c>
      <c r="S65" s="32">
        <f>_xll.qlDayCounterYearFraction(DayCounter,Q65,R65,,,Trigger)</f>
        <v>0.25555555555555554</v>
      </c>
      <c r="T65" s="33">
        <f>_xll.qlIndexFixing(Index,P65,,AllTriggers)</f>
        <v>5.5562788179984388E-5</v>
      </c>
      <c r="U65" s="34">
        <f>_xll.qlYieldTSDiscount(OisCurve,Q65,,AllTriggers)</f>
        <v>1.0002613387309895</v>
      </c>
      <c r="V65" s="34">
        <f>_xll.qlYieldTSDiscount(OisCurve,R65,,AllTriggers)</f>
        <v>1.000614931332412</v>
      </c>
      <c r="W65" s="33">
        <f t="shared" si="5"/>
        <v>-1.3827729125678264E-3</v>
      </c>
      <c r="X65" s="35">
        <f t="shared" si="6"/>
        <v>3.6763703003398857E-4</v>
      </c>
      <c r="Y65" s="33">
        <f t="shared" si="7"/>
        <v>1.4383357007478109E-3</v>
      </c>
      <c r="Z65" s="54"/>
    </row>
    <row r="66" spans="15:26" x14ac:dyDescent="0.25">
      <c r="O66" s="35" t="s">
        <v>30</v>
      </c>
      <c r="P66" s="31">
        <f>_xll.qlCalendarAdvance(Calendar,P65,O65,"f",,Trigger)</f>
        <v>42209</v>
      </c>
      <c r="Q66" s="31">
        <f>_xll.qlInterestRateIndexValueDate(Index,P66,Trigger)</f>
        <v>42213</v>
      </c>
      <c r="R66" s="31">
        <f>_xll.qlInterestRateIndexMaturity(Index,Q66,Trigger)</f>
        <v>42305</v>
      </c>
      <c r="S66" s="32">
        <f>_xll.qlDayCounterYearFraction(DayCounter,Q66,R66,,,Trigger)</f>
        <v>0.25555555555555554</v>
      </c>
      <c r="T66" s="33">
        <f>_xll.qlIndexFixing(Index,P66,,AllTriggers)</f>
        <v>5.5224553892449876E-5</v>
      </c>
      <c r="U66" s="34">
        <f>_xll.qlYieldTSDiscount(OisCurve,Q66,,AllTriggers)</f>
        <v>1.0002646778092781</v>
      </c>
      <c r="V66" s="34">
        <f>_xll.qlYieldTSDiscount(OisCurve,R66,,AllTriggers)</f>
        <v>1.0006188561265017</v>
      </c>
      <c r="W66" s="33">
        <f t="shared" si="5"/>
        <v>-1.3850580027227491E-3</v>
      </c>
      <c r="X66" s="35">
        <f t="shared" si="6"/>
        <v>3.6813476769377953E-4</v>
      </c>
      <c r="Y66" s="33">
        <f t="shared" si="7"/>
        <v>1.440282556615199E-3</v>
      </c>
      <c r="Z66" s="54"/>
    </row>
    <row r="67" spans="15:26" x14ac:dyDescent="0.25">
      <c r="O67" s="35" t="s">
        <v>30</v>
      </c>
      <c r="P67" s="31">
        <f>_xll.qlCalendarAdvance(Calendar,P66,O66,"f",,Trigger)</f>
        <v>42212</v>
      </c>
      <c r="Q67" s="31">
        <f>_xll.qlInterestRateIndexValueDate(Index,P67,Trigger)</f>
        <v>42214</v>
      </c>
      <c r="R67" s="31">
        <f>_xll.qlInterestRateIndexMaturity(Index,Q67,Trigger)</f>
        <v>42306</v>
      </c>
      <c r="S67" s="32">
        <f>_xll.qlDayCounterYearFraction(DayCounter,Q67,R67,,,Trigger)</f>
        <v>0.25555555555555554</v>
      </c>
      <c r="T67" s="33">
        <f>_xll.qlIndexFixing(Index,P67,,AllTriggers)</f>
        <v>5.4798366755563954E-5</v>
      </c>
      <c r="U67" s="34">
        <f>_xll.qlYieldTSDiscount(OisCurve,Q67,,AllTriggers)</f>
        <v>1.0002680162579118</v>
      </c>
      <c r="V67" s="34">
        <f>_xll.qlYieldTSDiscount(OisCurve,R67,,AllTriggers)</f>
        <v>1.0006227378943759</v>
      </c>
      <c r="W67" s="33">
        <f t="shared" si="5"/>
        <v>-1.3871773382689375E-3</v>
      </c>
      <c r="X67" s="35">
        <f t="shared" si="6"/>
        <v>3.6856765462914954E-4</v>
      </c>
      <c r="Y67" s="33">
        <f t="shared" si="7"/>
        <v>1.4419757050245013E-3</v>
      </c>
      <c r="Z67" s="54"/>
    </row>
    <row r="68" spans="15:26" x14ac:dyDescent="0.25">
      <c r="O68" s="35" t="s">
        <v>30</v>
      </c>
      <c r="P68" s="31">
        <f>_xll.qlCalendarAdvance(Calendar,P67,O67,"f",,Trigger)</f>
        <v>42213</v>
      </c>
      <c r="Q68" s="31">
        <f>_xll.qlInterestRateIndexValueDate(Index,P68,Trigger)</f>
        <v>42215</v>
      </c>
      <c r="R68" s="31">
        <f>_xll.qlInterestRateIndexMaturity(Index,Q68,Trigger)</f>
        <v>42307</v>
      </c>
      <c r="S68" s="32">
        <f>_xll.qlDayCounterYearFraction(DayCounter,Q68,R68,,,Trigger)</f>
        <v>0.25555555555555554</v>
      </c>
      <c r="T68" s="33">
        <f>_xll.qlIndexFixing(Index,P68,,AllTriggers)</f>
        <v>5.4282052150580661E-5</v>
      </c>
      <c r="U68" s="34">
        <f>_xll.qlYieldTSDiscount(OisCurve,Q68,,AllTriggers)</f>
        <v>1.0002713609713028</v>
      </c>
      <c r="V68" s="34">
        <f>_xll.qlYieldTSDiscount(OisCurve,R68,,AllTriggers)</f>
        <v>1.0006265789394677</v>
      </c>
      <c r="W68" s="33">
        <f t="shared" ref="W68:W131" si="15">(U68/V68-1)/S68</f>
        <v>-1.3891129647606354E-3</v>
      </c>
      <c r="X68" s="35">
        <f t="shared" ref="X68:X131" si="16">LN((1+T68*S68)/(1+W68*S68))</f>
        <v>3.68930545047835E-4</v>
      </c>
      <c r="Y68" s="33">
        <f t="shared" ref="Y68:Y131" si="17">T68-W68</f>
        <v>1.443395016911216E-3</v>
      </c>
      <c r="Z68" s="54"/>
    </row>
    <row r="69" spans="15:26" x14ac:dyDescent="0.25">
      <c r="O69" s="35" t="s">
        <v>30</v>
      </c>
      <c r="P69" s="31">
        <f>_xll.qlCalendarAdvance(Calendar,P68,O68,"f",,Trigger)</f>
        <v>42214</v>
      </c>
      <c r="Q69" s="31">
        <f>_xll.qlInterestRateIndexValueDate(Index,P69,Trigger)</f>
        <v>42216</v>
      </c>
      <c r="R69" s="31">
        <f>_xll.qlInterestRateIndexMaturity(Index,Q69,Trigger)</f>
        <v>42307</v>
      </c>
      <c r="S69" s="32">
        <f>_xll.qlDayCounterYearFraction(DayCounter,Q69,R69,,,Trigger)</f>
        <v>0.25277777777777777</v>
      </c>
      <c r="T69" s="33">
        <f>_xll.qlIndexFixing(Index,P69,,AllTriggers)</f>
        <v>5.4671416402381474E-5</v>
      </c>
      <c r="U69" s="34">
        <f>_xll.qlYieldTSDiscount(OisCurve,Q69,,AllTriggers)</f>
        <v>1.0002747144296831</v>
      </c>
      <c r="V69" s="34">
        <f>_xll.qlYieldTSDiscount(OisCurve,R69,,AllTriggers)</f>
        <v>1.0006265789394677</v>
      </c>
      <c r="W69" s="33">
        <f t="shared" si="15"/>
        <v>-1.3911198208980027E-3</v>
      </c>
      <c r="X69" s="35">
        <f t="shared" si="16"/>
        <v>3.6552564191536478E-4</v>
      </c>
      <c r="Y69" s="33">
        <f t="shared" si="17"/>
        <v>1.4457912373003841E-3</v>
      </c>
      <c r="Z69" s="54"/>
    </row>
    <row r="70" spans="15:26" x14ac:dyDescent="0.25">
      <c r="O70" s="35" t="s">
        <v>30</v>
      </c>
      <c r="P70" s="31">
        <f>_xll.qlCalendarAdvance(Calendar,P69,O69,"f",,Trigger)</f>
        <v>42215</v>
      </c>
      <c r="Q70" s="31">
        <f>_xll.qlInterestRateIndexValueDate(Index,P70,Trigger)</f>
        <v>42219</v>
      </c>
      <c r="R70" s="31">
        <f>_xll.qlInterestRateIndexMaturity(Index,Q70,Trigger)</f>
        <v>42311</v>
      </c>
      <c r="S70" s="32">
        <f>_xll.qlDayCounterYearFraction(DayCounter,Q70,R70,,,Trigger)</f>
        <v>0.25555555555555554</v>
      </c>
      <c r="T70" s="33">
        <f>_xll.qlIndexFixing(Index,P70,,AllTriggers)</f>
        <v>5.1355428382034468E-5</v>
      </c>
      <c r="U70" s="34">
        <f>_xll.qlYieldTSDiscount(OisCurve,Q70,,AllTriggers)</f>
        <v>1.0002848410417928</v>
      </c>
      <c r="V70" s="34">
        <f>_xll.qlYieldTSDiscount(OisCurve,R70,,AllTriggers)</f>
        <v>1.0006416056246399</v>
      </c>
      <c r="W70" s="33">
        <f t="shared" si="15"/>
        <v>-1.3951401943882013E-3</v>
      </c>
      <c r="X70" s="35">
        <f t="shared" si="16"/>
        <v>3.6972348037418978E-4</v>
      </c>
      <c r="Y70" s="33">
        <f t="shared" si="17"/>
        <v>1.4464956227702357E-3</v>
      </c>
      <c r="Z70" s="54"/>
    </row>
    <row r="71" spans="15:26" x14ac:dyDescent="0.25">
      <c r="O71" s="35" t="s">
        <v>30</v>
      </c>
      <c r="P71" s="31">
        <f>_xll.qlCalendarAdvance(Calendar,P70,O70,"f",,Trigger)</f>
        <v>42216</v>
      </c>
      <c r="Q71" s="31">
        <f>_xll.qlInterestRateIndexValueDate(Index,P71,Trigger)</f>
        <v>42220</v>
      </c>
      <c r="R71" s="31">
        <f>_xll.qlInterestRateIndexMaturity(Index,Q71,Trigger)</f>
        <v>42312</v>
      </c>
      <c r="S71" s="32">
        <f>_xll.qlDayCounterYearFraction(DayCounter,Q71,R71,,,Trigger)</f>
        <v>0.25555555555555554</v>
      </c>
      <c r="T71" s="33">
        <f>_xll.qlIndexFixing(Index,P71,,AllTriggers)</f>
        <v>5.0421831398834818E-5</v>
      </c>
      <c r="U71" s="34">
        <f>_xll.qlYieldTSDiscount(OisCurve,Q71,,AllTriggers)</f>
        <v>1.0002882432472582</v>
      </c>
      <c r="V71" s="34">
        <f>_xll.qlYieldTSDiscount(OisCurve,R71,,AllTriggers)</f>
        <v>1.0006452953557823</v>
      </c>
      <c r="W71" s="33">
        <f t="shared" si="15"/>
        <v>-1.3962594249373112E-3</v>
      </c>
      <c r="X71" s="35">
        <f t="shared" si="16"/>
        <v>3.6977102522157919E-4</v>
      </c>
      <c r="Y71" s="33">
        <f t="shared" si="17"/>
        <v>1.4466812563361461E-3</v>
      </c>
      <c r="Z71" s="54"/>
    </row>
    <row r="72" spans="15:26" x14ac:dyDescent="0.25">
      <c r="O72" s="35" t="s">
        <v>30</v>
      </c>
      <c r="P72" s="31">
        <f>_xll.qlCalendarAdvance(Calendar,P71,O71,"f",,Trigger)</f>
        <v>42219</v>
      </c>
      <c r="Q72" s="31">
        <f>_xll.qlInterestRateIndexValueDate(Index,P72,Trigger)</f>
        <v>42221</v>
      </c>
      <c r="R72" s="31">
        <f>_xll.qlInterestRateIndexMaturity(Index,Q72,Trigger)</f>
        <v>42313</v>
      </c>
      <c r="S72" s="32">
        <f>_xll.qlDayCounterYearFraction(DayCounter,Q72,R72,,,Trigger)</f>
        <v>0.25555555555555554</v>
      </c>
      <c r="T72" s="33">
        <f>_xll.qlIndexFixing(Index,P72,,AllTriggers)</f>
        <v>4.9412818129375729E-5</v>
      </c>
      <c r="U72" s="34">
        <f>_xll.qlYieldTSDiscount(OisCurve,Q72,,AllTriggers)</f>
        <v>1.0002916610813719</v>
      </c>
      <c r="V72" s="34">
        <f>_xll.qlYieldTSDiscount(OisCurve,R72,,AllTriggers)</f>
        <v>1.0006489652845136</v>
      </c>
      <c r="W72" s="33">
        <f t="shared" si="15"/>
        <v>-1.3972401215260309E-3</v>
      </c>
      <c r="X72" s="35">
        <f t="shared" si="16"/>
        <v>3.6976388151695151E-4</v>
      </c>
      <c r="Y72" s="33">
        <f t="shared" si="17"/>
        <v>1.4466529396554065E-3</v>
      </c>
      <c r="Z72" s="54"/>
    </row>
    <row r="73" spans="15:26" x14ac:dyDescent="0.25">
      <c r="O73" s="35" t="s">
        <v>30</v>
      </c>
      <c r="P73" s="31">
        <f>_xll.qlCalendarAdvance(Calendar,P72,O72,"f",,Trigger)</f>
        <v>42220</v>
      </c>
      <c r="Q73" s="31">
        <f>_xll.qlInterestRateIndexValueDate(Index,P73,Trigger)</f>
        <v>42222</v>
      </c>
      <c r="R73" s="31">
        <f>_xll.qlInterestRateIndexMaturity(Index,Q73,Trigger)</f>
        <v>42314</v>
      </c>
      <c r="S73" s="32">
        <f>_xll.qlDayCounterYearFraction(DayCounter,Q73,R73,,,Trigger)</f>
        <v>0.25555555555555554</v>
      </c>
      <c r="T73" s="33">
        <f>_xll.qlIndexFixing(Index,P73,,AllTriggers)</f>
        <v>4.8331068640260639E-5</v>
      </c>
      <c r="U73" s="34">
        <f>_xll.qlYieldTSDiscount(OisCurve,Q73,,AllTriggers)</f>
        <v>1.0002950959209236</v>
      </c>
      <c r="V73" s="34">
        <f>_xll.qlYieldTSDiscount(OisCurve,R73,,AllTriggers)</f>
        <v>1.0006526188977514</v>
      </c>
      <c r="W73" s="33">
        <f t="shared" si="15"/>
        <v>-1.3980905325020176E-3</v>
      </c>
      <c r="X73" s="35">
        <f t="shared" si="16"/>
        <v>3.6970484278009105E-4</v>
      </c>
      <c r="Y73" s="33">
        <f t="shared" si="17"/>
        <v>1.4464216011422781E-3</v>
      </c>
      <c r="Z73" s="54"/>
    </row>
    <row r="74" spans="15:26" x14ac:dyDescent="0.25">
      <c r="O74" s="35" t="s">
        <v>30</v>
      </c>
      <c r="P74" s="31">
        <f>_xll.qlCalendarAdvance(Calendar,P73,O73,"f",,Trigger)</f>
        <v>42221</v>
      </c>
      <c r="Q74" s="31">
        <f>_xll.qlInterestRateIndexValueDate(Index,P74,Trigger)</f>
        <v>42223</v>
      </c>
      <c r="R74" s="31">
        <f>_xll.qlInterestRateIndexMaturity(Index,Q74,Trigger)</f>
        <v>42317</v>
      </c>
      <c r="S74" s="32">
        <f>_xll.qlDayCounterYearFraction(DayCounter,Q74,R74,,,Trigger)</f>
        <v>0.26111111111111113</v>
      </c>
      <c r="T74" s="33">
        <f>_xll.qlIndexFixing(Index,P74,,AllTriggers)</f>
        <v>4.5097884472779737E-5</v>
      </c>
      <c r="U74" s="34">
        <f>_xll.qlYieldTSDiscount(OisCurve,Q74,,AllTriggers)</f>
        <v>1.0002985491427228</v>
      </c>
      <c r="V74" s="34">
        <f>_xll.qlYieldTSDiscount(OisCurve,R74,,AllTriggers)</f>
        <v>1.0006635167144526</v>
      </c>
      <c r="W74" s="33">
        <f t="shared" si="15"/>
        <v>-1.3968213327491268E-3</v>
      </c>
      <c r="X74" s="35">
        <f t="shared" si="16"/>
        <v>3.7656758815775607E-4</v>
      </c>
      <c r="Y74" s="33">
        <f t="shared" si="17"/>
        <v>1.4419192172219065E-3</v>
      </c>
      <c r="Z74" s="54"/>
    </row>
    <row r="75" spans="15:26" x14ac:dyDescent="0.25">
      <c r="O75" s="35" t="s">
        <v>30</v>
      </c>
      <c r="P75" s="31">
        <f>_xll.qlCalendarAdvance(Calendar,P74,O74,"f",,Trigger)</f>
        <v>42222</v>
      </c>
      <c r="Q75" s="31">
        <f>_xll.qlInterestRateIndexValueDate(Index,P75,Trigger)</f>
        <v>42226</v>
      </c>
      <c r="R75" s="31">
        <f>_xll.qlInterestRateIndexMaturity(Index,Q75,Trigger)</f>
        <v>42318</v>
      </c>
      <c r="S75" s="32">
        <f>_xll.qlDayCounterYearFraction(DayCounter,Q75,R75,,,Trigger)</f>
        <v>0.25555555555555554</v>
      </c>
      <c r="T75" s="33">
        <f>_xll.qlIndexFixing(Index,P75,,AllTriggers)</f>
        <v>4.3330309868834341E-5</v>
      </c>
      <c r="U75" s="34">
        <f>_xll.qlYieldTSDiscount(OisCurve,Q75,,AllTriggers)</f>
        <v>1.0003090328699975</v>
      </c>
      <c r="V75" s="34">
        <f>_xll.qlYieldTSDiscount(OisCurve,R75,,AllTriggers)</f>
        <v>1.0006671399359206</v>
      </c>
      <c r="W75" s="33">
        <f t="shared" si="15"/>
        <v>-1.4003542865605723E-3</v>
      </c>
      <c r="X75" s="35">
        <f t="shared" si="16"/>
        <v>3.6900560792689507E-4</v>
      </c>
      <c r="Y75" s="33">
        <f t="shared" si="17"/>
        <v>1.4436845964294067E-3</v>
      </c>
      <c r="Z75" s="54"/>
    </row>
    <row r="76" spans="15:26" x14ac:dyDescent="0.25">
      <c r="O76" s="35" t="s">
        <v>30</v>
      </c>
      <c r="P76" s="31">
        <f>_xll.qlCalendarAdvance(Calendar,P75,O75,"f",,Trigger)</f>
        <v>42223</v>
      </c>
      <c r="Q76" s="31">
        <f>_xll.qlInterestRateIndexValueDate(Index,P76,Trigger)</f>
        <v>42227</v>
      </c>
      <c r="R76" s="31">
        <f>_xll.qlInterestRateIndexMaturity(Index,Q76,Trigger)</f>
        <v>42319</v>
      </c>
      <c r="S76" s="32">
        <f>_xll.qlDayCounterYearFraction(DayCounter,Q76,R76,,,Trigger)</f>
        <v>0.25555555555555554</v>
      </c>
      <c r="T76" s="33">
        <f>_xll.qlIndexFixing(Index,P76,,AllTriggers)</f>
        <v>4.1925080321327513E-5</v>
      </c>
      <c r="U76" s="34">
        <f>_xll.qlYieldTSDiscount(OisCurve,Q76,,AllTriggers)</f>
        <v>1.0003125733892819</v>
      </c>
      <c r="V76" s="34">
        <f>_xll.qlYieldTSDiscount(OisCurve,R76,,AllTriggers)</f>
        <v>1.0006707642772512</v>
      </c>
      <c r="W76" s="33">
        <f t="shared" si="15"/>
        <v>-1.4006769940491299E-3</v>
      </c>
      <c r="X76" s="35">
        <f t="shared" si="16"/>
        <v>3.6872899683987613E-4</v>
      </c>
      <c r="Y76" s="33">
        <f t="shared" si="17"/>
        <v>1.4426020743704574E-3</v>
      </c>
      <c r="Z76" s="54"/>
    </row>
    <row r="77" spans="15:26" x14ac:dyDescent="0.25">
      <c r="O77" s="35" t="s">
        <v>30</v>
      </c>
      <c r="P77" s="31">
        <f>_xll.qlCalendarAdvance(Calendar,P76,O76,"f",,Trigger)</f>
        <v>42226</v>
      </c>
      <c r="Q77" s="31">
        <f>_xll.qlInterestRateIndexValueDate(Index,P77,Trigger)</f>
        <v>42228</v>
      </c>
      <c r="R77" s="31">
        <f>_xll.qlInterestRateIndexMaturity(Index,Q77,Trigger)</f>
        <v>42320</v>
      </c>
      <c r="S77" s="32">
        <f>_xll.qlDayCounterYearFraction(DayCounter,Q77,R77,,,Trigger)</f>
        <v>0.25555555555555554</v>
      </c>
      <c r="T77" s="33">
        <f>_xll.qlIndexFixing(Index,P77,,AllTriggers)</f>
        <v>4.0463194968556039E-5</v>
      </c>
      <c r="U77" s="34">
        <f>_xll.qlYieldTSDiscount(OisCurve,Q77,,AllTriggers)</f>
        <v>1.0003161391751656</v>
      </c>
      <c r="V77" s="34">
        <f>_xll.qlYieldTSDiscount(OisCurve,R77,,AllTriggers)</f>
        <v>1.0006743932256681</v>
      </c>
      <c r="W77" s="33">
        <f t="shared" si="15"/>
        <v>-1.4009189056594386E-3</v>
      </c>
      <c r="X77" s="35">
        <f t="shared" si="16"/>
        <v>3.6841725184443474E-4</v>
      </c>
      <c r="Y77" s="33">
        <f t="shared" si="17"/>
        <v>1.4413821006279946E-3</v>
      </c>
      <c r="Z77" s="54"/>
    </row>
    <row r="78" spans="15:26" x14ac:dyDescent="0.25">
      <c r="O78" s="35" t="s">
        <v>30</v>
      </c>
      <c r="P78" s="31">
        <f>_xll.qlCalendarAdvance(Calendar,P77,O77,"f",,Trigger)</f>
        <v>42227</v>
      </c>
      <c r="Q78" s="31">
        <f>_xll.qlInterestRateIndexValueDate(Index,P78,Trigger)</f>
        <v>42229</v>
      </c>
      <c r="R78" s="31">
        <f>_xll.qlInterestRateIndexMaturity(Index,Q78,Trigger)</f>
        <v>42321</v>
      </c>
      <c r="S78" s="32">
        <f>_xll.qlDayCounterYearFraction(DayCounter,Q78,R78,,,Trigger)</f>
        <v>0.25555555555555554</v>
      </c>
      <c r="T78" s="33">
        <f>_xll.qlIndexFixing(Index,P78,,AllTriggers)</f>
        <v>3.894733387886108E-5</v>
      </c>
      <c r="U78" s="34">
        <f>_xll.qlYieldTSDiscount(OisCurve,Q78,,AllTriggers)</f>
        <v>1.0003197316045813</v>
      </c>
      <c r="V78" s="34">
        <f>_xll.qlYieldTSDiscount(OisCurve,R78,,AllTriggers)</f>
        <v>1.000678030268445</v>
      </c>
      <c r="W78" s="33">
        <f t="shared" si="15"/>
        <v>-1.4010882696457523E-3</v>
      </c>
      <c r="X78" s="35">
        <f t="shared" si="16"/>
        <v>3.680731664618601E-4</v>
      </c>
      <c r="Y78" s="33">
        <f t="shared" si="17"/>
        <v>1.4400356035246134E-3</v>
      </c>
      <c r="Z78" s="54"/>
    </row>
    <row r="79" spans="15:26" x14ac:dyDescent="0.25">
      <c r="O79" s="35" t="s">
        <v>30</v>
      </c>
      <c r="P79" s="31">
        <f>_xll.qlCalendarAdvance(Calendar,P78,O78,"f",,Trigger)</f>
        <v>42228</v>
      </c>
      <c r="Q79" s="31">
        <f>_xll.qlInterestRateIndexValueDate(Index,P79,Trigger)</f>
        <v>42230</v>
      </c>
      <c r="R79" s="31">
        <f>_xll.qlInterestRateIndexMaturity(Index,Q79,Trigger)</f>
        <v>42324</v>
      </c>
      <c r="S79" s="32">
        <f>_xll.qlDayCounterYearFraction(DayCounter,Q79,R79,,,Trigger)</f>
        <v>0.26111111111111113</v>
      </c>
      <c r="T79" s="33">
        <f>_xll.qlIndexFixing(Index,P79,,AllTriggers)</f>
        <v>3.5310479053037167E-5</v>
      </c>
      <c r="U79" s="34">
        <f>_xll.qlYieldTSDiscount(OisCurve,Q79,,AllTriggers)</f>
        <v>1.000323352054485</v>
      </c>
      <c r="V79" s="34">
        <f>_xll.qlYieldTSDiscount(OisCurve,R79,,AllTriggers)</f>
        <v>1.0006890248364408</v>
      </c>
      <c r="W79" s="33">
        <f t="shared" si="15"/>
        <v>-1.3994846724740592E-3</v>
      </c>
      <c r="X79" s="35">
        <f t="shared" si="16"/>
        <v>3.7470769625110186E-4</v>
      </c>
      <c r="Y79" s="33">
        <f t="shared" si="17"/>
        <v>1.4347951515270964E-3</v>
      </c>
      <c r="Z79" s="54"/>
    </row>
    <row r="80" spans="15:26" x14ac:dyDescent="0.25">
      <c r="O80" s="35" t="s">
        <v>30</v>
      </c>
      <c r="P80" s="31">
        <f>_xll.qlCalendarAdvance(Calendar,P79,O79,"f",,Trigger)</f>
        <v>42229</v>
      </c>
      <c r="Q80" s="31">
        <f>_xll.qlInterestRateIndexValueDate(Index,P80,Trigger)</f>
        <v>42233</v>
      </c>
      <c r="R80" s="31">
        <f>_xll.qlInterestRateIndexMaturity(Index,Q80,Trigger)</f>
        <v>42325</v>
      </c>
      <c r="S80" s="32">
        <f>_xll.qlDayCounterYearFraction(DayCounter,Q80,R80,,,Trigger)</f>
        <v>0.25555555555555554</v>
      </c>
      <c r="T80" s="33">
        <f>_xll.qlIndexFixing(Index,P80,,AllTriggers)</f>
        <v>3.2397733395159051E-5</v>
      </c>
      <c r="U80" s="34">
        <f>_xll.qlYieldTSDiscount(OisCurve,Q80,,AllTriggers)</f>
        <v>1.0003343952970103</v>
      </c>
      <c r="V80" s="34">
        <f>_xll.qlYieldTSDiscount(OisCurve,R80,,AllTriggers)</f>
        <v>1.0006927291304204</v>
      </c>
      <c r="W80" s="33">
        <f t="shared" si="15"/>
        <v>-1.401205214195883E-3</v>
      </c>
      <c r="X80" s="35">
        <f t="shared" si="16"/>
        <v>3.6642929146472923E-4</v>
      </c>
      <c r="Y80" s="33">
        <f t="shared" si="17"/>
        <v>1.4336029475910421E-3</v>
      </c>
      <c r="Z80" s="54"/>
    </row>
    <row r="81" spans="15:26" x14ac:dyDescent="0.25">
      <c r="O81" s="35" t="s">
        <v>30</v>
      </c>
      <c r="P81" s="31">
        <f>_xll.qlCalendarAdvance(Calendar,P80,O80,"f",,Trigger)</f>
        <v>42230</v>
      </c>
      <c r="Q81" s="31">
        <f>_xll.qlInterestRateIndexValueDate(Index,P81,Trigger)</f>
        <v>42234</v>
      </c>
      <c r="R81" s="31">
        <f>_xll.qlInterestRateIndexMaturity(Index,Q81,Trigger)</f>
        <v>42326</v>
      </c>
      <c r="S81" s="32">
        <f>_xll.qlDayCounterYearFraction(DayCounter,Q81,R81,,,Trigger)</f>
        <v>0.25555555555555554</v>
      </c>
      <c r="T81" s="33">
        <f>_xll.qlIndexFixing(Index,P81,,AllTriggers)</f>
        <v>3.0652194536486533E-5</v>
      </c>
      <c r="U81" s="34">
        <f>_xll.qlYieldTSDiscount(OisCurve,Q81,,AllTriggers)</f>
        <v>1.0003381415988677</v>
      </c>
      <c r="V81" s="34">
        <f>_xll.qlYieldTSDiscount(OisCurve,R81,,AllTriggers)</f>
        <v>1.0006964589559015</v>
      </c>
      <c r="W81" s="33">
        <f t="shared" si="15"/>
        <v>-1.4011355636770523E-3</v>
      </c>
      <c r="X81" s="35">
        <f t="shared" si="16"/>
        <v>3.6596540695266617E-4</v>
      </c>
      <c r="Y81" s="33">
        <f t="shared" si="17"/>
        <v>1.4317877582135387E-3</v>
      </c>
      <c r="Z81" s="54"/>
    </row>
    <row r="82" spans="15:26" x14ac:dyDescent="0.25">
      <c r="O82" s="35" t="s">
        <v>30</v>
      </c>
      <c r="P82" s="31">
        <f>_xll.qlCalendarAdvance(Calendar,P81,O81,"f",,Trigger)</f>
        <v>42233</v>
      </c>
      <c r="Q82" s="31">
        <f>_xll.qlInterestRateIndexValueDate(Index,P82,Trigger)</f>
        <v>42235</v>
      </c>
      <c r="R82" s="31">
        <f>_xll.qlInterestRateIndexMaturity(Index,Q82,Trigger)</f>
        <v>42327</v>
      </c>
      <c r="S82" s="32">
        <f>_xll.qlDayCounterYearFraction(DayCounter,Q82,R82,,,Trigger)</f>
        <v>0.25555555555555554</v>
      </c>
      <c r="T82" s="33">
        <f>_xll.qlIndexFixing(Index,P82,,AllTriggers)</f>
        <v>2.8868760286641144E-5</v>
      </c>
      <c r="U82" s="34">
        <f>_xll.qlYieldTSDiscount(OisCurve,Q82,,AllTriggers)</f>
        <v>1.0003419228063306</v>
      </c>
      <c r="V82" s="34">
        <f>_xll.qlYieldTSDiscount(OisCurve,R82,,AllTriggers)</f>
        <v>1.0007002178004702</v>
      </c>
      <c r="W82" s="33">
        <f t="shared" si="15"/>
        <v>-1.4010428549654751E-3</v>
      </c>
      <c r="X82" s="35">
        <f t="shared" si="16"/>
        <v>3.6548594317611574E-4</v>
      </c>
      <c r="Y82" s="33">
        <f t="shared" si="17"/>
        <v>1.4299116152521163E-3</v>
      </c>
      <c r="Z82" s="54"/>
    </row>
    <row r="83" spans="15:26" x14ac:dyDescent="0.25">
      <c r="O83" s="35" t="s">
        <v>30</v>
      </c>
      <c r="P83" s="31">
        <f>_xll.qlCalendarAdvance(Calendar,P82,O82,"f",,Trigger)</f>
        <v>42234</v>
      </c>
      <c r="Q83" s="31">
        <f>_xll.qlInterestRateIndexValueDate(Index,P83,Trigger)</f>
        <v>42236</v>
      </c>
      <c r="R83" s="31">
        <f>_xll.qlInterestRateIndexMaturity(Index,Q83,Trigger)</f>
        <v>42328</v>
      </c>
      <c r="S83" s="32">
        <f>_xll.qlDayCounterYearFraction(DayCounter,Q83,R83,,,Trigger)</f>
        <v>0.25555555555555554</v>
      </c>
      <c r="T83" s="33">
        <f>_xll.qlIndexFixing(Index,P83,,AllTriggers)</f>
        <v>2.70501106948489E-5</v>
      </c>
      <c r="U83" s="34">
        <f>_xll.qlYieldTSDiscount(OisCurve,Q83,,AllTriggers)</f>
        <v>1.0003457402964939</v>
      </c>
      <c r="V83" s="34">
        <f>_xll.qlYieldTSDiscount(OisCurve,R83,,AllTriggers)</f>
        <v>1.0007040091517683</v>
      </c>
      <c r="W83" s="33">
        <f t="shared" si="15"/>
        <v>-1.4009353362975929E-3</v>
      </c>
      <c r="X83" s="35">
        <f t="shared" si="16"/>
        <v>3.6499369365610866E-4</v>
      </c>
      <c r="Y83" s="33">
        <f t="shared" si="17"/>
        <v>1.4279854469924419E-3</v>
      </c>
      <c r="Z83" s="54"/>
    </row>
    <row r="84" spans="15:26" x14ac:dyDescent="0.25">
      <c r="O84" s="35" t="s">
        <v>30</v>
      </c>
      <c r="P84" s="31">
        <f>_xll.qlCalendarAdvance(Calendar,P83,O83,"f",,Trigger)</f>
        <v>42235</v>
      </c>
      <c r="Q84" s="31">
        <f>_xll.qlInterestRateIndexValueDate(Index,P84,Trigger)</f>
        <v>42237</v>
      </c>
      <c r="R84" s="31">
        <f>_xll.qlInterestRateIndexMaturity(Index,Q84,Trigger)</f>
        <v>42331</v>
      </c>
      <c r="S84" s="32">
        <f>_xll.qlDayCounterYearFraction(DayCounter,Q84,R84,,,Trigger)</f>
        <v>0.26111111111111113</v>
      </c>
      <c r="T84" s="33">
        <f>_xll.qlIndexFixing(Index,P84,,AllTriggers)</f>
        <v>2.3232677608964901E-5</v>
      </c>
      <c r="U84" s="34">
        <f>_xll.qlYieldTSDiscount(OisCurve,Q84,,AllTriggers)</f>
        <v>1.0003495954464772</v>
      </c>
      <c r="V84" s="34">
        <f>_xll.qlYieldTSDiscount(OisCurve,R84,,AllTriggers)</f>
        <v>1.0007156131232957</v>
      </c>
      <c r="W84" s="33">
        <f t="shared" si="15"/>
        <v>-1.4007674185659586E-3</v>
      </c>
      <c r="X84" s="35">
        <f t="shared" si="16"/>
        <v>3.7188913395170924E-4</v>
      </c>
      <c r="Y84" s="33">
        <f t="shared" si="17"/>
        <v>1.4240000961749234E-3</v>
      </c>
      <c r="Z84" s="54"/>
    </row>
    <row r="85" spans="15:26" x14ac:dyDescent="0.25">
      <c r="O85" s="35" t="s">
        <v>30</v>
      </c>
      <c r="P85" s="31">
        <f>_xll.qlCalendarAdvance(Calendar,P84,O84,"f",,Trigger)</f>
        <v>42236</v>
      </c>
      <c r="Q85" s="31">
        <f>_xll.qlInterestRateIndexValueDate(Index,P85,Trigger)</f>
        <v>42240</v>
      </c>
      <c r="R85" s="31">
        <f>_xll.qlInterestRateIndexMaturity(Index,Q85,Trigger)</f>
        <v>42332</v>
      </c>
      <c r="S85" s="32">
        <f>_xll.qlDayCounterYearFraction(DayCounter,Q85,R85,,,Trigger)</f>
        <v>0.25555555555555554</v>
      </c>
      <c r="T85" s="33">
        <f>_xll.qlIndexFixing(Index,P85,,AllTriggers)</f>
        <v>1.9476959685940777E-5</v>
      </c>
      <c r="U85" s="34">
        <f>_xll.qlYieldTSDiscount(OisCurve,Q85,,AllTriggers)</f>
        <v>1.0003614006269288</v>
      </c>
      <c r="V85" s="34">
        <f>_xll.qlYieldTSDiscount(OisCurve,R85,,AllTriggers)</f>
        <v>1.0007195693790589</v>
      </c>
      <c r="W85" s="33">
        <f t="shared" si="15"/>
        <v>-1.4005221268022772E-3</v>
      </c>
      <c r="X85" s="35">
        <f t="shared" si="16"/>
        <v>3.6295270855261181E-4</v>
      </c>
      <c r="Y85" s="33">
        <f t="shared" si="17"/>
        <v>1.419999086488218E-3</v>
      </c>
      <c r="Z85" s="54"/>
    </row>
    <row r="86" spans="15:26" x14ac:dyDescent="0.25">
      <c r="O86" s="35" t="s">
        <v>30</v>
      </c>
      <c r="P86" s="31">
        <f>_xll.qlCalendarAdvance(Calendar,P85,O85,"f",,Trigger)</f>
        <v>42237</v>
      </c>
      <c r="Q86" s="31">
        <f>_xll.qlInterestRateIndexValueDate(Index,P86,Trigger)</f>
        <v>42241</v>
      </c>
      <c r="R86" s="31">
        <f>_xll.qlInterestRateIndexMaturity(Index,Q86,Trigger)</f>
        <v>42333</v>
      </c>
      <c r="S86" s="32">
        <f>_xll.qlDayCounterYearFraction(DayCounter,Q86,R86,,,Trigger)</f>
        <v>0.25555555555555554</v>
      </c>
      <c r="T86" s="33">
        <f>_xll.qlIndexFixing(Index,P86,,AllTriggers)</f>
        <v>1.7522433931653179E-5</v>
      </c>
      <c r="U86" s="34">
        <f>_xll.qlYieldTSDiscount(OisCurve,Q86,,AllTriggers)</f>
        <v>1.0003654201879051</v>
      </c>
      <c r="V86" s="34">
        <f>_xll.qlYieldTSDiscount(OisCurve,R86,,AllTriggers)</f>
        <v>1.0007235755806208</v>
      </c>
      <c r="W86" s="33">
        <f t="shared" si="15"/>
        <v>-1.4004642819142672E-3</v>
      </c>
      <c r="X86" s="35">
        <f t="shared" si="16"/>
        <v>3.6243843312396267E-4</v>
      </c>
      <c r="Y86" s="33">
        <f t="shared" si="17"/>
        <v>1.4179867158459205E-3</v>
      </c>
      <c r="Z86" s="54"/>
    </row>
    <row r="87" spans="15:26" x14ac:dyDescent="0.25">
      <c r="O87" s="35" t="s">
        <v>30</v>
      </c>
      <c r="P87" s="31">
        <f>_xll.qlCalendarAdvance(Calendar,P86,O86,"f",,Trigger)</f>
        <v>42240</v>
      </c>
      <c r="Q87" s="31">
        <f>_xll.qlInterestRateIndexValueDate(Index,P87,Trigger)</f>
        <v>42242</v>
      </c>
      <c r="R87" s="31">
        <f>_xll.qlInterestRateIndexMaturity(Index,Q87,Trigger)</f>
        <v>42334</v>
      </c>
      <c r="S87" s="32">
        <f>_xll.qlDayCounterYearFraction(DayCounter,Q87,R87,,,Trigger)</f>
        <v>0.25555555555555554</v>
      </c>
      <c r="T87" s="33">
        <f>_xll.qlIndexFixing(Index,P87,,AllTriggers)</f>
        <v>1.5548773024772707E-5</v>
      </c>
      <c r="U87" s="34">
        <f>_xll.qlYieldTSDiscount(OisCurve,Q87,,AllTriggers)</f>
        <v>1.0003694842946915</v>
      </c>
      <c r="V87" s="34">
        <f>_xll.qlYieldTSDiscount(OisCurve,R87,,AllTriggers)</f>
        <v>1.000727635215978</v>
      </c>
      <c r="W87" s="33">
        <f t="shared" si="15"/>
        <v>-1.4004411164985945E-3</v>
      </c>
      <c r="X87" s="35">
        <f t="shared" si="16"/>
        <v>3.619281330756794E-4</v>
      </c>
      <c r="Y87" s="33">
        <f t="shared" si="17"/>
        <v>1.4159898895233672E-3</v>
      </c>
      <c r="Z87" s="54"/>
    </row>
    <row r="88" spans="15:26" x14ac:dyDescent="0.25">
      <c r="O88" s="35" t="s">
        <v>30</v>
      </c>
      <c r="P88" s="31">
        <f>_xll.qlCalendarAdvance(Calendar,P87,O87,"f",,Trigger)</f>
        <v>42241</v>
      </c>
      <c r="Q88" s="31">
        <f>_xll.qlInterestRateIndexValueDate(Index,P88,Trigger)</f>
        <v>42243</v>
      </c>
      <c r="R88" s="31">
        <f>_xll.qlInterestRateIndexMaturity(Index,Q88,Trigger)</f>
        <v>42335</v>
      </c>
      <c r="S88" s="32">
        <f>_xll.qlDayCounterYearFraction(DayCounter,Q88,R88,,,Trigger)</f>
        <v>0.25555555555555554</v>
      </c>
      <c r="T88" s="33">
        <f>_xll.qlIndexFixing(Index,P88,,AllTriggers)</f>
        <v>1.3558656977163965E-5</v>
      </c>
      <c r="U88" s="34">
        <f>_xll.qlYieldTSDiscount(OisCurve,Q88,,AllTriggers)</f>
        <v>1.0003735943245684</v>
      </c>
      <c r="V88" s="34">
        <f>_xll.qlYieldTSDiscount(OisCurve,R88,,AllTriggers)</f>
        <v>1.0007317517731915</v>
      </c>
      <c r="W88" s="33">
        <f t="shared" si="15"/>
        <v>-1.400460878793873E-3</v>
      </c>
      <c r="X88" s="35">
        <f t="shared" si="16"/>
        <v>3.6142460192752638E-4</v>
      </c>
      <c r="Y88" s="33">
        <f t="shared" si="17"/>
        <v>1.414019535771037E-3</v>
      </c>
      <c r="Z88" s="54"/>
    </row>
    <row r="89" spans="15:26" x14ac:dyDescent="0.25">
      <c r="O89" s="35" t="s">
        <v>30</v>
      </c>
      <c r="P89" s="31">
        <f>_xll.qlCalendarAdvance(Calendar,P88,O88,"f",,Trigger)</f>
        <v>42242</v>
      </c>
      <c r="Q89" s="31">
        <f>_xll.qlInterestRateIndexValueDate(Index,P89,Trigger)</f>
        <v>42244</v>
      </c>
      <c r="R89" s="31">
        <f>_xll.qlInterestRateIndexMaturity(Index,Q89,Trigger)</f>
        <v>42338</v>
      </c>
      <c r="S89" s="32">
        <f>_xll.qlDayCounterYearFraction(DayCounter,Q89,R89,,,Trigger)</f>
        <v>0.26111111111111113</v>
      </c>
      <c r="T89" s="33">
        <f>_xll.qlIndexFixing(Index,P89,,AllTriggers)</f>
        <v>9.7641777565454653E-6</v>
      </c>
      <c r="U89" s="34">
        <f>_xll.qlYieldTSDiscount(OisCurve,Q89,,AllTriggers)</f>
        <v>1.0003777516548449</v>
      </c>
      <c r="V89" s="34">
        <f>_xll.qlYieldTSDiscount(OisCurve,R89,,AllTriggers)</f>
        <v>1.0007444778575976</v>
      </c>
      <c r="W89" s="33">
        <f t="shared" si="15"/>
        <v>-1.4034385008026289E-3</v>
      </c>
      <c r="X89" s="35">
        <f t="shared" si="16"/>
        <v>3.6907007882388935E-4</v>
      </c>
      <c r="Y89" s="33">
        <f t="shared" si="17"/>
        <v>1.4132026785591742E-3</v>
      </c>
      <c r="Z89" s="54"/>
    </row>
    <row r="90" spans="15:26" x14ac:dyDescent="0.25">
      <c r="O90" s="35" t="s">
        <v>30</v>
      </c>
      <c r="P90" s="31">
        <f>_xll.qlCalendarAdvance(Calendar,P89,O89,"f",,Trigger)</f>
        <v>42243</v>
      </c>
      <c r="Q90" s="31">
        <f>_xll.qlInterestRateIndexValueDate(Index,P90,Trigger)</f>
        <v>42247</v>
      </c>
      <c r="R90" s="31">
        <f>_xll.qlInterestRateIndexMaturity(Index,Q90,Trigger)</f>
        <v>42338</v>
      </c>
      <c r="S90" s="32">
        <f>_xll.qlDayCounterYearFraction(DayCounter,Q90,R90,,,Trigger)</f>
        <v>0.25277777777777777</v>
      </c>
      <c r="T90" s="33">
        <f>_xll.qlIndexFixing(Index,P90,,AllTriggers)</f>
        <v>6.3553556123247047E-6</v>
      </c>
      <c r="U90" s="34">
        <f>_xll.qlYieldTSDiscount(OisCurve,Q90,,AllTriggers)</f>
        <v>1.0003905212216078</v>
      </c>
      <c r="V90" s="34">
        <f>_xll.qlYieldTSDiscount(OisCurve,R90,,AllTriggers)</f>
        <v>1.0007444778575976</v>
      </c>
      <c r="W90" s="33">
        <f t="shared" si="15"/>
        <v>-1.3992263174981475E-3</v>
      </c>
      <c r="X90" s="35">
        <f t="shared" si="16"/>
        <v>3.5536237475833018E-4</v>
      </c>
      <c r="Y90" s="33">
        <f t="shared" si="17"/>
        <v>1.4055816731104722E-3</v>
      </c>
      <c r="Z90" s="54"/>
    </row>
    <row r="91" spans="15:26" x14ac:dyDescent="0.25">
      <c r="O91" s="35" t="s">
        <v>30</v>
      </c>
      <c r="P91" s="31">
        <f>_xll.qlCalendarAdvance(Calendar,P90,O90,"f",,Trigger)</f>
        <v>42244</v>
      </c>
      <c r="Q91" s="31">
        <f>_xll.qlInterestRateIndexValueDate(Index,P91,Trigger)</f>
        <v>42248</v>
      </c>
      <c r="R91" s="31">
        <f>_xll.qlInterestRateIndexMaturity(Index,Q91,Trigger)</f>
        <v>42339</v>
      </c>
      <c r="S91" s="32">
        <f>_xll.qlDayCounterYearFraction(DayCounter,Q91,R91,,,Trigger)</f>
        <v>0.25277777777777777</v>
      </c>
      <c r="T91" s="33">
        <f>_xll.qlIndexFixing(Index,P91,,AllTriggers)</f>
        <v>4.3069089806645611E-6</v>
      </c>
      <c r="U91" s="34">
        <f>_xll.qlYieldTSDiscount(OisCurve,Q91,,AllTriggers)</f>
        <v>1.0003948783917092</v>
      </c>
      <c r="V91" s="34">
        <f>_xll.qlYieldTSDiscount(OisCurve,R91,,AllTriggers)</f>
        <v>1.0007488539564362</v>
      </c>
      <c r="W91" s="33">
        <f t="shared" si="15"/>
        <v>-1.399295025809276E-3</v>
      </c>
      <c r="X91" s="35">
        <f t="shared" si="16"/>
        <v>3.5486194774817257E-4</v>
      </c>
      <c r="Y91" s="33">
        <f t="shared" si="17"/>
        <v>1.4036019347899405E-3</v>
      </c>
      <c r="Z91" s="54"/>
    </row>
    <row r="92" spans="15:26" x14ac:dyDescent="0.25">
      <c r="O92" s="35" t="s">
        <v>30</v>
      </c>
      <c r="P92" s="31">
        <f>_xll.qlCalendarAdvance(Calendar,P91,O91,"f",,Trigger)</f>
        <v>42247</v>
      </c>
      <c r="Q92" s="31">
        <f>_xll.qlInterestRateIndexValueDate(Index,P92,Trigger)</f>
        <v>42249</v>
      </c>
      <c r="R92" s="31">
        <f>_xll.qlInterestRateIndexMaturity(Index,Q92,Trigger)</f>
        <v>42340</v>
      </c>
      <c r="S92" s="32">
        <f>_xll.qlDayCounterYearFraction(DayCounter,Q92,R92,,,Trigger)</f>
        <v>0.25277777777777777</v>
      </c>
      <c r="T92" s="33">
        <f>_xll.qlIndexFixing(Index,P92,,AllTriggers)</f>
        <v>2.2576500229738014E-6</v>
      </c>
      <c r="U92" s="34">
        <f>_xll.qlYieldTSDiscount(OisCurve,Q92,,AllTriggers)</f>
        <v>1.0003992709363221</v>
      </c>
      <c r="V92" s="34">
        <f>_xll.qlYieldTSDiscount(OisCurve,R92,,AllTriggers)</f>
        <v>1.0007532862516968</v>
      </c>
      <c r="W92" s="33">
        <f t="shared" si="15"/>
        <v>-1.3994459653294993E-3</v>
      </c>
      <c r="X92" s="35">
        <f t="shared" si="16"/>
        <v>3.5438210871014303E-4</v>
      </c>
      <c r="Y92" s="33">
        <f t="shared" si="17"/>
        <v>1.4017036153524732E-3</v>
      </c>
      <c r="Z92" s="54"/>
    </row>
    <row r="93" spans="15:26" x14ac:dyDescent="0.25">
      <c r="O93" s="35" t="s">
        <v>30</v>
      </c>
      <c r="P93" s="31">
        <f>_xll.qlCalendarAdvance(Calendar,P92,O92,"f",,Trigger)</f>
        <v>42248</v>
      </c>
      <c r="Q93" s="31">
        <f>_xll.qlInterestRateIndexValueDate(Index,P93,Trigger)</f>
        <v>42250</v>
      </c>
      <c r="R93" s="31">
        <f>_xll.qlInterestRateIndexMaturity(Index,Q93,Trigger)</f>
        <v>42341</v>
      </c>
      <c r="S93" s="32">
        <f>_xll.qlDayCounterYearFraction(DayCounter,Q93,R93,,,Trigger)</f>
        <v>0.25277777777777777</v>
      </c>
      <c r="T93" s="33">
        <f>_xll.qlIndexFixing(Index,P93,,AllTriggers)</f>
        <v>2.102881649032942E-7</v>
      </c>
      <c r="U93" s="34">
        <f>_xll.qlYieldTSDiscount(OisCurve,Q93,,AllTriggers)</f>
        <v>1.000403681419747</v>
      </c>
      <c r="V93" s="34">
        <f>_xll.qlYieldTSDiscount(OisCurve,R93,,AllTriggers)</f>
        <v>1.000757760064789</v>
      </c>
      <c r="W93" s="33">
        <f t="shared" si="15"/>
        <v>-1.3996900544564319E-3</v>
      </c>
      <c r="X93" s="35">
        <f t="shared" si="16"/>
        <v>3.5392630343393619E-4</v>
      </c>
      <c r="Y93" s="33">
        <f t="shared" si="17"/>
        <v>1.3999003426213351E-3</v>
      </c>
      <c r="Z93" s="54"/>
    </row>
    <row r="94" spans="15:26" x14ac:dyDescent="0.25">
      <c r="O94" s="35" t="s">
        <v>30</v>
      </c>
      <c r="P94" s="31">
        <f>_xll.qlCalendarAdvance(Calendar,P93,O93,"f",,Trigger)</f>
        <v>42249</v>
      </c>
      <c r="Q94" s="31">
        <f>_xll.qlInterestRateIndexValueDate(Index,P94,Trigger)</f>
        <v>42251</v>
      </c>
      <c r="R94" s="31">
        <f>_xll.qlInterestRateIndexMaturity(Index,Q94,Trigger)</f>
        <v>42342</v>
      </c>
      <c r="S94" s="32">
        <f>_xll.qlDayCounterYearFraction(DayCounter,Q94,R94,,,Trigger)</f>
        <v>0.25277777777777777</v>
      </c>
      <c r="T94" s="33">
        <f>_xll.qlIndexFixing(Index,P94,,AllTriggers)</f>
        <v>-1.8324671696529254E-6</v>
      </c>
      <c r="U94" s="34">
        <f>_xll.qlYieldTSDiscount(OisCurve,Q94,,AllTriggers)</f>
        <v>1.0004080924059786</v>
      </c>
      <c r="V94" s="34">
        <f>_xll.qlYieldTSDiscount(OisCurve,R94,,AllTriggers)</f>
        <v>1.0007622607168662</v>
      </c>
      <c r="W94" s="33">
        <f t="shared" si="15"/>
        <v>-1.4000382115784652E-3</v>
      </c>
      <c r="X94" s="35">
        <f t="shared" si="16"/>
        <v>3.5349797771017642E-4</v>
      </c>
      <c r="Y94" s="33">
        <f t="shared" si="17"/>
        <v>1.3982057444088122E-3</v>
      </c>
      <c r="Z94" s="54"/>
    </row>
    <row r="95" spans="15:26" x14ac:dyDescent="0.25">
      <c r="O95" s="35" t="s">
        <v>30</v>
      </c>
      <c r="P95" s="31">
        <f>_xll.qlCalendarAdvance(Calendar,P94,O94,"f",,Trigger)</f>
        <v>42250</v>
      </c>
      <c r="Q95" s="31">
        <f>_xll.qlInterestRateIndexValueDate(Index,P95,Trigger)</f>
        <v>42254</v>
      </c>
      <c r="R95" s="31">
        <f>_xll.qlInterestRateIndexMaturity(Index,Q95,Trigger)</f>
        <v>42345</v>
      </c>
      <c r="S95" s="32">
        <f>_xll.qlDayCounterYearFraction(DayCounter,Q95,R95,,,Trigger)</f>
        <v>0.25277777777777777</v>
      </c>
      <c r="T95" s="33">
        <f>_xll.qlIndexFixing(Index,P95,,AllTriggers)</f>
        <v>-7.9059998916783606E-6</v>
      </c>
      <c r="U95" s="34">
        <f>_xll.qlYieldTSDiscount(OisCurve,Q95,,AllTriggers)</f>
        <v>1.0004211540168664</v>
      </c>
      <c r="V95" s="34">
        <f>_xll.qlYieldTSDiscount(OisCurve,R95,,AllTriggers)</f>
        <v>1.0007757769146168</v>
      </c>
      <c r="W95" s="33">
        <f t="shared" si="15"/>
        <v>-1.4018162746159298E-3</v>
      </c>
      <c r="X95" s="35">
        <f t="shared" si="16"/>
        <v>3.5241233575785422E-4</v>
      </c>
      <c r="Y95" s="33">
        <f t="shared" si="17"/>
        <v>1.3939102747242513E-3</v>
      </c>
      <c r="Z95" s="54"/>
    </row>
    <row r="96" spans="15:26" x14ac:dyDescent="0.25">
      <c r="O96" s="35" t="s">
        <v>30</v>
      </c>
      <c r="P96" s="31">
        <f>_xll.qlCalendarAdvance(Calendar,P95,O95,"f",,Trigger)</f>
        <v>42251</v>
      </c>
      <c r="Q96" s="31">
        <f>_xll.qlInterestRateIndexValueDate(Index,P96,Trigger)</f>
        <v>42255</v>
      </c>
      <c r="R96" s="31">
        <f>_xll.qlInterestRateIndexMaturity(Index,Q96,Trigger)</f>
        <v>42346</v>
      </c>
      <c r="S96" s="32">
        <f>_xll.qlDayCounterYearFraction(DayCounter,Q96,R96,,,Trigger)</f>
        <v>0.25277777777777777</v>
      </c>
      <c r="T96" s="33">
        <f>_xll.qlIndexFixing(Index,P96,,AllTriggers)</f>
        <v>-9.9032350184116869E-6</v>
      </c>
      <c r="U96" s="34">
        <f>_xll.qlYieldTSDiscount(OisCurve,Q96,,AllTriggers)</f>
        <v>1.0004253926481697</v>
      </c>
      <c r="V96" s="34">
        <f>_xll.qlYieldTSDiscount(OisCurve,R96,,AllTriggers)</f>
        <v>1.0007802381289235</v>
      </c>
      <c r="W96" s="33">
        <f t="shared" si="15"/>
        <v>-1.4026898873326027E-3</v>
      </c>
      <c r="X96" s="35">
        <f t="shared" si="16"/>
        <v>3.521283861484858E-4</v>
      </c>
      <c r="Y96" s="33">
        <f t="shared" si="17"/>
        <v>1.392786652314191E-3</v>
      </c>
      <c r="Z96" s="54"/>
    </row>
    <row r="97" spans="15:26" x14ac:dyDescent="0.25">
      <c r="O97" s="35" t="s">
        <v>30</v>
      </c>
      <c r="P97" s="31">
        <f>_xll.qlCalendarAdvance(Calendar,P96,O96,"f",,Trigger)</f>
        <v>42254</v>
      </c>
      <c r="Q97" s="31">
        <f>_xll.qlInterestRateIndexValueDate(Index,P97,Trigger)</f>
        <v>42256</v>
      </c>
      <c r="R97" s="31">
        <f>_xll.qlInterestRateIndexMaturity(Index,Q97,Trigger)</f>
        <v>42347</v>
      </c>
      <c r="S97" s="32">
        <f>_xll.qlDayCounterYearFraction(DayCounter,Q97,R97,,,Trigger)</f>
        <v>0.25277777777777777</v>
      </c>
      <c r="T97" s="33">
        <f>_xll.qlIndexFixing(Index,P97,,AllTriggers)</f>
        <v>-1.1882316593516051E-5</v>
      </c>
      <c r="U97" s="34">
        <f>_xll.qlYieldTSDiscount(OisCurve,Q97,,AllTriggers)</f>
        <v>1.00042954459772</v>
      </c>
      <c r="V97" s="34">
        <f>_xll.qlYieldTSDiscount(OisCurve,R97,,AllTriggers)</f>
        <v>1.0007846527840452</v>
      </c>
      <c r="W97" s="33">
        <f t="shared" si="15"/>
        <v>-1.4037221597526732E-3</v>
      </c>
      <c r="X97" s="35">
        <f t="shared" si="16"/>
        <v>3.518891450431707E-4</v>
      </c>
      <c r="Y97" s="33">
        <f t="shared" si="17"/>
        <v>1.391839843159157E-3</v>
      </c>
      <c r="Z97" s="54"/>
    </row>
    <row r="98" spans="15:26" x14ac:dyDescent="0.25">
      <c r="O98" s="35" t="s">
        <v>30</v>
      </c>
      <c r="P98" s="31">
        <f>_xll.qlCalendarAdvance(Calendar,P97,O97,"f",,Trigger)</f>
        <v>42255</v>
      </c>
      <c r="Q98" s="31">
        <f>_xll.qlInterestRateIndexValueDate(Index,P98,Trigger)</f>
        <v>42257</v>
      </c>
      <c r="R98" s="31">
        <f>_xll.qlInterestRateIndexMaturity(Index,Q98,Trigger)</f>
        <v>42348</v>
      </c>
      <c r="S98" s="32">
        <f>_xll.qlDayCounterYearFraction(DayCounter,Q98,R98,,,Trigger)</f>
        <v>0.25277777777777777</v>
      </c>
      <c r="T98" s="33">
        <f>_xll.qlIndexFixing(Index,P98,,AllTriggers)</f>
        <v>-1.3840535226038099E-5</v>
      </c>
      <c r="U98" s="34">
        <f>_xll.qlYieldTSDiscount(OisCurve,Q98,,AllTriggers)</f>
        <v>1.0004335967058429</v>
      </c>
      <c r="V98" s="34">
        <f>_xll.qlYieldTSDiscount(OisCurve,R98,,AllTriggers)</f>
        <v>1.000789009668045</v>
      </c>
      <c r="W98" s="33">
        <f t="shared" si="15"/>
        <v>-1.4049208049212883E-3</v>
      </c>
      <c r="X98" s="35">
        <f t="shared" si="16"/>
        <v>3.5169724773606825E-4</v>
      </c>
      <c r="Y98" s="33">
        <f t="shared" si="17"/>
        <v>1.3910802696952501E-3</v>
      </c>
      <c r="Z98" s="54"/>
    </row>
    <row r="99" spans="15:26" x14ac:dyDescent="0.25">
      <c r="O99" s="35" t="s">
        <v>30</v>
      </c>
      <c r="P99" s="31">
        <f>_xll.qlCalendarAdvance(Calendar,P98,O98,"f",,Trigger)</f>
        <v>42256</v>
      </c>
      <c r="Q99" s="31">
        <f>_xll.qlInterestRateIndexValueDate(Index,P99,Trigger)</f>
        <v>42258</v>
      </c>
      <c r="R99" s="31">
        <f>_xll.qlInterestRateIndexMaturity(Index,Q99,Trigger)</f>
        <v>42349</v>
      </c>
      <c r="S99" s="32">
        <f>_xll.qlDayCounterYearFraction(DayCounter,Q99,R99,,,Trigger)</f>
        <v>0.25277777777777777</v>
      </c>
      <c r="T99" s="33">
        <f>_xll.qlIndexFixing(Index,P99,,AllTriggers)</f>
        <v>-1.5775181530734201E-5</v>
      </c>
      <c r="U99" s="34">
        <f>_xll.qlYieldTSDiscount(OisCurve,Q99,,AllTriggers)</f>
        <v>1.0004375529251082</v>
      </c>
      <c r="V99" s="34">
        <f>_xll.qlYieldTSDiscount(OisCurve,R99,,AllTriggers)</f>
        <v>1.000793311442757</v>
      </c>
      <c r="W99" s="33">
        <f t="shared" si="15"/>
        <v>-1.40628071497267E-3</v>
      </c>
      <c r="X99" s="35">
        <f t="shared" si="16"/>
        <v>3.5155208753370694E-4</v>
      </c>
      <c r="Y99" s="33">
        <f t="shared" si="17"/>
        <v>1.3905055334419358E-3</v>
      </c>
      <c r="Z99" s="54"/>
    </row>
    <row r="100" spans="15:26" x14ac:dyDescent="0.25">
      <c r="O100" s="35" t="s">
        <v>30</v>
      </c>
      <c r="P100" s="31">
        <f>_xll.qlCalendarAdvance(Calendar,P99,O99,"f",,Trigger)</f>
        <v>42257</v>
      </c>
      <c r="Q100" s="31">
        <f>_xll.qlInterestRateIndexValueDate(Index,P100,Trigger)</f>
        <v>42261</v>
      </c>
      <c r="R100" s="31">
        <f>_xll.qlInterestRateIndexMaturity(Index,Q100,Trigger)</f>
        <v>42352</v>
      </c>
      <c r="S100" s="32">
        <f>_xll.qlDayCounterYearFraction(DayCounter,Q100,R100,,,Trigger)</f>
        <v>0.25277777777777777</v>
      </c>
      <c r="T100" s="33">
        <f>_xll.qlIndexFixing(Index,P100,,AllTriggers)</f>
        <v>-2.141059270404894E-5</v>
      </c>
      <c r="U100" s="34">
        <f>_xll.qlYieldTSDiscount(OisCurve,Q100,,AllTriggers)</f>
        <v>1.0004489285583689</v>
      </c>
      <c r="V100" s="34">
        <f>_xll.qlYieldTSDiscount(OisCurve,R100,,AllTriggers)</f>
        <v>1.0008059474156581</v>
      </c>
      <c r="W100" s="33">
        <f t="shared" si="15"/>
        <v>-1.4112449033899265E-3</v>
      </c>
      <c r="X100" s="35">
        <f t="shared" si="16"/>
        <v>3.5138285765332528E-4</v>
      </c>
      <c r="Y100" s="33">
        <f t="shared" si="17"/>
        <v>1.3898343106858776E-3</v>
      </c>
      <c r="Z100" s="54"/>
    </row>
    <row r="101" spans="15:26" x14ac:dyDescent="0.25">
      <c r="O101" s="35" t="s">
        <v>30</v>
      </c>
      <c r="P101" s="31">
        <f>_xll.qlCalendarAdvance(Calendar,P100,O100,"f",,Trigger)</f>
        <v>42258</v>
      </c>
      <c r="Q101" s="31">
        <f>_xll.qlInterestRateIndexValueDate(Index,P101,Trigger)</f>
        <v>42262</v>
      </c>
      <c r="R101" s="31">
        <f>_xll.qlInterestRateIndexMaturity(Index,Q101,Trigger)</f>
        <v>42353</v>
      </c>
      <c r="S101" s="32">
        <f>_xll.qlDayCounterYearFraction(DayCounter,Q101,R101,,,Trigger)</f>
        <v>0.25277777777777777</v>
      </c>
      <c r="T101" s="33">
        <f>_xll.qlIndexFixing(Index,P101,,AllTriggers)</f>
        <v>-2.3223855945583818E-5</v>
      </c>
      <c r="U101" s="34">
        <f>_xll.qlYieldTSDiscount(OisCurve,Q101,,AllTriggers)</f>
        <v>1.0004525835315463</v>
      </c>
      <c r="V101" s="34">
        <f>_xll.qlYieldTSDiscount(OisCurve,R101,,AllTriggers)</f>
        <v>1.0008100900582606</v>
      </c>
      <c r="W101" s="33">
        <f t="shared" si="15"/>
        <v>-1.4131667419261505E-3</v>
      </c>
      <c r="X101" s="35">
        <f t="shared" si="16"/>
        <v>3.5141047396880932E-4</v>
      </c>
      <c r="Y101" s="33">
        <f t="shared" si="17"/>
        <v>1.3899428859805666E-3</v>
      </c>
      <c r="Z101" s="54"/>
    </row>
    <row r="102" spans="15:26" x14ac:dyDescent="0.25">
      <c r="O102" s="35" t="s">
        <v>30</v>
      </c>
      <c r="P102" s="31">
        <f>_xll.qlCalendarAdvance(Calendar,P101,O101,"f",,Trigger)</f>
        <v>42261</v>
      </c>
      <c r="Q102" s="31">
        <f>_xll.qlInterestRateIndexValueDate(Index,P102,Trigger)</f>
        <v>42263</v>
      </c>
      <c r="R102" s="31">
        <f>_xll.qlInterestRateIndexMaturity(Index,Q102,Trigger)</f>
        <v>42354</v>
      </c>
      <c r="S102" s="32">
        <f>_xll.qlDayCounterYearFraction(DayCounter,Q102,R102,,,Trigger)</f>
        <v>0.25277777777777777</v>
      </c>
      <c r="T102" s="33">
        <f>_xll.qlIndexFixing(Index,P102,,AllTriggers)</f>
        <v>-2.5000000005544093E-5</v>
      </c>
      <c r="U102" s="34">
        <f>_xll.qlYieldTSDiscount(OisCurve,Q102,,AllTriggers)</f>
        <v>1.000456183771248</v>
      </c>
      <c r="V102" s="34">
        <f>_xll.qlYieldTSDiscount(OisCurve,R102,,AllTriggers)</f>
        <v>1.0008142082446367</v>
      </c>
      <c r="W102" s="33">
        <f t="shared" si="15"/>
        <v>-1.4152082798161E-3</v>
      </c>
      <c r="X102" s="35">
        <f t="shared" si="16"/>
        <v>3.5147774143791323E-4</v>
      </c>
      <c r="Y102" s="33">
        <f t="shared" si="17"/>
        <v>1.390208279810556E-3</v>
      </c>
      <c r="Z102" s="54"/>
    </row>
    <row r="103" spans="15:26" x14ac:dyDescent="0.25">
      <c r="O103" s="35" t="s">
        <v>30</v>
      </c>
      <c r="P103" s="31">
        <f>_xll.qlCalendarAdvance(Calendar,P102,O102,"f",,Trigger)</f>
        <v>42262</v>
      </c>
      <c r="Q103" s="31">
        <f>_xll.qlInterestRateIndexValueDate(Index,P103,Trigger)</f>
        <v>42264</v>
      </c>
      <c r="R103" s="31">
        <f>_xll.qlInterestRateIndexMaturity(Index,Q103,Trigger)</f>
        <v>42355</v>
      </c>
      <c r="S103" s="32">
        <f>_xll.qlDayCounterYearFraction(DayCounter,Q103,R103,,,Trigger)</f>
        <v>0.25277777777777777</v>
      </c>
      <c r="T103" s="33">
        <f>_xll.qlIndexFixing(Index,P103,,AllTriggers)</f>
        <v>-2.6736109955850627E-5</v>
      </c>
      <c r="U103" s="34">
        <f>_xll.qlYieldTSDiscount(OisCurve,Q103,,AllTriggers)</f>
        <v>1.000459737508957</v>
      </c>
      <c r="V103" s="34">
        <f>_xll.qlYieldTSDiscount(OisCurve,R103,,AllTriggers)</f>
        <v>1.000818308105716</v>
      </c>
      <c r="W103" s="33">
        <f t="shared" si="15"/>
        <v>-1.4173612039618728E-3</v>
      </c>
      <c r="X103" s="35">
        <f t="shared" si="16"/>
        <v>3.5158329483470937E-4</v>
      </c>
      <c r="Y103" s="33">
        <f t="shared" si="17"/>
        <v>1.3906250940060221E-3</v>
      </c>
      <c r="Z103" s="54"/>
    </row>
    <row r="104" spans="15:26" x14ac:dyDescent="0.25">
      <c r="O104" s="35" t="s">
        <v>30</v>
      </c>
      <c r="P104" s="31">
        <f>_xll.qlCalendarAdvance(Calendar,P103,O103,"f",,Trigger)</f>
        <v>42263</v>
      </c>
      <c r="Q104" s="31">
        <f>_xll.qlInterestRateIndexValueDate(Index,P104,Trigger)</f>
        <v>42265</v>
      </c>
      <c r="R104" s="31">
        <f>_xll.qlInterestRateIndexMaturity(Index,Q104,Trigger)</f>
        <v>42356</v>
      </c>
      <c r="S104" s="32">
        <f>_xll.qlDayCounterYearFraction(DayCounter,Q104,R104,,,Trigger)</f>
        <v>0.25277777777777777</v>
      </c>
      <c r="T104" s="33">
        <f>_xll.qlIndexFixing(Index,P104,,AllTriggers)</f>
        <v>-2.843158420080709E-5</v>
      </c>
      <c r="U104" s="34">
        <f>_xll.qlYieldTSDiscount(OisCurve,Q104,,AllTriggers)</f>
        <v>1.0004632529762807</v>
      </c>
      <c r="V104" s="34">
        <f>_xll.qlYieldTSDiscount(OisCurve,R104,,AllTriggers)</f>
        <v>1.0008223957725297</v>
      </c>
      <c r="W104" s="33">
        <f t="shared" si="15"/>
        <v>-1.4196172012730332E-3</v>
      </c>
      <c r="X104" s="35">
        <f t="shared" si="16"/>
        <v>3.51725184170754E-4</v>
      </c>
      <c r="Y104" s="33">
        <f t="shared" si="17"/>
        <v>1.3911856170722261E-3</v>
      </c>
      <c r="Z104" s="54"/>
    </row>
    <row r="105" spans="15:26" x14ac:dyDescent="0.25">
      <c r="O105" s="35" t="s">
        <v>30</v>
      </c>
      <c r="P105" s="31">
        <f>_xll.qlCalendarAdvance(Calendar,P104,O104,"f",,Trigger)</f>
        <v>42264</v>
      </c>
      <c r="Q105" s="31">
        <f>_xll.qlInterestRateIndexValueDate(Index,P105,Trigger)</f>
        <v>42268</v>
      </c>
      <c r="R105" s="31">
        <f>_xll.qlInterestRateIndexMaturity(Index,Q105,Trigger)</f>
        <v>42359</v>
      </c>
      <c r="S105" s="32">
        <f>_xll.qlDayCounterYearFraction(DayCounter,Q105,R105,,,Trigger)</f>
        <v>0.25277777777777777</v>
      </c>
      <c r="T105" s="33">
        <f>_xll.qlIndexFixing(Index,P105,,AllTriggers)</f>
        <v>-3.3285319007849553E-5</v>
      </c>
      <c r="U105" s="34">
        <f>_xll.qlYieldTSDiscount(OisCurve,Q105,,AllTriggers)</f>
        <v>1.0004736520738098</v>
      </c>
      <c r="V105" s="34">
        <f>_xll.qlYieldTSDiscount(OisCurve,R105,,AllTriggers)</f>
        <v>1.0008346469191955</v>
      </c>
      <c r="W105" s="33">
        <f t="shared" si="15"/>
        <v>-1.4269205014508389E-3</v>
      </c>
      <c r="X105" s="35">
        <f t="shared" si="16"/>
        <v>3.523450347072856E-4</v>
      </c>
      <c r="Y105" s="33">
        <f t="shared" si="17"/>
        <v>1.3936351824429894E-3</v>
      </c>
      <c r="Z105" s="54"/>
    </row>
    <row r="106" spans="15:26" x14ac:dyDescent="0.25">
      <c r="O106" s="35" t="s">
        <v>30</v>
      </c>
      <c r="P106" s="31">
        <f>_xll.qlCalendarAdvance(Calendar,P105,O105,"f",,Trigger)</f>
        <v>42265</v>
      </c>
      <c r="Q106" s="31">
        <f>_xll.qlInterestRateIndexValueDate(Index,P106,Trigger)</f>
        <v>42269</v>
      </c>
      <c r="R106" s="31">
        <f>_xll.qlInterestRateIndexMaturity(Index,Q106,Trigger)</f>
        <v>42360</v>
      </c>
      <c r="S106" s="32">
        <f>_xll.qlDayCounterYearFraction(DayCounter,Q106,R106,,,Trigger)</f>
        <v>0.25277777777777777</v>
      </c>
      <c r="T106" s="33">
        <f>_xll.qlIndexFixing(Index,P106,,AllTriggers)</f>
        <v>-3.4827148482053669E-5</v>
      </c>
      <c r="U106" s="34">
        <f>_xll.qlYieldTSDiscount(OisCurve,Q106,,AllTriggers)</f>
        <v>1.0004770967780439</v>
      </c>
      <c r="V106" s="34">
        <f>_xll.qlYieldTSDiscount(OisCurve,R106,,AllTriggers)</f>
        <v>1.0008387471212665</v>
      </c>
      <c r="W106" s="33">
        <f t="shared" si="15"/>
        <v>-1.4295056607493363E-3</v>
      </c>
      <c r="X106" s="35">
        <f t="shared" si="16"/>
        <v>3.5260899794829314E-4</v>
      </c>
      <c r="Y106" s="33">
        <f t="shared" si="17"/>
        <v>1.3946785122672825E-3</v>
      </c>
      <c r="Z106" s="54"/>
    </row>
    <row r="107" spans="15:26" x14ac:dyDescent="0.25">
      <c r="O107" s="35" t="s">
        <v>30</v>
      </c>
      <c r="P107" s="31">
        <f>_xll.qlCalendarAdvance(Calendar,P106,O106,"f",,Trigger)</f>
        <v>42268</v>
      </c>
      <c r="Q107" s="31">
        <f>_xll.qlInterestRateIndexValueDate(Index,P107,Trigger)</f>
        <v>42270</v>
      </c>
      <c r="R107" s="31">
        <f>_xll.qlInterestRateIndexMaturity(Index,Q107,Trigger)</f>
        <v>42361</v>
      </c>
      <c r="S107" s="32">
        <f>_xll.qlDayCounterYearFraction(DayCounter,Q107,R107,,,Trigger)</f>
        <v>0.25277777777777777</v>
      </c>
      <c r="T107" s="33">
        <f>_xll.qlIndexFixing(Index,P107,,AllTriggers)</f>
        <v>-3.6331677145905234E-5</v>
      </c>
      <c r="U107" s="34">
        <f>_xll.qlYieldTSDiscount(OisCurve,Q107,,AllTriggers)</f>
        <v>1.0004805443716953</v>
      </c>
      <c r="V107" s="34">
        <f>_xll.qlYieldTSDiscount(OisCurve,R107,,AllTriggers)</f>
        <v>1.0008428657857336</v>
      </c>
      <c r="W107" s="33">
        <f t="shared" si="15"/>
        <v>-1.4321523279542941E-3</v>
      </c>
      <c r="X107" s="35">
        <f t="shared" si="16"/>
        <v>3.5289794382954758E-4</v>
      </c>
      <c r="Y107" s="33">
        <f t="shared" si="17"/>
        <v>1.3958206508083888E-3</v>
      </c>
      <c r="Z107" s="54"/>
    </row>
    <row r="108" spans="15:26" x14ac:dyDescent="0.25">
      <c r="O108" s="35" t="s">
        <v>30</v>
      </c>
      <c r="P108" s="31">
        <f>_xll.qlCalendarAdvance(Calendar,P107,O107,"f",,Trigger)</f>
        <v>42269</v>
      </c>
      <c r="Q108" s="31">
        <f>_xll.qlInterestRateIndexValueDate(Index,P108,Trigger)</f>
        <v>42271</v>
      </c>
      <c r="R108" s="31">
        <f>_xll.qlInterestRateIndexMaturity(Index,Q108,Trigger)</f>
        <v>42362</v>
      </c>
      <c r="S108" s="32">
        <f>_xll.qlDayCounterYearFraction(DayCounter,Q108,R108,,,Trigger)</f>
        <v>0.25277777777777777</v>
      </c>
      <c r="T108" s="33">
        <f>_xll.qlIndexFixing(Index,P108,,AllTriggers)</f>
        <v>-3.7799349147419305E-5</v>
      </c>
      <c r="U108" s="34">
        <f>_xll.qlYieldTSDiscount(OisCurve,Q108,,AllTriggers)</f>
        <v>1.0004840030870676</v>
      </c>
      <c r="V108" s="34">
        <f>_xll.qlYieldTSDiscount(OisCurve,R108,,AllTriggers)</f>
        <v>1.0008470090442314</v>
      </c>
      <c r="W108" s="33">
        <f t="shared" si="15"/>
        <v>-1.4348521900635577E-3</v>
      </c>
      <c r="X108" s="35">
        <f t="shared" si="16"/>
        <v>3.532096580168759E-4</v>
      </c>
      <c r="Y108" s="33">
        <f t="shared" si="17"/>
        <v>1.3970528409161383E-3</v>
      </c>
      <c r="Z108" s="54"/>
    </row>
    <row r="109" spans="15:26" x14ac:dyDescent="0.25">
      <c r="O109" s="35" t="s">
        <v>30</v>
      </c>
      <c r="P109" s="31">
        <f>_xll.qlCalendarAdvance(Calendar,P108,O108,"f",,Trigger)</f>
        <v>42270</v>
      </c>
      <c r="Q109" s="31">
        <f>_xll.qlInterestRateIndexValueDate(Index,P109,Trigger)</f>
        <v>42272</v>
      </c>
      <c r="R109" s="31">
        <f>_xll.qlInterestRateIndexMaturity(Index,Q109,Trigger)</f>
        <v>42366</v>
      </c>
      <c r="S109" s="32">
        <f>_xll.qlDayCounterYearFraction(DayCounter,Q109,R109,,,Trigger)</f>
        <v>0.26111111111111113</v>
      </c>
      <c r="T109" s="33">
        <f>_xll.qlIndexFixing(Index,P109,,AllTriggers)</f>
        <v>-4.0428918632873234E-5</v>
      </c>
      <c r="U109" s="34">
        <f>_xll.qlYieldTSDiscount(OisCurve,Q109,,AllTriggers)</f>
        <v>1.0004874811565785</v>
      </c>
      <c r="V109" s="34">
        <f>_xll.qlYieldTSDiscount(OisCurve,R109,,AllTriggers)</f>
        <v>1.0008639506548795</v>
      </c>
      <c r="W109" s="33">
        <f t="shared" si="15"/>
        <v>-1.4405535114500303E-3</v>
      </c>
      <c r="X109" s="35">
        <f t="shared" si="16"/>
        <v>3.6565879250236813E-4</v>
      </c>
      <c r="Y109" s="33">
        <f t="shared" si="17"/>
        <v>1.4001245928171571E-3</v>
      </c>
      <c r="Z109" s="54"/>
    </row>
    <row r="110" spans="15:26" x14ac:dyDescent="0.25">
      <c r="O110" s="35" t="s">
        <v>30</v>
      </c>
      <c r="P110" s="31">
        <f>_xll.qlCalendarAdvance(Calendar,P109,O109,"f",,Trigger)</f>
        <v>42271</v>
      </c>
      <c r="Q110" s="31">
        <f>_xll.qlInterestRateIndexValueDate(Index,P110,Trigger)</f>
        <v>42275</v>
      </c>
      <c r="R110" s="31">
        <f>_xll.qlInterestRateIndexMaturity(Index,Q110,Trigger)</f>
        <v>42366</v>
      </c>
      <c r="S110" s="32">
        <f>_xll.qlDayCounterYearFraction(DayCounter,Q110,R110,,,Trigger)</f>
        <v>0.25277777777777777</v>
      </c>
      <c r="T110" s="33">
        <f>_xll.qlIndexFixing(Index,P110,,AllTriggers)</f>
        <v>-4.3310353456143786E-5</v>
      </c>
      <c r="U110" s="34">
        <f>_xll.qlYieldTSDiscount(OisCurve,Q110,,AllTriggers)</f>
        <v>1.0004981138158608</v>
      </c>
      <c r="V110" s="34">
        <f>_xll.qlYieldTSDiscount(OisCurve,R110,,AllTriggers)</f>
        <v>1.0008639506548795</v>
      </c>
      <c r="W110" s="33">
        <f t="shared" si="15"/>
        <v>-1.4460173282806075E-3</v>
      </c>
      <c r="X110" s="35">
        <f t="shared" si="16"/>
        <v>3.5463991114175603E-4</v>
      </c>
      <c r="Y110" s="33">
        <f t="shared" si="17"/>
        <v>1.4027069748244636E-3</v>
      </c>
      <c r="Z110" s="54"/>
    </row>
    <row r="111" spans="15:26" x14ac:dyDescent="0.25">
      <c r="O111" s="35" t="s">
        <v>30</v>
      </c>
      <c r="P111" s="31">
        <f>_xll.qlCalendarAdvance(Calendar,P110,O110,"f",,Trigger)</f>
        <v>42272</v>
      </c>
      <c r="Q111" s="31">
        <f>_xll.qlInterestRateIndexValueDate(Index,P111,Trigger)</f>
        <v>42276</v>
      </c>
      <c r="R111" s="31">
        <f>_xll.qlInterestRateIndexMaturity(Index,Q111,Trigger)</f>
        <v>42367</v>
      </c>
      <c r="S111" s="32">
        <f>_xll.qlDayCounterYearFraction(DayCounter,Q111,R111,,,Trigger)</f>
        <v>0.25277777777777777</v>
      </c>
      <c r="T111" s="33">
        <f>_xll.qlIndexFixing(Index,P111,,AllTriggers)</f>
        <v>-4.4600404324910805E-5</v>
      </c>
      <c r="U111" s="34">
        <f>_xll.qlYieldTSDiscount(OisCurve,Q111,,AllTriggers)</f>
        <v>1.0005017516284418</v>
      </c>
      <c r="V111" s="34">
        <f>_xll.qlYieldTSDiscount(OisCurve,R111,,AllTriggers)</f>
        <v>1.0008683088617325</v>
      </c>
      <c r="W111" s="33">
        <f t="shared" si="15"/>
        <v>-1.4488584706542815E-3</v>
      </c>
      <c r="X111" s="35">
        <f t="shared" si="16"/>
        <v>3.5503225184540404E-4</v>
      </c>
      <c r="Y111" s="33">
        <f t="shared" si="17"/>
        <v>1.4042580663293706E-3</v>
      </c>
      <c r="Z111" s="54"/>
    </row>
    <row r="112" spans="15:26" x14ac:dyDescent="0.25">
      <c r="O112" s="35" t="s">
        <v>30</v>
      </c>
      <c r="P112" s="31">
        <f>_xll.qlCalendarAdvance(Calendar,P111,O111,"f",,Trigger)</f>
        <v>42275</v>
      </c>
      <c r="Q112" s="31">
        <f>_xll.qlInterestRateIndexValueDate(Index,P112,Trigger)</f>
        <v>42277</v>
      </c>
      <c r="R112" s="31">
        <f>_xll.qlInterestRateIndexMaturity(Index,Q112,Trigger)</f>
        <v>42369</v>
      </c>
      <c r="S112" s="32">
        <f>_xll.qlDayCounterYearFraction(DayCounter,Q112,R112,,,Trigger)</f>
        <v>0.25555555555555554</v>
      </c>
      <c r="T112" s="33">
        <f>_xll.qlIndexFixing(Index,P112,,AllTriggers)</f>
        <v>-4.6189041352542993E-5</v>
      </c>
      <c r="U112" s="34">
        <f>_xll.qlYieldTSDiscount(OisCurve,Q112,,AllTriggers)</f>
        <v>1.0005054479850894</v>
      </c>
      <c r="V112" s="34">
        <f>_xll.qlYieldTSDiscount(OisCurve,R112,,AllTriggers)</f>
        <v>1.0008771958318359</v>
      </c>
      <c r="W112" s="33">
        <f t="shared" si="15"/>
        <v>-1.453390579110459E-3</v>
      </c>
      <c r="X112" s="35">
        <f t="shared" si="16"/>
        <v>3.5968709534346503E-4</v>
      </c>
      <c r="Y112" s="33">
        <f t="shared" si="17"/>
        <v>1.407201537757916E-3</v>
      </c>
      <c r="Z112" s="54"/>
    </row>
    <row r="113" spans="15:26" x14ac:dyDescent="0.25">
      <c r="O113" s="35" t="s">
        <v>30</v>
      </c>
      <c r="P113" s="31">
        <f>_xll.qlCalendarAdvance(Calendar,P112,O112,"f",,Trigger)</f>
        <v>42276</v>
      </c>
      <c r="Q113" s="31">
        <f>_xll.qlInterestRateIndexValueDate(Index,P113,Trigger)</f>
        <v>42278</v>
      </c>
      <c r="R113" s="31">
        <f>_xll.qlInterestRateIndexMaturity(Index,Q113,Trigger)</f>
        <v>42373</v>
      </c>
      <c r="S113" s="32">
        <f>_xll.qlDayCounterYearFraction(DayCounter,Q113,R113,,,Trigger)</f>
        <v>0.2638888888888889</v>
      </c>
      <c r="T113" s="33">
        <f>_xll.qlIndexFixing(Index,P113,,AllTriggers)</f>
        <v>-4.8308327480998291E-5</v>
      </c>
      <c r="U113" s="34">
        <f>_xll.qlYieldTSDiscount(OisCurve,Q113,,AllTriggers)</f>
        <v>1.0005092012492021</v>
      </c>
      <c r="V113" s="34">
        <f>_xll.qlYieldTSDiscount(OisCurve,R113,,AllTriggers)</f>
        <v>1.000895429014687</v>
      </c>
      <c r="W113" s="33">
        <f t="shared" si="15"/>
        <v>-1.4622905760066523E-3</v>
      </c>
      <c r="X113" s="35">
        <f t="shared" si="16"/>
        <v>3.7320859492386617E-4</v>
      </c>
      <c r="Y113" s="33">
        <f t="shared" si="17"/>
        <v>1.4139822485256541E-3</v>
      </c>
      <c r="Z113" s="54"/>
    </row>
    <row r="114" spans="15:26" x14ac:dyDescent="0.25">
      <c r="O114" s="35" t="s">
        <v>30</v>
      </c>
      <c r="P114" s="31">
        <f>_xll.qlCalendarAdvance(Calendar,P113,O113,"f",,Trigger)</f>
        <v>42277</v>
      </c>
      <c r="Q114" s="31">
        <f>_xll.qlInterestRateIndexValueDate(Index,P114,Trigger)</f>
        <v>42279</v>
      </c>
      <c r="R114" s="31">
        <f>_xll.qlInterestRateIndexMaturity(Index,Q114,Trigger)</f>
        <v>42373</v>
      </c>
      <c r="S114" s="32">
        <f>_xll.qlDayCounterYearFraction(DayCounter,Q114,R114,,,Trigger)</f>
        <v>0.26111111111111113</v>
      </c>
      <c r="T114" s="33">
        <f>_xll.qlIndexFixing(Index,P114,,AllTriggers)</f>
        <v>-4.916036827575467E-5</v>
      </c>
      <c r="U114" s="34">
        <f>_xll.qlYieldTSDiscount(OisCurve,Q114,,AllTriggers)</f>
        <v>1.0005130078102098</v>
      </c>
      <c r="V114" s="34">
        <f>_xll.qlYieldTSDiscount(OisCurve,R114,,AllTriggers)</f>
        <v>1.000895429014687</v>
      </c>
      <c r="W114" s="33">
        <f t="shared" si="15"/>
        <v>-1.4632815821486963E-3</v>
      </c>
      <c r="X114" s="35">
        <f t="shared" si="16"/>
        <v>3.693156898234167E-4</v>
      </c>
      <c r="Y114" s="33">
        <f t="shared" si="17"/>
        <v>1.4141212138729417E-3</v>
      </c>
      <c r="Z114" s="54"/>
    </row>
    <row r="115" spans="15:26" x14ac:dyDescent="0.25">
      <c r="O115" s="35" t="s">
        <v>30</v>
      </c>
      <c r="P115" s="31">
        <f>_xll.qlCalendarAdvance(Calendar,P114,O114,"f",,Trigger)</f>
        <v>42278</v>
      </c>
      <c r="Q115" s="31">
        <f>_xll.qlInterestRateIndexValueDate(Index,P115,Trigger)</f>
        <v>42282</v>
      </c>
      <c r="R115" s="31">
        <f>_xll.qlInterestRateIndexMaturity(Index,Q115,Trigger)</f>
        <v>42374</v>
      </c>
      <c r="S115" s="32">
        <f>_xll.qlDayCounterYearFraction(DayCounter,Q115,R115,,,Trigger)</f>
        <v>0.25555555555555554</v>
      </c>
      <c r="T115" s="33">
        <f>_xll.qlIndexFixing(Index,P115,,AllTriggers)</f>
        <v>-5.1904253276695477E-5</v>
      </c>
      <c r="U115" s="34">
        <f>_xll.qlYieldTSDiscount(OisCurve,Q115,,AllTriggers)</f>
        <v>1.0005247111681992</v>
      </c>
      <c r="V115" s="34">
        <f>_xll.qlYieldTSDiscount(OisCurve,R115,,AllTriggers)</f>
        <v>1.0009000324181507</v>
      </c>
      <c r="W115" s="33">
        <f t="shared" si="15"/>
        <v>-1.4673277268533085E-3</v>
      </c>
      <c r="X115" s="35">
        <f t="shared" si="16"/>
        <v>3.6178956815116707E-4</v>
      </c>
      <c r="Y115" s="33">
        <f t="shared" si="17"/>
        <v>1.4154234735766131E-3</v>
      </c>
      <c r="Z115" s="54"/>
    </row>
    <row r="116" spans="15:26" x14ac:dyDescent="0.25">
      <c r="O116" s="35" t="s">
        <v>30</v>
      </c>
      <c r="P116" s="31">
        <f>_xll.qlCalendarAdvance(Calendar,P115,O115,"f",,Trigger)</f>
        <v>42279</v>
      </c>
      <c r="Q116" s="31">
        <f>_xll.qlInterestRateIndexValueDate(Index,P116,Trigger)</f>
        <v>42283</v>
      </c>
      <c r="R116" s="31">
        <f>_xll.qlInterestRateIndexMaturity(Index,Q116,Trigger)</f>
        <v>42375</v>
      </c>
      <c r="S116" s="32">
        <f>_xll.qlDayCounterYearFraction(DayCounter,Q116,R116,,,Trigger)</f>
        <v>0.25555555555555554</v>
      </c>
      <c r="T116" s="33">
        <f>_xll.qlIndexFixing(Index,P116,,AllTriggers)</f>
        <v>-5.295201840570192E-5</v>
      </c>
      <c r="U116" s="34">
        <f>_xll.qlYieldTSDiscount(OisCurve,Q116,,AllTriggers)</f>
        <v>1.0005286948101375</v>
      </c>
      <c r="V116" s="34">
        <f>_xll.qlYieldTSDiscount(OisCurve,R116,,AllTriggers)</f>
        <v>1.0009046365265566</v>
      </c>
      <c r="W116" s="33">
        <f t="shared" si="15"/>
        <v>-1.4697466950946739E-3</v>
      </c>
      <c r="X116" s="35">
        <f t="shared" si="16"/>
        <v>3.6214021522254221E-4</v>
      </c>
      <c r="Y116" s="33">
        <f t="shared" si="17"/>
        <v>1.4167946766889721E-3</v>
      </c>
      <c r="Z116" s="54"/>
    </row>
    <row r="117" spans="15:26" x14ac:dyDescent="0.25">
      <c r="O117" s="35" t="s">
        <v>30</v>
      </c>
      <c r="P117" s="31">
        <f>_xll.qlCalendarAdvance(Calendar,P116,O116,"f",,Trigger)</f>
        <v>42282</v>
      </c>
      <c r="Q117" s="31">
        <f>_xll.qlInterestRateIndexValueDate(Index,P117,Trigger)</f>
        <v>42284</v>
      </c>
      <c r="R117" s="31">
        <f>_xll.qlInterestRateIndexMaturity(Index,Q117,Trigger)</f>
        <v>42376</v>
      </c>
      <c r="S117" s="32">
        <f>_xll.qlDayCounterYearFraction(DayCounter,Q117,R117,,,Trigger)</f>
        <v>0.25555555555555554</v>
      </c>
      <c r="T117" s="33">
        <f>_xll.qlIndexFixing(Index,P117,,AllTriggers)</f>
        <v>-5.3969049494178414E-5</v>
      </c>
      <c r="U117" s="34">
        <f>_xll.qlYieldTSDiscount(OisCurve,Q117,,AllTriggers)</f>
        <v>1.0005327136953941</v>
      </c>
      <c r="V117" s="34">
        <f>_xll.qlYieldTSDiscount(OisCurve,R117,,AllTriggers)</f>
        <v>1.0009092326705478</v>
      </c>
      <c r="W117" s="33">
        <f t="shared" si="15"/>
        <v>-1.4719967326461681E-3</v>
      </c>
      <c r="X117" s="35">
        <f t="shared" si="16"/>
        <v>3.6245552954450408E-4</v>
      </c>
      <c r="Y117" s="33">
        <f t="shared" si="17"/>
        <v>1.4180276831519897E-3</v>
      </c>
      <c r="Z117" s="54"/>
    </row>
    <row r="118" spans="15:26" x14ac:dyDescent="0.25">
      <c r="O118" s="35" t="s">
        <v>30</v>
      </c>
      <c r="P118" s="31">
        <f>_xll.qlCalendarAdvance(Calendar,P117,O117,"f",,Trigger)</f>
        <v>42283</v>
      </c>
      <c r="Q118" s="31">
        <f>_xll.qlInterestRateIndexValueDate(Index,P118,Trigger)</f>
        <v>42285</v>
      </c>
      <c r="R118" s="31">
        <f>_xll.qlInterestRateIndexMaturity(Index,Q118,Trigger)</f>
        <v>42377</v>
      </c>
      <c r="S118" s="32">
        <f>_xll.qlDayCounterYearFraction(DayCounter,Q118,R118,,,Trigger)</f>
        <v>0.25555555555555554</v>
      </c>
      <c r="T118" s="33">
        <f>_xll.qlIndexFixing(Index,P118,,AllTriggers)</f>
        <v>-5.4955785838984717E-5</v>
      </c>
      <c r="U118" s="34">
        <f>_xll.qlYieldTSDiscount(OisCurve,Q118,,AllTriggers)</f>
        <v>1.0005367642130978</v>
      </c>
      <c r="V118" s="34">
        <f>_xll.qlYieldTSDiscount(OisCurve,R118,,AllTriggers)</f>
        <v>1.0009138121806074</v>
      </c>
      <c r="W118" s="33">
        <f t="shared" si="15"/>
        <v>-1.4740580780283814E-3</v>
      </c>
      <c r="X118" s="35">
        <f t="shared" si="16"/>
        <v>3.6273034672340234E-4</v>
      </c>
      <c r="Y118" s="33">
        <f t="shared" si="17"/>
        <v>1.4191022921893966E-3</v>
      </c>
      <c r="Z118" s="54"/>
    </row>
    <row r="119" spans="15:26" x14ac:dyDescent="0.25">
      <c r="O119" s="35" t="s">
        <v>30</v>
      </c>
      <c r="P119" s="31">
        <f>_xll.qlCalendarAdvance(Calendar,P118,O118,"f",,Trigger)</f>
        <v>42284</v>
      </c>
      <c r="Q119" s="31">
        <f>_xll.qlInterestRateIndexValueDate(Index,P119,Trigger)</f>
        <v>42286</v>
      </c>
      <c r="R119" s="31">
        <f>_xll.qlInterestRateIndexMaturity(Index,Q119,Trigger)</f>
        <v>42380</v>
      </c>
      <c r="S119" s="32">
        <f>_xll.qlDayCounterYearFraction(DayCounter,Q119,R119,,,Trigger)</f>
        <v>0.26111111111111113</v>
      </c>
      <c r="T119" s="33">
        <f>_xll.qlIndexFixing(Index,P119,,AllTriggers)</f>
        <v>-5.6334671403076832E-5</v>
      </c>
      <c r="U119" s="34">
        <f>_xll.qlYieldTSDiscount(OisCurve,Q119,,AllTriggers)</f>
        <v>1.0005408427523212</v>
      </c>
      <c r="V119" s="34">
        <f>_xll.qlYieldTSDiscount(OisCurve,R119,,AllTriggers)</f>
        <v>1.0009273642096752</v>
      </c>
      <c r="W119" s="33">
        <f t="shared" si="15"/>
        <v>-1.4789234423885189E-3</v>
      </c>
      <c r="X119" s="35">
        <f t="shared" si="16"/>
        <v>3.7152820672343653E-4</v>
      </c>
      <c r="Y119" s="33">
        <f t="shared" si="17"/>
        <v>1.422588770985442E-3</v>
      </c>
      <c r="Z119" s="54"/>
    </row>
    <row r="120" spans="15:26" x14ac:dyDescent="0.25">
      <c r="O120" s="35" t="s">
        <v>30</v>
      </c>
      <c r="P120" s="31">
        <f>_xll.qlCalendarAdvance(Calendar,P119,O119,"f",,Trigger)</f>
        <v>42285</v>
      </c>
      <c r="Q120" s="31">
        <f>_xll.qlInterestRateIndexValueDate(Index,P120,Trigger)</f>
        <v>42289</v>
      </c>
      <c r="R120" s="31">
        <f>_xll.qlInterestRateIndexMaturity(Index,Q120,Trigger)</f>
        <v>42381</v>
      </c>
      <c r="S120" s="32">
        <f>_xll.qlDayCounterYearFraction(DayCounter,Q120,R120,,,Trigger)</f>
        <v>0.25555555555555554</v>
      </c>
      <c r="T120" s="33">
        <f>_xll.qlIndexFixing(Index,P120,,AllTriggers)</f>
        <v>-5.8608569789950579E-5</v>
      </c>
      <c r="U120" s="34">
        <f>_xll.qlYieldTSDiscount(OisCurve,Q120,,AllTriggers)</f>
        <v>1.0005532103889931</v>
      </c>
      <c r="V120" s="34">
        <f>_xll.qlYieldTSDiscount(OisCurve,R120,,AllTriggers)</f>
        <v>1.0009317904857162</v>
      </c>
      <c r="W120" s="33">
        <f t="shared" si="15"/>
        <v>-1.4800213087076326E-3</v>
      </c>
      <c r="X120" s="35">
        <f t="shared" si="16"/>
        <v>3.6332135612563625E-4</v>
      </c>
      <c r="Y120" s="33">
        <f t="shared" si="17"/>
        <v>1.421412738917682E-3</v>
      </c>
      <c r="Z120" s="54"/>
    </row>
    <row r="121" spans="15:26" x14ac:dyDescent="0.25">
      <c r="O121" s="35" t="s">
        <v>30</v>
      </c>
      <c r="P121" s="31">
        <f>_xll.qlCalendarAdvance(Calendar,P120,O120,"f",,Trigger)</f>
        <v>42286</v>
      </c>
      <c r="Q121" s="31">
        <f>_xll.qlInterestRateIndexValueDate(Index,P121,Trigger)</f>
        <v>42290</v>
      </c>
      <c r="R121" s="31">
        <f>_xll.qlInterestRateIndexMaturity(Index,Q121,Trigger)</f>
        <v>42382</v>
      </c>
      <c r="S121" s="32">
        <f>_xll.qlDayCounterYearFraction(DayCounter,Q121,R121,,,Trigger)</f>
        <v>0.25555555555555554</v>
      </c>
      <c r="T121" s="33">
        <f>_xll.qlIndexFixing(Index,P121,,AllTriggers)</f>
        <v>-5.9450421906229302E-5</v>
      </c>
      <c r="U121" s="34">
        <f>_xll.qlYieldTSDiscount(OisCurve,Q121,,AllTriggers)</f>
        <v>1.0005573649038884</v>
      </c>
      <c r="V121" s="34">
        <f>_xll.qlYieldTSDiscount(OisCurve,R121,,AllTriggers)</f>
        <v>1.0009361567779209</v>
      </c>
      <c r="W121" s="33">
        <f t="shared" si="15"/>
        <v>-1.4808427713038389E-3</v>
      </c>
      <c r="X121" s="35">
        <f t="shared" si="16"/>
        <v>3.6331622167826383E-4</v>
      </c>
      <c r="Y121" s="33">
        <f t="shared" si="17"/>
        <v>1.4213923493976096E-3</v>
      </c>
      <c r="Z121" s="54"/>
    </row>
    <row r="122" spans="15:26" x14ac:dyDescent="0.25">
      <c r="O122" s="35" t="s">
        <v>30</v>
      </c>
      <c r="P122" s="31">
        <f>_xll.qlCalendarAdvance(Calendar,P121,O121,"f",,Trigger)</f>
        <v>42289</v>
      </c>
      <c r="Q122" s="31">
        <f>_xll.qlInterestRateIndexValueDate(Index,P122,Trigger)</f>
        <v>42291</v>
      </c>
      <c r="R122" s="31">
        <f>_xll.qlInterestRateIndexMaturity(Index,Q122,Trigger)</f>
        <v>42383</v>
      </c>
      <c r="S122" s="32">
        <f>_xll.qlDayCounterYearFraction(DayCounter,Q122,R122,,,Trigger)</f>
        <v>0.25555555555555554</v>
      </c>
      <c r="T122" s="33">
        <f>_xll.qlIndexFixing(Index,P122,,AllTriggers)</f>
        <v>-6.0264615066078477E-5</v>
      </c>
      <c r="U122" s="34">
        <f>_xll.qlYieldTSDiscount(OisCurve,Q122,,AllTriggers)</f>
        <v>1.0005615293848074</v>
      </c>
      <c r="V122" s="34">
        <f>_xll.qlYieldTSDiscount(OisCurve,R122,,AllTriggers)</f>
        <v>1.0009404544158667</v>
      </c>
      <c r="W122" s="33">
        <f t="shared" si="15"/>
        <v>-1.4813569728299798E-3</v>
      </c>
      <c r="X122" s="35">
        <f t="shared" si="16"/>
        <v>3.6323960372344104E-4</v>
      </c>
      <c r="Y122" s="33">
        <f t="shared" si="17"/>
        <v>1.4210923577639013E-3</v>
      </c>
      <c r="Z122" s="54"/>
    </row>
    <row r="123" spans="15:26" x14ac:dyDescent="0.25">
      <c r="O123" s="35" t="s">
        <v>30</v>
      </c>
      <c r="P123" s="31">
        <f>_xll.qlCalendarAdvance(Calendar,P122,O122,"f",,Trigger)</f>
        <v>42290</v>
      </c>
      <c r="Q123" s="31">
        <f>_xll.qlInterestRateIndexValueDate(Index,P123,Trigger)</f>
        <v>42292</v>
      </c>
      <c r="R123" s="31">
        <f>_xll.qlInterestRateIndexMaturity(Index,Q123,Trigger)</f>
        <v>42384</v>
      </c>
      <c r="S123" s="32">
        <f>_xll.qlDayCounterYearFraction(DayCounter,Q123,R123,,,Trigger)</f>
        <v>0.25555555555555554</v>
      </c>
      <c r="T123" s="33">
        <f>_xll.qlIndexFixing(Index,P123,,AllTriggers)</f>
        <v>-6.1051588562447946E-5</v>
      </c>
      <c r="U123" s="34">
        <f>_xll.qlYieldTSDiscount(OisCurve,Q123,,AllTriggers)</f>
        <v>1.0005657002204742</v>
      </c>
      <c r="V123" s="34">
        <f>_xll.qlYieldTSDiscount(OisCurve,R123,,AllTriggers)</f>
        <v>1.0009446747289952</v>
      </c>
      <c r="W123" s="33">
        <f t="shared" si="15"/>
        <v>-1.4815441516750122E-3</v>
      </c>
      <c r="X123" s="35">
        <f t="shared" si="16"/>
        <v>3.6308633786722491E-4</v>
      </c>
      <c r="Y123" s="33">
        <f t="shared" si="17"/>
        <v>1.4204925631125642E-3</v>
      </c>
      <c r="Z123" s="54"/>
    </row>
    <row r="124" spans="15:26" x14ac:dyDescent="0.25">
      <c r="O124" s="35" t="s">
        <v>30</v>
      </c>
      <c r="P124" s="31">
        <f>_xll.qlCalendarAdvance(Calendar,P123,O123,"f",,Trigger)</f>
        <v>42291</v>
      </c>
      <c r="Q124" s="31">
        <f>_xll.qlInterestRateIndexValueDate(Index,P124,Trigger)</f>
        <v>42293</v>
      </c>
      <c r="R124" s="31">
        <f>_xll.qlInterestRateIndexMaturity(Index,Q124,Trigger)</f>
        <v>42387</v>
      </c>
      <c r="S124" s="32">
        <f>_xll.qlDayCounterYearFraction(DayCounter,Q124,R124,,,Trigger)</f>
        <v>0.26111111111111113</v>
      </c>
      <c r="T124" s="33">
        <f>_xll.qlIndexFixing(Index,P124,,AllTriggers)</f>
        <v>-6.2099302779155023E-5</v>
      </c>
      <c r="U124" s="34">
        <f>_xll.qlYieldTSDiscount(OisCurve,Q124,,AllTriggers)</f>
        <v>1.0005698737995523</v>
      </c>
      <c r="V124" s="34">
        <f>_xll.qlYieldTSDiscount(OisCurve,R124,,AllTriggers)</f>
        <v>1.0009567850119947</v>
      </c>
      <c r="W124" s="33">
        <f t="shared" si="15"/>
        <v>-1.4803712251192415E-3</v>
      </c>
      <c r="X124" s="35">
        <f t="shared" si="16"/>
        <v>3.7040115241296318E-4</v>
      </c>
      <c r="Y124" s="33">
        <f t="shared" si="17"/>
        <v>1.4182719223400865E-3</v>
      </c>
      <c r="Z124" s="54"/>
    </row>
    <row r="125" spans="15:26" x14ac:dyDescent="0.25">
      <c r="O125" s="35" t="s">
        <v>30</v>
      </c>
      <c r="P125" s="31">
        <f>_xll.qlCalendarAdvance(Calendar,P124,O124,"f",,Trigger)</f>
        <v>42292</v>
      </c>
      <c r="Q125" s="31">
        <f>_xll.qlInterestRateIndexValueDate(Index,P125,Trigger)</f>
        <v>42296</v>
      </c>
      <c r="R125" s="31">
        <f>_xll.qlInterestRateIndexMaturity(Index,Q125,Trigger)</f>
        <v>42388</v>
      </c>
      <c r="S125" s="32">
        <f>_xll.qlDayCounterYearFraction(DayCounter,Q125,R125,,,Trigger)</f>
        <v>0.25555555555555554</v>
      </c>
      <c r="T125" s="33">
        <f>_xll.qlIndexFixing(Index,P125,,AllTriggers)</f>
        <v>-6.3936071764305794E-5</v>
      </c>
      <c r="U125" s="34">
        <f>_xll.qlYieldTSDiscount(OisCurve,Q125,,AllTriggers)</f>
        <v>1.000582374882987</v>
      </c>
      <c r="V125" s="34">
        <f>_xll.qlYieldTSDiscount(OisCurve,R125,,AllTriggers)</f>
        <v>1.0009606093177912</v>
      </c>
      <c r="W125" s="33">
        <f t="shared" si="15"/>
        <v>-1.4786274051016147E-3</v>
      </c>
      <c r="X125" s="35">
        <f t="shared" si="16"/>
        <v>3.6160350754995275E-4</v>
      </c>
      <c r="Y125" s="33">
        <f t="shared" si="17"/>
        <v>1.414691333337309E-3</v>
      </c>
      <c r="Z125" s="54"/>
    </row>
    <row r="126" spans="15:26" x14ac:dyDescent="0.25">
      <c r="O126" s="35" t="s">
        <v>30</v>
      </c>
      <c r="P126" s="31">
        <f>_xll.qlCalendarAdvance(Calendar,P125,O125,"f",,Trigger)</f>
        <v>42293</v>
      </c>
      <c r="Q126" s="31">
        <f>_xll.qlInterestRateIndexValueDate(Index,P126,Trigger)</f>
        <v>42297</v>
      </c>
      <c r="R126" s="31">
        <f>_xll.qlInterestRateIndexMaturity(Index,Q126,Trigger)</f>
        <v>42389</v>
      </c>
      <c r="S126" s="32">
        <f>_xll.qlDayCounterYearFraction(DayCounter,Q126,R126,,,Trigger)</f>
        <v>0.25555555555555554</v>
      </c>
      <c r="T126" s="33">
        <f>_xll.qlIndexFixing(Index,P126,,AllTriggers)</f>
        <v>-6.4593536321884727E-5</v>
      </c>
      <c r="U126" s="34">
        <f>_xll.qlYieldTSDiscount(OisCurve,Q126,,AllTriggers)</f>
        <v>1.0005865233211424</v>
      </c>
      <c r="V126" s="34">
        <f>_xll.qlYieldTSDiscount(OisCurve,R126,,AllTriggers)</f>
        <v>1.0009643129441881</v>
      </c>
      <c r="W126" s="33">
        <f t="shared" si="15"/>
        <v>-1.4768830431780133E-3</v>
      </c>
      <c r="X126" s="35">
        <f t="shared" si="16"/>
        <v>3.6098953627736679E-4</v>
      </c>
      <c r="Y126" s="33">
        <f t="shared" si="17"/>
        <v>1.4122895068561286E-3</v>
      </c>
      <c r="Z126" s="54"/>
    </row>
    <row r="127" spans="15:26" x14ac:dyDescent="0.25">
      <c r="O127" s="35" t="s">
        <v>30</v>
      </c>
      <c r="P127" s="31">
        <f>_xll.qlCalendarAdvance(Calendar,P126,O126,"f",,Trigger)</f>
        <v>42296</v>
      </c>
      <c r="Q127" s="31">
        <f>_xll.qlInterestRateIndexValueDate(Index,P127,Trigger)</f>
        <v>42298</v>
      </c>
      <c r="R127" s="31">
        <f>_xll.qlInterestRateIndexMaturity(Index,Q127,Trigger)</f>
        <v>42390</v>
      </c>
      <c r="S127" s="32">
        <f>_xll.qlDayCounterYearFraction(DayCounter,Q127,R127,,,Trigger)</f>
        <v>0.25555555555555554</v>
      </c>
      <c r="T127" s="33">
        <f>_xll.qlIndexFixing(Index,P127,,AllTriggers)</f>
        <v>-6.5226416961084382E-5</v>
      </c>
      <c r="U127" s="34">
        <f>_xll.qlYieldTSDiscount(OisCurve,Q127,,AllTriggers)</f>
        <v>1.0005906564451257</v>
      </c>
      <c r="V127" s="34">
        <f>_xll.qlYieldTSDiscount(OisCurve,R127,,AllTriggers)</f>
        <v>1.0009678872199712</v>
      </c>
      <c r="W127" s="33">
        <f t="shared" si="15"/>
        <v>-1.4746930867166222E-3</v>
      </c>
      <c r="X127" s="35">
        <f t="shared" si="16"/>
        <v>3.6026793073953178E-4</v>
      </c>
      <c r="Y127" s="33">
        <f t="shared" si="17"/>
        <v>1.4094666697555378E-3</v>
      </c>
      <c r="Z127" s="54"/>
    </row>
    <row r="128" spans="15:26" x14ac:dyDescent="0.25">
      <c r="O128" s="35" t="s">
        <v>30</v>
      </c>
      <c r="P128" s="31">
        <f>_xll.qlCalendarAdvance(Calendar,P127,O127,"f",,Trigger)</f>
        <v>42297</v>
      </c>
      <c r="Q128" s="31">
        <f>_xll.qlInterestRateIndexValueDate(Index,P128,Trigger)</f>
        <v>42299</v>
      </c>
      <c r="R128" s="31">
        <f>_xll.qlInterestRateIndexMaturity(Index,Q128,Trigger)</f>
        <v>42391</v>
      </c>
      <c r="S128" s="32">
        <f>_xll.qlDayCounterYearFraction(DayCounter,Q128,R128,,,Trigger)</f>
        <v>0.25555555555555554</v>
      </c>
      <c r="T128" s="33">
        <f>_xll.qlIndexFixing(Index,P128,,AllTriggers)</f>
        <v>-6.5835152970075824E-5</v>
      </c>
      <c r="U128" s="34">
        <f>_xll.qlYieldTSDiscount(OisCurve,Q128,,AllTriggers)</f>
        <v>1.000594770643241</v>
      </c>
      <c r="V128" s="34">
        <f>_xll.qlYieldTSDiscount(OisCurve,R128,,AllTriggers)</f>
        <v>1.0009713234738502</v>
      </c>
      <c r="W128" s="33">
        <f t="shared" si="15"/>
        <v>-1.4720377731927813E-3</v>
      </c>
      <c r="X128" s="35">
        <f t="shared" si="16"/>
        <v>3.5943352654278917E-4</v>
      </c>
      <c r="Y128" s="33">
        <f t="shared" si="17"/>
        <v>1.4062026202227055E-3</v>
      </c>
      <c r="Z128" s="54"/>
    </row>
    <row r="129" spans="15:26" x14ac:dyDescent="0.25">
      <c r="O129" s="35" t="s">
        <v>30</v>
      </c>
      <c r="P129" s="31">
        <f>_xll.qlCalendarAdvance(Calendar,P128,O128,"f",,Trigger)</f>
        <v>42298</v>
      </c>
      <c r="Q129" s="31">
        <f>_xll.qlInterestRateIndexValueDate(Index,P129,Trigger)</f>
        <v>42300</v>
      </c>
      <c r="R129" s="31">
        <f>_xll.qlInterestRateIndexMaturity(Index,Q129,Trigger)</f>
        <v>42394</v>
      </c>
      <c r="S129" s="32">
        <f>_xll.qlDayCounterYearFraction(DayCounter,Q129,R129,,,Trigger)</f>
        <v>0.26111111111111113</v>
      </c>
      <c r="T129" s="33">
        <f>_xll.qlIndexFixing(Index,P129,,AllTriggers)</f>
        <v>-6.6601734604823242E-5</v>
      </c>
      <c r="U129" s="34">
        <f>_xll.qlYieldTSDiscount(OisCurve,Q129,,AllTriggers)</f>
        <v>1.0005988623037343</v>
      </c>
      <c r="V129" s="34">
        <f>_xll.qlYieldTSDiscount(OisCurve,R129,,AllTriggers)</f>
        <v>1.0009807173902685</v>
      </c>
      <c r="W129" s="33">
        <f t="shared" si="15"/>
        <v>-1.4609909164643275E-3</v>
      </c>
      <c r="X129" s="35">
        <f t="shared" si="16"/>
        <v>3.6416313975372474E-4</v>
      </c>
      <c r="Y129" s="33">
        <f t="shared" si="17"/>
        <v>1.3943891818595042E-3</v>
      </c>
      <c r="Z129" s="54"/>
    </row>
    <row r="130" spans="15:26" x14ac:dyDescent="0.25">
      <c r="O130" s="35" t="s">
        <v>30</v>
      </c>
      <c r="P130" s="31">
        <f>_xll.qlCalendarAdvance(Calendar,P129,O129,"f",,Trigger)</f>
        <v>42299</v>
      </c>
      <c r="Q130" s="31">
        <f>_xll.qlInterestRateIndexValueDate(Index,P130,Trigger)</f>
        <v>42303</v>
      </c>
      <c r="R130" s="31">
        <f>_xll.qlInterestRateIndexMaturity(Index,Q130,Trigger)</f>
        <v>42395</v>
      </c>
      <c r="S130" s="32">
        <f>_xll.qlDayCounterYearFraction(DayCounter,Q130,R130,,,Trigger)</f>
        <v>0.25555555555555554</v>
      </c>
      <c r="T130" s="33">
        <f>_xll.qlIndexFixing(Index,P130,,AllTriggers)</f>
        <v>-6.8037436440880085E-5</v>
      </c>
      <c r="U130" s="34">
        <f>_xll.qlYieldTSDiscount(OisCurve,Q130,,AllTriggers)</f>
        <v>1.0006109659410849</v>
      </c>
      <c r="V130" s="34">
        <f>_xll.qlYieldTSDiscount(OisCurve,R130,,AllTriggers)</f>
        <v>1.0009835148425308</v>
      </c>
      <c r="W130" s="33">
        <f t="shared" si="15"/>
        <v>-1.4563676898970497E-3</v>
      </c>
      <c r="X130" s="35">
        <f t="shared" si="16"/>
        <v>3.5486463528306079E-4</v>
      </c>
      <c r="Y130" s="33">
        <f t="shared" si="17"/>
        <v>1.3883302534561696E-3</v>
      </c>
      <c r="Z130" s="54"/>
    </row>
    <row r="131" spans="15:26" x14ac:dyDescent="0.25">
      <c r="O131" s="35" t="s">
        <v>30</v>
      </c>
      <c r="P131" s="31">
        <f>_xll.qlCalendarAdvance(Calendar,P130,O130,"f",,Trigger)</f>
        <v>42300</v>
      </c>
      <c r="Q131" s="31">
        <f>_xll.qlInterestRateIndexValueDate(Index,P131,Trigger)</f>
        <v>42304</v>
      </c>
      <c r="R131" s="31">
        <f>_xll.qlInterestRateIndexMaturity(Index,Q131,Trigger)</f>
        <v>42396</v>
      </c>
      <c r="S131" s="32">
        <f>_xll.qlDayCounterYearFraction(DayCounter,Q131,R131,,,Trigger)</f>
        <v>0.25555555555555554</v>
      </c>
      <c r="T131" s="33">
        <f>_xll.qlIndexFixing(Index,P131,,AllTriggers)</f>
        <v>-6.853203859446134E-5</v>
      </c>
      <c r="U131" s="34">
        <f>_xll.qlYieldTSDiscount(OisCurve,Q131,,AllTriggers)</f>
        <v>1.000614931332412</v>
      </c>
      <c r="V131" s="34">
        <f>_xll.qlYieldTSDiscount(OisCurve,R131,,AllTriggers)</f>
        <v>1.0009861498100725</v>
      </c>
      <c r="W131" s="33">
        <f t="shared" si="15"/>
        <v>-1.4511629789235399E-3</v>
      </c>
      <c r="X131" s="35">
        <f t="shared" si="16"/>
        <v>3.5340764760806041E-4</v>
      </c>
      <c r="Y131" s="33">
        <f t="shared" si="17"/>
        <v>1.3826309403290786E-3</v>
      </c>
      <c r="Z131" s="54"/>
    </row>
    <row r="132" spans="15:26" x14ac:dyDescent="0.25">
      <c r="O132" s="35" t="s">
        <v>30</v>
      </c>
      <c r="P132" s="31">
        <f>_xll.qlCalendarAdvance(Calendar,P131,O131,"f",,Trigger)</f>
        <v>42303</v>
      </c>
      <c r="Q132" s="31">
        <f>_xll.qlInterestRateIndexValueDate(Index,P132,Trigger)</f>
        <v>42305</v>
      </c>
      <c r="R132" s="31">
        <f>_xll.qlInterestRateIndexMaturity(Index,Q132,Trigger)</f>
        <v>42397</v>
      </c>
      <c r="S132" s="32">
        <f>_xll.qlDayCounterYearFraction(DayCounter,Q132,R132,,,Trigger)</f>
        <v>0.25555555555555554</v>
      </c>
      <c r="T132" s="33">
        <f>_xll.qlIndexFixing(Index,P132,,AllTriggers)</f>
        <v>-6.9005131832089944E-5</v>
      </c>
      <c r="U132" s="34">
        <f>_xll.qlYieldTSDiscount(OisCurve,Q132,,AllTriggers)</f>
        <v>1.0006188561265017</v>
      </c>
      <c r="V132" s="34">
        <f>_xll.qlYieldTSDiscount(OisCurve,R132,,AllTriggers)</f>
        <v>1.0009887080935027</v>
      </c>
      <c r="W132" s="33">
        <f t="shared" ref="W132:W195" si="18">(U132/V132-1)/S132</f>
        <v>-1.4458173360934108E-3</v>
      </c>
      <c r="X132" s="35">
        <f t="shared" ref="X132:X195" si="19">LN((1+T132*S132)/(1+W132*S132))</f>
        <v>3.5192012927554663E-4</v>
      </c>
      <c r="Y132" s="33">
        <f t="shared" ref="Y132:Y195" si="20">T132-W132</f>
        <v>1.3768122042613208E-3</v>
      </c>
      <c r="Z132" s="54"/>
    </row>
    <row r="133" spans="15:26" x14ac:dyDescent="0.25">
      <c r="O133" s="35" t="s">
        <v>30</v>
      </c>
      <c r="P133" s="31">
        <f>_xll.qlCalendarAdvance(Calendar,P132,O132,"f",,Trigger)</f>
        <v>42304</v>
      </c>
      <c r="Q133" s="31">
        <f>_xll.qlInterestRateIndexValueDate(Index,P133,Trigger)</f>
        <v>42306</v>
      </c>
      <c r="R133" s="31">
        <f>_xll.qlInterestRateIndexMaturity(Index,Q133,Trigger)</f>
        <v>42398</v>
      </c>
      <c r="S133" s="32">
        <f>_xll.qlDayCounterYearFraction(DayCounter,Q133,R133,,,Trigger)</f>
        <v>0.25555555555555554</v>
      </c>
      <c r="T133" s="33">
        <f>_xll.qlIndexFixing(Index,P133,,AllTriggers)</f>
        <v>-6.9457155436723709E-5</v>
      </c>
      <c r="U133" s="34">
        <f>_xll.qlYieldTSDiscount(OisCurve,Q133,,AllTriggers)</f>
        <v>1.0006227378943759</v>
      </c>
      <c r="V133" s="34">
        <f>_xll.qlYieldTSDiscount(OisCurve,R133,,AllTriggers)</f>
        <v>1.0009912943887853</v>
      </c>
      <c r="W133" s="33">
        <f t="shared" si="18"/>
        <v>-1.4407493800433734E-3</v>
      </c>
      <c r="X133" s="35">
        <f t="shared" si="19"/>
        <v>3.5050898788832255E-4</v>
      </c>
      <c r="Y133" s="33">
        <f t="shared" si="20"/>
        <v>1.3712922246066496E-3</v>
      </c>
      <c r="Z133" s="54"/>
    </row>
    <row r="134" spans="15:26" x14ac:dyDescent="0.25">
      <c r="O134" s="35" t="s">
        <v>30</v>
      </c>
      <c r="P134" s="31">
        <f>_xll.qlCalendarAdvance(Calendar,P133,O133,"f",,Trigger)</f>
        <v>42305</v>
      </c>
      <c r="Q134" s="31">
        <f>_xll.qlInterestRateIndexValueDate(Index,P134,Trigger)</f>
        <v>42307</v>
      </c>
      <c r="R134" s="31">
        <f>_xll.qlInterestRateIndexMaturity(Index,Q134,Trigger)</f>
        <v>42398</v>
      </c>
      <c r="S134" s="32">
        <f>_xll.qlDayCounterYearFraction(DayCounter,Q134,R134,,,Trigger)</f>
        <v>0.25277777777777777</v>
      </c>
      <c r="T134" s="33">
        <f>_xll.qlIndexFixing(Index,P134,,AllTriggers)</f>
        <v>-6.9835728428245468E-5</v>
      </c>
      <c r="U134" s="34">
        <f>_xll.qlYieldTSDiscount(OisCurve,Q134,,AllTriggers)</f>
        <v>1.0006265789394677</v>
      </c>
      <c r="V134" s="34">
        <f>_xll.qlYieldTSDiscount(OisCurve,R134,,AllTriggers)</f>
        <v>1.0009912943887853</v>
      </c>
      <c r="W134" s="33">
        <f t="shared" si="18"/>
        <v>-1.4414014957340939E-3</v>
      </c>
      <c r="X134" s="35">
        <f t="shared" si="19"/>
        <v>3.4676758406451956E-4</v>
      </c>
      <c r="Y134" s="33">
        <f t="shared" si="20"/>
        <v>1.3715657673058484E-3</v>
      </c>
      <c r="Z134" s="54"/>
    </row>
    <row r="135" spans="15:26" x14ac:dyDescent="0.25">
      <c r="O135" s="35" t="s">
        <v>30</v>
      </c>
      <c r="P135" s="31">
        <f>_xll.qlCalendarAdvance(Calendar,P134,O134,"f",,Trigger)</f>
        <v>42306</v>
      </c>
      <c r="Q135" s="31">
        <f>_xll.qlInterestRateIndexValueDate(Index,P135,Trigger)</f>
        <v>42310</v>
      </c>
      <c r="R135" s="31">
        <f>_xll.qlInterestRateIndexMaturity(Index,Q135,Trigger)</f>
        <v>42402</v>
      </c>
      <c r="S135" s="32">
        <f>_xll.qlDayCounterYearFraction(DayCounter,Q135,R135,,,Trigger)</f>
        <v>0.25555555555555554</v>
      </c>
      <c r="T135" s="33">
        <f>_xll.qlIndexFixing(Index,P135,,AllTriggers)</f>
        <v>-7.1063339177516226E-5</v>
      </c>
      <c r="U135" s="34">
        <f>_xll.qlYieldTSDiscount(OisCurve,Q135,,AllTriggers)</f>
        <v>1.0006378926042219</v>
      </c>
      <c r="V135" s="34">
        <f>_xll.qlYieldTSDiscount(OisCurve,R135,,AllTriggers)</f>
        <v>1.0010028618502183</v>
      </c>
      <c r="W135" s="33">
        <f t="shared" si="18"/>
        <v>-1.4267097350472303E-3</v>
      </c>
      <c r="X135" s="35">
        <f t="shared" si="19"/>
        <v>3.4650928698009366E-4</v>
      </c>
      <c r="Y135" s="33">
        <f t="shared" si="20"/>
        <v>1.355646395869714E-3</v>
      </c>
      <c r="Z135" s="54"/>
    </row>
    <row r="136" spans="15:26" x14ac:dyDescent="0.25">
      <c r="O136" s="35" t="s">
        <v>30</v>
      </c>
      <c r="P136" s="31">
        <f>_xll.qlCalendarAdvance(Calendar,P135,O135,"f",,Trigger)</f>
        <v>42307</v>
      </c>
      <c r="Q136" s="31">
        <f>_xll.qlInterestRateIndexValueDate(Index,P136,Trigger)</f>
        <v>42311</v>
      </c>
      <c r="R136" s="31">
        <f>_xll.qlInterestRateIndexMaturity(Index,Q136,Trigger)</f>
        <v>42403</v>
      </c>
      <c r="S136" s="32">
        <f>_xll.qlDayCounterYearFraction(DayCounter,Q136,R136,,,Trigger)</f>
        <v>0.25555555555555554</v>
      </c>
      <c r="T136" s="33">
        <f>_xll.qlIndexFixing(Index,P136,,AllTriggers)</f>
        <v>-7.1416603851116932E-5</v>
      </c>
      <c r="U136" s="34">
        <f>_xll.qlYieldTSDiscount(OisCurve,Q136,,AllTriggers)</f>
        <v>1.0006416056246399</v>
      </c>
      <c r="V136" s="34">
        <f>_xll.qlYieldTSDiscount(OisCurve,R136,,AllTriggers)</f>
        <v>1.0010060608715503</v>
      </c>
      <c r="W136" s="33">
        <f t="shared" si="18"/>
        <v>-1.4246958962458602E-3</v>
      </c>
      <c r="X136" s="35">
        <f t="shared" si="19"/>
        <v>3.459041713143992E-4</v>
      </c>
      <c r="Y136" s="33">
        <f t="shared" si="20"/>
        <v>1.3532792923947432E-3</v>
      </c>
      <c r="Z136" s="54"/>
    </row>
    <row r="137" spans="15:26" x14ac:dyDescent="0.25">
      <c r="O137" s="35" t="s">
        <v>30</v>
      </c>
      <c r="P137" s="31">
        <f>_xll.qlCalendarAdvance(Calendar,P136,O136,"f",,Trigger)</f>
        <v>42310</v>
      </c>
      <c r="Q137" s="31">
        <f>_xll.qlInterestRateIndexValueDate(Index,P137,Trigger)</f>
        <v>42312</v>
      </c>
      <c r="R137" s="31">
        <f>_xll.qlInterestRateIndexMaturity(Index,Q137,Trigger)</f>
        <v>42404</v>
      </c>
      <c r="S137" s="32">
        <f>_xll.qlDayCounterYearFraction(DayCounter,Q137,R137,,,Trigger)</f>
        <v>0.25555555555555554</v>
      </c>
      <c r="T137" s="33">
        <f>_xll.qlIndexFixing(Index,P137,,AllTriggers)</f>
        <v>-7.1751434581649988E-5</v>
      </c>
      <c r="U137" s="34">
        <f>_xll.qlYieldTSDiscount(OisCurve,Q137,,AllTriggers)</f>
        <v>1.0006452953557823</v>
      </c>
      <c r="V137" s="34">
        <f>_xll.qlYieldTSDiscount(OisCurve,R137,,AllTriggers)</f>
        <v>1.0010093761910215</v>
      </c>
      <c r="W137" s="33">
        <f t="shared" si="18"/>
        <v>-1.4232275658729191E-3</v>
      </c>
      <c r="X137" s="35">
        <f t="shared" si="19"/>
        <v>3.4544322531140714E-4</v>
      </c>
      <c r="Y137" s="33">
        <f t="shared" si="20"/>
        <v>1.351476131291269E-3</v>
      </c>
      <c r="Z137" s="54"/>
    </row>
    <row r="138" spans="15:26" x14ac:dyDescent="0.25">
      <c r="O138" s="35" t="s">
        <v>30</v>
      </c>
      <c r="P138" s="31">
        <f>_xll.qlCalendarAdvance(Calendar,P137,O137,"f",,Trigger)</f>
        <v>42311</v>
      </c>
      <c r="Q138" s="31">
        <f>_xll.qlInterestRateIndexValueDate(Index,P138,Trigger)</f>
        <v>42313</v>
      </c>
      <c r="R138" s="31">
        <f>_xll.qlInterestRateIndexMaturity(Index,Q138,Trigger)</f>
        <v>42405</v>
      </c>
      <c r="S138" s="32">
        <f>_xll.qlDayCounterYearFraction(DayCounter,Q138,R138,,,Trigger)</f>
        <v>0.25555555555555554</v>
      </c>
      <c r="T138" s="33">
        <f>_xll.qlIndexFixing(Index,P138,,AllTriggers)</f>
        <v>-7.2068270650335492E-5</v>
      </c>
      <c r="U138" s="34">
        <f>_xll.qlYieldTSDiscount(OisCurve,Q138,,AllTriggers)</f>
        <v>1.0006489652845136</v>
      </c>
      <c r="V138" s="34">
        <f>_xll.qlYieldTSDiscount(OisCurve,R138,,AllTriggers)</f>
        <v>1.0010128045265065</v>
      </c>
      <c r="W138" s="33">
        <f t="shared" si="18"/>
        <v>-1.4222782831326782E-3</v>
      </c>
      <c r="X138" s="35">
        <f t="shared" si="19"/>
        <v>3.4511957189021852E-4</v>
      </c>
      <c r="Y138" s="33">
        <f t="shared" si="20"/>
        <v>1.3502100124823428E-3</v>
      </c>
      <c r="Z138" s="54"/>
    </row>
    <row r="139" spans="15:26" x14ac:dyDescent="0.25">
      <c r="O139" s="35" t="s">
        <v>30</v>
      </c>
      <c r="P139" s="31">
        <f>_xll.qlCalendarAdvance(Calendar,P138,O138,"f",,Trigger)</f>
        <v>42312</v>
      </c>
      <c r="Q139" s="31">
        <f>_xll.qlInterestRateIndexValueDate(Index,P139,Trigger)</f>
        <v>42314</v>
      </c>
      <c r="R139" s="31">
        <f>_xll.qlInterestRateIndexMaturity(Index,Q139,Trigger)</f>
        <v>42408</v>
      </c>
      <c r="S139" s="32">
        <f>_xll.qlDayCounterYearFraction(DayCounter,Q139,R139,,,Trigger)</f>
        <v>0.26111111111111113</v>
      </c>
      <c r="T139" s="33">
        <f>_xll.qlIndexFixing(Index,P139,,AllTriggers)</f>
        <v>-7.2409878658192528E-5</v>
      </c>
      <c r="U139" s="34">
        <f>_xll.qlYieldTSDiscount(OisCurve,Q139,,AllTriggers)</f>
        <v>1.0006526188977514</v>
      </c>
      <c r="V139" s="34">
        <f>_xll.qlYieldTSDiscount(OisCurve,R139,,AllTriggers)</f>
        <v>1.0010237348076854</v>
      </c>
      <c r="W139" s="33">
        <f t="shared" si="18"/>
        <v>-1.4198414331188761E-3</v>
      </c>
      <c r="X139" s="35">
        <f t="shared" si="19"/>
        <v>3.5189791131107852E-4</v>
      </c>
      <c r="Y139" s="33">
        <f t="shared" si="20"/>
        <v>1.3474315544606836E-3</v>
      </c>
      <c r="Z139" s="54"/>
    </row>
    <row r="140" spans="15:26" x14ac:dyDescent="0.25">
      <c r="O140" s="35" t="s">
        <v>30</v>
      </c>
      <c r="P140" s="31">
        <f>_xll.qlCalendarAdvance(Calendar,P139,O139,"f",,Trigger)</f>
        <v>42313</v>
      </c>
      <c r="Q140" s="31">
        <f>_xll.qlInterestRateIndexValueDate(Index,P140,Trigger)</f>
        <v>42317</v>
      </c>
      <c r="R140" s="31">
        <f>_xll.qlInterestRateIndexMaturity(Index,Q140,Trigger)</f>
        <v>42409</v>
      </c>
      <c r="S140" s="32">
        <f>_xll.qlDayCounterYearFraction(DayCounter,Q140,R140,,,Trigger)</f>
        <v>0.25555555555555554</v>
      </c>
      <c r="T140" s="33">
        <f>_xll.qlIndexFixing(Index,P140,,AllTriggers)</f>
        <v>-7.3164453887125916E-5</v>
      </c>
      <c r="U140" s="34">
        <f>_xll.qlYieldTSDiscount(OisCurve,Q140,,AllTriggers)</f>
        <v>1.0006635167144526</v>
      </c>
      <c r="V140" s="34">
        <f>_xll.qlYieldTSDiscount(OisCurve,R140,,AllTriggers)</f>
        <v>1.0010275823858035</v>
      </c>
      <c r="W140" s="33">
        <f t="shared" si="18"/>
        <v>-1.4231424048703214E-3</v>
      </c>
      <c r="X140" s="35">
        <f t="shared" si="19"/>
        <v>3.450603424056151E-4</v>
      </c>
      <c r="Y140" s="33">
        <f t="shared" si="20"/>
        <v>1.3499779509831954E-3</v>
      </c>
      <c r="Z140" s="54"/>
    </row>
    <row r="141" spans="15:26" x14ac:dyDescent="0.25">
      <c r="O141" s="35" t="s">
        <v>30</v>
      </c>
      <c r="P141" s="31">
        <f>_xll.qlCalendarAdvance(Calendar,P140,O140,"f",,Trigger)</f>
        <v>42314</v>
      </c>
      <c r="Q141" s="31">
        <f>_xll.qlInterestRateIndexValueDate(Index,P141,Trigger)</f>
        <v>42318</v>
      </c>
      <c r="R141" s="31">
        <f>_xll.qlInterestRateIndexMaturity(Index,Q141,Trigger)</f>
        <v>42410</v>
      </c>
      <c r="S141" s="32">
        <f>_xll.qlDayCounterYearFraction(DayCounter,Q141,R141,,,Trigger)</f>
        <v>0.25555555555555554</v>
      </c>
      <c r="T141" s="33">
        <f>_xll.qlIndexFixing(Index,P141,,AllTriggers)</f>
        <v>-7.3397905832292437E-5</v>
      </c>
      <c r="U141" s="34">
        <f>_xll.qlYieldTSDiscount(OisCurve,Q141,,AllTriggers)</f>
        <v>1.0006671399359206</v>
      </c>
      <c r="V141" s="34">
        <f>_xll.qlYieldTSDiscount(OisCurve,R141,,AllTriggers)</f>
        <v>1.0010315265691503</v>
      </c>
      <c r="W141" s="33">
        <f t="shared" si="18"/>
        <v>-1.4243914411086721E-3</v>
      </c>
      <c r="X141" s="35">
        <f t="shared" si="19"/>
        <v>3.4531999567955922E-4</v>
      </c>
      <c r="Y141" s="33">
        <f t="shared" si="20"/>
        <v>1.3509935352763796E-3</v>
      </c>
      <c r="Z141" s="54"/>
    </row>
    <row r="142" spans="15:26" x14ac:dyDescent="0.25">
      <c r="O142" s="35" t="s">
        <v>30</v>
      </c>
      <c r="P142" s="31">
        <f>_xll.qlCalendarAdvance(Calendar,P141,O141,"f",,Trigger)</f>
        <v>42317</v>
      </c>
      <c r="Q142" s="31">
        <f>_xll.qlInterestRateIndexValueDate(Index,P142,Trigger)</f>
        <v>42319</v>
      </c>
      <c r="R142" s="31">
        <f>_xll.qlInterestRateIndexMaturity(Index,Q142,Trigger)</f>
        <v>42411</v>
      </c>
      <c r="S142" s="32">
        <f>_xll.qlDayCounterYearFraction(DayCounter,Q142,R142,,,Trigger)</f>
        <v>0.25555555555555554</v>
      </c>
      <c r="T142" s="33">
        <f>_xll.qlIndexFixing(Index,P142,,AllTriggers)</f>
        <v>-7.3615998785554567E-5</v>
      </c>
      <c r="U142" s="34">
        <f>_xll.qlYieldTSDiscount(OisCurve,Q142,,AllTriggers)</f>
        <v>1.0006707642772512</v>
      </c>
      <c r="V142" s="34">
        <f>_xll.qlYieldTSDiscount(OisCurve,R142,,AllTriggers)</f>
        <v>1.001035564075512</v>
      </c>
      <c r="W142" s="33">
        <f t="shared" si="18"/>
        <v>-1.4260007563002156E-3</v>
      </c>
      <c r="X142" s="35">
        <f t="shared" si="19"/>
        <v>3.4567567905026528E-4</v>
      </c>
      <c r="Y142" s="33">
        <f t="shared" si="20"/>
        <v>1.3523847575146609E-3</v>
      </c>
      <c r="Z142" s="54"/>
    </row>
    <row r="143" spans="15:26" x14ac:dyDescent="0.25">
      <c r="O143" s="35" t="s">
        <v>30</v>
      </c>
      <c r="P143" s="31">
        <f>_xll.qlCalendarAdvance(Calendar,P142,O142,"f",,Trigger)</f>
        <v>42318</v>
      </c>
      <c r="Q143" s="31">
        <f>_xll.qlInterestRateIndexValueDate(Index,P143,Trigger)</f>
        <v>42320</v>
      </c>
      <c r="R143" s="31">
        <f>_xll.qlInterestRateIndexMaturity(Index,Q143,Trigger)</f>
        <v>42412</v>
      </c>
      <c r="S143" s="32">
        <f>_xll.qlDayCounterYearFraction(DayCounter,Q143,R143,,,Trigger)</f>
        <v>0.25555555555555554</v>
      </c>
      <c r="T143" s="33">
        <f>_xll.qlIndexFixing(Index,P143,,AllTriggers)</f>
        <v>-7.381917202900128E-5</v>
      </c>
      <c r="U143" s="34">
        <f>_xll.qlYieldTSDiscount(OisCurve,Q143,,AllTriggers)</f>
        <v>1.0006743932256681</v>
      </c>
      <c r="V143" s="34">
        <f>_xll.qlYieldTSDiscount(OisCurve,R143,,AllTriggers)</f>
        <v>1.0010396916226494</v>
      </c>
      <c r="W143" s="33">
        <f t="shared" si="18"/>
        <v>-1.4279438886283006E-3</v>
      </c>
      <c r="X143" s="35">
        <f t="shared" si="19"/>
        <v>3.4612051543621498E-4</v>
      </c>
      <c r="Y143" s="33">
        <f t="shared" si="20"/>
        <v>1.3541247165992994E-3</v>
      </c>
      <c r="Z143" s="54"/>
    </row>
    <row r="144" spans="15:26" x14ac:dyDescent="0.25">
      <c r="O144" s="35" t="s">
        <v>30</v>
      </c>
      <c r="P144" s="31">
        <f>_xll.qlCalendarAdvance(Calendar,P143,O143,"f",,Trigger)</f>
        <v>42319</v>
      </c>
      <c r="Q144" s="31">
        <f>_xll.qlInterestRateIndexValueDate(Index,P144,Trigger)</f>
        <v>42321</v>
      </c>
      <c r="R144" s="31">
        <f>_xll.qlInterestRateIndexMaturity(Index,Q144,Trigger)</f>
        <v>42415</v>
      </c>
      <c r="S144" s="32">
        <f>_xll.qlDayCounterYearFraction(DayCounter,Q144,R144,,,Trigger)</f>
        <v>0.26111111111111113</v>
      </c>
      <c r="T144" s="33">
        <f>_xll.qlIndexFixing(Index,P144,,AllTriggers)</f>
        <v>-7.4010526845803628E-5</v>
      </c>
      <c r="U144" s="34">
        <f>_xll.qlYieldTSDiscount(OisCurve,Q144,,AllTriggers)</f>
        <v>1.000678030268445</v>
      </c>
      <c r="V144" s="34">
        <f>_xll.qlYieldTSDiscount(OisCurve,R144,,AllTriggers)</f>
        <v>1.0010525816858633</v>
      </c>
      <c r="W144" s="33">
        <f t="shared" si="18"/>
        <v>-1.4329439463660184E-3</v>
      </c>
      <c r="X144" s="35">
        <f t="shared" si="19"/>
        <v>3.5490244278159588E-4</v>
      </c>
      <c r="Y144" s="33">
        <f t="shared" si="20"/>
        <v>1.3589334195202149E-3</v>
      </c>
      <c r="Z144" s="54"/>
    </row>
    <row r="145" spans="15:26" x14ac:dyDescent="0.25">
      <c r="O145" s="35" t="s">
        <v>30</v>
      </c>
      <c r="P145" s="31">
        <f>_xll.qlCalendarAdvance(Calendar,P144,O144,"f",,Trigger)</f>
        <v>42320</v>
      </c>
      <c r="Q145" s="31">
        <f>_xll.qlInterestRateIndexValueDate(Index,P145,Trigger)</f>
        <v>42324</v>
      </c>
      <c r="R145" s="31">
        <f>_xll.qlInterestRateIndexMaturity(Index,Q145,Trigger)</f>
        <v>42416</v>
      </c>
      <c r="S145" s="32">
        <f>_xll.qlDayCounterYearFraction(DayCounter,Q145,R145,,,Trigger)</f>
        <v>0.25555555555555554</v>
      </c>
      <c r="T145" s="33">
        <f>_xll.qlIndexFixing(Index,P145,,AllTriggers)</f>
        <v>-7.4491453429984588E-5</v>
      </c>
      <c r="U145" s="34">
        <f>_xll.qlYieldTSDiscount(OisCurve,Q145,,AllTriggers)</f>
        <v>1.0006890248364408</v>
      </c>
      <c r="V145" s="34">
        <f>_xll.qlYieldTSDiscount(OisCurve,R145,,AllTriggers)</f>
        <v>1.0010570365730795</v>
      </c>
      <c r="W145" s="33">
        <f t="shared" si="18"/>
        <v>-1.43852535206898E-3</v>
      </c>
      <c r="X145" s="35">
        <f t="shared" si="19"/>
        <v>3.4865384951708475E-4</v>
      </c>
      <c r="Y145" s="33">
        <f t="shared" si="20"/>
        <v>1.3640338986389954E-3</v>
      </c>
      <c r="Z145" s="54"/>
    </row>
    <row r="146" spans="15:26" x14ac:dyDescent="0.25">
      <c r="O146" s="35" t="s">
        <v>30</v>
      </c>
      <c r="P146" s="31">
        <f>_xll.qlCalendarAdvance(Calendar,P145,O145,"f",,Trigger)</f>
        <v>42321</v>
      </c>
      <c r="Q146" s="31">
        <f>_xll.qlInterestRateIndexValueDate(Index,P146,Trigger)</f>
        <v>42325</v>
      </c>
      <c r="R146" s="31">
        <f>_xll.qlInterestRateIndexMaturity(Index,Q146,Trigger)</f>
        <v>42417</v>
      </c>
      <c r="S146" s="32">
        <f>_xll.qlDayCounterYearFraction(DayCounter,Q146,R146,,,Trigger)</f>
        <v>0.25555555555555554</v>
      </c>
      <c r="T146" s="33">
        <f>_xll.qlIndexFixing(Index,P146,,AllTriggers)</f>
        <v>-7.4626617272711556E-5</v>
      </c>
      <c r="U146" s="34">
        <f>_xll.qlYieldTSDiscount(OisCurve,Q146,,AllTriggers)</f>
        <v>1.0006927291304204</v>
      </c>
      <c r="V146" s="34">
        <f>_xll.qlYieldTSDiscount(OisCurve,R146,,AllTriggers)</f>
        <v>1.0010615650893784</v>
      </c>
      <c r="W146" s="33">
        <f t="shared" si="18"/>
        <v>-1.4417406422148496E-3</v>
      </c>
      <c r="X146" s="35">
        <f t="shared" si="19"/>
        <v>3.4944129476702966E-4</v>
      </c>
      <c r="Y146" s="33">
        <f t="shared" si="20"/>
        <v>1.367114024942138E-3</v>
      </c>
      <c r="Z146" s="54"/>
    </row>
    <row r="147" spans="15:26" x14ac:dyDescent="0.25">
      <c r="O147" s="35" t="s">
        <v>30</v>
      </c>
      <c r="P147" s="31">
        <f>_xll.qlCalendarAdvance(Calendar,P146,O146,"f",,Trigger)</f>
        <v>42324</v>
      </c>
      <c r="Q147" s="31">
        <f>_xll.qlInterestRateIndexValueDate(Index,P147,Trigger)</f>
        <v>42326</v>
      </c>
      <c r="R147" s="31">
        <f>_xll.qlInterestRateIndexMaturity(Index,Q147,Trigger)</f>
        <v>42418</v>
      </c>
      <c r="S147" s="32">
        <f>_xll.qlDayCounterYearFraction(DayCounter,Q147,R147,,,Trigger)</f>
        <v>0.25555555555555554</v>
      </c>
      <c r="T147" s="33">
        <f>_xll.qlIndexFixing(Index,P147,,AllTriggers)</f>
        <v>-7.474949706513982E-5</v>
      </c>
      <c r="U147" s="34">
        <f>_xll.qlYieldTSDiscount(OisCurve,Q147,,AllTriggers)</f>
        <v>1.0006964589559015</v>
      </c>
      <c r="V147" s="34">
        <f>_xll.qlYieldTSDiscount(OisCurve,R147,,AllTriggers)</f>
        <v>1.0010661639523033</v>
      </c>
      <c r="W147" s="33">
        <f t="shared" si="18"/>
        <v>-1.4451309784948285E-3</v>
      </c>
      <c r="X147" s="35">
        <f t="shared" si="19"/>
        <v>3.502766305464781E-4</v>
      </c>
      <c r="Y147" s="33">
        <f t="shared" si="20"/>
        <v>1.3703814814296888E-3</v>
      </c>
      <c r="Z147" s="54"/>
    </row>
    <row r="148" spans="15:26" x14ac:dyDescent="0.25">
      <c r="O148" s="35" t="s">
        <v>30</v>
      </c>
      <c r="P148" s="31">
        <f>_xll.qlCalendarAdvance(Calendar,P147,O147,"f",,Trigger)</f>
        <v>42325</v>
      </c>
      <c r="Q148" s="31">
        <f>_xll.qlInterestRateIndexValueDate(Index,P148,Trigger)</f>
        <v>42327</v>
      </c>
      <c r="R148" s="31">
        <f>_xll.qlInterestRateIndexMaturity(Index,Q148,Trigger)</f>
        <v>42419</v>
      </c>
      <c r="S148" s="32">
        <f>_xll.qlDayCounterYearFraction(DayCounter,Q148,R148,,,Trigger)</f>
        <v>0.25555555555555554</v>
      </c>
      <c r="T148" s="33">
        <f>_xll.qlIndexFixing(Index,P148,,AllTriggers)</f>
        <v>-7.4860532083276254E-5</v>
      </c>
      <c r="U148" s="34">
        <f>_xll.qlYieldTSDiscount(OisCurve,Q148,,AllTriggers)</f>
        <v>1.0007002178004702</v>
      </c>
      <c r="V148" s="34">
        <f>_xll.qlYieldTSDiscount(OisCurve,R148,,AllTriggers)</f>
        <v>1.0010708298793529</v>
      </c>
      <c r="W148" s="33">
        <f t="shared" si="18"/>
        <v>-1.448669899223031E-3</v>
      </c>
      <c r="X148" s="35">
        <f t="shared" si="19"/>
        <v>3.5115297977543676E-4</v>
      </c>
      <c r="Y148" s="33">
        <f t="shared" si="20"/>
        <v>1.3738093671397547E-3</v>
      </c>
      <c r="Z148" s="54"/>
    </row>
    <row r="149" spans="15:26" x14ac:dyDescent="0.25">
      <c r="O149" s="35" t="s">
        <v>30</v>
      </c>
      <c r="P149" s="31">
        <f>_xll.qlCalendarAdvance(Calendar,P148,O148,"f",,Trigger)</f>
        <v>42326</v>
      </c>
      <c r="Q149" s="31">
        <f>_xll.qlInterestRateIndexValueDate(Index,P149,Trigger)</f>
        <v>42328</v>
      </c>
      <c r="R149" s="31">
        <f>_xll.qlInterestRateIndexMaturity(Index,Q149,Trigger)</f>
        <v>42422</v>
      </c>
      <c r="S149" s="32">
        <f>_xll.qlDayCounterYearFraction(DayCounter,Q149,R149,,,Trigger)</f>
        <v>0.26111111111111113</v>
      </c>
      <c r="T149" s="33">
        <f>_xll.qlIndexFixing(Index,P149,,AllTriggers)</f>
        <v>-7.4938848146485234E-5</v>
      </c>
      <c r="U149" s="34">
        <f>_xll.qlYieldTSDiscount(OisCurve,Q149,,AllTriggers)</f>
        <v>1.0007040091517683</v>
      </c>
      <c r="V149" s="34">
        <f>_xll.qlYieldTSDiscount(OisCurve,R149,,AllTriggers)</f>
        <v>1.0010851972195138</v>
      </c>
      <c r="W149" s="33">
        <f t="shared" si="18"/>
        <v>-1.4582866669850879E-3</v>
      </c>
      <c r="X149" s="35">
        <f t="shared" si="19"/>
        <v>3.6127980773856873E-4</v>
      </c>
      <c r="Y149" s="33">
        <f t="shared" si="20"/>
        <v>1.3833478188386027E-3</v>
      </c>
      <c r="Z149" s="54"/>
    </row>
    <row r="150" spans="15:26" x14ac:dyDescent="0.25">
      <c r="O150" s="35" t="s">
        <v>30</v>
      </c>
      <c r="P150" s="31">
        <f>_xll.qlCalendarAdvance(Calendar,P149,O149,"f",,Trigger)</f>
        <v>42327</v>
      </c>
      <c r="Q150" s="31">
        <f>_xll.qlInterestRateIndexValueDate(Index,P150,Trigger)</f>
        <v>42331</v>
      </c>
      <c r="R150" s="31">
        <f>_xll.qlInterestRateIndexMaturity(Index,Q150,Trigger)</f>
        <v>42423</v>
      </c>
      <c r="S150" s="32">
        <f>_xll.qlDayCounterYearFraction(DayCounter,Q150,R150,,,Trigger)</f>
        <v>0.25555555555555554</v>
      </c>
      <c r="T150" s="33">
        <f>_xll.qlIndexFixing(Index,P150,,AllTriggers)</f>
        <v>-7.5195009935647846E-5</v>
      </c>
      <c r="U150" s="34">
        <f>_xll.qlYieldTSDiscount(OisCurve,Q150,,AllTriggers)</f>
        <v>1.0007156131232957</v>
      </c>
      <c r="V150" s="34">
        <f>_xll.qlYieldTSDiscount(OisCurve,R150,,AllTriggers)</f>
        <v>1.0010900985770708</v>
      </c>
      <c r="W150" s="33">
        <f t="shared" si="18"/>
        <v>-1.4637821957094129E-3</v>
      </c>
      <c r="X150" s="35">
        <f t="shared" si="19"/>
        <v>3.5493096956444722E-4</v>
      </c>
      <c r="Y150" s="33">
        <f t="shared" si="20"/>
        <v>1.388587185773765E-3</v>
      </c>
      <c r="Z150" s="54"/>
    </row>
    <row r="151" spans="15:26" x14ac:dyDescent="0.25">
      <c r="O151" s="35" t="s">
        <v>30</v>
      </c>
      <c r="P151" s="31">
        <f>_xll.qlCalendarAdvance(Calendar,P150,O150,"f",,Trigger)</f>
        <v>42328</v>
      </c>
      <c r="Q151" s="31">
        <f>_xll.qlInterestRateIndexValueDate(Index,P151,Trigger)</f>
        <v>42332</v>
      </c>
      <c r="R151" s="31">
        <f>_xll.qlInterestRateIndexMaturity(Index,Q151,Trigger)</f>
        <v>42424</v>
      </c>
      <c r="S151" s="32">
        <f>_xll.qlDayCounterYearFraction(DayCounter,Q151,R151,,,Trigger)</f>
        <v>0.25555555555555554</v>
      </c>
      <c r="T151" s="33">
        <f>_xll.qlIndexFixing(Index,P151,,AllTriggers)</f>
        <v>-7.5253410223297124E-5</v>
      </c>
      <c r="U151" s="34">
        <f>_xll.qlYieldTSDiscount(OisCurve,Q151,,AllTriggers)</f>
        <v>1.0007195693790589</v>
      </c>
      <c r="V151" s="34">
        <f>_xll.qlYieldTSDiscount(OisCurve,R151,,AllTriggers)</f>
        <v>1.0010950505854943</v>
      </c>
      <c r="W151" s="33">
        <f t="shared" si="18"/>
        <v>-1.4676671163163634E-3</v>
      </c>
      <c r="X151" s="35">
        <f t="shared" si="19"/>
        <v>3.5590922982502561E-4</v>
      </c>
      <c r="Y151" s="33">
        <f t="shared" si="20"/>
        <v>1.3924137060930663E-3</v>
      </c>
      <c r="Z151" s="54"/>
    </row>
    <row r="152" spans="15:26" x14ac:dyDescent="0.25">
      <c r="O152" s="35" t="s">
        <v>30</v>
      </c>
      <c r="P152" s="31">
        <f>_xll.qlCalendarAdvance(Calendar,P151,O151,"f",,Trigger)</f>
        <v>42331</v>
      </c>
      <c r="Q152" s="31">
        <f>_xll.qlInterestRateIndexValueDate(Index,P152,Trigger)</f>
        <v>42333</v>
      </c>
      <c r="R152" s="31">
        <f>_xll.qlInterestRateIndexMaturity(Index,Q152,Trigger)</f>
        <v>42425</v>
      </c>
      <c r="S152" s="32">
        <f>_xll.qlDayCounterYearFraction(DayCounter,Q152,R152,,,Trigger)</f>
        <v>0.25555555555555554</v>
      </c>
      <c r="T152" s="33">
        <f>_xll.qlIndexFixing(Index,P152,,AllTriggers)</f>
        <v>-7.5302601390089222E-5</v>
      </c>
      <c r="U152" s="34">
        <f>_xll.qlYieldTSDiscount(OisCurve,Q152,,AllTriggers)</f>
        <v>1.0007235755806208</v>
      </c>
      <c r="V152" s="34">
        <f>_xll.qlYieldTSDiscount(OisCurve,R152,,AllTriggers)</f>
        <v>1.0011000499619698</v>
      </c>
      <c r="W152" s="33">
        <f t="shared" si="18"/>
        <v>-1.4715418531103905E-3</v>
      </c>
      <c r="X152" s="35">
        <f t="shared" si="19"/>
        <v>3.5688724104989924E-4</v>
      </c>
      <c r="Y152" s="33">
        <f t="shared" si="20"/>
        <v>1.3962392517203014E-3</v>
      </c>
      <c r="Z152" s="54"/>
    </row>
    <row r="153" spans="15:26" x14ac:dyDescent="0.25">
      <c r="O153" s="35" t="s">
        <v>30</v>
      </c>
      <c r="P153" s="31">
        <f>_xll.qlCalendarAdvance(Calendar,P152,O152,"f",,Trigger)</f>
        <v>42332</v>
      </c>
      <c r="Q153" s="31">
        <f>_xll.qlInterestRateIndexValueDate(Index,P153,Trigger)</f>
        <v>42334</v>
      </c>
      <c r="R153" s="31">
        <f>_xll.qlInterestRateIndexMaturity(Index,Q153,Trigger)</f>
        <v>42426</v>
      </c>
      <c r="S153" s="32">
        <f>_xll.qlDayCounterYearFraction(DayCounter,Q153,R153,,,Trigger)</f>
        <v>0.25555555555555554</v>
      </c>
      <c r="T153" s="33">
        <f>_xll.qlIndexFixing(Index,P153,,AllTriggers)</f>
        <v>-7.5343022714203172E-5</v>
      </c>
      <c r="U153" s="34">
        <f>_xll.qlYieldTSDiscount(OisCurve,Q153,,AllTriggers)</f>
        <v>1.000727635215978</v>
      </c>
      <c r="V153" s="34">
        <f>_xll.qlYieldTSDiscount(OisCurve,R153,,AllTriggers)</f>
        <v>1.001105093423623</v>
      </c>
      <c r="W153" s="33">
        <f t="shared" si="18"/>
        <v>-1.4753799450668184E-3</v>
      </c>
      <c r="X153" s="35">
        <f t="shared" si="19"/>
        <v>3.5785812615701427E-4</v>
      </c>
      <c r="Y153" s="33">
        <f t="shared" si="20"/>
        <v>1.4000369223526152E-3</v>
      </c>
      <c r="Z153" s="54"/>
    </row>
    <row r="154" spans="15:26" x14ac:dyDescent="0.25">
      <c r="O154" s="35" t="s">
        <v>30</v>
      </c>
      <c r="P154" s="31">
        <f>_xll.qlCalendarAdvance(Calendar,P153,O153,"f",,Trigger)</f>
        <v>42333</v>
      </c>
      <c r="Q154" s="31">
        <f>_xll.qlInterestRateIndexValueDate(Index,P154,Trigger)</f>
        <v>42335</v>
      </c>
      <c r="R154" s="31">
        <f>_xll.qlInterestRateIndexMaturity(Index,Q154,Trigger)</f>
        <v>42429</v>
      </c>
      <c r="S154" s="32">
        <f>_xll.qlDayCounterYearFraction(DayCounter,Q154,R154,,,Trigger)</f>
        <v>0.26111111111111113</v>
      </c>
      <c r="T154" s="33">
        <f>_xll.qlIndexFixing(Index,P154,,AllTriggers)</f>
        <v>-7.5342308550719952E-5</v>
      </c>
      <c r="U154" s="34">
        <f>_xll.qlYieldTSDiscount(OisCurve,Q154,,AllTriggers)</f>
        <v>1.0007317517731915</v>
      </c>
      <c r="V154" s="34">
        <f>_xll.qlYieldTSDiscount(OisCurve,R154,,AllTriggers)</f>
        <v>1.0011204554900042</v>
      </c>
      <c r="W154" s="33">
        <f t="shared" si="18"/>
        <v>-1.4869864303645299E-3</v>
      </c>
      <c r="X154" s="35">
        <f t="shared" si="19"/>
        <v>3.6867116742998014E-4</v>
      </c>
      <c r="Y154" s="33">
        <f t="shared" si="20"/>
        <v>1.41164412181381E-3</v>
      </c>
      <c r="Z154" s="54"/>
    </row>
    <row r="155" spans="15:26" x14ac:dyDescent="0.25">
      <c r="O155" s="35" t="s">
        <v>30</v>
      </c>
      <c r="P155" s="31">
        <f>_xll.qlCalendarAdvance(Calendar,P154,O154,"f",,Trigger)</f>
        <v>42334</v>
      </c>
      <c r="Q155" s="31">
        <f>_xll.qlInterestRateIndexValueDate(Index,P155,Trigger)</f>
        <v>42338</v>
      </c>
      <c r="R155" s="31">
        <f>_xll.qlInterestRateIndexMaturity(Index,Q155,Trigger)</f>
        <v>42429</v>
      </c>
      <c r="S155" s="32">
        <f>_xll.qlDayCounterYearFraction(DayCounter,Q155,R155,,,Trigger)</f>
        <v>0.25277777777777777</v>
      </c>
      <c r="T155" s="33">
        <f>_xll.qlIndexFixing(Index,P155,,AllTriggers)</f>
        <v>-7.5443520416818745E-5</v>
      </c>
      <c r="U155" s="34">
        <f>_xll.qlYieldTSDiscount(OisCurve,Q155,,AllTriggers)</f>
        <v>1.0007444778575976</v>
      </c>
      <c r="V155" s="34">
        <f>_xll.qlYieldTSDiscount(OisCurve,R155,,AllTriggers)</f>
        <v>1.0011204554900042</v>
      </c>
      <c r="W155" s="33">
        <f t="shared" si="18"/>
        <v>-1.4857193578785835E-3</v>
      </c>
      <c r="X155" s="35">
        <f t="shared" si="19"/>
        <v>3.5655674953468931E-4</v>
      </c>
      <c r="Y155" s="33">
        <f t="shared" si="20"/>
        <v>1.4102758374617648E-3</v>
      </c>
      <c r="Z155" s="54"/>
    </row>
    <row r="156" spans="15:26" x14ac:dyDescent="0.25">
      <c r="O156" s="35" t="s">
        <v>30</v>
      </c>
      <c r="P156" s="31">
        <f>_xll.qlCalendarAdvance(Calendar,P155,O155,"f",,Trigger)</f>
        <v>42335</v>
      </c>
      <c r="Q156" s="31">
        <f>_xll.qlInterestRateIndexValueDate(Index,P156,Trigger)</f>
        <v>42339</v>
      </c>
      <c r="R156" s="31">
        <f>_xll.qlInterestRateIndexMaturity(Index,Q156,Trigger)</f>
        <v>42430</v>
      </c>
      <c r="S156" s="32">
        <f>_xll.qlDayCounterYearFraction(DayCounter,Q156,R156,,,Trigger)</f>
        <v>0.25277777777777777</v>
      </c>
      <c r="T156" s="33">
        <f>_xll.qlIndexFixing(Index,P156,,AllTriggers)</f>
        <v>-7.5446851914533813E-5</v>
      </c>
      <c r="U156" s="34">
        <f>_xll.qlYieldTSDiscount(OisCurve,Q156,,AllTriggers)</f>
        <v>1.0007488539564362</v>
      </c>
      <c r="V156" s="34">
        <f>_xll.qlYieldTSDiscount(OisCurve,R156,,AllTriggers)</f>
        <v>1.001125641706555</v>
      </c>
      <c r="W156" s="33">
        <f t="shared" si="18"/>
        <v>-1.4889129190901061E-3</v>
      </c>
      <c r="X156" s="35">
        <f t="shared" si="19"/>
        <v>3.5736347230873805E-4</v>
      </c>
      <c r="Y156" s="33">
        <f t="shared" si="20"/>
        <v>1.4134660671755723E-3</v>
      </c>
      <c r="Z156" s="54"/>
    </row>
    <row r="157" spans="15:26" x14ac:dyDescent="0.25">
      <c r="O157" s="35" t="s">
        <v>30</v>
      </c>
      <c r="P157" s="31">
        <f>_xll.qlCalendarAdvance(Calendar,P156,O156,"f",,Trigger)</f>
        <v>42338</v>
      </c>
      <c r="Q157" s="31">
        <f>_xll.qlInterestRateIndexValueDate(Index,P157,Trigger)</f>
        <v>42340</v>
      </c>
      <c r="R157" s="31">
        <f>_xll.qlInterestRateIndexMaturity(Index,Q157,Trigger)</f>
        <v>42431</v>
      </c>
      <c r="S157" s="32">
        <f>_xll.qlDayCounterYearFraction(DayCounter,Q157,R157,,,Trigger)</f>
        <v>0.25277777777777777</v>
      </c>
      <c r="T157" s="33">
        <f>_xll.qlIndexFixing(Index,P157,,AllTriggers)</f>
        <v>-7.544397073176891E-5</v>
      </c>
      <c r="U157" s="34">
        <f>_xll.qlYieldTSDiscount(OisCurve,Q157,,AllTriggers)</f>
        <v>1.0007532862516968</v>
      </c>
      <c r="V157" s="34">
        <f>_xll.qlYieldTSDiscount(OisCurve,R157,,AllTriggers)</f>
        <v>1.0011308510578238</v>
      </c>
      <c r="W157" s="33">
        <f t="shared" si="18"/>
        <v>-1.4919757669195322E-3</v>
      </c>
      <c r="X157" s="35">
        <f t="shared" si="19"/>
        <v>3.5813871228782684E-4</v>
      </c>
      <c r="Y157" s="33">
        <f t="shared" si="20"/>
        <v>1.4165317961877632E-3</v>
      </c>
      <c r="Z157" s="54"/>
    </row>
    <row r="158" spans="15:26" x14ac:dyDescent="0.25">
      <c r="O158" s="35" t="s">
        <v>30</v>
      </c>
      <c r="P158" s="31">
        <f>_xll.qlCalendarAdvance(Calendar,P157,O157,"f",,Trigger)</f>
        <v>42339</v>
      </c>
      <c r="Q158" s="31">
        <f>_xll.qlInterestRateIndexValueDate(Index,P158,Trigger)</f>
        <v>42341</v>
      </c>
      <c r="R158" s="31">
        <f>_xll.qlInterestRateIndexMaturity(Index,Q158,Trigger)</f>
        <v>42432</v>
      </c>
      <c r="S158" s="32">
        <f>_xll.qlDayCounterYearFraction(DayCounter,Q158,R158,,,Trigger)</f>
        <v>0.25277777777777777</v>
      </c>
      <c r="T158" s="33">
        <f>_xll.qlIndexFixing(Index,P158,,AllTriggers)</f>
        <v>-7.5435320969543748E-5</v>
      </c>
      <c r="U158" s="34">
        <f>_xll.qlYieldTSDiscount(OisCurve,Q158,,AllTriggers)</f>
        <v>1.000757760064789</v>
      </c>
      <c r="V158" s="34">
        <f>_xll.qlYieldTSDiscount(OisCurve,R158,,AllTriggers)</f>
        <v>1.0011360757253067</v>
      </c>
      <c r="W158" s="33">
        <f t="shared" si="18"/>
        <v>-1.4949350228776138E-3</v>
      </c>
      <c r="X158" s="35">
        <f t="shared" si="19"/>
        <v>3.5888921544097277E-4</v>
      </c>
      <c r="Y158" s="33">
        <f t="shared" si="20"/>
        <v>1.4194997019080701E-3</v>
      </c>
      <c r="Z158" s="54"/>
    </row>
    <row r="159" spans="15:26" x14ac:dyDescent="0.25">
      <c r="O159" s="35" t="s">
        <v>30</v>
      </c>
      <c r="P159" s="31">
        <f>_xll.qlCalendarAdvance(Calendar,P158,O158,"f",,Trigger)</f>
        <v>42340</v>
      </c>
      <c r="Q159" s="31">
        <f>_xll.qlInterestRateIndexValueDate(Index,P159,Trigger)</f>
        <v>42342</v>
      </c>
      <c r="R159" s="31">
        <f>_xll.qlInterestRateIndexMaturity(Index,Q159,Trigger)</f>
        <v>42433</v>
      </c>
      <c r="S159" s="32">
        <f>_xll.qlDayCounterYearFraction(DayCounter,Q159,R159,,,Trigger)</f>
        <v>0.25277777777777777</v>
      </c>
      <c r="T159" s="33">
        <f>_xll.qlIndexFixing(Index,P159,,AllTriggers)</f>
        <v>-7.5421346733270115E-5</v>
      </c>
      <c r="U159" s="34">
        <f>_xll.qlYieldTSDiscount(OisCurve,Q159,,AllTriggers)</f>
        <v>1.0007622607168662</v>
      </c>
      <c r="V159" s="34">
        <f>_xll.qlYieldTSDiscount(OisCurve,R159,,AllTriggers)</f>
        <v>1.0011413078903368</v>
      </c>
      <c r="W159" s="33">
        <f t="shared" si="18"/>
        <v>-1.4978178083806721E-3</v>
      </c>
      <c r="X159" s="35">
        <f t="shared" si="19"/>
        <v>3.5962172773514717E-4</v>
      </c>
      <c r="Y159" s="33">
        <f t="shared" si="20"/>
        <v>1.422396461647402E-3</v>
      </c>
      <c r="Z159" s="54"/>
    </row>
    <row r="160" spans="15:26" x14ac:dyDescent="0.25">
      <c r="O160" s="35" t="s">
        <v>30</v>
      </c>
      <c r="P160" s="31">
        <f>_xll.qlCalendarAdvance(Calendar,P159,O159,"f",,Trigger)</f>
        <v>42341</v>
      </c>
      <c r="Q160" s="31">
        <f>_xll.qlInterestRateIndexValueDate(Index,P160,Trigger)</f>
        <v>42345</v>
      </c>
      <c r="R160" s="31">
        <f>_xll.qlInterestRateIndexMaturity(Index,Q160,Trigger)</f>
        <v>42436</v>
      </c>
      <c r="S160" s="32">
        <f>_xll.qlDayCounterYearFraction(DayCounter,Q160,R160,,,Trigger)</f>
        <v>0.25277777777777777</v>
      </c>
      <c r="T160" s="33">
        <f>_xll.qlIndexFixing(Index,P160,,AllTriggers)</f>
        <v>-7.5351918190355309E-5</v>
      </c>
      <c r="U160" s="34">
        <f>_xll.qlYieldTSDiscount(OisCurve,Q160,,AllTriggers)</f>
        <v>1.0007757769146168</v>
      </c>
      <c r="V160" s="34">
        <f>_xll.qlYieldTSDiscount(OisCurve,R160,,AllTriggers)</f>
        <v>1.0011569711816022</v>
      </c>
      <c r="W160" s="33">
        <f t="shared" si="18"/>
        <v>-1.5062785551063146E-3</v>
      </c>
      <c r="X160" s="35">
        <f t="shared" si="19"/>
        <v>3.6177877915325634E-4</v>
      </c>
      <c r="Y160" s="33">
        <f t="shared" si="20"/>
        <v>1.4309266369159593E-3</v>
      </c>
      <c r="Z160" s="54"/>
    </row>
    <row r="161" spans="15:26" x14ac:dyDescent="0.25">
      <c r="O161" s="35" t="s">
        <v>30</v>
      </c>
      <c r="P161" s="31">
        <f>_xll.qlCalendarAdvance(Calendar,P160,O160,"f",,Trigger)</f>
        <v>42342</v>
      </c>
      <c r="Q161" s="31">
        <f>_xll.qlInterestRateIndexValueDate(Index,P161,Trigger)</f>
        <v>42346</v>
      </c>
      <c r="R161" s="31">
        <f>_xll.qlInterestRateIndexMaturity(Index,Q161,Trigger)</f>
        <v>42437</v>
      </c>
      <c r="S161" s="32">
        <f>_xll.qlDayCounterYearFraction(DayCounter,Q161,R161,,,Trigger)</f>
        <v>0.25277777777777777</v>
      </c>
      <c r="T161" s="33">
        <f>_xll.qlIndexFixing(Index,P161,,AllTriggers)</f>
        <v>-7.5321087073355232E-5</v>
      </c>
      <c r="U161" s="34">
        <f>_xll.qlYieldTSDiscount(OisCurve,Q161,,AllTriggers)</f>
        <v>1.0007802381289235</v>
      </c>
      <c r="V161" s="34">
        <f>_xll.qlYieldTSDiscount(OisCurve,R161,,AllTriggers)</f>
        <v>1.001162155146897</v>
      </c>
      <c r="W161" s="33">
        <f t="shared" si="18"/>
        <v>-1.5091266713362062E-3</v>
      </c>
      <c r="X161" s="35">
        <f t="shared" si="19"/>
        <v>3.625067876980999E-4</v>
      </c>
      <c r="Y161" s="33">
        <f t="shared" si="20"/>
        <v>1.433805584262851E-3</v>
      </c>
      <c r="Z161" s="54"/>
    </row>
    <row r="162" spans="15:26" x14ac:dyDescent="0.25">
      <c r="O162" s="35" t="s">
        <v>30</v>
      </c>
      <c r="P162" s="31">
        <f>_xll.qlCalendarAdvance(Calendar,P161,O161,"f",,Trigger)</f>
        <v>42345</v>
      </c>
      <c r="Q162" s="31">
        <f>_xll.qlInterestRateIndexValueDate(Index,P162,Trigger)</f>
        <v>42347</v>
      </c>
      <c r="R162" s="31">
        <f>_xll.qlInterestRateIndexMaturity(Index,Q162,Trigger)</f>
        <v>42438</v>
      </c>
      <c r="S162" s="32">
        <f>_xll.qlDayCounterYearFraction(DayCounter,Q162,R162,,,Trigger)</f>
        <v>0.25277777777777777</v>
      </c>
      <c r="T162" s="33">
        <f>_xll.qlIndexFixing(Index,P162,,AllTriggers)</f>
        <v>-7.5287151990479623E-5</v>
      </c>
      <c r="U162" s="34">
        <f>_xll.qlYieldTSDiscount(OisCurve,Q162,,AllTriggers)</f>
        <v>1.0007846527840452</v>
      </c>
      <c r="V162" s="34">
        <f>_xll.qlYieldTSDiscount(OisCurve,R162,,AllTriggers)</f>
        <v>1.0011673075139649</v>
      </c>
      <c r="W162" s="33">
        <f t="shared" si="18"/>
        <v>-1.5120339229910066E-3</v>
      </c>
      <c r="X162" s="35">
        <f t="shared" si="19"/>
        <v>3.6325053522687505E-4</v>
      </c>
      <c r="Y162" s="33">
        <f t="shared" si="20"/>
        <v>1.4367467710005269E-3</v>
      </c>
      <c r="Z162" s="54"/>
    </row>
    <row r="163" spans="15:26" x14ac:dyDescent="0.25">
      <c r="O163" s="35" t="s">
        <v>30</v>
      </c>
      <c r="P163" s="31">
        <f>_xll.qlCalendarAdvance(Calendar,P162,O162,"f",,Trigger)</f>
        <v>42346</v>
      </c>
      <c r="Q163" s="31">
        <f>_xll.qlInterestRateIndexValueDate(Index,P163,Trigger)</f>
        <v>42348</v>
      </c>
      <c r="R163" s="31">
        <f>_xll.qlInterestRateIndexMaturity(Index,Q163,Trigger)</f>
        <v>42439</v>
      </c>
      <c r="S163" s="32">
        <f>_xll.qlDayCounterYearFraction(DayCounter,Q163,R163,,,Trigger)</f>
        <v>0.25277777777777777</v>
      </c>
      <c r="T163" s="33">
        <f>_xll.qlIndexFixing(Index,P163,,AllTriggers)</f>
        <v>-7.5250557046261833E-5</v>
      </c>
      <c r="U163" s="34">
        <f>_xll.qlYieldTSDiscount(OisCurve,Q163,,AllTriggers)</f>
        <v>1.000789009668045</v>
      </c>
      <c r="V163" s="34">
        <f>_xll.qlYieldTSDiscount(OisCurve,R163,,AllTriggers)</f>
        <v>1.0011724204631689</v>
      </c>
      <c r="W163" s="33">
        <f t="shared" si="18"/>
        <v>-1.5150137256382734E-3</v>
      </c>
      <c r="X163" s="35">
        <f t="shared" si="19"/>
        <v>3.6401330196707667E-4</v>
      </c>
      <c r="Y163" s="33">
        <f t="shared" si="20"/>
        <v>1.4397631685920116E-3</v>
      </c>
      <c r="Z163" s="54"/>
    </row>
    <row r="164" spans="15:26" x14ac:dyDescent="0.25">
      <c r="O164" s="35" t="s">
        <v>30</v>
      </c>
      <c r="P164" s="31">
        <f>_xll.qlCalendarAdvance(Calendar,P163,O163,"f",,Trigger)</f>
        <v>42347</v>
      </c>
      <c r="Q164" s="31">
        <f>_xll.qlInterestRateIndexValueDate(Index,P164,Trigger)</f>
        <v>42349</v>
      </c>
      <c r="R164" s="31">
        <f>_xll.qlInterestRateIndexMaturity(Index,Q164,Trigger)</f>
        <v>42440</v>
      </c>
      <c r="S164" s="32">
        <f>_xll.qlDayCounterYearFraction(DayCounter,Q164,R164,,,Trigger)</f>
        <v>0.25277777777777777</v>
      </c>
      <c r="T164" s="33">
        <f>_xll.qlIndexFixing(Index,P164,,AllTriggers)</f>
        <v>-7.5211746341721574E-5</v>
      </c>
      <c r="U164" s="34">
        <f>_xll.qlYieldTSDiscount(OisCurve,Q164,,AllTriggers)</f>
        <v>1.000793311442757</v>
      </c>
      <c r="V164" s="34">
        <f>_xll.qlYieldTSDiscount(OisCurve,R164,,AllTriggers)</f>
        <v>1.0011774861747165</v>
      </c>
      <c r="W164" s="33">
        <f t="shared" si="18"/>
        <v>-1.5180246733676578E-3</v>
      </c>
      <c r="X164" s="35">
        <f t="shared" si="19"/>
        <v>3.6478450518737278E-4</v>
      </c>
      <c r="Y164" s="33">
        <f t="shared" si="20"/>
        <v>1.4428129270259362E-3</v>
      </c>
      <c r="Z164" s="54"/>
    </row>
    <row r="165" spans="15:26" x14ac:dyDescent="0.25">
      <c r="O165" s="35" t="s">
        <v>30</v>
      </c>
      <c r="P165" s="31">
        <f>_xll.qlCalendarAdvance(Calendar,P164,O164,"f",,Trigger)</f>
        <v>42348</v>
      </c>
      <c r="Q165" s="31">
        <f>_xll.qlInterestRateIndexValueDate(Index,P165,Trigger)</f>
        <v>42352</v>
      </c>
      <c r="R165" s="31">
        <f>_xll.qlInterestRateIndexMaturity(Index,Q165,Trigger)</f>
        <v>42443</v>
      </c>
      <c r="S165" s="32">
        <f>_xll.qlDayCounterYearFraction(DayCounter,Q165,R165,,,Trigger)</f>
        <v>0.25277777777777777</v>
      </c>
      <c r="T165" s="33">
        <f>_xll.qlIndexFixing(Index,P165,,AllTriggers)</f>
        <v>-7.5086460691735227E-5</v>
      </c>
      <c r="U165" s="34">
        <f>_xll.qlYieldTSDiscount(OisCurve,Q165,,AllTriggers)</f>
        <v>1.0008059474156581</v>
      </c>
      <c r="V165" s="34">
        <f>_xll.qlYieldTSDiscount(OisCurve,R165,,AllTriggers)</f>
        <v>1.0011923216832357</v>
      </c>
      <c r="W165" s="33">
        <f t="shared" si="18"/>
        <v>-1.5266932765238292E-3</v>
      </c>
      <c r="X165" s="35">
        <f t="shared" si="19"/>
        <v>3.6700824900990237E-4</v>
      </c>
      <c r="Y165" s="33">
        <f t="shared" si="20"/>
        <v>1.451606815832094E-3</v>
      </c>
      <c r="Z165" s="54"/>
    </row>
    <row r="166" spans="15:26" x14ac:dyDescent="0.25">
      <c r="O166" s="35" t="s">
        <v>30</v>
      </c>
      <c r="P166" s="31">
        <f>_xll.qlCalendarAdvance(Calendar,P165,O165,"f",,Trigger)</f>
        <v>42349</v>
      </c>
      <c r="Q166" s="31">
        <f>_xll.qlInterestRateIndexValueDate(Index,P166,Trigger)</f>
        <v>42353</v>
      </c>
      <c r="R166" s="31">
        <f>_xll.qlInterestRateIndexMaturity(Index,Q166,Trigger)</f>
        <v>42444</v>
      </c>
      <c r="S166" s="32">
        <f>_xll.qlDayCounterYearFraction(DayCounter,Q166,R166,,,Trigger)</f>
        <v>0.25277777777777777</v>
      </c>
      <c r="T166" s="33">
        <f>_xll.qlIndexFixing(Index,P166,,AllTriggers)</f>
        <v>-7.5043227970595912E-5</v>
      </c>
      <c r="U166" s="34">
        <f>_xll.qlYieldTSDiscount(OisCurve,Q166,,AllTriggers)</f>
        <v>1.0008100900582606</v>
      </c>
      <c r="V166" s="34">
        <f>_xll.qlYieldTSDiscount(OisCurve,R166,,AllTriggers)</f>
        <v>1.0011971202432508</v>
      </c>
      <c r="W166" s="33">
        <f t="shared" si="18"/>
        <v>-1.5292776948510863E-3</v>
      </c>
      <c r="X166" s="35">
        <f t="shared" si="19"/>
        <v>3.6767271343236352E-4</v>
      </c>
      <c r="Y166" s="33">
        <f t="shared" si="20"/>
        <v>1.4542344668804904E-3</v>
      </c>
      <c r="Z166" s="54"/>
    </row>
    <row r="167" spans="15:26" x14ac:dyDescent="0.25">
      <c r="O167" s="35" t="s">
        <v>30</v>
      </c>
      <c r="P167" s="31">
        <f>_xll.qlCalendarAdvance(Calendar,P166,O166,"f",,Trigger)</f>
        <v>42352</v>
      </c>
      <c r="Q167" s="31">
        <f>_xll.qlInterestRateIndexValueDate(Index,P167,Trigger)</f>
        <v>42354</v>
      </c>
      <c r="R167" s="31">
        <f>_xll.qlInterestRateIndexMaturity(Index,Q167,Trigger)</f>
        <v>42445</v>
      </c>
      <c r="S167" s="32">
        <f>_xll.qlDayCounterYearFraction(DayCounter,Q167,R167,,,Trigger)</f>
        <v>0.25277777777777777</v>
      </c>
      <c r="T167" s="33">
        <f>_xll.qlIndexFixing(Index,P167,,AllTriggers)</f>
        <v>-7.4999999999942327E-5</v>
      </c>
      <c r="U167" s="34">
        <f>_xll.qlYieldTSDiscount(OisCurve,Q167,,AllTriggers)</f>
        <v>1.0008142082446367</v>
      </c>
      <c r="V167" s="34">
        <f>_xll.qlYieldTSDiscount(OisCurve,R167,,AllTriggers)</f>
        <v>1.001201832464452</v>
      </c>
      <c r="W167" s="33">
        <f t="shared" si="18"/>
        <v>-1.5316177041367663E-3</v>
      </c>
      <c r="X167" s="35">
        <f t="shared" si="19"/>
        <v>3.6827537197627855E-4</v>
      </c>
      <c r="Y167" s="33">
        <f t="shared" si="20"/>
        <v>1.456617704136824E-3</v>
      </c>
      <c r="Z167" s="54"/>
    </row>
    <row r="168" spans="15:26" x14ac:dyDescent="0.25">
      <c r="O168" s="35" t="s">
        <v>30</v>
      </c>
      <c r="P168" s="31">
        <f>_xll.qlCalendarAdvance(Calendar,P167,O167,"f",,Trigger)</f>
        <v>42353</v>
      </c>
      <c r="Q168" s="31">
        <f>_xll.qlInterestRateIndexValueDate(Index,P168,Trigger)</f>
        <v>42355</v>
      </c>
      <c r="R168" s="31">
        <f>_xll.qlInterestRateIndexMaturity(Index,Q168,Trigger)</f>
        <v>42446</v>
      </c>
      <c r="S168" s="32">
        <f>_xll.qlDayCounterYearFraction(DayCounter,Q168,R168,,,Trigger)</f>
        <v>0.25277777777777777</v>
      </c>
      <c r="T168" s="33">
        <f>_xll.qlIndexFixing(Index,P168,,AllTriggers)</f>
        <v>-7.495742607972892E-5</v>
      </c>
      <c r="U168" s="34">
        <f>_xll.qlYieldTSDiscount(OisCurve,Q168,,AllTriggers)</f>
        <v>1.000818308105716</v>
      </c>
      <c r="V168" s="34">
        <f>_xll.qlYieldTSDiscount(OisCurve,R168,,AllTriggers)</f>
        <v>1.0012064533272385</v>
      </c>
      <c r="W168" s="33">
        <f t="shared" si="18"/>
        <v>-1.5336692572926953E-3</v>
      </c>
      <c r="X168" s="35">
        <f t="shared" si="19"/>
        <v>3.6880492195672031E-4</v>
      </c>
      <c r="Y168" s="33">
        <f t="shared" si="20"/>
        <v>1.4587118312129664E-3</v>
      </c>
      <c r="Z168" s="54"/>
    </row>
    <row r="169" spans="15:26" x14ac:dyDescent="0.25">
      <c r="O169" s="35" t="s">
        <v>30</v>
      </c>
      <c r="P169" s="31">
        <f>_xll.qlCalendarAdvance(Calendar,P168,O168,"f",,Trigger)</f>
        <v>42354</v>
      </c>
      <c r="Q169" s="31">
        <f>_xll.qlInterestRateIndexValueDate(Index,P169,Trigger)</f>
        <v>42356</v>
      </c>
      <c r="R169" s="31">
        <f>_xll.qlInterestRateIndexMaturity(Index,Q169,Trigger)</f>
        <v>42447</v>
      </c>
      <c r="S169" s="32">
        <f>_xll.qlDayCounterYearFraction(DayCounter,Q169,R169,,,Trigger)</f>
        <v>0.25277777777777777</v>
      </c>
      <c r="T169" s="33">
        <f>_xll.qlIndexFixing(Index,P169,,AllTriggers)</f>
        <v>-7.4915857954084035E-5</v>
      </c>
      <c r="U169" s="34">
        <f>_xll.qlYieldTSDiscount(OisCurve,Q169,,AllTriggers)</f>
        <v>1.0008223957725297</v>
      </c>
      <c r="V169" s="34">
        <f>_xll.qlYieldTSDiscount(OisCurve,R169,,AllTriggers)</f>
        <v>1.0012109890161227</v>
      </c>
      <c r="W169" s="33">
        <f t="shared" si="18"/>
        <v>-1.5354325607093815E-3</v>
      </c>
      <c r="X169" s="35">
        <f t="shared" si="19"/>
        <v>3.6926132653705029E-4</v>
      </c>
      <c r="Y169" s="33">
        <f t="shared" si="20"/>
        <v>1.4605167027552973E-3</v>
      </c>
      <c r="Z169" s="54"/>
    </row>
    <row r="170" spans="15:26" x14ac:dyDescent="0.25">
      <c r="O170" s="35" t="s">
        <v>30</v>
      </c>
      <c r="P170" s="31">
        <f>_xll.qlCalendarAdvance(Calendar,P169,O169,"f",,Trigger)</f>
        <v>42355</v>
      </c>
      <c r="Q170" s="31">
        <f>_xll.qlInterestRateIndexValueDate(Index,P170,Trigger)</f>
        <v>42359</v>
      </c>
      <c r="R170" s="31">
        <f>_xll.qlInterestRateIndexMaturity(Index,Q170,Trigger)</f>
        <v>42450</v>
      </c>
      <c r="S170" s="32">
        <f>_xll.qlDayCounterYearFraction(DayCounter,Q170,R170,,,Trigger)</f>
        <v>0.25277777777777777</v>
      </c>
      <c r="T170" s="33">
        <f>_xll.qlIndexFixing(Index,P170,,AllTriggers)</f>
        <v>-7.4797166089834874E-5</v>
      </c>
      <c r="U170" s="34">
        <f>_xll.qlYieldTSDiscount(OisCurve,Q170,,AllTriggers)</f>
        <v>1.0008346469191955</v>
      </c>
      <c r="V170" s="34">
        <f>_xll.qlYieldTSDiscount(OisCurve,R170,,AllTriggers)</f>
        <v>1.0012241748973052</v>
      </c>
      <c r="W170" s="33">
        <f t="shared" si="18"/>
        <v>-1.5391056689862581E-3</v>
      </c>
      <c r="X170" s="35">
        <f t="shared" si="19"/>
        <v>3.7022017085421049E-4</v>
      </c>
      <c r="Y170" s="33">
        <f t="shared" si="20"/>
        <v>1.4643085028964232E-3</v>
      </c>
      <c r="Z170" s="54"/>
    </row>
    <row r="171" spans="15:26" x14ac:dyDescent="0.25">
      <c r="O171" s="35" t="s">
        <v>30</v>
      </c>
      <c r="P171" s="31">
        <f>_xll.qlCalendarAdvance(Calendar,P170,O170,"f",,Trigger)</f>
        <v>42356</v>
      </c>
      <c r="Q171" s="31">
        <f>_xll.qlInterestRateIndexValueDate(Index,P171,Trigger)</f>
        <v>42360</v>
      </c>
      <c r="R171" s="31">
        <f>_xll.qlInterestRateIndexMaturity(Index,Q171,Trigger)</f>
        <v>42451</v>
      </c>
      <c r="S171" s="32">
        <f>_xll.qlDayCounterYearFraction(DayCounter,Q171,R171,,,Trigger)</f>
        <v>0.25277777777777777</v>
      </c>
      <c r="T171" s="33">
        <f>_xll.qlIndexFixing(Index,P171,,AllTriggers)</f>
        <v>-7.4759598884224825E-5</v>
      </c>
      <c r="U171" s="34">
        <f>_xll.qlYieldTSDiscount(OisCurve,Q171,,AllTriggers)</f>
        <v>1.0008387471212665</v>
      </c>
      <c r="V171" s="34">
        <f>_xll.qlYieldTSDiscount(OisCurve,R171,,AllTriggers)</f>
        <v>1.0012284597493935</v>
      </c>
      <c r="W171" s="33">
        <f t="shared" si="18"/>
        <v>-1.5398286695538052E-3</v>
      </c>
      <c r="X171" s="35">
        <f t="shared" si="19"/>
        <v>3.7041249681220003E-4</v>
      </c>
      <c r="Y171" s="33">
        <f t="shared" si="20"/>
        <v>1.4650690706695805E-3</v>
      </c>
      <c r="Z171" s="54"/>
    </row>
    <row r="172" spans="15:26" x14ac:dyDescent="0.25">
      <c r="O172" s="35" t="s">
        <v>30</v>
      </c>
      <c r="P172" s="31">
        <f>_xll.qlCalendarAdvance(Calendar,P171,O171,"f",,Trigger)</f>
        <v>42359</v>
      </c>
      <c r="Q172" s="31">
        <f>_xll.qlInterestRateIndexValueDate(Index,P172,Trigger)</f>
        <v>42361</v>
      </c>
      <c r="R172" s="31">
        <f>_xll.qlInterestRateIndexMaturity(Index,Q172,Trigger)</f>
        <v>42452</v>
      </c>
      <c r="S172" s="32">
        <f>_xll.qlDayCounterYearFraction(DayCounter,Q172,R172,,,Trigger)</f>
        <v>0.25277777777777777</v>
      </c>
      <c r="T172" s="33">
        <f>_xll.qlIndexFixing(Index,P172,,AllTriggers)</f>
        <v>-7.4723026342746041E-5</v>
      </c>
      <c r="U172" s="34">
        <f>_xll.qlYieldTSDiscount(OisCurve,Q172,,AllTriggers)</f>
        <v>1.0008428657857336</v>
      </c>
      <c r="V172" s="34">
        <f>_xll.qlYieldTSDiscount(OisCurve,R172,,AllTriggers)</f>
        <v>1.0012327043578362</v>
      </c>
      <c r="W172" s="33">
        <f t="shared" si="18"/>
        <v>-1.5403197681085946E-3</v>
      </c>
      <c r="X172" s="35">
        <f t="shared" si="19"/>
        <v>3.7054592885954729E-4</v>
      </c>
      <c r="Y172" s="33">
        <f t="shared" si="20"/>
        <v>1.4655967417658486E-3</v>
      </c>
      <c r="Z172" s="54"/>
    </row>
    <row r="173" spans="15:26" x14ac:dyDescent="0.25">
      <c r="O173" s="35" t="s">
        <v>30</v>
      </c>
      <c r="P173" s="31">
        <f>_xll.qlCalendarAdvance(Calendar,P172,O172,"f",,Trigger)</f>
        <v>42360</v>
      </c>
      <c r="Q173" s="31">
        <f>_xll.qlInterestRateIndexValueDate(Index,P173,Trigger)</f>
        <v>42362</v>
      </c>
      <c r="R173" s="31">
        <f>_xll.qlInterestRateIndexMaturity(Index,Q173,Trigger)</f>
        <v>42453</v>
      </c>
      <c r="S173" s="32">
        <f>_xll.qlDayCounterYearFraction(DayCounter,Q173,R173,,,Trigger)</f>
        <v>0.25277777777777777</v>
      </c>
      <c r="T173" s="33">
        <f>_xll.qlIndexFixing(Index,P173,,AllTriggers)</f>
        <v>-7.468744623948678E-5</v>
      </c>
      <c r="U173" s="34">
        <f>_xll.qlYieldTSDiscount(OisCurve,Q173,,AllTriggers)</f>
        <v>1.0008470090442314</v>
      </c>
      <c r="V173" s="34">
        <f>_xll.qlYieldTSDiscount(OisCurve,R173,,AllTriggers)</f>
        <v>1.0012369177091773</v>
      </c>
      <c r="W173" s="33">
        <f t="shared" si="18"/>
        <v>-1.54059023402551E-3</v>
      </c>
      <c r="X173" s="35">
        <f t="shared" si="19"/>
        <v>3.706233172946504E-4</v>
      </c>
      <c r="Y173" s="33">
        <f t="shared" si="20"/>
        <v>1.4659027877860233E-3</v>
      </c>
      <c r="Z173" s="54"/>
    </row>
    <row r="174" spans="15:26" x14ac:dyDescent="0.25">
      <c r="O174" s="35" t="s">
        <v>30</v>
      </c>
      <c r="P174" s="31">
        <f>_xll.qlCalendarAdvance(Calendar,P173,O173,"f",,Trigger)</f>
        <v>42361</v>
      </c>
      <c r="Q174" s="31">
        <f>_xll.qlInterestRateIndexValueDate(Index,P174,Trigger)</f>
        <v>42366</v>
      </c>
      <c r="R174" s="31">
        <f>_xll.qlInterestRateIndexMaturity(Index,Q174,Trigger)</f>
        <v>42458</v>
      </c>
      <c r="S174" s="32">
        <f>_xll.qlDayCounterYearFraction(DayCounter,Q174,R174,,,Trigger)</f>
        <v>0.25555555555555554</v>
      </c>
      <c r="T174" s="33">
        <f>_xll.qlIndexFixing(Index,P174,,AllTriggers)</f>
        <v>-7.4547154327791787E-5</v>
      </c>
      <c r="U174" s="34">
        <f>_xll.qlYieldTSDiscount(OisCurve,Q174,,AllTriggers)</f>
        <v>1.0008639506548795</v>
      </c>
      <c r="V174" s="34">
        <f>_xll.qlYieldTSDiscount(OisCurve,R174,,AllTriggers)</f>
        <v>1.0012578301491248</v>
      </c>
      <c r="W174" s="33">
        <f t="shared" si="18"/>
        <v>-1.5393313687721471E-3</v>
      </c>
      <c r="X174" s="35">
        <f t="shared" si="19"/>
        <v>3.7441095827263257E-4</v>
      </c>
      <c r="Y174" s="33">
        <f t="shared" si="20"/>
        <v>1.4647842144443553E-3</v>
      </c>
      <c r="Z174" s="54"/>
    </row>
    <row r="175" spans="15:26" x14ac:dyDescent="0.25">
      <c r="O175" s="35" t="s">
        <v>30</v>
      </c>
      <c r="P175" s="31">
        <f>_xll.qlCalendarAdvance(Calendar,P174,O174,"f",,Trigger)</f>
        <v>42362</v>
      </c>
      <c r="Q175" s="31">
        <f>_xll.qlInterestRateIndexValueDate(Index,P175,Trigger)</f>
        <v>42367</v>
      </c>
      <c r="R175" s="31">
        <f>_xll.qlInterestRateIndexMaturity(Index,Q175,Trigger)</f>
        <v>42458</v>
      </c>
      <c r="S175" s="32">
        <f>_xll.qlDayCounterYearFraction(DayCounter,Q175,R175,,,Trigger)</f>
        <v>0.25277777777777777</v>
      </c>
      <c r="T175" s="33">
        <f>_xll.qlIndexFixing(Index,P175,,AllTriggers)</f>
        <v>-7.4524354375077629E-5</v>
      </c>
      <c r="U175" s="34">
        <f>_xll.qlYieldTSDiscount(OisCurve,Q175,,AllTriggers)</f>
        <v>1.0008683088617325</v>
      </c>
      <c r="V175" s="34">
        <f>_xll.qlYieldTSDiscount(OisCurve,R175,,AllTriggers)</f>
        <v>1.0012578301491248</v>
      </c>
      <c r="W175" s="33">
        <f t="shared" si="18"/>
        <v>-1.5390274995496201E-3</v>
      </c>
      <c r="X175" s="35">
        <f t="shared" si="19"/>
        <v>3.7026936570787479E-4</v>
      </c>
      <c r="Y175" s="33">
        <f t="shared" si="20"/>
        <v>1.4645031451745426E-3</v>
      </c>
      <c r="Z175" s="54"/>
    </row>
    <row r="176" spans="15:26" x14ac:dyDescent="0.25">
      <c r="O176" s="35" t="s">
        <v>30</v>
      </c>
      <c r="P176" s="31">
        <f>_xll.qlCalendarAdvance(Calendar,P175,O175,"f",,Trigger)</f>
        <v>42366</v>
      </c>
      <c r="Q176" s="31">
        <f>_xll.qlInterestRateIndexValueDate(Index,P176,Trigger)</f>
        <v>42368</v>
      </c>
      <c r="R176" s="31">
        <f>_xll.qlInterestRateIndexMaturity(Index,Q176,Trigger)</f>
        <v>42459</v>
      </c>
      <c r="S176" s="32">
        <f>_xll.qlDayCounterYearFraction(DayCounter,Q176,R176,,,Trigger)</f>
        <v>0.25277777777777777</v>
      </c>
      <c r="T176" s="33">
        <f>_xll.qlIndexFixing(Index,P176,,AllTriggers)</f>
        <v>-7.4494682148204265E-5</v>
      </c>
      <c r="U176" s="34">
        <f>_xll.qlYieldTSDiscount(OisCurve,Q176,,AllTriggers)</f>
        <v>1.0008727259878942</v>
      </c>
      <c r="V176" s="34">
        <f>_xll.qlYieldTSDiscount(OisCurve,R176,,AllTriggers)</f>
        <v>1.0012620430236536</v>
      </c>
      <c r="W176" s="33">
        <f t="shared" si="18"/>
        <v>-1.5382140140355047E-3</v>
      </c>
      <c r="X176" s="35">
        <f t="shared" si="19"/>
        <v>3.7007115526127088E-4</v>
      </c>
      <c r="Y176" s="33">
        <f t="shared" si="20"/>
        <v>1.4637193318873005E-3</v>
      </c>
      <c r="Z176" s="54"/>
    </row>
    <row r="177" spans="15:26" x14ac:dyDescent="0.25">
      <c r="O177" s="35" t="s">
        <v>30</v>
      </c>
      <c r="P177" s="31">
        <f>_xll.qlCalendarAdvance(Calendar,P176,O176,"f",,Trigger)</f>
        <v>42367</v>
      </c>
      <c r="Q177" s="31">
        <f>_xll.qlInterestRateIndexValueDate(Index,P177,Trigger)</f>
        <v>42369</v>
      </c>
      <c r="R177" s="31">
        <f>_xll.qlInterestRateIndexMaturity(Index,Q177,Trigger)</f>
        <v>42460</v>
      </c>
      <c r="S177" s="32">
        <f>_xll.qlDayCounterYearFraction(DayCounter,Q177,R177,,,Trigger)</f>
        <v>0.25277777777777777</v>
      </c>
      <c r="T177" s="33">
        <f>_xll.qlIndexFixing(Index,P177,,AllTriggers)</f>
        <v>-7.4465986777289667E-5</v>
      </c>
      <c r="U177" s="34">
        <f>_xll.qlYieldTSDiscount(OisCurve,Q177,,AllTriggers)</f>
        <v>1.0008771958318359</v>
      </c>
      <c r="V177" s="34">
        <f>_xll.qlYieldTSDiscount(OisCurve,R177,,AllTriggers)</f>
        <v>1.0012662775900434</v>
      </c>
      <c r="W177" s="33">
        <f t="shared" si="18"/>
        <v>-1.5372779173873962E-3</v>
      </c>
      <c r="X177" s="35">
        <f t="shared" si="19"/>
        <v>3.6984169250576263E-4</v>
      </c>
      <c r="Y177" s="33">
        <f t="shared" si="20"/>
        <v>1.4628119306101064E-3</v>
      </c>
      <c r="Z177" s="54"/>
    </row>
    <row r="178" spans="15:26" x14ac:dyDescent="0.25">
      <c r="O178" s="35" t="s">
        <v>30</v>
      </c>
      <c r="P178" s="31">
        <f>_xll.qlCalendarAdvance(Calendar,P177,O177,"f",,Trigger)</f>
        <v>42368</v>
      </c>
      <c r="Q178" s="31">
        <f>_xll.qlInterestRateIndexValueDate(Index,P178,Trigger)</f>
        <v>42373</v>
      </c>
      <c r="R178" s="31">
        <f>_xll.qlInterestRateIndexMaturity(Index,Q178,Trigger)</f>
        <v>42464</v>
      </c>
      <c r="S178" s="32">
        <f>_xll.qlDayCounterYearFraction(DayCounter,Q178,R178,,,Trigger)</f>
        <v>0.25277777777777777</v>
      </c>
      <c r="T178" s="33">
        <f>_xll.qlIndexFixing(Index,P178,,AllTriggers)</f>
        <v>-7.436092930555662E-5</v>
      </c>
      <c r="U178" s="34">
        <f>_xll.qlYieldTSDiscount(OisCurve,Q178,,AllTriggers)</f>
        <v>1.000895429014687</v>
      </c>
      <c r="V178" s="34">
        <f>_xll.qlYieldTSDiscount(OisCurve,R178,,AllTriggers)</f>
        <v>1.0012834133040209</v>
      </c>
      <c r="W178" s="33">
        <f t="shared" si="18"/>
        <v>-1.5329155386632079E-3</v>
      </c>
      <c r="X178" s="35">
        <f t="shared" si="19"/>
        <v>3.6876510873919247E-4</v>
      </c>
      <c r="Y178" s="33">
        <f t="shared" si="20"/>
        <v>1.4585546093576513E-3</v>
      </c>
      <c r="Z178" s="54"/>
    </row>
    <row r="179" spans="15:26" x14ac:dyDescent="0.25">
      <c r="O179" s="35" t="s">
        <v>30</v>
      </c>
      <c r="P179" s="31">
        <f>_xll.qlCalendarAdvance(Calendar,P178,O178,"f",,Trigger)</f>
        <v>42369</v>
      </c>
      <c r="Q179" s="31">
        <f>_xll.qlInterestRateIndexValueDate(Index,P179,Trigger)</f>
        <v>42374</v>
      </c>
      <c r="R179" s="31">
        <f>_xll.qlInterestRateIndexMaturity(Index,Q179,Trigger)</f>
        <v>42465</v>
      </c>
      <c r="S179" s="32">
        <f>_xll.qlDayCounterYearFraction(DayCounter,Q179,R179,,,Trigger)</f>
        <v>0.25277777777777777</v>
      </c>
      <c r="T179" s="33">
        <f>_xll.qlIndexFixing(Index,P179,,AllTriggers)</f>
        <v>-7.433708481126549E-5</v>
      </c>
      <c r="U179" s="34">
        <f>_xll.qlYieldTSDiscount(OisCurve,Q179,,AllTriggers)</f>
        <v>1.0009000324181507</v>
      </c>
      <c r="V179" s="34">
        <f>_xll.qlYieldTSDiscount(OisCurve,R179,,AllTriggers)</f>
        <v>1.0012877417269368</v>
      </c>
      <c r="W179" s="33">
        <f t="shared" si="18"/>
        <v>-1.5318224760043607E-3</v>
      </c>
      <c r="X179" s="35">
        <f t="shared" si="19"/>
        <v>3.6849472719399325E-4</v>
      </c>
      <c r="Y179" s="33">
        <f t="shared" si="20"/>
        <v>1.4574853911930952E-3</v>
      </c>
      <c r="Z179" s="54"/>
    </row>
    <row r="180" spans="15:26" x14ac:dyDescent="0.25">
      <c r="O180" s="35" t="s">
        <v>30</v>
      </c>
      <c r="P180" s="31">
        <f>_xll.qlCalendarAdvance(Calendar,P179,O179,"f",,Trigger)</f>
        <v>42373</v>
      </c>
      <c r="Q180" s="31">
        <f>_xll.qlInterestRateIndexValueDate(Index,P180,Trigger)</f>
        <v>42375</v>
      </c>
      <c r="R180" s="31">
        <f>_xll.qlInterestRateIndexMaturity(Index,Q180,Trigger)</f>
        <v>42466</v>
      </c>
      <c r="S180" s="32">
        <f>_xll.qlDayCounterYearFraction(DayCounter,Q180,R180,,,Trigger)</f>
        <v>0.25277777777777777</v>
      </c>
      <c r="T180" s="33">
        <f>_xll.qlIndexFixing(Index,P180,,AllTriggers)</f>
        <v>-7.4314203813070445E-5</v>
      </c>
      <c r="U180" s="34">
        <f>_xll.qlYieldTSDiscount(OisCurve,Q180,,AllTriggers)</f>
        <v>1.0009046365265566</v>
      </c>
      <c r="V180" s="34">
        <f>_xll.qlYieldTSDiscount(OisCurve,R180,,AllTriggers)</f>
        <v>1.0012920860004926</v>
      </c>
      <c r="W180" s="33">
        <f t="shared" si="18"/>
        <v>-1.5307892382922681E-3</v>
      </c>
      <c r="X180" s="35">
        <f t="shared" si="19"/>
        <v>3.6823923044121957E-4</v>
      </c>
      <c r="Y180" s="33">
        <f t="shared" si="20"/>
        <v>1.4564750344791978E-3</v>
      </c>
      <c r="Z180" s="54"/>
    </row>
    <row r="181" spans="15:26" x14ac:dyDescent="0.25">
      <c r="O181" s="35" t="s">
        <v>30</v>
      </c>
      <c r="P181" s="31">
        <f>_xll.qlCalendarAdvance(Calendar,P180,O180,"f",,Trigger)</f>
        <v>42374</v>
      </c>
      <c r="Q181" s="31">
        <f>_xll.qlInterestRateIndexValueDate(Index,P181,Trigger)</f>
        <v>42376</v>
      </c>
      <c r="R181" s="31">
        <f>_xll.qlInterestRateIndexMaturity(Index,Q181,Trigger)</f>
        <v>42467</v>
      </c>
      <c r="S181" s="32">
        <f>_xll.qlDayCounterYearFraction(DayCounter,Q181,R181,,,Trigger)</f>
        <v>0.25277777777777777</v>
      </c>
      <c r="T181" s="33">
        <f>_xll.qlIndexFixing(Index,P181,,AllTriggers)</f>
        <v>-7.4292284085059729E-5</v>
      </c>
      <c r="U181" s="34">
        <f>_xll.qlYieldTSDiscount(OisCurve,Q181,,AllTriggers)</f>
        <v>1.0009092326705478</v>
      </c>
      <c r="V181" s="34">
        <f>_xll.qlYieldTSDiscount(OisCurve,R181,,AllTriggers)</f>
        <v>1.0012964451510964</v>
      </c>
      <c r="W181" s="33">
        <f t="shared" si="18"/>
        <v>-1.5298462316502639E-3</v>
      </c>
      <c r="X181" s="35">
        <f t="shared" si="19"/>
        <v>3.680063079972161E-4</v>
      </c>
      <c r="Y181" s="33">
        <f t="shared" si="20"/>
        <v>1.4555539475652043E-3</v>
      </c>
      <c r="Z181" s="54"/>
    </row>
    <row r="182" spans="15:26" x14ac:dyDescent="0.25">
      <c r="O182" s="35" t="s">
        <v>30</v>
      </c>
      <c r="P182" s="31">
        <f>_xll.qlCalendarAdvance(Calendar,P181,O181,"f",,Trigger)</f>
        <v>42375</v>
      </c>
      <c r="Q182" s="31">
        <f>_xll.qlInterestRateIndexValueDate(Index,P182,Trigger)</f>
        <v>42377</v>
      </c>
      <c r="R182" s="31">
        <f>_xll.qlInterestRateIndexMaturity(Index,Q182,Trigger)</f>
        <v>42468</v>
      </c>
      <c r="S182" s="32">
        <f>_xll.qlDayCounterYearFraction(DayCounter,Q182,R182,,,Trigger)</f>
        <v>0.25277777777777777</v>
      </c>
      <c r="T182" s="33">
        <f>_xll.qlIndexFixing(Index,P182,,AllTriggers)</f>
        <v>-7.4271323401760796E-5</v>
      </c>
      <c r="U182" s="34">
        <f>_xll.qlYieldTSDiscount(OisCurve,Q182,,AllTriggers)</f>
        <v>1.0009138121806074</v>
      </c>
      <c r="V182" s="34">
        <f>_xll.qlYieldTSDiscount(OisCurve,R182,,AllTriggers)</f>
        <v>1.0013008182051393</v>
      </c>
      <c r="W182" s="33">
        <f t="shared" si="18"/>
        <v>-1.5290238622258376E-3</v>
      </c>
      <c r="X182" s="35">
        <f t="shared" si="19"/>
        <v>3.6780364937825824E-4</v>
      </c>
      <c r="Y182" s="33">
        <f t="shared" si="20"/>
        <v>1.4547525388240768E-3</v>
      </c>
      <c r="Z182" s="54"/>
    </row>
    <row r="183" spans="15:26" x14ac:dyDescent="0.25">
      <c r="O183" s="35" t="s">
        <v>30</v>
      </c>
      <c r="P183" s="31">
        <f>_xll.qlCalendarAdvance(Calendar,P182,O182,"f",,Trigger)</f>
        <v>42376</v>
      </c>
      <c r="Q183" s="31">
        <f>_xll.qlInterestRateIndexValueDate(Index,P183,Trigger)</f>
        <v>42380</v>
      </c>
      <c r="R183" s="31">
        <f>_xll.qlInterestRateIndexMaturity(Index,Q183,Trigger)</f>
        <v>42471</v>
      </c>
      <c r="S183" s="32">
        <f>_xll.qlDayCounterYearFraction(DayCounter,Q183,R183,,,Trigger)</f>
        <v>0.25277777777777777</v>
      </c>
      <c r="T183" s="33">
        <f>_xll.qlIndexFixing(Index,P183,,AllTriggers)</f>
        <v>-7.4214173354868117E-5</v>
      </c>
      <c r="U183" s="34">
        <f>_xll.qlYieldTSDiscount(OisCurve,Q183,,AllTriggers)</f>
        <v>1.0009273642096752</v>
      </c>
      <c r="V183" s="34">
        <f>_xll.qlYieldTSDiscount(OisCurve,R183,,AllTriggers)</f>
        <v>1.0013140110515726</v>
      </c>
      <c r="W183" s="33">
        <f t="shared" si="18"/>
        <v>-1.5275846389138817E-3</v>
      </c>
      <c r="X183" s="35">
        <f t="shared" si="19"/>
        <v>3.6745415164139277E-4</v>
      </c>
      <c r="Y183" s="33">
        <f t="shared" si="20"/>
        <v>1.4533704655590135E-3</v>
      </c>
      <c r="Z183" s="54"/>
    </row>
    <row r="184" spans="15:26" x14ac:dyDescent="0.25">
      <c r="O184" s="35" t="s">
        <v>30</v>
      </c>
      <c r="P184" s="31">
        <f>_xll.qlCalendarAdvance(Calendar,P183,O183,"f",,Trigger)</f>
        <v>42377</v>
      </c>
      <c r="Q184" s="31">
        <f>_xll.qlInterestRateIndexValueDate(Index,P184,Trigger)</f>
        <v>42381</v>
      </c>
      <c r="R184" s="31">
        <f>_xll.qlInterestRateIndexMaturity(Index,Q184,Trigger)</f>
        <v>42472</v>
      </c>
      <c r="S184" s="32">
        <f>_xll.qlDayCounterYearFraction(DayCounter,Q184,R184,,,Trigger)</f>
        <v>0.25277777777777777</v>
      </c>
      <c r="T184" s="33">
        <f>_xll.qlIndexFixing(Index,P184,,AllTriggers)</f>
        <v>-7.4197026584710529E-5</v>
      </c>
      <c r="U184" s="34">
        <f>_xll.qlYieldTSDiscount(OisCurve,Q184,,AllTriggers)</f>
        <v>1.0009317904857162</v>
      </c>
      <c r="V184" s="34">
        <f>_xll.qlYieldTSDiscount(OisCurve,R184,,AllTriggers)</f>
        <v>1.0013184299829578</v>
      </c>
      <c r="W184" s="33">
        <f t="shared" si="18"/>
        <v>-1.5275488799866338E-3</v>
      </c>
      <c r="X184" s="35">
        <f t="shared" si="19"/>
        <v>3.6744944349124329E-4</v>
      </c>
      <c r="Y184" s="33">
        <f t="shared" si="20"/>
        <v>1.4533518534019232E-3</v>
      </c>
      <c r="Z184" s="54"/>
    </row>
    <row r="185" spans="15:26" x14ac:dyDescent="0.25">
      <c r="O185" s="35" t="s">
        <v>30</v>
      </c>
      <c r="P185" s="31">
        <f>_xll.qlCalendarAdvance(Calendar,P184,O184,"f",,Trigger)</f>
        <v>42380</v>
      </c>
      <c r="Q185" s="31">
        <f>_xll.qlInterestRateIndexValueDate(Index,P185,Trigger)</f>
        <v>42382</v>
      </c>
      <c r="R185" s="31">
        <f>_xll.qlInterestRateIndexMaturity(Index,Q185,Trigger)</f>
        <v>42473</v>
      </c>
      <c r="S185" s="32">
        <f>_xll.qlDayCounterYearFraction(DayCounter,Q185,R185,,,Trigger)</f>
        <v>0.25277777777777777</v>
      </c>
      <c r="T185" s="33">
        <f>_xll.qlIndexFixing(Index,P185,,AllTriggers)</f>
        <v>-7.4180827728827494E-5</v>
      </c>
      <c r="U185" s="34">
        <f>_xll.qlYieldTSDiscount(OisCurve,Q185,,AllTriggers)</f>
        <v>1.0009361567779209</v>
      </c>
      <c r="V185" s="34">
        <f>_xll.qlYieldTSDiscount(OisCurve,R185,,AllTriggers)</f>
        <v>1.0013228579494915</v>
      </c>
      <c r="W185" s="33">
        <f t="shared" si="18"/>
        <v>-1.5277857890109001E-3</v>
      </c>
      <c r="X185" s="35">
        <f t="shared" si="19"/>
        <v>3.6751344674989774E-4</v>
      </c>
      <c r="Y185" s="33">
        <f t="shared" si="20"/>
        <v>1.4536049612820727E-3</v>
      </c>
      <c r="Z185" s="54"/>
    </row>
    <row r="186" spans="15:26" x14ac:dyDescent="0.25">
      <c r="O186" s="35" t="s">
        <v>30</v>
      </c>
      <c r="P186" s="31">
        <f>_xll.qlCalendarAdvance(Calendar,P185,O185,"f",,Trigger)</f>
        <v>42381</v>
      </c>
      <c r="Q186" s="31">
        <f>_xll.qlInterestRateIndexValueDate(Index,P186,Trigger)</f>
        <v>42383</v>
      </c>
      <c r="R186" s="31">
        <f>_xll.qlInterestRateIndexMaturity(Index,Q186,Trigger)</f>
        <v>42474</v>
      </c>
      <c r="S186" s="32">
        <f>_xll.qlDayCounterYearFraction(DayCounter,Q186,R186,,,Trigger)</f>
        <v>0.25277777777777777</v>
      </c>
      <c r="T186" s="33">
        <f>_xll.qlIndexFixing(Index,P186,,AllTriggers)</f>
        <v>-7.4165574559550401E-5</v>
      </c>
      <c r="U186" s="34">
        <f>_xll.qlYieldTSDiscount(OisCurve,Q186,,AllTriggers)</f>
        <v>1.0009404544158667</v>
      </c>
      <c r="V186" s="34">
        <f>_xll.qlYieldTSDiscount(OisCurve,R186,,AllTriggers)</f>
        <v>1.0013272939774644</v>
      </c>
      <c r="W186" s="33">
        <f t="shared" si="18"/>
        <v>-1.5283257720248074E-3</v>
      </c>
      <c r="X186" s="35">
        <f t="shared" si="19"/>
        <v>3.6765385093356126E-4</v>
      </c>
      <c r="Y186" s="33">
        <f t="shared" si="20"/>
        <v>1.454160197465257E-3</v>
      </c>
      <c r="Z186" s="54"/>
    </row>
    <row r="187" spans="15:26" x14ac:dyDescent="0.25">
      <c r="O187" s="35" t="s">
        <v>30</v>
      </c>
      <c r="P187" s="31">
        <f>_xll.qlCalendarAdvance(Calendar,P186,O186,"f",,Trigger)</f>
        <v>42382</v>
      </c>
      <c r="Q187" s="31">
        <f>_xll.qlInterestRateIndexValueDate(Index,P187,Trigger)</f>
        <v>42384</v>
      </c>
      <c r="R187" s="31">
        <f>_xll.qlInterestRateIndexMaturity(Index,Q187,Trigger)</f>
        <v>42475</v>
      </c>
      <c r="S187" s="32">
        <f>_xll.qlDayCounterYearFraction(DayCounter,Q187,R187,,,Trigger)</f>
        <v>0.25277777777777777</v>
      </c>
      <c r="T187" s="33">
        <f>_xll.qlIndexFixing(Index,P187,,AllTriggers)</f>
        <v>-7.4151264849649863E-5</v>
      </c>
      <c r="U187" s="34">
        <f>_xll.qlYieldTSDiscount(OisCurve,Q187,,AllTriggers)</f>
        <v>1.0009446747289952</v>
      </c>
      <c r="V187" s="34">
        <f>_xll.qlYieldTSDiscount(OisCurve,R187,,AllTriggers)</f>
        <v>1.0013317370931514</v>
      </c>
      <c r="W187" s="33">
        <f t="shared" si="18"/>
        <v>-1.5291992349883035E-3</v>
      </c>
      <c r="X187" s="35">
        <f t="shared" si="19"/>
        <v>3.6787834556036508E-4</v>
      </c>
      <c r="Y187" s="33">
        <f t="shared" si="20"/>
        <v>1.4550479701386535E-3</v>
      </c>
      <c r="Z187" s="54"/>
    </row>
    <row r="188" spans="15:26" x14ac:dyDescent="0.25">
      <c r="O188" s="35" t="s">
        <v>30</v>
      </c>
      <c r="P188" s="31">
        <f>_xll.qlCalendarAdvance(Calendar,P187,O187,"f",,Trigger)</f>
        <v>42383</v>
      </c>
      <c r="Q188" s="31">
        <f>_xll.qlInterestRateIndexValueDate(Index,P188,Trigger)</f>
        <v>42387</v>
      </c>
      <c r="R188" s="31">
        <f>_xll.qlInterestRateIndexMaturity(Index,Q188,Trigger)</f>
        <v>42478</v>
      </c>
      <c r="S188" s="32">
        <f>_xll.qlDayCounterYearFraction(DayCounter,Q188,R188,,,Trigger)</f>
        <v>0.25277777777777777</v>
      </c>
      <c r="T188" s="33">
        <f>_xll.qlIndexFixing(Index,P188,,AllTriggers)</f>
        <v>-7.4113974221921275E-5</v>
      </c>
      <c r="U188" s="34">
        <f>_xll.qlYieldTSDiscount(OisCurve,Q188,,AllTriggers)</f>
        <v>1.0009567850119947</v>
      </c>
      <c r="V188" s="34">
        <f>_xll.qlYieldTSDiscount(OisCurve,R188,,AllTriggers)</f>
        <v>1.0013450992289799</v>
      </c>
      <c r="W188" s="33">
        <f t="shared" si="18"/>
        <v>-1.5341245613855845E-3</v>
      </c>
      <c r="X188" s="35">
        <f t="shared" si="19"/>
        <v>3.6913326725889644E-4</v>
      </c>
      <c r="Y188" s="33">
        <f t="shared" si="20"/>
        <v>1.4600105871636633E-3</v>
      </c>
      <c r="Z188" s="54"/>
    </row>
    <row r="189" spans="15:26" x14ac:dyDescent="0.25">
      <c r="O189" s="35" t="s">
        <v>30</v>
      </c>
      <c r="P189" s="31">
        <f>_xll.qlCalendarAdvance(Calendar,P188,O188,"f",,Trigger)</f>
        <v>42384</v>
      </c>
      <c r="Q189" s="31">
        <f>_xll.qlInterestRateIndexValueDate(Index,P189,Trigger)</f>
        <v>42388</v>
      </c>
      <c r="R189" s="31">
        <f>_xll.qlInterestRateIndexMaturity(Index,Q189,Trigger)</f>
        <v>42479</v>
      </c>
      <c r="S189" s="32">
        <f>_xll.qlDayCounterYearFraction(DayCounter,Q189,R189,,,Trigger)</f>
        <v>0.25277777777777777</v>
      </c>
      <c r="T189" s="33">
        <f>_xll.qlIndexFixing(Index,P189,,AllTriggers)</f>
        <v>-7.4103416090409352E-5</v>
      </c>
      <c r="U189" s="34">
        <f>_xll.qlYieldTSDiscount(OisCurve,Q189,,AllTriggers)</f>
        <v>1.0009606093177912</v>
      </c>
      <c r="V189" s="34">
        <f>_xll.qlYieldTSDiscount(OisCurve,R189,,AllTriggers)</f>
        <v>1.001349560957921</v>
      </c>
      <c r="W189" s="33">
        <f t="shared" si="18"/>
        <v>-1.5366360011753429E-3</v>
      </c>
      <c r="X189" s="35">
        <f t="shared" si="19"/>
        <v>3.6977101882106815E-4</v>
      </c>
      <c r="Y189" s="33">
        <f t="shared" si="20"/>
        <v>1.4625325850849335E-3</v>
      </c>
      <c r="Z189" s="54"/>
    </row>
    <row r="190" spans="15:26" x14ac:dyDescent="0.25">
      <c r="O190" s="35" t="s">
        <v>30</v>
      </c>
      <c r="P190" s="31">
        <f>_xll.qlCalendarAdvance(Calendar,P189,O189,"f",,Trigger)</f>
        <v>42387</v>
      </c>
      <c r="Q190" s="31">
        <f>_xll.qlInterestRateIndexValueDate(Index,P190,Trigger)</f>
        <v>42389</v>
      </c>
      <c r="R190" s="31">
        <f>_xll.qlInterestRateIndexMaturity(Index,Q190,Trigger)</f>
        <v>42480</v>
      </c>
      <c r="S190" s="32">
        <f>_xll.qlDayCounterYearFraction(DayCounter,Q190,R190,,,Trigger)</f>
        <v>0.25277777777777777</v>
      </c>
      <c r="T190" s="33">
        <f>_xll.qlIndexFixing(Index,P190,,AllTriggers)</f>
        <v>-7.4093790289154373E-5</v>
      </c>
      <c r="U190" s="34">
        <f>_xll.qlYieldTSDiscount(OisCurve,Q190,,AllTriggers)</f>
        <v>1.0009643129441881</v>
      </c>
      <c r="V190" s="34">
        <f>_xll.qlYieldTSDiscount(OisCurve,R190,,AllTriggers)</f>
        <v>1.0013540249056891</v>
      </c>
      <c r="W190" s="33">
        <f t="shared" si="18"/>
        <v>-1.53963294853639E-3</v>
      </c>
      <c r="X190" s="35">
        <f t="shared" si="19"/>
        <v>3.7053130840858833E-4</v>
      </c>
      <c r="Y190" s="33">
        <f t="shared" si="20"/>
        <v>1.4655391582472357E-3</v>
      </c>
      <c r="Z190" s="54"/>
    </row>
    <row r="191" spans="15:26" x14ac:dyDescent="0.25">
      <c r="O191" s="35" t="s">
        <v>30</v>
      </c>
      <c r="P191" s="31">
        <f>_xll.qlCalendarAdvance(Calendar,P190,O190,"f",,Trigger)</f>
        <v>42388</v>
      </c>
      <c r="Q191" s="31">
        <f>_xll.qlInterestRateIndexValueDate(Index,P191,Trigger)</f>
        <v>42390</v>
      </c>
      <c r="R191" s="31">
        <f>_xll.qlInterestRateIndexMaturity(Index,Q191,Trigger)</f>
        <v>42481</v>
      </c>
      <c r="S191" s="32">
        <f>_xll.qlDayCounterYearFraction(DayCounter,Q191,R191,,,Trigger)</f>
        <v>0.25277777777777777</v>
      </c>
      <c r="T191" s="33">
        <f>_xll.qlIndexFixing(Index,P191,,AllTriggers)</f>
        <v>-7.4085094590048542E-5</v>
      </c>
      <c r="U191" s="34">
        <f>_xll.qlYieldTSDiscount(OisCurve,Q191,,AllTriggers)</f>
        <v>1.0009678872199712</v>
      </c>
      <c r="V191" s="34">
        <f>_xll.qlYieldTSDiscount(OisCurve,R191,,AllTriggers)</f>
        <v>1.0013584900984553</v>
      </c>
      <c r="W191" s="33">
        <f t="shared" si="18"/>
        <v>-1.5431458083394354E-3</v>
      </c>
      <c r="X191" s="35">
        <f t="shared" si="19"/>
        <v>3.7142182553870763E-4</v>
      </c>
      <c r="Y191" s="33">
        <f t="shared" si="20"/>
        <v>1.469060713749387E-3</v>
      </c>
      <c r="Z191" s="54"/>
    </row>
    <row r="192" spans="15:26" x14ac:dyDescent="0.25">
      <c r="O192" s="35" t="s">
        <v>30</v>
      </c>
      <c r="P192" s="31">
        <f>_xll.qlCalendarAdvance(Calendar,P191,O191,"f",,Trigger)</f>
        <v>42389</v>
      </c>
      <c r="Q192" s="31">
        <f>_xll.qlInterestRateIndexValueDate(Index,P192,Trigger)</f>
        <v>42391</v>
      </c>
      <c r="R192" s="31">
        <f>_xll.qlInterestRateIndexMaturity(Index,Q192,Trigger)</f>
        <v>42482</v>
      </c>
      <c r="S192" s="32">
        <f>_xll.qlDayCounterYearFraction(DayCounter,Q192,R192,,,Trigger)</f>
        <v>0.25277777777777777</v>
      </c>
      <c r="T192" s="33">
        <f>_xll.qlIndexFixing(Index,P192,,AllTriggers)</f>
        <v>-7.407732676805851E-5</v>
      </c>
      <c r="U192" s="34">
        <f>_xll.qlYieldTSDiscount(OisCurve,Q192,,AllTriggers)</f>
        <v>1.0009713234738502</v>
      </c>
      <c r="V192" s="34">
        <f>_xll.qlYieldTSDiscount(OisCurve,R192,,AllTriggers)</f>
        <v>1.0013629555623726</v>
      </c>
      <c r="W192" s="33">
        <f t="shared" si="18"/>
        <v>-1.5472049851512554E-3</v>
      </c>
      <c r="X192" s="35">
        <f t="shared" si="19"/>
        <v>3.7245025972737489E-4</v>
      </c>
      <c r="Y192" s="33">
        <f t="shared" si="20"/>
        <v>1.473127658383197E-3</v>
      </c>
      <c r="Z192" s="54"/>
    </row>
    <row r="193" spans="15:26" x14ac:dyDescent="0.25">
      <c r="O193" s="35" t="s">
        <v>30</v>
      </c>
      <c r="P193" s="31">
        <f>_xll.qlCalendarAdvance(Calendar,P192,O192,"f",,Trigger)</f>
        <v>42390</v>
      </c>
      <c r="Q193" s="31">
        <f>_xll.qlInterestRateIndexValueDate(Index,P193,Trigger)</f>
        <v>42394</v>
      </c>
      <c r="R193" s="31">
        <f>_xll.qlInterestRateIndexMaturity(Index,Q193,Trigger)</f>
        <v>42485</v>
      </c>
      <c r="S193" s="32">
        <f>_xll.qlDayCounterYearFraction(DayCounter,Q193,R193,,,Trigger)</f>
        <v>0.25277777777777777</v>
      </c>
      <c r="T193" s="33">
        <f>_xll.qlIndexFixing(Index,P193,,AllTriggers)</f>
        <v>-7.4059568296442216E-5</v>
      </c>
      <c r="U193" s="34">
        <f>_xll.qlYieldTSDiscount(OisCurve,Q193,,AllTriggers)</f>
        <v>1.0009807173902685</v>
      </c>
      <c r="V193" s="34">
        <f>_xll.qlYieldTSDiscount(OisCurve,R193,,AllTriggers)</f>
        <v>1.0013763438423053</v>
      </c>
      <c r="W193" s="33">
        <f t="shared" si="18"/>
        <v>-1.5629644579241784E-3</v>
      </c>
      <c r="X193" s="35">
        <f t="shared" si="19"/>
        <v>3.7643995981501805E-4</v>
      </c>
      <c r="Y193" s="33">
        <f t="shared" si="20"/>
        <v>1.4889048896277362E-3</v>
      </c>
      <c r="Z193" s="54"/>
    </row>
    <row r="194" spans="15:26" x14ac:dyDescent="0.25">
      <c r="O194" s="35" t="s">
        <v>30</v>
      </c>
      <c r="P194" s="31">
        <f>_xll.qlCalendarAdvance(Calendar,P193,O193,"f",,Trigger)</f>
        <v>42391</v>
      </c>
      <c r="Q194" s="31">
        <f>_xll.qlInterestRateIndexValueDate(Index,P194,Trigger)</f>
        <v>42395</v>
      </c>
      <c r="R194" s="31">
        <f>_xll.qlInterestRateIndexMaturity(Index,Q194,Trigger)</f>
        <v>42486</v>
      </c>
      <c r="S194" s="32">
        <f>_xll.qlDayCounterYearFraction(DayCounter,Q194,R194,,,Trigger)</f>
        <v>0.25277777777777777</v>
      </c>
      <c r="T194" s="33">
        <f>_xll.qlIndexFixing(Index,P194,,AllTriggers)</f>
        <v>-7.4055489716770413E-5</v>
      </c>
      <c r="U194" s="34">
        <f>_xll.qlYieldTSDiscount(OisCurve,Q194,,AllTriggers)</f>
        <v>1.0009835148425308</v>
      </c>
      <c r="V194" s="34">
        <f>_xll.qlYieldTSDiscount(OisCurve,R194,,AllTriggers)</f>
        <v>1.0013808006520142</v>
      </c>
      <c r="W194" s="33">
        <f t="shared" si="18"/>
        <v>-1.569512940936729E-3</v>
      </c>
      <c r="X194" s="35">
        <f t="shared" si="19"/>
        <v>3.7809695740669778E-4</v>
      </c>
      <c r="Y194" s="33">
        <f t="shared" si="20"/>
        <v>1.4954574512199587E-3</v>
      </c>
      <c r="Z194" s="54"/>
    </row>
    <row r="195" spans="15:26" x14ac:dyDescent="0.25">
      <c r="O195" s="35" t="s">
        <v>30</v>
      </c>
      <c r="P195" s="31">
        <f>_xll.qlCalendarAdvance(Calendar,P194,O194,"f",,Trigger)</f>
        <v>42394</v>
      </c>
      <c r="Q195" s="31">
        <f>_xll.qlInterestRateIndexValueDate(Index,P195,Trigger)</f>
        <v>42396</v>
      </c>
      <c r="R195" s="31">
        <f>_xll.qlInterestRateIndexMaturity(Index,Q195,Trigger)</f>
        <v>42487</v>
      </c>
      <c r="S195" s="32">
        <f>_xll.qlDayCounterYearFraction(DayCounter,Q195,R195,,,Trigger)</f>
        <v>0.25277777777777777</v>
      </c>
      <c r="T195" s="33">
        <f>_xll.qlIndexFixing(Index,P195,,AllTriggers)</f>
        <v>-7.4052327882898771E-5</v>
      </c>
      <c r="U195" s="34">
        <f>_xll.qlYieldTSDiscount(OisCurve,Q195,,AllTriggers)</f>
        <v>1.0009861498100725</v>
      </c>
      <c r="V195" s="34">
        <f>_xll.qlYieldTSDiscount(OisCurve,R195,,AllTriggers)</f>
        <v>1.0013852528633809</v>
      </c>
      <c r="W195" s="33">
        <f t="shared" si="18"/>
        <v>-1.576685114310175E-3</v>
      </c>
      <c r="X195" s="35">
        <f t="shared" si="19"/>
        <v>3.7991144391274936E-4</v>
      </c>
      <c r="Y195" s="33">
        <f t="shared" si="20"/>
        <v>1.5026327864272762E-3</v>
      </c>
      <c r="Z195" s="54"/>
    </row>
    <row r="196" spans="15:26" x14ac:dyDescent="0.25">
      <c r="O196" s="35" t="s">
        <v>30</v>
      </c>
      <c r="P196" s="31">
        <f>_xll.qlCalendarAdvance(Calendar,P195,O195,"f",,Trigger)</f>
        <v>42395</v>
      </c>
      <c r="Q196" s="31">
        <f>_xll.qlInterestRateIndexValueDate(Index,P196,Trigger)</f>
        <v>42397</v>
      </c>
      <c r="R196" s="31">
        <f>_xll.qlInterestRateIndexMaturity(Index,Q196,Trigger)</f>
        <v>42488</v>
      </c>
      <c r="S196" s="32">
        <f>_xll.qlDayCounterYearFraction(DayCounter,Q196,R196,,,Trigger)</f>
        <v>0.25277777777777777</v>
      </c>
      <c r="T196" s="33">
        <f>_xll.qlIndexFixing(Index,P196,,AllTriggers)</f>
        <v>-7.4050080567158668E-5</v>
      </c>
      <c r="U196" s="34">
        <f>_xll.qlYieldTSDiscount(OisCurve,Q196,,AllTriggers)</f>
        <v>1.0009887080935027</v>
      </c>
      <c r="V196" s="34">
        <f>_xll.qlYieldTSDiscount(OisCurve,R196,,AllTriggers)</f>
        <v>1.0013896996848368</v>
      </c>
      <c r="W196" s="33">
        <f t="shared" ref="W196:W208" si="21">(U196/V196-1)/S196</f>
        <v>-1.5841388840140505E-3</v>
      </c>
      <c r="X196" s="35">
        <f t="shared" ref="X196:X208" si="22">LN((1+T196*S196)/(1+W196*S196))</f>
        <v>3.8179691234121403E-4</v>
      </c>
      <c r="Y196" s="33">
        <f t="shared" ref="Y196:Y259" si="23">T196-W196</f>
        <v>1.5100888034468918E-3</v>
      </c>
      <c r="Z196" s="54"/>
    </row>
    <row r="197" spans="15:26" x14ac:dyDescent="0.25">
      <c r="O197" s="35" t="s">
        <v>30</v>
      </c>
      <c r="P197" s="31">
        <f>_xll.qlCalendarAdvance(Calendar,P196,O196,"f",,Trigger)</f>
        <v>42396</v>
      </c>
      <c r="Q197" s="31">
        <f>_xll.qlInterestRateIndexValueDate(Index,P197,Trigger)</f>
        <v>42398</v>
      </c>
      <c r="R197" s="31">
        <f>_xll.qlInterestRateIndexMaturity(Index,Q197,Trigger)</f>
        <v>42489</v>
      </c>
      <c r="S197" s="32">
        <f>_xll.qlDayCounterYearFraction(DayCounter,Q197,R197,,,Trigger)</f>
        <v>0.25277777777777777</v>
      </c>
      <c r="T197" s="33">
        <f>_xll.qlIndexFixing(Index,P197,,AllTriggers)</f>
        <v>-7.4048745544077571E-5</v>
      </c>
      <c r="U197" s="34">
        <f>_xll.qlYieldTSDiscount(OisCurve,Q197,,AllTriggers)</f>
        <v>1.0009912943887853</v>
      </c>
      <c r="V197" s="34">
        <f>_xll.qlYieldTSDiscount(OisCurve,R197,,AllTriggers)</f>
        <v>1.0013941410543299</v>
      </c>
      <c r="W197" s="33">
        <f t="shared" si="21"/>
        <v>-1.5914603961653241E-3</v>
      </c>
      <c r="X197" s="35">
        <f t="shared" si="22"/>
        <v>3.8364870848567832E-4</v>
      </c>
      <c r="Y197" s="33">
        <f t="shared" si="23"/>
        <v>1.5174116506212465E-3</v>
      </c>
      <c r="Z197" s="54"/>
    </row>
    <row r="198" spans="15:26" x14ac:dyDescent="0.25">
      <c r="O198" s="35" t="s">
        <v>30</v>
      </c>
      <c r="P198" s="31">
        <f>_xll.qlCalendarAdvance(Calendar,P197,O197,"f",,Trigger)</f>
        <v>42397</v>
      </c>
      <c r="Q198" s="31">
        <f>_xll.qlInterestRateIndexValueDate(Index,P198,Trigger)</f>
        <v>42401</v>
      </c>
      <c r="R198" s="31">
        <f>_xll.qlInterestRateIndexMaturity(Index,Q198,Trigger)</f>
        <v>42492</v>
      </c>
      <c r="S198" s="32">
        <f>_xll.qlDayCounterYearFraction(DayCounter,Q198,R198,,,Trigger)</f>
        <v>0.25277777777777777</v>
      </c>
      <c r="T198" s="33">
        <f>_xll.qlIndexFixing(Index,P198,,AllTriggers)</f>
        <v>-7.4050191969035406E-5</v>
      </c>
      <c r="U198" s="34">
        <f>_xll.qlYieldTSDiscount(OisCurve,Q198,,AllTriggers)</f>
        <v>1.0009997824091481</v>
      </c>
      <c r="V198" s="34">
        <f>_xll.qlYieldTSDiscount(OisCurve,R198,,AllTriggers)</f>
        <v>1.0014074336543519</v>
      </c>
      <c r="W198" s="33">
        <f t="shared" si="21"/>
        <v>-1.6104196858986557E-3</v>
      </c>
      <c r="X198" s="35">
        <f t="shared" si="22"/>
        <v>3.8844277020041193E-4</v>
      </c>
      <c r="Y198" s="33">
        <f t="shared" si="23"/>
        <v>1.5363694939296202E-3</v>
      </c>
      <c r="Z198" s="54"/>
    </row>
    <row r="199" spans="15:26" x14ac:dyDescent="0.25">
      <c r="O199" s="35" t="s">
        <v>30</v>
      </c>
      <c r="P199" s="31">
        <f>_xll.qlCalendarAdvance(Calendar,P198,O198,"f",,Trigger)</f>
        <v>42398</v>
      </c>
      <c r="Q199" s="31">
        <f>_xll.qlInterestRateIndexValueDate(Index,P199,Trigger)</f>
        <v>42402</v>
      </c>
      <c r="R199" s="31">
        <f>_xll.qlInterestRateIndexMaturity(Index,Q199,Trigger)</f>
        <v>42492</v>
      </c>
      <c r="S199" s="32">
        <f>_xll.qlDayCounterYearFraction(DayCounter,Q199,R199,,,Trigger)</f>
        <v>0.25</v>
      </c>
      <c r="T199" s="33">
        <f>_xll.qlIndexFixing(Index,P199,,AllTriggers)</f>
        <v>-7.4044445124155089E-5</v>
      </c>
      <c r="U199" s="34">
        <f>_xll.qlYieldTSDiscount(OisCurve,Q199,,AllTriggers)</f>
        <v>1.0010028618502183</v>
      </c>
      <c r="V199" s="34">
        <f>_xll.qlYieldTSDiscount(OisCurve,R199,,AllTriggers)</f>
        <v>1.0014074336543519</v>
      </c>
      <c r="W199" s="33">
        <f t="shared" si="21"/>
        <v>-1.6160127857540729E-3</v>
      </c>
      <c r="X199" s="35">
        <f t="shared" si="22"/>
        <v>3.8557354510306029E-4</v>
      </c>
      <c r="Y199" s="33">
        <f t="shared" si="23"/>
        <v>1.5419683406299178E-3</v>
      </c>
      <c r="Z199" s="54"/>
    </row>
    <row r="200" spans="15:26" x14ac:dyDescent="0.25">
      <c r="O200" s="35" t="s">
        <v>30</v>
      </c>
      <c r="P200" s="31">
        <f>_xll.qlCalendarAdvance(Calendar,P199,O199,"f",,Trigger)</f>
        <v>42401</v>
      </c>
      <c r="Q200" s="31">
        <f>_xll.qlInterestRateIndexValueDate(Index,P200,Trigger)</f>
        <v>42403</v>
      </c>
      <c r="R200" s="31">
        <f>_xll.qlInterestRateIndexMaturity(Index,Q200,Trigger)</f>
        <v>42493</v>
      </c>
      <c r="S200" s="32">
        <f>_xll.qlDayCounterYearFraction(DayCounter,Q200,R200,,,Trigger)</f>
        <v>0.25</v>
      </c>
      <c r="T200" s="33">
        <f>_xll.qlIndexFixing(Index,P200,,AllTriggers)</f>
        <v>-7.4047213113548338E-5</v>
      </c>
      <c r="U200" s="34">
        <f>_xll.qlYieldTSDiscount(OisCurve,Q200,,AllTriggers)</f>
        <v>1.0010060608715503</v>
      </c>
      <c r="V200" s="34">
        <f>_xll.qlYieldTSDiscount(OisCurve,R200,,AllTriggers)</f>
        <v>1.0014118544193236</v>
      </c>
      <c r="W200" s="33">
        <f t="shared" si="21"/>
        <v>-1.6208857364028439E-3</v>
      </c>
      <c r="X200" s="35">
        <f t="shared" si="22"/>
        <v>3.8679158386861653E-4</v>
      </c>
      <c r="Y200" s="33">
        <f t="shared" si="23"/>
        <v>1.5468385232892956E-3</v>
      </c>
      <c r="Z200" s="54"/>
    </row>
    <row r="201" spans="15:26" x14ac:dyDescent="0.25">
      <c r="O201" s="35" t="s">
        <v>30</v>
      </c>
      <c r="P201" s="31">
        <f>_xll.qlCalendarAdvance(Calendar,P200,O200,"f",,Trigger)</f>
        <v>42402</v>
      </c>
      <c r="Q201" s="31">
        <f>_xll.qlInterestRateIndexValueDate(Index,P201,Trigger)</f>
        <v>42404</v>
      </c>
      <c r="R201" s="31">
        <f>_xll.qlInterestRateIndexMaturity(Index,Q201,Trigger)</f>
        <v>42494</v>
      </c>
      <c r="S201" s="32">
        <f>_xll.qlDayCounterYearFraction(DayCounter,Q201,R201,,,Trigger)</f>
        <v>0.25</v>
      </c>
      <c r="T201" s="33">
        <f>_xll.qlIndexFixing(Index,P201,,AllTriggers)</f>
        <v>-7.4050881077258879E-5</v>
      </c>
      <c r="U201" s="34">
        <f>_xll.qlYieldTSDiscount(OisCurve,Q201,,AllTriggers)</f>
        <v>1.0010093761910215</v>
      </c>
      <c r="V201" s="34">
        <f>_xll.qlYieldTSDiscount(OisCurve,R201,,AllTriggers)</f>
        <v>1.0014162703340086</v>
      </c>
      <c r="W201" s="33">
        <f t="shared" si="21"/>
        <v>-1.6252747435445691E-3</v>
      </c>
      <c r="X201" s="35">
        <f t="shared" si="22"/>
        <v>3.8788836405874021E-4</v>
      </c>
      <c r="Y201" s="33">
        <f t="shared" si="23"/>
        <v>1.5512238624673103E-3</v>
      </c>
      <c r="Z201" s="54"/>
    </row>
    <row r="202" spans="15:26" x14ac:dyDescent="0.25">
      <c r="O202" s="35" t="s">
        <v>30</v>
      </c>
      <c r="P202" s="31">
        <f>_xll.qlCalendarAdvance(Calendar,P201,O201,"f",,Trigger)</f>
        <v>42403</v>
      </c>
      <c r="Q202" s="31">
        <f>_xll.qlInterestRateIndexValueDate(Index,P202,Trigger)</f>
        <v>42405</v>
      </c>
      <c r="R202" s="31">
        <f>_xll.qlInterestRateIndexMaturity(Index,Q202,Trigger)</f>
        <v>42495</v>
      </c>
      <c r="S202" s="32">
        <f>_xll.qlDayCounterYearFraction(DayCounter,Q202,R202,,,Trigger)</f>
        <v>0.25</v>
      </c>
      <c r="T202" s="33">
        <f>_xll.qlIndexFixing(Index,P202,,AllTriggers)</f>
        <v>-7.4055446763310329E-5</v>
      </c>
      <c r="U202" s="34">
        <f>_xll.qlYieldTSDiscount(OisCurve,Q202,,AllTriggers)</f>
        <v>1.0010128045265065</v>
      </c>
      <c r="V202" s="34">
        <f>_xll.qlYieldTSDiscount(OisCurve,R202,,AllTriggers)</f>
        <v>1.0014206815187481</v>
      </c>
      <c r="W202" s="33">
        <f t="shared" si="21"/>
        <v>-1.6291934040064682E-3</v>
      </c>
      <c r="X202" s="35">
        <f t="shared" si="22"/>
        <v>3.88867286429921E-4</v>
      </c>
      <c r="Y202" s="33">
        <f t="shared" si="23"/>
        <v>1.5551379572431578E-3</v>
      </c>
      <c r="Z202" s="54"/>
    </row>
    <row r="203" spans="15:26" x14ac:dyDescent="0.25">
      <c r="O203" s="35" t="s">
        <v>30</v>
      </c>
      <c r="P203" s="31">
        <f>_xll.qlCalendarAdvance(Calendar,P202,O202,"f",,Trigger)</f>
        <v>42404</v>
      </c>
      <c r="Q203" s="31">
        <f>_xll.qlInterestRateIndexValueDate(Index,P203,Trigger)</f>
        <v>42408</v>
      </c>
      <c r="R203" s="31">
        <f>_xll.qlInterestRateIndexMaturity(Index,Q203,Trigger)</f>
        <v>42499</v>
      </c>
      <c r="S203" s="32">
        <f>_xll.qlDayCounterYearFraction(DayCounter,Q203,R203,,,Trigger)</f>
        <v>0.25277777777777777</v>
      </c>
      <c r="T203" s="33">
        <f>_xll.qlIndexFixing(Index,P203,,AllTriggers)</f>
        <v>-7.4085081625474073E-5</v>
      </c>
      <c r="U203" s="34">
        <f>_xll.qlYieldTSDiscount(OisCurve,Q203,,AllTriggers)</f>
        <v>1.0010237348076854</v>
      </c>
      <c r="V203" s="34">
        <f>_xll.qlYieldTSDiscount(OisCurve,R203,,AllTriggers)</f>
        <v>1.0014382813651652</v>
      </c>
      <c r="W203" s="33">
        <f t="shared" si="21"/>
        <v>-1.6376090606217643E-3</v>
      </c>
      <c r="X203" s="35">
        <f t="shared" si="22"/>
        <v>3.953096430004149E-4</v>
      </c>
      <c r="Y203" s="33">
        <f t="shared" si="23"/>
        <v>1.5635239789962901E-3</v>
      </c>
      <c r="Z203" s="54"/>
    </row>
    <row r="204" spans="15:26" x14ac:dyDescent="0.25">
      <c r="O204" s="35" t="s">
        <v>30</v>
      </c>
      <c r="P204" s="31">
        <f>_xll.qlCalendarAdvance(Calendar,P203,O203,"f",,Trigger)</f>
        <v>42405</v>
      </c>
      <c r="Q204" s="31">
        <f>_xll.qlInterestRateIndexValueDate(Index,P204,Trigger)</f>
        <v>42409</v>
      </c>
      <c r="R204" s="31">
        <f>_xll.qlInterestRateIndexMaturity(Index,Q204,Trigger)</f>
        <v>42499</v>
      </c>
      <c r="S204" s="32">
        <f>_xll.qlDayCounterYearFraction(DayCounter,Q204,R204,,,Trigger)</f>
        <v>0.25</v>
      </c>
      <c r="T204" s="33">
        <f>_xll.qlIndexFixing(Index,P204,,AllTriggers)</f>
        <v>-7.4082641719375175E-5</v>
      </c>
      <c r="U204" s="34">
        <f>_xll.qlYieldTSDiscount(OisCurve,Q204,,AllTriggers)</f>
        <v>1.0010275823858035</v>
      </c>
      <c r="V204" s="34">
        <f>_xll.qlYieldTSDiscount(OisCurve,R204,,AllTriggers)</f>
        <v>1.0014382813651652</v>
      </c>
      <c r="W204" s="33">
        <f t="shared" si="21"/>
        <v>-1.6404365081865713E-3</v>
      </c>
      <c r="X204" s="35">
        <f t="shared" si="22"/>
        <v>3.9167241285436834E-4</v>
      </c>
      <c r="Y204" s="33">
        <f t="shared" si="23"/>
        <v>1.5663538664671961E-3</v>
      </c>
      <c r="Z204" s="54"/>
    </row>
    <row r="205" spans="15:26" x14ac:dyDescent="0.25">
      <c r="O205" s="35" t="s">
        <v>30</v>
      </c>
      <c r="P205" s="31">
        <f>_xll.qlCalendarAdvance(Calendar,P204,O204,"f",,Trigger)</f>
        <v>42408</v>
      </c>
      <c r="Q205" s="31">
        <f>_xll.qlInterestRateIndexValueDate(Index,P205,Trigger)</f>
        <v>42410</v>
      </c>
      <c r="R205" s="31">
        <f>_xll.qlInterestRateIndexMaturity(Index,Q205,Trigger)</f>
        <v>42500</v>
      </c>
      <c r="S205" s="32">
        <f>_xll.qlDayCounterYearFraction(DayCounter,Q205,R205,,,Trigger)</f>
        <v>0.25</v>
      </c>
      <c r="T205" s="33">
        <f>_xll.qlIndexFixing(Index,P205,,AllTriggers)</f>
        <v>-7.4091662255248991E-5</v>
      </c>
      <c r="U205" s="34">
        <f>_xll.qlYieldTSDiscount(OisCurve,Q205,,AllTriggers)</f>
        <v>1.0010315265691503</v>
      </c>
      <c r="V205" s="34">
        <f>_xll.qlYieldTSDiscount(OisCurve,R205,,AllTriggers)</f>
        <v>1.0014426707053812</v>
      </c>
      <c r="W205" s="33">
        <f t="shared" si="21"/>
        <v>-1.6422073804438497E-3</v>
      </c>
      <c r="X205" s="35">
        <f t="shared" si="22"/>
        <v>3.9211305747817254E-4</v>
      </c>
      <c r="Y205" s="33">
        <f t="shared" si="23"/>
        <v>1.5681157181886007E-3</v>
      </c>
      <c r="Z205" s="54"/>
    </row>
    <row r="206" spans="15:26" x14ac:dyDescent="0.25">
      <c r="O206" s="35" t="s">
        <v>30</v>
      </c>
      <c r="P206" s="31">
        <f>_xll.qlCalendarAdvance(Calendar,P205,O205,"f",,Trigger)</f>
        <v>42409</v>
      </c>
      <c r="Q206" s="31">
        <f>_xll.qlInterestRateIndexValueDate(Index,P206,Trigger)</f>
        <v>42411</v>
      </c>
      <c r="R206" s="31">
        <f>_xll.qlInterestRateIndexMaturity(Index,Q206,Trigger)</f>
        <v>42501</v>
      </c>
      <c r="S206" s="32">
        <f>_xll.qlDayCounterYearFraction(DayCounter,Q206,R206,,,Trigger)</f>
        <v>0.25</v>
      </c>
      <c r="T206" s="33">
        <f>_xll.qlIndexFixing(Index,P206,,AllTriggers)</f>
        <v>-7.4101567009154934E-5</v>
      </c>
      <c r="U206" s="34">
        <f>_xll.qlYieldTSDiscount(OisCurve,Q206,,AllTriggers)</f>
        <v>1.001035564075512</v>
      </c>
      <c r="V206" s="34">
        <f>_xll.qlYieldTSDiscount(OisCurve,R206,,AllTriggers)</f>
        <v>1.0014470560377482</v>
      </c>
      <c r="W206" s="33">
        <f t="shared" si="21"/>
        <v>-1.6435894828599196E-3</v>
      </c>
      <c r="X206" s="35">
        <f t="shared" si="22"/>
        <v>3.9245624882202924E-4</v>
      </c>
      <c r="Y206" s="33">
        <f t="shared" si="23"/>
        <v>1.5694879158507646E-3</v>
      </c>
      <c r="Z206" s="54"/>
    </row>
    <row r="207" spans="15:26" x14ac:dyDescent="0.25">
      <c r="O207" s="35" t="s">
        <v>30</v>
      </c>
      <c r="P207" s="31">
        <f>_xll.qlCalendarAdvance(Calendar,P206,O206,"f",,Trigger)</f>
        <v>42410</v>
      </c>
      <c r="Q207" s="31">
        <f>_xll.qlInterestRateIndexValueDate(Index,P207,Trigger)</f>
        <v>42412</v>
      </c>
      <c r="R207" s="31">
        <f>_xll.qlInterestRateIndexMaturity(Index,Q207,Trigger)</f>
        <v>42502</v>
      </c>
      <c r="S207" s="32">
        <f>_xll.qlDayCounterYearFraction(DayCounter,Q207,R207,,,Trigger)</f>
        <v>0.25</v>
      </c>
      <c r="T207" s="33">
        <f>_xll.qlIndexFixing(Index,P207,,AllTriggers)</f>
        <v>-7.4112353728672531E-5</v>
      </c>
      <c r="U207" s="34">
        <f>_xll.qlYieldTSDiscount(OisCurve,Q207,,AllTriggers)</f>
        <v>1.0010396916226494</v>
      </c>
      <c r="V207" s="34">
        <f>_xll.qlYieldTSDiscount(OisCurve,R207,,AllTriggers)</f>
        <v>1.0014514374826229</v>
      </c>
      <c r="W207" s="33">
        <f t="shared" si="21"/>
        <v>-1.6445964110194389E-3</v>
      </c>
      <c r="X207" s="35">
        <f t="shared" si="22"/>
        <v>3.9270538764236062E-4</v>
      </c>
      <c r="Y207" s="33">
        <f t="shared" si="23"/>
        <v>1.5704840572907663E-3</v>
      </c>
      <c r="Z207" s="54"/>
    </row>
    <row r="208" spans="15:26" x14ac:dyDescent="0.25">
      <c r="O208" s="35" t="s">
        <v>30</v>
      </c>
      <c r="P208" s="31">
        <f>_xll.qlCalendarAdvance(Calendar,P207,O207,"f",,Trigger)</f>
        <v>42411</v>
      </c>
      <c r="Q208" s="31">
        <f>_xll.qlInterestRateIndexValueDate(Index,P208,Trigger)</f>
        <v>42415</v>
      </c>
      <c r="R208" s="31">
        <f>_xll.qlInterestRateIndexMaturity(Index,Q208,Trigger)</f>
        <v>42506</v>
      </c>
      <c r="S208" s="32">
        <f>_xll.qlDayCounterYearFraction(DayCounter,Q208,R208,,,Trigger)</f>
        <v>0.25277777777777777</v>
      </c>
      <c r="T208" s="33">
        <f>_xll.qlIndexFixing(Index,P208,,AllTriggers)</f>
        <v>-7.4163473651970619E-5</v>
      </c>
      <c r="U208" s="34">
        <f>_xll.qlYieldTSDiscount(OisCurve,Q208,,AllTriggers)</f>
        <v>1.0010525816858633</v>
      </c>
      <c r="V208" s="34">
        <f>_xll.qlYieldTSDiscount(OisCurve,R208,,AllTriggers)</f>
        <v>1.0014689267944166</v>
      </c>
      <c r="W208" s="33">
        <f t="shared" si="21"/>
        <v>-1.6446636598030698E-3</v>
      </c>
      <c r="X208" s="35">
        <f t="shared" si="22"/>
        <v>3.9707381284476861E-4</v>
      </c>
      <c r="Y208" s="33">
        <f t="shared" si="23"/>
        <v>1.5705001861510992E-3</v>
      </c>
      <c r="Z208" s="54"/>
    </row>
    <row r="209" spans="15:26" x14ac:dyDescent="0.25">
      <c r="O209" s="35" t="s">
        <v>30</v>
      </c>
      <c r="P209" s="31">
        <f>_xll.qlCalendarAdvance(Calendar,P208,O208,"f",,Trigger)</f>
        <v>42412</v>
      </c>
      <c r="Q209" s="31">
        <f>_xll.qlInterestRateIndexValueDate(Index,P209,Trigger)</f>
        <v>42416</v>
      </c>
      <c r="R209" s="31">
        <f>_xll.qlInterestRateIndexMaturity(Index,Q209,Trigger)</f>
        <v>42506</v>
      </c>
      <c r="S209" s="32">
        <f>_xll.qlDayCounterYearFraction(DayCounter,Q209,R209,,,Trigger)</f>
        <v>0.25</v>
      </c>
      <c r="T209" s="33">
        <f>_xll.qlIndexFixing(Index,P209,,AllTriggers)</f>
        <v>-7.4164275241983546E-5</v>
      </c>
      <c r="U209" s="34">
        <f>_xll.qlYieldTSDiscount(OisCurve,Q209,,AllTriggers)</f>
        <v>1.0010570365730795</v>
      </c>
      <c r="V209" s="34">
        <f>_xll.qlYieldTSDiscount(OisCurve,R209,,AllTriggers)</f>
        <v>1.0014689267944166</v>
      </c>
      <c r="W209" s="33">
        <f t="shared" ref="W209:W216" si="24">(U209/V209-1)/S209</f>
        <v>-1.6451442888216761E-3</v>
      </c>
      <c r="X209" s="35">
        <f t="shared" ref="X209:X216" si="25">LN((1+T209*S209)/(1+W209*S209))</f>
        <v>3.9282943282148018E-4</v>
      </c>
      <c r="Y209" s="33">
        <f t="shared" si="23"/>
        <v>1.5709800135796925E-3</v>
      </c>
      <c r="Z209" s="54"/>
    </row>
    <row r="210" spans="15:26" x14ac:dyDescent="0.25">
      <c r="O210" s="35" t="s">
        <v>30</v>
      </c>
      <c r="P210" s="31">
        <f>_xll.qlCalendarAdvance(Calendar,P209,O209,"f",,Trigger)</f>
        <v>42415</v>
      </c>
      <c r="Q210" s="31">
        <f>_xll.qlInterestRateIndexValueDate(Index,P210,Trigger)</f>
        <v>42417</v>
      </c>
      <c r="R210" s="31">
        <f>_xll.qlInterestRateIndexMaturity(Index,Q210,Trigger)</f>
        <v>42507</v>
      </c>
      <c r="S210" s="32">
        <f>_xll.qlDayCounterYearFraction(DayCounter,Q210,R210,,,Trigger)</f>
        <v>0.25</v>
      </c>
      <c r="T210" s="33">
        <f>_xll.qlIndexFixing(Index,P210,,AllTriggers)</f>
        <v>-7.417943802545679E-5</v>
      </c>
      <c r="U210" s="34">
        <f>_xll.qlYieldTSDiscount(OisCurve,Q210,,AllTriggers)</f>
        <v>1.0010615650893784</v>
      </c>
      <c r="V210" s="34">
        <f>_xll.qlYieldTSDiscount(OisCurve,R210,,AllTriggers)</f>
        <v>1.0014732906072608</v>
      </c>
      <c r="W210" s="33">
        <f t="shared" si="24"/>
        <v>-1.6444792756589166E-3</v>
      </c>
      <c r="X210" s="35">
        <f t="shared" si="25"/>
        <v>3.9265932037263549E-4</v>
      </c>
      <c r="Y210" s="33">
        <f t="shared" si="23"/>
        <v>1.5702998376334598E-3</v>
      </c>
      <c r="Z210" s="54"/>
    </row>
    <row r="211" spans="15:26" x14ac:dyDescent="0.25">
      <c r="O211" s="35" t="s">
        <v>30</v>
      </c>
      <c r="P211" s="31">
        <f>_xll.qlCalendarAdvance(Calendar,P210,O210,"f",,Trigger)</f>
        <v>42416</v>
      </c>
      <c r="Q211" s="31">
        <f>_xll.qlInterestRateIndexValueDate(Index,P211,Trigger)</f>
        <v>42418</v>
      </c>
      <c r="R211" s="31">
        <f>_xll.qlInterestRateIndexMaturity(Index,Q211,Trigger)</f>
        <v>42508</v>
      </c>
      <c r="S211" s="32">
        <f>_xll.qlDayCounterYearFraction(DayCounter,Q211,R211,,,Trigger)</f>
        <v>0.25</v>
      </c>
      <c r="T211" s="33">
        <f>_xll.qlIndexFixing(Index,P211,,AllTriggers)</f>
        <v>-7.419546926756837E-5</v>
      </c>
      <c r="U211" s="34">
        <f>_xll.qlYieldTSDiscount(OisCurve,Q211,,AllTriggers)</f>
        <v>1.0010661639523033</v>
      </c>
      <c r="V211" s="34">
        <f>_xll.qlYieldTSDiscount(OisCurve,R211,,AllTriggers)</f>
        <v>1.0014776512547998</v>
      </c>
      <c r="W211" s="33">
        <f t="shared" si="24"/>
        <v>-1.6435206596212559E-3</v>
      </c>
      <c r="X211" s="35">
        <f t="shared" si="25"/>
        <v>3.9241555994011924E-4</v>
      </c>
      <c r="Y211" s="33">
        <f t="shared" si="23"/>
        <v>1.5693251903536876E-3</v>
      </c>
      <c r="Z211" s="54"/>
    </row>
    <row r="212" spans="15:26" x14ac:dyDescent="0.25">
      <c r="O212" s="35" t="s">
        <v>30</v>
      </c>
      <c r="P212" s="31">
        <f>_xll.qlCalendarAdvance(Calendar,P211,O211,"f",,Trigger)</f>
        <v>42417</v>
      </c>
      <c r="Q212" s="31">
        <f>_xll.qlInterestRateIndexValueDate(Index,P212,Trigger)</f>
        <v>42419</v>
      </c>
      <c r="R212" s="31">
        <f>_xll.qlInterestRateIndexMaturity(Index,Q212,Trigger)</f>
        <v>42509</v>
      </c>
      <c r="S212" s="32">
        <f>_xll.qlDayCounterYearFraction(DayCounter,Q212,R212,,,Trigger)</f>
        <v>0.25</v>
      </c>
      <c r="T212" s="33">
        <f>_xll.qlIndexFixing(Index,P212,,AllTriggers)</f>
        <v>-7.421236671900644E-5</v>
      </c>
      <c r="U212" s="34">
        <f>_xll.qlYieldTSDiscount(OisCurve,Q212,,AllTriggers)</f>
        <v>1.0010708298793529</v>
      </c>
      <c r="V212" s="34">
        <f>_xll.qlYieldTSDiscount(OisCurve,R212,,AllTriggers)</f>
        <v>1.0014820088574055</v>
      </c>
      <c r="W212" s="33">
        <f t="shared" si="24"/>
        <v>-1.6422820356867263E-3</v>
      </c>
      <c r="X212" s="35">
        <f t="shared" si="25"/>
        <v>3.9210155227936753E-4</v>
      </c>
      <c r="Y212" s="33">
        <f t="shared" si="23"/>
        <v>1.5680696689677198E-3</v>
      </c>
      <c r="Z212" s="54"/>
    </row>
    <row r="213" spans="15:26" x14ac:dyDescent="0.25">
      <c r="O213" s="35" t="s">
        <v>30</v>
      </c>
      <c r="P213" s="31">
        <f>_xll.qlCalendarAdvance(Calendar,P212,O212,"f",,Trigger)</f>
        <v>42418</v>
      </c>
      <c r="Q213" s="31">
        <f>_xll.qlInterestRateIndexValueDate(Index,P213,Trigger)</f>
        <v>42422</v>
      </c>
      <c r="R213" s="31">
        <f>_xll.qlInterestRateIndexMaturity(Index,Q213,Trigger)</f>
        <v>42513</v>
      </c>
      <c r="S213" s="32">
        <f>_xll.qlDayCounterYearFraction(DayCounter,Q213,R213,,,Trigger)</f>
        <v>0.25277777777777777</v>
      </c>
      <c r="T213" s="33">
        <f>_xll.qlIndexFixing(Index,P213,,AllTriggers)</f>
        <v>-7.4284604434737473E-5</v>
      </c>
      <c r="U213" s="34">
        <f>_xll.qlYieldTSDiscount(OisCurve,Q213,,AllTriggers)</f>
        <v>1.0010851972195138</v>
      </c>
      <c r="V213" s="34">
        <f>_xll.qlYieldTSDiscount(OisCurve,R213,,AllTriggers)</f>
        <v>1.0014994112260085</v>
      </c>
      <c r="W213" s="33">
        <f t="shared" si="24"/>
        <v>-1.6361954870207347E-3</v>
      </c>
      <c r="X213" s="35">
        <f t="shared" si="25"/>
        <v>3.94901739218223E-4</v>
      </c>
      <c r="Y213" s="33">
        <f t="shared" si="23"/>
        <v>1.5619108825859972E-3</v>
      </c>
      <c r="Z213" s="54"/>
    </row>
    <row r="214" spans="15:26" x14ac:dyDescent="0.25">
      <c r="O214" s="35" t="s">
        <v>30</v>
      </c>
      <c r="P214" s="31">
        <f>_xll.qlCalendarAdvance(Calendar,P213,O213,"f",,Trigger)</f>
        <v>42419</v>
      </c>
      <c r="Q214" s="31">
        <f>_xll.qlInterestRateIndexValueDate(Index,P214,Trigger)</f>
        <v>42423</v>
      </c>
      <c r="R214" s="31">
        <f>_xll.qlInterestRateIndexMaturity(Index,Q214,Trigger)</f>
        <v>42513</v>
      </c>
      <c r="S214" s="32">
        <f>_xll.qlDayCounterYearFraction(DayCounter,Q214,R214,,,Trigger)</f>
        <v>0.25</v>
      </c>
      <c r="T214" s="33">
        <f>_xll.qlIndexFixing(Index,P214,,AllTriggers)</f>
        <v>-7.4288573591818619E-5</v>
      </c>
      <c r="U214" s="34">
        <f>_xll.qlYieldTSDiscount(OisCurve,Q214,,AllTriggers)</f>
        <v>1.0010900985770708</v>
      </c>
      <c r="V214" s="34">
        <f>_xll.qlYieldTSDiscount(OisCurve,R214,,AllTriggers)</f>
        <v>1.0014994112260085</v>
      </c>
      <c r="W214" s="33">
        <f t="shared" si="24"/>
        <v>-1.6347993592393806E-3</v>
      </c>
      <c r="X214" s="35">
        <f t="shared" si="25"/>
        <v>3.9021106448978142E-4</v>
      </c>
      <c r="Y214" s="33">
        <f t="shared" si="23"/>
        <v>1.560510785647562E-3</v>
      </c>
      <c r="Z214" s="54"/>
    </row>
    <row r="215" spans="15:26" x14ac:dyDescent="0.25">
      <c r="O215" s="35" t="s">
        <v>30</v>
      </c>
      <c r="P215" s="31">
        <f>_xll.qlCalendarAdvance(Calendar,P214,O214,"f",,Trigger)</f>
        <v>42422</v>
      </c>
      <c r="Q215" s="31">
        <f>_xll.qlInterestRateIndexValueDate(Index,P215,Trigger)</f>
        <v>42424</v>
      </c>
      <c r="R215" s="31">
        <f>_xll.qlInterestRateIndexMaturity(Index,Q215,Trigger)</f>
        <v>42514</v>
      </c>
      <c r="S215" s="32">
        <f>_xll.qlDayCounterYearFraction(DayCounter,Q215,R215,,,Trigger)</f>
        <v>0.25</v>
      </c>
      <c r="T215" s="33">
        <f>_xll.qlIndexFixing(Index,P215,,AllTriggers)</f>
        <v>-7.4309768320901526E-5</v>
      </c>
      <c r="U215" s="34">
        <f>_xll.qlYieldTSDiscount(OisCurve,Q215,,AllTriggers)</f>
        <v>1.0010950505854943</v>
      </c>
      <c r="V215" s="34">
        <f>_xll.qlYieldTSDiscount(OisCurve,R215,,AllTriggers)</f>
        <v>1.0015037554096011</v>
      </c>
      <c r="W215" s="33">
        <f t="shared" si="24"/>
        <v>-1.632364619300386E-3</v>
      </c>
      <c r="X215" s="35">
        <f t="shared" si="25"/>
        <v>3.8959683203862184E-4</v>
      </c>
      <c r="Y215" s="33">
        <f t="shared" si="23"/>
        <v>1.5580548509794845E-3</v>
      </c>
      <c r="Z215" s="54"/>
    </row>
    <row r="216" spans="15:26" x14ac:dyDescent="0.25">
      <c r="O216" s="35" t="s">
        <v>30</v>
      </c>
      <c r="P216" s="31">
        <f>_xll.qlCalendarAdvance(Calendar,P215,O215,"f",,Trigger)</f>
        <v>42423</v>
      </c>
      <c r="Q216" s="31">
        <f>_xll.qlInterestRateIndexValueDate(Index,P216,Trigger)</f>
        <v>42425</v>
      </c>
      <c r="R216" s="31">
        <f>_xll.qlInterestRateIndexMaturity(Index,Q216,Trigger)</f>
        <v>42515</v>
      </c>
      <c r="S216" s="32">
        <f>_xll.qlDayCounterYearFraction(DayCounter,Q216,R216,,,Trigger)</f>
        <v>0.25</v>
      </c>
      <c r="T216" s="33">
        <f>_xll.qlIndexFixing(Index,P216,,AllTriggers)</f>
        <v>-7.4331815753669872E-5</v>
      </c>
      <c r="U216" s="34">
        <f>_xll.qlYieldTSDiscount(OisCurve,Q216,,AllTriggers)</f>
        <v>1.0011000499619698</v>
      </c>
      <c r="V216" s="34">
        <f>_xll.qlYieldTSDiscount(OisCurve,R216,,AllTriggers)</f>
        <v>1.0015080972705366</v>
      </c>
      <c r="W216" s="33">
        <f t="shared" si="24"/>
        <v>-1.6297314407296426E-3</v>
      </c>
      <c r="X216" s="35">
        <f t="shared" si="25"/>
        <v>3.8893275689817861E-4</v>
      </c>
      <c r="Y216" s="33">
        <f t="shared" si="23"/>
        <v>1.5553996249759727E-3</v>
      </c>
      <c r="Z216" s="54"/>
    </row>
    <row r="217" spans="15:26" x14ac:dyDescent="0.25">
      <c r="O217" s="35" t="s">
        <v>30</v>
      </c>
      <c r="P217" s="31">
        <f>_xll.qlCalendarAdvance(Calendar,P216,O216,"f",,Trigger)</f>
        <v>42424</v>
      </c>
      <c r="Q217" s="31">
        <f>_xll.qlInterestRateIndexValueDate(Index,P217,Trigger)</f>
        <v>42426</v>
      </c>
      <c r="R217" s="31">
        <f>_xll.qlInterestRateIndexMaturity(Index,Q217,Trigger)</f>
        <v>42516</v>
      </c>
      <c r="S217" s="32">
        <f>_xll.qlDayCounterYearFraction(DayCounter,Q217,R217,,,Trigger)</f>
        <v>0.25</v>
      </c>
      <c r="T217" s="33">
        <f>_xll.qlIndexFixing(Index,P217,,AllTriggers)</f>
        <v>-7.4354713636370917E-5</v>
      </c>
      <c r="U217" s="34">
        <f>_xll.qlYieldTSDiscount(OisCurve,Q217,,AllTriggers)</f>
        <v>1.001105093423623</v>
      </c>
      <c r="V217" s="34">
        <f>_xll.qlYieldTSDiscount(OisCurve,R217,,AllTriggers)</f>
        <v>1.0015124369292014</v>
      </c>
      <c r="W217" s="33">
        <f t="shared" ref="W217:W233" si="26">(U217/V217-1)/S217</f>
        <v>-1.6269134183795053E-3</v>
      </c>
      <c r="X217" s="35">
        <f t="shared" ref="X217:X233" si="27">LN((1+T217*S217)/(1+W217*S217))</f>
        <v>3.8822223982626591E-4</v>
      </c>
      <c r="Y217" s="33">
        <f t="shared" si="23"/>
        <v>1.5525587047431344E-3</v>
      </c>
      <c r="Z217" s="54"/>
    </row>
    <row r="218" spans="15:26" x14ac:dyDescent="0.25">
      <c r="O218" s="35" t="s">
        <v>30</v>
      </c>
      <c r="P218" s="31">
        <f>_xll.qlCalendarAdvance(Calendar,P217,O217,"f",,Trigger)</f>
        <v>42425</v>
      </c>
      <c r="Q218" s="31">
        <f>_xll.qlInterestRateIndexValueDate(Index,P218,Trigger)</f>
        <v>42429</v>
      </c>
      <c r="R218" s="31">
        <f>_xll.qlInterestRateIndexMaturity(Index,Q218,Trigger)</f>
        <v>42521</v>
      </c>
      <c r="S218" s="32">
        <f>_xll.qlDayCounterYearFraction(DayCounter,Q218,R218,,,Trigger)</f>
        <v>0.25555555555555554</v>
      </c>
      <c r="T218" s="33">
        <f>_xll.qlIndexFixing(Index,P218,,AllTriggers)</f>
        <v>-7.4467202062114196E-5</v>
      </c>
      <c r="U218" s="34">
        <f>_xll.qlYieldTSDiscount(OisCurve,Q218,,AllTriggers)</f>
        <v>1.0011204554900042</v>
      </c>
      <c r="V218" s="34">
        <f>_xll.qlYieldTSDiscount(OisCurve,R218,,AllTriggers)</f>
        <v>1.0015341064021532</v>
      </c>
      <c r="W218" s="33">
        <f t="shared" si="26"/>
        <v>-1.6161546508649009E-3</v>
      </c>
      <c r="X218" s="35">
        <f t="shared" si="27"/>
        <v>3.9407192652632421E-4</v>
      </c>
      <c r="Y218" s="33">
        <f t="shared" si="23"/>
        <v>1.5416874488027867E-3</v>
      </c>
      <c r="Z218" s="54"/>
    </row>
    <row r="219" spans="15:26" x14ac:dyDescent="0.25">
      <c r="O219" s="35" t="s">
        <v>30</v>
      </c>
      <c r="P219" s="31">
        <f>_xll.qlCalendarAdvance(Calendar,P218,O218,"f",,Trigger)</f>
        <v>42426</v>
      </c>
      <c r="Q219" s="31">
        <f>_xll.qlInterestRateIndexValueDate(Index,P219,Trigger)</f>
        <v>42430</v>
      </c>
      <c r="R219" s="31">
        <f>_xll.qlInterestRateIndexMaturity(Index,Q219,Trigger)</f>
        <v>42522</v>
      </c>
      <c r="S219" s="32">
        <f>_xll.qlDayCounterYearFraction(DayCounter,Q219,R219,,,Trigger)</f>
        <v>0.25555555555555554</v>
      </c>
      <c r="T219" s="33">
        <f>_xll.qlIndexFixing(Index,P219,,AllTriggers)</f>
        <v>-7.4494290541399948E-5</v>
      </c>
      <c r="U219" s="34">
        <f>_xll.qlYieldTSDiscount(OisCurve,Q219,,AllTriggers)</f>
        <v>1.001125641706555</v>
      </c>
      <c r="V219" s="34">
        <f>_xll.qlYieldTSDiscount(OisCurve,R219,,AllTriggers)</f>
        <v>1.0015384353754349</v>
      </c>
      <c r="W219" s="33">
        <f t="shared" si="26"/>
        <v>-1.6127983877844011E-3</v>
      </c>
      <c r="X219" s="35">
        <f t="shared" si="27"/>
        <v>3.9320693807890617E-4</v>
      </c>
      <c r="Y219" s="33">
        <f t="shared" si="23"/>
        <v>1.5383040972430011E-3</v>
      </c>
      <c r="Z219" s="54"/>
    </row>
    <row r="220" spans="15:26" x14ac:dyDescent="0.25">
      <c r="O220" s="35" t="s">
        <v>30</v>
      </c>
      <c r="P220" s="31">
        <f>_xll.qlCalendarAdvance(Calendar,P219,O219,"f",,Trigger)</f>
        <v>42429</v>
      </c>
      <c r="Q220" s="31">
        <f>_xll.qlInterestRateIndexValueDate(Index,P220,Trigger)</f>
        <v>42431</v>
      </c>
      <c r="R220" s="31">
        <f>_xll.qlInterestRateIndexMaturity(Index,Q220,Trigger)</f>
        <v>42523</v>
      </c>
      <c r="S220" s="32">
        <f>_xll.qlDayCounterYearFraction(DayCounter,Q220,R220,,,Trigger)</f>
        <v>0.25555555555555554</v>
      </c>
      <c r="T220" s="33">
        <f>_xll.qlIndexFixing(Index,P220,,AllTriggers)</f>
        <v>-7.4522217483028754E-5</v>
      </c>
      <c r="U220" s="34">
        <f>_xll.qlYieldTSDiscount(OisCurve,Q220,,AllTriggers)</f>
        <v>1.0011308510578238</v>
      </c>
      <c r="V220" s="34">
        <f>_xll.qlYieldTSDiscount(OisCurve,R220,,AllTriggers)</f>
        <v>1.0015427629892117</v>
      </c>
      <c r="W220" s="33">
        <f t="shared" si="26"/>
        <v>-1.609346456585257E-3</v>
      </c>
      <c r="X220" s="35">
        <f t="shared" si="27"/>
        <v>3.9231727751129014E-4</v>
      </c>
      <c r="Y220" s="33">
        <f t="shared" si="23"/>
        <v>1.5348242391022282E-3</v>
      </c>
      <c r="Z220" s="54"/>
    </row>
    <row r="221" spans="15:26" x14ac:dyDescent="0.25">
      <c r="O221" s="35" t="s">
        <v>30</v>
      </c>
      <c r="P221" s="31">
        <f>_xll.qlCalendarAdvance(Calendar,P220,O220,"f",,Trigger)</f>
        <v>42430</v>
      </c>
      <c r="Q221" s="31">
        <f>_xll.qlInterestRateIndexValueDate(Index,P221,Trigger)</f>
        <v>42432</v>
      </c>
      <c r="R221" s="31">
        <f>_xll.qlInterestRateIndexMaturity(Index,Q221,Trigger)</f>
        <v>42524</v>
      </c>
      <c r="S221" s="32">
        <f>_xll.qlDayCounterYearFraction(DayCounter,Q221,R221,,,Trigger)</f>
        <v>0.25555555555555554</v>
      </c>
      <c r="T221" s="33">
        <f>_xll.qlIndexFixing(Index,P221,,AllTriggers)</f>
        <v>-7.4550980684849079E-5</v>
      </c>
      <c r="U221" s="34">
        <f>_xll.qlYieldTSDiscount(OisCurve,Q221,,AllTriggers)</f>
        <v>1.0011360757253067</v>
      </c>
      <c r="V221" s="34">
        <f>_xll.qlYieldTSDiscount(OisCurve,R221,,AllTriggers)</f>
        <v>1.0015470893638878</v>
      </c>
      <c r="W221" s="33">
        <f t="shared" si="26"/>
        <v>-1.6058298756053667E-3</v>
      </c>
      <c r="X221" s="35">
        <f t="shared" si="27"/>
        <v>3.9141087561387142E-4</v>
      </c>
      <c r="Y221" s="33">
        <f t="shared" si="23"/>
        <v>1.5312788949205175E-3</v>
      </c>
      <c r="Z221" s="54"/>
    </row>
    <row r="222" spans="15:26" x14ac:dyDescent="0.25">
      <c r="O222" s="35" t="s">
        <v>30</v>
      </c>
      <c r="P222" s="31">
        <f>_xll.qlCalendarAdvance(Calendar,P221,O221,"f",,Trigger)</f>
        <v>42431</v>
      </c>
      <c r="Q222" s="31">
        <f>_xll.qlInterestRateIndexValueDate(Index,P222,Trigger)</f>
        <v>42433</v>
      </c>
      <c r="R222" s="31">
        <f>_xll.qlInterestRateIndexMaturity(Index,Q222,Trigger)</f>
        <v>42527</v>
      </c>
      <c r="S222" s="32">
        <f>_xll.qlDayCounterYearFraction(DayCounter,Q222,R222,,,Trigger)</f>
        <v>0.26111111111111113</v>
      </c>
      <c r="T222" s="33">
        <f>_xll.qlIndexFixing(Index,P222,,AllTriggers)</f>
        <v>-7.46236079805991E-5</v>
      </c>
      <c r="U222" s="34">
        <f>_xll.qlYieldTSDiscount(OisCurve,Q222,,AllTriggers)</f>
        <v>1.0011413078903368</v>
      </c>
      <c r="V222" s="34">
        <f>_xll.qlYieldTSDiscount(OisCurve,R222,,AllTriggers)</f>
        <v>1.0015600622573761</v>
      </c>
      <c r="W222" s="33">
        <f t="shared" si="26"/>
        <v>-1.601242091734424E-3</v>
      </c>
      <c r="X222" s="35">
        <f t="shared" si="27"/>
        <v>3.9870428775361233E-4</v>
      </c>
      <c r="Y222" s="33">
        <f t="shared" si="23"/>
        <v>1.526618483753825E-3</v>
      </c>
      <c r="Z222" s="54"/>
    </row>
    <row r="223" spans="15:26" x14ac:dyDescent="0.25">
      <c r="O223" s="35" t="s">
        <v>30</v>
      </c>
      <c r="P223" s="31">
        <f>_xll.qlCalendarAdvance(Calendar,P222,O222,"f",,Trigger)</f>
        <v>42432</v>
      </c>
      <c r="Q223" s="31">
        <f>_xll.qlInterestRateIndexValueDate(Index,P223,Trigger)</f>
        <v>42436</v>
      </c>
      <c r="R223" s="31">
        <f>_xll.qlInterestRateIndexMaturity(Index,Q223,Trigger)</f>
        <v>42528</v>
      </c>
      <c r="S223" s="32">
        <f>_xll.qlDayCounterYearFraction(DayCounter,Q223,R223,,,Trigger)</f>
        <v>0.25555555555555554</v>
      </c>
      <c r="T223" s="33">
        <f>_xll.qlIndexFixing(Index,P223,,AllTriggers)</f>
        <v>-7.4674352047105657E-5</v>
      </c>
      <c r="U223" s="34">
        <f>_xll.qlYieldTSDiscount(OisCurve,Q223,,AllTriggers)</f>
        <v>1.0011569711816022</v>
      </c>
      <c r="V223" s="34">
        <f>_xll.qlYieldTSDiscount(OisCurve,R223,,AllTriggers)</f>
        <v>1.0015643848797247</v>
      </c>
      <c r="W223" s="33">
        <f t="shared" si="26"/>
        <v>-1.5917374244328356E-3</v>
      </c>
      <c r="X223" s="35">
        <f t="shared" si="27"/>
        <v>3.8777647053092601E-4</v>
      </c>
      <c r="Y223" s="33">
        <f t="shared" si="23"/>
        <v>1.5170630723857299E-3</v>
      </c>
      <c r="Z223" s="54"/>
    </row>
    <row r="224" spans="15:26" x14ac:dyDescent="0.25">
      <c r="O224" s="35" t="s">
        <v>30</v>
      </c>
      <c r="P224" s="31">
        <f>_xll.qlCalendarAdvance(Calendar,P223,O223,"f",,Trigger)</f>
        <v>42433</v>
      </c>
      <c r="Q224" s="31">
        <f>_xll.qlInterestRateIndexValueDate(Index,P224,Trigger)</f>
        <v>42437</v>
      </c>
      <c r="R224" s="31">
        <f>_xll.qlInterestRateIndexMaturity(Index,Q224,Trigger)</f>
        <v>42529</v>
      </c>
      <c r="S224" s="32">
        <f>_xll.qlDayCounterYearFraction(DayCounter,Q224,R224,,,Trigger)</f>
        <v>0.25555555555555554</v>
      </c>
      <c r="T224" s="33">
        <f>_xll.qlIndexFixing(Index,P224,,AllTriggers)</f>
        <v>-7.4707263516742188E-5</v>
      </c>
      <c r="U224" s="34">
        <f>_xll.qlYieldTSDiscount(OisCurve,Q224,,AllTriggers)</f>
        <v>1.001162155146897</v>
      </c>
      <c r="V224" s="34">
        <f>_xll.qlYieldTSDiscount(OisCurve,R224,,AllTriggers)</f>
        <v>1.001568706865021</v>
      </c>
      <c r="W224" s="33">
        <f t="shared" si="26"/>
        <v>-1.5883628734372408E-3</v>
      </c>
      <c r="X224" s="35">
        <f t="shared" si="27"/>
        <v>3.8690532383776888E-4</v>
      </c>
      <c r="Y224" s="33">
        <f t="shared" si="23"/>
        <v>1.5136556099204987E-3</v>
      </c>
      <c r="Z224" s="54"/>
    </row>
    <row r="225" spans="15:26" x14ac:dyDescent="0.25">
      <c r="O225" s="35" t="s">
        <v>30</v>
      </c>
      <c r="P225" s="31">
        <f>_xll.qlCalendarAdvance(Calendar,P224,O224,"f",,Trigger)</f>
        <v>42436</v>
      </c>
      <c r="Q225" s="31">
        <f>_xll.qlInterestRateIndexValueDate(Index,P225,Trigger)</f>
        <v>42438</v>
      </c>
      <c r="R225" s="31">
        <f>_xll.qlInterestRateIndexMaturity(Index,Q225,Trigger)</f>
        <v>42530</v>
      </c>
      <c r="S225" s="32">
        <f>_xll.qlDayCounterYearFraction(DayCounter,Q225,R225,,,Trigger)</f>
        <v>0.25555555555555554</v>
      </c>
      <c r="T225" s="33">
        <f>_xll.qlIndexFixing(Index,P225,,AllTriggers)</f>
        <v>-7.4740998034095667E-5</v>
      </c>
      <c r="U225" s="34">
        <f>_xll.qlYieldTSDiscount(OisCurve,Q225,,AllTriggers)</f>
        <v>1.0011673075139649</v>
      </c>
      <c r="V225" s="34">
        <f>_xll.qlYieldTSDiscount(OisCurve,R225,,AllTriggers)</f>
        <v>1.0015730283217312</v>
      </c>
      <c r="W225" s="33">
        <f t="shared" si="26"/>
        <v>-1.5851097383133503E-3</v>
      </c>
      <c r="X225" s="35">
        <f t="shared" si="27"/>
        <v>3.8606500862454915E-4</v>
      </c>
      <c r="Y225" s="33">
        <f t="shared" si="23"/>
        <v>1.5103687402792546E-3</v>
      </c>
      <c r="Z225" s="54"/>
    </row>
    <row r="226" spans="15:26" x14ac:dyDescent="0.25">
      <c r="O226" s="35" t="s">
        <v>30</v>
      </c>
      <c r="P226" s="31">
        <f>_xll.qlCalendarAdvance(Calendar,P225,O225,"f",,Trigger)</f>
        <v>42437</v>
      </c>
      <c r="Q226" s="31">
        <f>_xll.qlInterestRateIndexValueDate(Index,P226,Trigger)</f>
        <v>42439</v>
      </c>
      <c r="R226" s="31">
        <f>_xll.qlInterestRateIndexMaturity(Index,Q226,Trigger)</f>
        <v>42531</v>
      </c>
      <c r="S226" s="32">
        <f>_xll.qlDayCounterYearFraction(DayCounter,Q226,R226,,,Trigger)</f>
        <v>0.25555555555555554</v>
      </c>
      <c r="T226" s="33">
        <f>_xll.qlIndexFixing(Index,P226,,AllTriggers)</f>
        <v>-7.4775553396145696E-5</v>
      </c>
      <c r="U226" s="34">
        <f>_xll.qlYieldTSDiscount(OisCurve,Q226,,AllTriggers)</f>
        <v>1.0011724204631689</v>
      </c>
      <c r="V226" s="34">
        <f>_xll.qlYieldTSDiscount(OisCurve,R226,,AllTriggers)</f>
        <v>1.0015773493105238</v>
      </c>
      <c r="W226" s="33">
        <f t="shared" si="26"/>
        <v>-1.5820088048042495E-3</v>
      </c>
      <c r="X226" s="35">
        <f t="shared" si="27"/>
        <v>3.8526339602672102E-4</v>
      </c>
      <c r="Y226" s="33">
        <f t="shared" si="23"/>
        <v>1.5072332514081037E-3</v>
      </c>
      <c r="Z226" s="54"/>
    </row>
    <row r="227" spans="15:26" x14ac:dyDescent="0.25">
      <c r="O227" s="35" t="s">
        <v>30</v>
      </c>
      <c r="P227" s="31">
        <f>_xll.qlCalendarAdvance(Calendar,P226,O226,"f",,Trigger)</f>
        <v>42438</v>
      </c>
      <c r="Q227" s="31">
        <f>_xll.qlInterestRateIndexValueDate(Index,P227,Trigger)</f>
        <v>42440</v>
      </c>
      <c r="R227" s="31">
        <f>_xll.qlInterestRateIndexMaturity(Index,Q227,Trigger)</f>
        <v>42534</v>
      </c>
      <c r="S227" s="32">
        <f>_xll.qlDayCounterYearFraction(DayCounter,Q227,R227,,,Trigger)</f>
        <v>0.26111111111111113</v>
      </c>
      <c r="T227" s="33">
        <f>_xll.qlIndexFixing(Index,P227,,AllTriggers)</f>
        <v>-7.485960787256829E-5</v>
      </c>
      <c r="U227" s="34">
        <f>_xll.qlYieldTSDiscount(OisCurve,Q227,,AllTriggers)</f>
        <v>1.0011774861747165</v>
      </c>
      <c r="V227" s="34">
        <f>_xll.qlYieldTSDiscount(OisCurve,R227,,AllTriggers)</f>
        <v>1.0015903099565979</v>
      </c>
      <c r="W227" s="33">
        <f t="shared" si="26"/>
        <v>-1.5785169185864683E-3</v>
      </c>
      <c r="X227" s="35">
        <f t="shared" si="27"/>
        <v>3.9270640479577084E-4</v>
      </c>
      <c r="Y227" s="33">
        <f t="shared" si="23"/>
        <v>1.5036573107139E-3</v>
      </c>
      <c r="Z227" s="54"/>
    </row>
    <row r="228" spans="15:26" x14ac:dyDescent="0.25">
      <c r="O228" s="35" t="s">
        <v>30</v>
      </c>
      <c r="P228" s="31">
        <f>_xll.qlCalendarAdvance(Calendar,P227,O227,"f",,Trigger)</f>
        <v>42439</v>
      </c>
      <c r="Q228" s="31">
        <f>_xll.qlInterestRateIndexValueDate(Index,P228,Trigger)</f>
        <v>42443</v>
      </c>
      <c r="R228" s="31">
        <f>_xll.qlInterestRateIndexMaturity(Index,Q228,Trigger)</f>
        <v>42535</v>
      </c>
      <c r="S228" s="32">
        <f>_xll.qlDayCounterYearFraction(DayCounter,Q228,R228,,,Trigger)</f>
        <v>0.25555555555555554</v>
      </c>
      <c r="T228" s="33">
        <f>_xll.qlIndexFixing(Index,P228,,AllTriggers)</f>
        <v>-7.4921939254363437E-5</v>
      </c>
      <c r="U228" s="34">
        <f>_xll.qlYieldTSDiscount(OisCurve,Q228,,AllTriggers)</f>
        <v>1.0011923216832357</v>
      </c>
      <c r="V228" s="34">
        <f>_xll.qlYieldTSDiscount(OisCurve,R228,,AllTriggers)</f>
        <v>1.0015946295609259</v>
      </c>
      <c r="W228" s="33">
        <f t="shared" si="26"/>
        <v>-1.5717418709989502E-3</v>
      </c>
      <c r="X228" s="35">
        <f t="shared" si="27"/>
        <v>3.8260115586743868E-4</v>
      </c>
      <c r="Y228" s="33">
        <f t="shared" si="23"/>
        <v>1.4968199317445868E-3</v>
      </c>
      <c r="Z228" s="54"/>
    </row>
    <row r="229" spans="15:26" x14ac:dyDescent="0.25">
      <c r="O229" s="35" t="s">
        <v>30</v>
      </c>
      <c r="P229" s="31">
        <f>_xll.qlCalendarAdvance(Calendar,P228,O228,"f",,Trigger)</f>
        <v>42440</v>
      </c>
      <c r="Q229" s="31">
        <f>_xll.qlInterestRateIndexValueDate(Index,P229,Trigger)</f>
        <v>42444</v>
      </c>
      <c r="R229" s="31">
        <f>_xll.qlInterestRateIndexMaturity(Index,Q229,Trigger)</f>
        <v>42536</v>
      </c>
      <c r="S229" s="32">
        <f>_xll.qlDayCounterYearFraction(DayCounter,Q229,R229,,,Trigger)</f>
        <v>0.25555555555555554</v>
      </c>
      <c r="T229" s="33">
        <f>_xll.qlIndexFixing(Index,P229,,AllTriggers)</f>
        <v>-7.496056581066476E-5</v>
      </c>
      <c r="U229" s="34">
        <f>_xll.qlYieldTSDiscount(OisCurve,Q229,,AllTriggers)</f>
        <v>1.0011971202432508</v>
      </c>
      <c r="V229" s="34">
        <f>_xll.qlYieldTSDiscount(OisCurve,R229,,AllTriggers)</f>
        <v>1.0015989489409436</v>
      </c>
      <c r="W229" s="33">
        <f t="shared" si="26"/>
        <v>-1.5698630340490172E-3</v>
      </c>
      <c r="X229" s="35">
        <f t="shared" si="27"/>
        <v>3.8211094440513375E-4</v>
      </c>
      <c r="Y229" s="33">
        <f t="shared" si="23"/>
        <v>1.4949024682383524E-3</v>
      </c>
      <c r="Z229" s="54"/>
    </row>
    <row r="230" spans="15:26" x14ac:dyDescent="0.25">
      <c r="O230" s="35" t="s">
        <v>30</v>
      </c>
      <c r="P230" s="31">
        <f>_xll.qlCalendarAdvance(Calendar,P229,O229,"f",,Trigger)</f>
        <v>42443</v>
      </c>
      <c r="Q230" s="31">
        <f>_xll.qlInterestRateIndexValueDate(Index,P230,Trigger)</f>
        <v>42445</v>
      </c>
      <c r="R230" s="31">
        <f>_xll.qlInterestRateIndexMaturity(Index,Q230,Trigger)</f>
        <v>42537</v>
      </c>
      <c r="S230" s="32">
        <f>_xll.qlDayCounterYearFraction(DayCounter,Q230,R230,,,Trigger)</f>
        <v>0.25555555555555554</v>
      </c>
      <c r="T230" s="33">
        <f>_xll.qlIndexFixing(Index,P230,,AllTriggers)</f>
        <v>-7.5000000000056914E-5</v>
      </c>
      <c r="U230" s="34">
        <f>_xll.qlYieldTSDiscount(OisCurve,Q230,,AllTriggers)</f>
        <v>1.001201832464452</v>
      </c>
      <c r="V230" s="34">
        <f>_xll.qlYieldTSDiscount(OisCurve,R230,,AllTriggers)</f>
        <v>1.0016032681453746</v>
      </c>
      <c r="W230" s="33">
        <f t="shared" si="26"/>
        <v>-1.5683208343397761E-3</v>
      </c>
      <c r="X230" s="35">
        <f t="shared" si="27"/>
        <v>3.8170659078178715E-4</v>
      </c>
      <c r="Y230" s="33">
        <f t="shared" si="23"/>
        <v>1.4933208343397191E-3</v>
      </c>
      <c r="Z230" s="54"/>
    </row>
    <row r="231" spans="15:26" x14ac:dyDescent="0.25">
      <c r="O231" s="35" t="s">
        <v>30</v>
      </c>
      <c r="P231" s="31">
        <f>_xll.qlCalendarAdvance(Calendar,P230,O230,"f",,Trigger)</f>
        <v>42444</v>
      </c>
      <c r="Q231" s="31">
        <f>_xll.qlInterestRateIndexValueDate(Index,P231,Trigger)</f>
        <v>42446</v>
      </c>
      <c r="R231" s="31">
        <f>_xll.qlInterestRateIndexMaturity(Index,Q231,Trigger)</f>
        <v>42538</v>
      </c>
      <c r="S231" s="32">
        <f>_xll.qlDayCounterYearFraction(DayCounter,Q231,R231,,,Trigger)</f>
        <v>0.25555555555555554</v>
      </c>
      <c r="T231" s="33">
        <f>_xll.qlIndexFixing(Index,P231,,AllTriggers)</f>
        <v>-7.504023075052703E-5</v>
      </c>
      <c r="U231" s="34">
        <f>_xll.qlYieldTSDiscount(OisCurve,Q231,,AllTriggers)</f>
        <v>1.0012064533272385</v>
      </c>
      <c r="V231" s="34">
        <f>_xll.qlYieldTSDiscount(OisCurve,R231,,AllTriggers)</f>
        <v>1.0016075872229437</v>
      </c>
      <c r="W231" s="33">
        <f t="shared" si="26"/>
        <v>-1.5671350681866832E-3</v>
      </c>
      <c r="X231" s="35">
        <f t="shared" si="27"/>
        <v>3.8139315881006004E-4</v>
      </c>
      <c r="Y231" s="33">
        <f t="shared" si="23"/>
        <v>1.4920948374361562E-3</v>
      </c>
      <c r="Z231" s="54"/>
    </row>
    <row r="232" spans="15:26" x14ac:dyDescent="0.25">
      <c r="O232" s="35" t="s">
        <v>30</v>
      </c>
      <c r="P232" s="31">
        <f>_xll.qlCalendarAdvance(Calendar,P231,O231,"f",,Trigger)</f>
        <v>42445</v>
      </c>
      <c r="Q232" s="31">
        <f>_xll.qlInterestRateIndexValueDate(Index,P232,Trigger)</f>
        <v>42447</v>
      </c>
      <c r="R232" s="31">
        <f>_xll.qlInterestRateIndexMaturity(Index,Q232,Trigger)</f>
        <v>42541</v>
      </c>
      <c r="S232" s="32">
        <f>_xll.qlDayCounterYearFraction(DayCounter,Q232,R232,,,Trigger)</f>
        <v>0.26111111111111113</v>
      </c>
      <c r="T232" s="33">
        <f>_xll.qlIndexFixing(Index,P232,,AllTriggers)</f>
        <v>-7.5135026213467965E-5</v>
      </c>
      <c r="U232" s="34">
        <f>_xll.qlYieldTSDiscount(OisCurve,Q232,,AllTriggers)</f>
        <v>1.0012109890161227</v>
      </c>
      <c r="V232" s="34">
        <f>_xll.qlYieldTSDiscount(OisCurve,R232,,AllTriggers)</f>
        <v>1.0016205441817405</v>
      </c>
      <c r="W232" s="33">
        <f t="shared" si="26"/>
        <v>-1.56597141904725E-3</v>
      </c>
      <c r="X232" s="35">
        <f t="shared" si="27"/>
        <v>3.8935737391908093E-4</v>
      </c>
      <c r="Y232" s="33">
        <f t="shared" si="23"/>
        <v>1.4908363928337822E-3</v>
      </c>
      <c r="Z232" s="54"/>
    </row>
    <row r="233" spans="15:26" x14ac:dyDescent="0.25">
      <c r="O233" s="35" t="s">
        <v>30</v>
      </c>
      <c r="P233" s="31">
        <f>_xll.qlCalendarAdvance(Calendar,P232,O232,"f",,Trigger)</f>
        <v>42446</v>
      </c>
      <c r="Q233" s="31">
        <f>_xll.qlInterestRateIndexValueDate(Index,P233,Trigger)</f>
        <v>42450</v>
      </c>
      <c r="R233" s="31">
        <f>_xll.qlInterestRateIndexMaturity(Index,Q233,Trigger)</f>
        <v>42542</v>
      </c>
      <c r="S233" s="32">
        <f>_xll.qlDayCounterYearFraction(DayCounter,Q233,R233,,,Trigger)</f>
        <v>0.25555555555555554</v>
      </c>
      <c r="T233" s="33">
        <f>_xll.qlIndexFixing(Index,P233,,AllTriggers)</f>
        <v>-7.5208099721424886E-5</v>
      </c>
      <c r="U233" s="34">
        <f>_xll.qlYieldTSDiscount(OisCurve,Q233,,AllTriggers)</f>
        <v>1.0012241748973052</v>
      </c>
      <c r="V233" s="34">
        <f>_xll.qlYieldTSDiscount(OisCurve,R233,,AllTriggers)</f>
        <v>1.0016248632391267</v>
      </c>
      <c r="W233" s="33">
        <f t="shared" si="26"/>
        <v>-1.5653673948441997E-3</v>
      </c>
      <c r="X233" s="35">
        <f t="shared" si="27"/>
        <v>3.8089833850793144E-4</v>
      </c>
      <c r="Y233" s="33">
        <f t="shared" si="23"/>
        <v>1.4901592951227748E-3</v>
      </c>
      <c r="Z233" s="54"/>
    </row>
    <row r="234" spans="15:26" x14ac:dyDescent="0.25">
      <c r="O234" s="35" t="s">
        <v>30</v>
      </c>
      <c r="P234" s="31">
        <f>_xll.qlCalendarAdvance(Calendar,P233,O233,"f",,Trigger)</f>
        <v>42447</v>
      </c>
      <c r="Q234" s="31">
        <f>_xll.qlInterestRateIndexValueDate(Index,P234,Trigger)</f>
        <v>42451</v>
      </c>
      <c r="R234" s="31">
        <f>_xll.qlInterestRateIndexMaturity(Index,Q234,Trigger)</f>
        <v>42543</v>
      </c>
      <c r="S234" s="32">
        <f>_xll.qlDayCounterYearFraction(DayCounter,Q234,R234,,,Trigger)</f>
        <v>0.25555555555555554</v>
      </c>
      <c r="T234" s="33">
        <f>_xll.qlIndexFixing(Index,P234,,AllTriggers)</f>
        <v>-7.5251526373264639E-5</v>
      </c>
      <c r="U234" s="34">
        <f>_xll.qlYieldTSDiscount(OisCurve,Q234,,AllTriggers)</f>
        <v>1.0012284597493935</v>
      </c>
      <c r="V234" s="34">
        <f>_xll.qlYieldTSDiscount(OisCurve,R234,,AllTriggers)</f>
        <v>1.0016291824132877</v>
      </c>
      <c r="W234" s="33">
        <f t="shared" ref="W234:W258" si="28">(U234/V234-1)/S234</f>
        <v>-1.5654947300604838E-3</v>
      </c>
      <c r="X234" s="35">
        <f t="shared" ref="X234:X258" si="29">LN((1+T234*S234)/(1+W234*S234))</f>
        <v>3.8091979461789776E-4</v>
      </c>
      <c r="Y234" s="33">
        <f t="shared" si="23"/>
        <v>1.4902432036872193E-3</v>
      </c>
      <c r="Z234" s="54"/>
    </row>
    <row r="235" spans="15:26" x14ac:dyDescent="0.25">
      <c r="O235" s="35" t="s">
        <v>30</v>
      </c>
      <c r="P235" s="31">
        <f>_xll.qlCalendarAdvance(Calendar,P234,O234,"f",,Trigger)</f>
        <v>42450</v>
      </c>
      <c r="Q235" s="31">
        <f>_xll.qlInterestRateIndexValueDate(Index,P235,Trigger)</f>
        <v>42452</v>
      </c>
      <c r="R235" s="31">
        <f>_xll.qlInterestRateIndexMaturity(Index,Q235,Trigger)</f>
        <v>42544</v>
      </c>
      <c r="S235" s="32">
        <f>_xll.qlDayCounterYearFraction(DayCounter,Q235,R235,,,Trigger)</f>
        <v>0.25555555555555554</v>
      </c>
      <c r="T235" s="33">
        <f>_xll.qlIndexFixing(Index,P235,,AllTriggers)</f>
        <v>-7.5295425954626026E-5</v>
      </c>
      <c r="U235" s="34">
        <f>_xll.qlYieldTSDiscount(OisCurve,Q235,,AllTriggers)</f>
        <v>1.0012327043578362</v>
      </c>
      <c r="V235" s="34">
        <f>_xll.qlYieldTSDiscount(OisCurve,R235,,AllTriggers)</f>
        <v>1.001633501752953</v>
      </c>
      <c r="W235" s="33">
        <f t="shared" si="28"/>
        <v>-1.5657799288072765E-3</v>
      </c>
      <c r="X235" s="35">
        <f t="shared" si="29"/>
        <v>3.8098148891758059E-4</v>
      </c>
      <c r="Y235" s="33">
        <f t="shared" si="23"/>
        <v>1.4904845028526504E-3</v>
      </c>
      <c r="Z235" s="54"/>
    </row>
    <row r="236" spans="15:26" x14ac:dyDescent="0.25">
      <c r="O236" s="35" t="s">
        <v>30</v>
      </c>
      <c r="P236" s="31">
        <f>_xll.qlCalendarAdvance(Calendar,P235,O235,"f",,Trigger)</f>
        <v>42451</v>
      </c>
      <c r="Q236" s="31">
        <f>_xll.qlInterestRateIndexValueDate(Index,P236,Trigger)</f>
        <v>42453</v>
      </c>
      <c r="R236" s="31">
        <f>_xll.qlInterestRateIndexMaturity(Index,Q236,Trigger)</f>
        <v>42545</v>
      </c>
      <c r="S236" s="32">
        <f>_xll.qlDayCounterYearFraction(DayCounter,Q236,R236,,,Trigger)</f>
        <v>0.25555555555555554</v>
      </c>
      <c r="T236" s="33">
        <f>_xll.qlIndexFixing(Index,P236,,AllTriggers)</f>
        <v>-7.5339743048099251E-5</v>
      </c>
      <c r="U236" s="34">
        <f>_xll.qlYieldTSDiscount(OisCurve,Q236,,AllTriggers)</f>
        <v>1.0012369177091773</v>
      </c>
      <c r="V236" s="34">
        <f>_xll.qlYieldTSDiscount(OisCurve,R236,,AllTriggers)</f>
        <v>1.0016378213068531</v>
      </c>
      <c r="W236" s="33">
        <f t="shared" si="28"/>
        <v>-1.5661880721012211E-3</v>
      </c>
      <c r="X236" s="35">
        <f t="shared" si="29"/>
        <v>3.8107450826483074E-4</v>
      </c>
      <c r="Y236" s="33">
        <f t="shared" si="23"/>
        <v>1.4908483290531219E-3</v>
      </c>
      <c r="Z236" s="54"/>
    </row>
    <row r="237" spans="15:26" x14ac:dyDescent="0.25">
      <c r="O237" s="35" t="s">
        <v>30</v>
      </c>
      <c r="P237" s="31">
        <f>_xll.qlCalendarAdvance(Calendar,P236,O236,"f",,Trigger)</f>
        <v>42452</v>
      </c>
      <c r="Q237" s="31">
        <f>_xll.qlInterestRateIndexValueDate(Index,P237,Trigger)</f>
        <v>42458</v>
      </c>
      <c r="R237" s="31">
        <f>_xll.qlInterestRateIndexMaturity(Index,Q237,Trigger)</f>
        <v>42550</v>
      </c>
      <c r="S237" s="32">
        <f>_xll.qlDayCounterYearFraction(DayCounter,Q237,R237,,,Trigger)</f>
        <v>0.25555555555555554</v>
      </c>
      <c r="T237" s="33">
        <f>_xll.qlIndexFixing(Index,P237,,AllTriggers)</f>
        <v>-7.5565651625161706E-5</v>
      </c>
      <c r="U237" s="34">
        <f>_xll.qlYieldTSDiscount(OisCurve,Q237,,AllTriggers)</f>
        <v>1.0012578301491248</v>
      </c>
      <c r="V237" s="34">
        <f>_xll.qlYieldTSDiscount(OisCurve,R237,,AllTriggers)</f>
        <v>1.0016594239955121</v>
      </c>
      <c r="W237" s="33">
        <f t="shared" si="28"/>
        <v>-1.5688507928642318E-3</v>
      </c>
      <c r="X237" s="35">
        <f t="shared" si="29"/>
        <v>3.8169752074232883E-4</v>
      </c>
      <c r="Y237" s="33">
        <f t="shared" si="23"/>
        <v>1.4932851412390701E-3</v>
      </c>
      <c r="Z237" s="54"/>
    </row>
    <row r="238" spans="15:26" x14ac:dyDescent="0.25">
      <c r="O238" s="35" t="s">
        <v>30</v>
      </c>
      <c r="P238" s="31">
        <f>_xll.qlCalendarAdvance(Calendar,P237,O237,"f",,Trigger)</f>
        <v>42453</v>
      </c>
      <c r="Q238" s="31">
        <f>_xll.qlInterestRateIndexValueDate(Index,P238,Trigger)</f>
        <v>42459</v>
      </c>
      <c r="R238" s="31">
        <f>_xll.qlInterestRateIndexMaturity(Index,Q238,Trigger)</f>
        <v>42551</v>
      </c>
      <c r="S238" s="32">
        <f>_xll.qlDayCounterYearFraction(DayCounter,Q238,R238,,,Trigger)</f>
        <v>0.25555555555555554</v>
      </c>
      <c r="T238" s="33">
        <f>_xll.qlIndexFixing(Index,P238,,AllTriggers)</f>
        <v>-7.5611310045249936E-5</v>
      </c>
      <c r="U238" s="34">
        <f>_xll.qlYieldTSDiscount(OisCurve,Q238,,AllTriggers)</f>
        <v>1.0012620430236536</v>
      </c>
      <c r="V238" s="34">
        <f>_xll.qlYieldTSDiscount(OisCurve,R238,,AllTriggers)</f>
        <v>1.0016637458582134</v>
      </c>
      <c r="W238" s="33">
        <f t="shared" si="28"/>
        <v>-1.5692697908579239E-3</v>
      </c>
      <c r="X238" s="35">
        <f t="shared" si="29"/>
        <v>3.8179297247227344E-4</v>
      </c>
      <c r="Y238" s="33">
        <f t="shared" si="23"/>
        <v>1.4936584808126741E-3</v>
      </c>
      <c r="Z238" s="54"/>
    </row>
    <row r="239" spans="15:26" x14ac:dyDescent="0.25">
      <c r="O239" s="35" t="s">
        <v>30</v>
      </c>
      <c r="P239" s="31">
        <f>_xll.qlCalendarAdvance(Calendar,P238,O238,"f",,Trigger)</f>
        <v>42458</v>
      </c>
      <c r="Q239" s="31">
        <f>_xll.qlInterestRateIndexValueDate(Index,P239,Trigger)</f>
        <v>42460</v>
      </c>
      <c r="R239" s="31">
        <f>_xll.qlInterestRateIndexMaturity(Index,Q239,Trigger)</f>
        <v>42551</v>
      </c>
      <c r="S239" s="32">
        <f>_xll.qlDayCounterYearFraction(DayCounter,Q239,R239,,,Trigger)</f>
        <v>0.25277777777777777</v>
      </c>
      <c r="T239" s="33">
        <f>_xll.qlIndexFixing(Index,P239,,AllTriggers)</f>
        <v>-7.5630555401242012E-5</v>
      </c>
      <c r="U239" s="34">
        <f>_xll.qlYieldTSDiscount(OisCurve,Q239,,AllTriggers)</f>
        <v>1.0012662775900434</v>
      </c>
      <c r="V239" s="34">
        <f>_xll.qlYieldTSDiscount(OisCurve,R239,,AllTriggers)</f>
        <v>1.0016637458582134</v>
      </c>
      <c r="W239" s="33">
        <f t="shared" si="28"/>
        <v>-1.5697902080563225E-3</v>
      </c>
      <c r="X239" s="35">
        <f t="shared" si="29"/>
        <v>3.7776892305661937E-4</v>
      </c>
      <c r="Y239" s="33">
        <f t="shared" si="23"/>
        <v>1.4941596526550805E-3</v>
      </c>
      <c r="Z239" s="54"/>
    </row>
    <row r="240" spans="15:26" x14ac:dyDescent="0.25">
      <c r="O240" s="35" t="s">
        <v>30</v>
      </c>
      <c r="P240" s="31">
        <f>_xll.qlCalendarAdvance(Calendar,P239,O239,"f",,Trigger)</f>
        <v>42459</v>
      </c>
      <c r="Q240" s="31">
        <f>_xll.qlInterestRateIndexValueDate(Index,P240,Trigger)</f>
        <v>42461</v>
      </c>
      <c r="R240" s="31">
        <f>_xll.qlInterestRateIndexMaturity(Index,Q240,Trigger)</f>
        <v>42552</v>
      </c>
      <c r="S240" s="32">
        <f>_xll.qlDayCounterYearFraction(DayCounter,Q240,R240,,,Trigger)</f>
        <v>0.25277777777777777</v>
      </c>
      <c r="T240" s="33">
        <f>_xll.qlIndexFixing(Index,P240,,AllTriggers)</f>
        <v>-7.5676582097542434E-5</v>
      </c>
      <c r="U240" s="34">
        <f>_xll.qlYieldTSDiscount(OisCurve,Q240,,AllTriggers)</f>
        <v>1.0012705328747962</v>
      </c>
      <c r="V240" s="34">
        <f>_xll.qlYieldTSDiscount(OisCurve,R240,,AllTriggers)</f>
        <v>1.0016680682762877</v>
      </c>
      <c r="W240" s="33">
        <f t="shared" si="28"/>
        <v>-1.5700485741654891E-3</v>
      </c>
      <c r="X240" s="35">
        <f t="shared" si="29"/>
        <v>3.7782262344668706E-4</v>
      </c>
      <c r="Y240" s="33">
        <f t="shared" si="23"/>
        <v>1.4943719920679467E-3</v>
      </c>
      <c r="Z240" s="54"/>
    </row>
    <row r="241" spans="15:26" x14ac:dyDescent="0.25">
      <c r="O241" s="35" t="s">
        <v>30</v>
      </c>
      <c r="P241" s="31">
        <f>_xll.qlCalendarAdvance(Calendar,P240,O240,"f",,Trigger)</f>
        <v>42460</v>
      </c>
      <c r="Q241" s="31">
        <f>_xll.qlInterestRateIndexValueDate(Index,P241,Trigger)</f>
        <v>42464</v>
      </c>
      <c r="R241" s="31">
        <f>_xll.qlInterestRateIndexMaturity(Index,Q241,Trigger)</f>
        <v>42555</v>
      </c>
      <c r="S241" s="32">
        <f>_xll.qlDayCounterYearFraction(DayCounter,Q241,R241,,,Trigger)</f>
        <v>0.25277777777777777</v>
      </c>
      <c r="T241" s="33">
        <f>_xll.qlIndexFixing(Index,P241,,AllTriggers)</f>
        <v>-7.5814228347984052E-5</v>
      </c>
      <c r="U241" s="34">
        <f>_xll.qlYieldTSDiscount(OisCurve,Q241,,AllTriggers)</f>
        <v>1.0012834133040209</v>
      </c>
      <c r="V241" s="34">
        <f>_xll.qlYieldTSDiscount(OisCurve,R241,,AllTriggers)</f>
        <v>1.0016810393501281</v>
      </c>
      <c r="W241" s="33">
        <f t="shared" si="28"/>
        <v>-1.5703862354112662E-3</v>
      </c>
      <c r="X241" s="35">
        <f t="shared" si="29"/>
        <v>3.7787321601805965E-4</v>
      </c>
      <c r="Y241" s="33">
        <f t="shared" si="23"/>
        <v>1.4945720070632823E-3</v>
      </c>
      <c r="Z241" s="54"/>
    </row>
    <row r="242" spans="15:26" x14ac:dyDescent="0.25">
      <c r="O242" s="35" t="s">
        <v>30</v>
      </c>
      <c r="P242" s="31">
        <f>_xll.qlCalendarAdvance(Calendar,P241,O241,"f",,Trigger)</f>
        <v>42461</v>
      </c>
      <c r="Q242" s="31">
        <f>_xll.qlInterestRateIndexValueDate(Index,P242,Trigger)</f>
        <v>42465</v>
      </c>
      <c r="R242" s="31">
        <f>_xll.qlInterestRateIndexMaturity(Index,Q242,Trigger)</f>
        <v>42556</v>
      </c>
      <c r="S242" s="32">
        <f>_xll.qlDayCounterYearFraction(DayCounter,Q242,R242,,,Trigger)</f>
        <v>0.25277777777777777</v>
      </c>
      <c r="T242" s="33">
        <f>_xll.qlIndexFixing(Index,P242,,AllTriggers)</f>
        <v>-7.5859779066785306E-5</v>
      </c>
      <c r="U242" s="34">
        <f>_xll.qlYieldTSDiscount(OisCurve,Q242,,AllTriggers)</f>
        <v>1.0012877417269368</v>
      </c>
      <c r="V242" s="34">
        <f>_xll.qlYieldTSDiscount(OisCurve,R242,,AllTriggers)</f>
        <v>1.0016853644770773</v>
      </c>
      <c r="W242" s="33">
        <f t="shared" si="28"/>
        <v>-1.5703664376689197E-3</v>
      </c>
      <c r="X242" s="35">
        <f t="shared" si="29"/>
        <v>3.7785669517108133E-4</v>
      </c>
      <c r="Y242" s="33">
        <f t="shared" si="23"/>
        <v>1.4945066586021345E-3</v>
      </c>
      <c r="Z242" s="54"/>
    </row>
    <row r="243" spans="15:26" x14ac:dyDescent="0.25">
      <c r="O243" s="35" t="s">
        <v>30</v>
      </c>
      <c r="P243" s="31">
        <f>_xll.qlCalendarAdvance(Calendar,P242,O242,"f",,Trigger)</f>
        <v>42464</v>
      </c>
      <c r="Q243" s="31">
        <f>_xll.qlInterestRateIndexValueDate(Index,P243,Trigger)</f>
        <v>42466</v>
      </c>
      <c r="R243" s="31">
        <f>_xll.qlInterestRateIndexMaturity(Index,Q243,Trigger)</f>
        <v>42557</v>
      </c>
      <c r="S243" s="32">
        <f>_xll.qlDayCounterYearFraction(DayCounter,Q243,R243,,,Trigger)</f>
        <v>0.25277777777777777</v>
      </c>
      <c r="T243" s="33">
        <f>_xll.qlIndexFixing(Index,P243,,AllTriggers)</f>
        <v>-7.5905070725999587E-5</v>
      </c>
      <c r="U243" s="34">
        <f>_xll.qlYieldTSDiscount(OisCurve,Q243,,AllTriggers)</f>
        <v>1.0012920860004926</v>
      </c>
      <c r="V243" s="34">
        <f>_xll.qlYieldTSDiscount(OisCurve,R243,,AllTriggers)</f>
        <v>1.001689690403095</v>
      </c>
      <c r="W243" s="33">
        <f t="shared" si="28"/>
        <v>-1.5702871946088937E-3</v>
      </c>
      <c r="X243" s="35">
        <f t="shared" si="29"/>
        <v>3.7782520738761916E-4</v>
      </c>
      <c r="Y243" s="33">
        <f t="shared" si="23"/>
        <v>1.4943821238828942E-3</v>
      </c>
      <c r="Z243" s="54"/>
    </row>
    <row r="244" spans="15:26" x14ac:dyDescent="0.25">
      <c r="O244" s="35" t="s">
        <v>30</v>
      </c>
      <c r="P244" s="31">
        <f>_xll.qlCalendarAdvance(Calendar,P243,O243,"f",,Trigger)</f>
        <v>42465</v>
      </c>
      <c r="Q244" s="31">
        <f>_xll.qlInterestRateIndexValueDate(Index,P244,Trigger)</f>
        <v>42467</v>
      </c>
      <c r="R244" s="31">
        <f>_xll.qlInterestRateIndexMaturity(Index,Q244,Trigger)</f>
        <v>42558</v>
      </c>
      <c r="S244" s="32">
        <f>_xll.qlDayCounterYearFraction(DayCounter,Q244,R244,,,Trigger)</f>
        <v>0.25277777777777777</v>
      </c>
      <c r="T244" s="33">
        <f>_xll.qlIndexFixing(Index,P244,,AllTriggers)</f>
        <v>-7.5950047300552204E-5</v>
      </c>
      <c r="U244" s="34">
        <f>_xll.qlYieldTSDiscount(OisCurve,Q244,,AllTriggers)</f>
        <v>1.0012964451510964</v>
      </c>
      <c r="V244" s="34">
        <f>_xll.qlYieldTSDiscount(OisCurve,R244,,AllTriggers)</f>
        <v>1.0016940171769226</v>
      </c>
      <c r="W244" s="33">
        <f t="shared" si="28"/>
        <v>-1.5701525444813623E-3</v>
      </c>
      <c r="X244" s="35">
        <f t="shared" si="29"/>
        <v>3.7777978801587832E-4</v>
      </c>
      <c r="Y244" s="33">
        <f t="shared" si="23"/>
        <v>1.4942024971808102E-3</v>
      </c>
      <c r="Z244" s="54"/>
    </row>
    <row r="245" spans="15:26" x14ac:dyDescent="0.25">
      <c r="O245" s="35" t="s">
        <v>30</v>
      </c>
      <c r="P245" s="31">
        <f>_xll.qlCalendarAdvance(Calendar,P244,O244,"f",,Trigger)</f>
        <v>42466</v>
      </c>
      <c r="Q245" s="31">
        <f>_xll.qlInterestRateIndexValueDate(Index,P245,Trigger)</f>
        <v>42468</v>
      </c>
      <c r="R245" s="31">
        <f>_xll.qlInterestRateIndexMaturity(Index,Q245,Trigger)</f>
        <v>42559</v>
      </c>
      <c r="S245" s="32">
        <f>_xll.qlDayCounterYearFraction(DayCounter,Q245,R245,,,Trigger)</f>
        <v>0.25277777777777777</v>
      </c>
      <c r="T245" s="33">
        <f>_xll.qlIndexFixing(Index,P245,,AllTriggers)</f>
        <v>-7.5994652765807693E-5</v>
      </c>
      <c r="U245" s="34">
        <f>_xll.qlYieldTSDiscount(OisCurve,Q245,,AllTriggers)</f>
        <v>1.0013008182051393</v>
      </c>
      <c r="V245" s="34">
        <f>_xll.qlYieldTSDiscount(OisCurve,R245,,AllTriggers)</f>
        <v>1.0016983448473029</v>
      </c>
      <c r="W245" s="33">
        <f t="shared" si="28"/>
        <v>-1.5699665255386951E-3</v>
      </c>
      <c r="X245" s="35">
        <f t="shared" si="29"/>
        <v>3.777214724049715E-4</v>
      </c>
      <c r="Y245" s="33">
        <f t="shared" si="23"/>
        <v>1.4939718727728874E-3</v>
      </c>
      <c r="Z245" s="54"/>
    </row>
    <row r="246" spans="15:26" x14ac:dyDescent="0.25">
      <c r="O246" s="35" t="s">
        <v>30</v>
      </c>
      <c r="P246" s="31">
        <f>_xll.qlCalendarAdvance(Calendar,P245,O245,"f",,Trigger)</f>
        <v>42467</v>
      </c>
      <c r="Q246" s="31">
        <f>_xll.qlInterestRateIndexValueDate(Index,P246,Trigger)</f>
        <v>42471</v>
      </c>
      <c r="R246" s="31">
        <f>_xll.qlInterestRateIndexMaturity(Index,Q246,Trigger)</f>
        <v>42562</v>
      </c>
      <c r="S246" s="32">
        <f>_xll.qlDayCounterYearFraction(DayCounter,Q246,R246,,,Trigger)</f>
        <v>0.25277777777777777</v>
      </c>
      <c r="T246" s="33">
        <f>_xll.qlIndexFixing(Index,P246,,AllTriggers)</f>
        <v>-7.6125682240550533E-5</v>
      </c>
      <c r="U246" s="34">
        <f>_xll.qlYieldTSDiscount(OisCurve,Q246,,AllTriggers)</f>
        <v>1.0013140110515726</v>
      </c>
      <c r="V246" s="34">
        <f>_xll.qlYieldTSDiscount(OisCurve,R246,,AllTriggers)</f>
        <v>1.0017113337251953</v>
      </c>
      <c r="W246" s="33">
        <f t="shared" si="28"/>
        <v>-1.5691406382904345E-3</v>
      </c>
      <c r="X246" s="35">
        <f t="shared" si="29"/>
        <v>3.7747950162486329E-4</v>
      </c>
      <c r="Y246" s="33">
        <f t="shared" si="23"/>
        <v>1.493014956049884E-3</v>
      </c>
      <c r="Z246" s="54"/>
    </row>
    <row r="247" spans="15:26" x14ac:dyDescent="0.25">
      <c r="O247" s="35" t="s">
        <v>30</v>
      </c>
      <c r="P247" s="31">
        <f>_xll.qlCalendarAdvance(Calendar,P246,O246,"f",,Trigger)</f>
        <v>42468</v>
      </c>
      <c r="Q247" s="31">
        <f>_xll.qlInterestRateIndexValueDate(Index,P247,Trigger)</f>
        <v>42472</v>
      </c>
      <c r="R247" s="31">
        <f>_xll.qlInterestRateIndexMaturity(Index,Q247,Trigger)</f>
        <v>42563</v>
      </c>
      <c r="S247" s="32">
        <f>_xll.qlDayCounterYearFraction(DayCounter,Q247,R247,,,Trigger)</f>
        <v>0.25277777777777777</v>
      </c>
      <c r="T247" s="33">
        <f>_xll.qlIndexFixing(Index,P247,,AllTriggers)</f>
        <v>-7.6168243007768754E-5</v>
      </c>
      <c r="U247" s="34">
        <f>_xll.qlYieldTSDiscount(OisCurve,Q247,,AllTriggers)</f>
        <v>1.0013184299829578</v>
      </c>
      <c r="V247" s="34">
        <f>_xll.qlYieldTSDiscount(OisCurve,R247,,AllTriggers)</f>
        <v>1.0017156654692267</v>
      </c>
      <c r="W247" s="33">
        <f t="shared" si="28"/>
        <v>-1.568789526561293E-3</v>
      </c>
      <c r="X247" s="35">
        <f t="shared" si="29"/>
        <v>3.7737995454546226E-4</v>
      </c>
      <c r="Y247" s="33">
        <f t="shared" si="23"/>
        <v>1.4926212835535242E-3</v>
      </c>
      <c r="Z247" s="54"/>
    </row>
    <row r="248" spans="15:26" x14ac:dyDescent="0.25">
      <c r="O248" s="35" t="s">
        <v>30</v>
      </c>
      <c r="P248" s="31">
        <f>_xll.qlCalendarAdvance(Calendar,P247,O247,"f",,Trigger)</f>
        <v>42471</v>
      </c>
      <c r="Q248" s="31">
        <f>_xll.qlInterestRateIndexValueDate(Index,P248,Trigger)</f>
        <v>42473</v>
      </c>
      <c r="R248" s="31">
        <f>_xll.qlInterestRateIndexMaturity(Index,Q248,Trigger)</f>
        <v>42564</v>
      </c>
      <c r="S248" s="32">
        <f>_xll.qlDayCounterYearFraction(DayCounter,Q248,R248,,,Trigger)</f>
        <v>0.25277777777777777</v>
      </c>
      <c r="T248" s="33">
        <f>_xll.qlIndexFixing(Index,P248,,AllTriggers)</f>
        <v>-7.6210152535045891E-5</v>
      </c>
      <c r="U248" s="34">
        <f>_xll.qlYieldTSDiscount(OisCurve,Q248,,AllTriggers)</f>
        <v>1.0013228579494915</v>
      </c>
      <c r="V248" s="34">
        <f>_xll.qlYieldTSDiscount(OisCurve,R248,,AllTriggers)</f>
        <v>1.0017199983535354</v>
      </c>
      <c r="W248" s="33">
        <f t="shared" si="28"/>
        <v>-1.5684072372529518E-3</v>
      </c>
      <c r="X248" s="35">
        <f t="shared" si="29"/>
        <v>3.7727268797124936E-4</v>
      </c>
      <c r="Y248" s="33">
        <f t="shared" si="23"/>
        <v>1.4921970847179059E-3</v>
      </c>
      <c r="Z248" s="54"/>
    </row>
    <row r="249" spans="15:26" x14ac:dyDescent="0.25">
      <c r="O249" s="35" t="s">
        <v>30</v>
      </c>
      <c r="P249" s="31">
        <f>_xll.qlCalendarAdvance(Calendar,P248,O248,"f",,Trigger)</f>
        <v>42472</v>
      </c>
      <c r="Q249" s="31">
        <f>_xll.qlInterestRateIndexValueDate(Index,P249,Trigger)</f>
        <v>42474</v>
      </c>
      <c r="R249" s="31">
        <f>_xll.qlInterestRateIndexMaturity(Index,Q249,Trigger)</f>
        <v>42565</v>
      </c>
      <c r="S249" s="32">
        <f>_xll.qlDayCounterYearFraction(DayCounter,Q249,R249,,,Trigger)</f>
        <v>0.25277777777777777</v>
      </c>
      <c r="T249" s="33">
        <f>_xll.qlIndexFixing(Index,P249,,AllTriggers)</f>
        <v>-7.6251354797307242E-5</v>
      </c>
      <c r="U249" s="34">
        <f>_xll.qlYieldTSDiscount(OisCurve,Q249,,AllTriggers)</f>
        <v>1.0013272939774644</v>
      </c>
      <c r="V249" s="34">
        <f>_xll.qlYieldTSDiscount(OisCurve,R249,,AllTriggers)</f>
        <v>1.001724332426869</v>
      </c>
      <c r="W249" s="33">
        <f t="shared" si="28"/>
        <v>-1.5679978086173415E-3</v>
      </c>
      <c r="X249" s="35">
        <f t="shared" si="29"/>
        <v>3.7715873725133414E-4</v>
      </c>
      <c r="Y249" s="33">
        <f t="shared" si="23"/>
        <v>1.4917464538200342E-3</v>
      </c>
      <c r="Z249" s="54"/>
    </row>
    <row r="250" spans="15:26" x14ac:dyDescent="0.25">
      <c r="O250" s="35" t="s">
        <v>30</v>
      </c>
      <c r="P250" s="31">
        <f>_xll.qlCalendarAdvance(Calendar,P249,O249,"f",,Trigger)</f>
        <v>42473</v>
      </c>
      <c r="Q250" s="31">
        <f>_xll.qlInterestRateIndexValueDate(Index,P250,Trigger)</f>
        <v>42475</v>
      </c>
      <c r="R250" s="31">
        <f>_xll.qlInterestRateIndexMaturity(Index,Q250,Trigger)</f>
        <v>42566</v>
      </c>
      <c r="S250" s="32">
        <f>_xll.qlDayCounterYearFraction(DayCounter,Q250,R250,,,Trigger)</f>
        <v>0.25277777777777777</v>
      </c>
      <c r="T250" s="33">
        <f>_xll.qlIndexFixing(Index,P250,,AllTriggers)</f>
        <v>-7.6291793769917327E-5</v>
      </c>
      <c r="U250" s="34">
        <f>_xll.qlYieldTSDiscount(OisCurve,Q250,,AllTriggers)</f>
        <v>1.0013317370931514</v>
      </c>
      <c r="V250" s="34">
        <f>_xll.qlYieldTSDiscount(OisCurve,R250,,AllTriggers)</f>
        <v>1.001728667737976</v>
      </c>
      <c r="W250" s="33">
        <f t="shared" si="28"/>
        <v>-1.5675652789020008E-3</v>
      </c>
      <c r="X250" s="35">
        <f t="shared" si="29"/>
        <v>3.7703913773403936E-4</v>
      </c>
      <c r="Y250" s="33">
        <f t="shared" si="23"/>
        <v>1.4912734851320836E-3</v>
      </c>
      <c r="Z250" s="54"/>
    </row>
    <row r="251" spans="15:26" x14ac:dyDescent="0.25">
      <c r="O251" s="35" t="s">
        <v>30</v>
      </c>
      <c r="P251" s="31">
        <f>_xll.qlCalendarAdvance(Calendar,P250,O250,"f",,Trigger)</f>
        <v>42474</v>
      </c>
      <c r="Q251" s="31">
        <f>_xll.qlInterestRateIndexValueDate(Index,P251,Trigger)</f>
        <v>42478</v>
      </c>
      <c r="R251" s="31">
        <f>_xll.qlInterestRateIndexMaturity(Index,Q251,Trigger)</f>
        <v>42569</v>
      </c>
      <c r="S251" s="32">
        <f>_xll.qlDayCounterYearFraction(DayCounter,Q251,R251,,,Trigger)</f>
        <v>0.25277777777777777</v>
      </c>
      <c r="T251" s="33">
        <f>_xll.qlIndexFixing(Index,P251,,AllTriggers)</f>
        <v>-7.6407970688112872E-5</v>
      </c>
      <c r="U251" s="34">
        <f>_xll.qlYieldTSDiscount(OisCurve,Q251,,AllTriggers)</f>
        <v>1.0013450992289799</v>
      </c>
      <c r="V251" s="34">
        <f>_xll.qlYieldTSDiscount(OisCurve,R251,,AllTriggers)</f>
        <v>1.0017416815854319</v>
      </c>
      <c r="W251" s="33">
        <f t="shared" si="28"/>
        <v>-1.5661694657973415E-3</v>
      </c>
      <c r="X251" s="35">
        <f t="shared" si="29"/>
        <v>3.766567998885469E-4</v>
      </c>
      <c r="Y251" s="33">
        <f t="shared" si="23"/>
        <v>1.4897614951092286E-3</v>
      </c>
      <c r="Z251" s="54"/>
    </row>
    <row r="252" spans="15:26" x14ac:dyDescent="0.25">
      <c r="O252" s="35" t="s">
        <v>30</v>
      </c>
      <c r="P252" s="31">
        <f>_xll.qlCalendarAdvance(Calendar,P251,O251,"f",,Trigger)</f>
        <v>42475</v>
      </c>
      <c r="Q252" s="31">
        <f>_xll.qlInterestRateIndexValueDate(Index,P252,Trigger)</f>
        <v>42479</v>
      </c>
      <c r="R252" s="31">
        <f>_xll.qlInterestRateIndexMaturity(Index,Q252,Trigger)</f>
        <v>42570</v>
      </c>
      <c r="S252" s="32">
        <f>_xll.qlDayCounterYearFraction(DayCounter,Q252,R252,,,Trigger)</f>
        <v>0.25277777777777777</v>
      </c>
      <c r="T252" s="33">
        <f>_xll.qlIndexFixing(Index,P252,,AllTriggers)</f>
        <v>-7.6444796242586813E-5</v>
      </c>
      <c r="U252" s="34">
        <f>_xll.qlYieldTSDiscount(OisCurve,Q252,,AllTriggers)</f>
        <v>1.001349560957921</v>
      </c>
      <c r="V252" s="34">
        <f>_xll.qlYieldTSDiscount(OisCurve,R252,,AllTriggers)</f>
        <v>1.0017460223351322</v>
      </c>
      <c r="W252" s="33">
        <f t="shared" si="28"/>
        <v>-1.5656849142911698E-3</v>
      </c>
      <c r="X252" s="35">
        <f t="shared" si="29"/>
        <v>3.7652495867187625E-4</v>
      </c>
      <c r="Y252" s="33">
        <f t="shared" si="23"/>
        <v>1.489240118048583E-3</v>
      </c>
      <c r="Z252" s="54"/>
    </row>
    <row r="253" spans="15:26" x14ac:dyDescent="0.25">
      <c r="O253" s="35" t="s">
        <v>30</v>
      </c>
      <c r="P253" s="31">
        <f>_xll.qlCalendarAdvance(Calendar,P252,O252,"f",,Trigger)</f>
        <v>42478</v>
      </c>
      <c r="Q253" s="31">
        <f>_xll.qlInterestRateIndexValueDate(Index,P253,Trigger)</f>
        <v>42480</v>
      </c>
      <c r="R253" s="31">
        <f>_xll.qlInterestRateIndexMaturity(Index,Q253,Trigger)</f>
        <v>42571</v>
      </c>
      <c r="S253" s="32">
        <f>_xll.qlDayCounterYearFraction(DayCounter,Q253,R253,,,Trigger)</f>
        <v>0.25277777777777777</v>
      </c>
      <c r="T253" s="33">
        <f>_xll.qlIndexFixing(Index,P253,,AllTriggers)</f>
        <v>-7.6480578377204758E-5</v>
      </c>
      <c r="U253" s="34">
        <f>_xll.qlYieldTSDiscount(OisCurve,Q253,,AllTriggers)</f>
        <v>1.0013540249056891</v>
      </c>
      <c r="V253" s="34">
        <f>_xll.qlYieldTSDiscount(OisCurve,R253,,AllTriggers)</f>
        <v>1.0017503645663601</v>
      </c>
      <c r="W253" s="33">
        <f t="shared" si="28"/>
        <v>-1.5651974529767793E-3</v>
      </c>
      <c r="X253" s="35">
        <f t="shared" si="29"/>
        <v>3.7639264540237024E-4</v>
      </c>
      <c r="Y253" s="33">
        <f t="shared" si="23"/>
        <v>1.4887168745995746E-3</v>
      </c>
      <c r="Z253" s="54"/>
    </row>
    <row r="254" spans="15:26" x14ac:dyDescent="0.25">
      <c r="O254" s="35" t="s">
        <v>30</v>
      </c>
      <c r="P254" s="31">
        <f>_xll.qlCalendarAdvance(Calendar,P253,O253,"f",,Trigger)</f>
        <v>42479</v>
      </c>
      <c r="Q254" s="31">
        <f>_xll.qlInterestRateIndexValueDate(Index,P254,Trigger)</f>
        <v>42481</v>
      </c>
      <c r="R254" s="31">
        <f>_xll.qlInterestRateIndexMaturity(Index,Q254,Trigger)</f>
        <v>42572</v>
      </c>
      <c r="S254" s="32">
        <f>_xll.qlDayCounterYearFraction(DayCounter,Q254,R254,,,Trigger)</f>
        <v>0.25277777777777777</v>
      </c>
      <c r="T254" s="33">
        <f>_xll.qlIndexFixing(Index,P254,,AllTriggers)</f>
        <v>-7.6515261068209621E-5</v>
      </c>
      <c r="U254" s="34">
        <f>_xll.qlYieldTSDiscount(OisCurve,Q254,,AllTriggers)</f>
        <v>1.0013584900984553</v>
      </c>
      <c r="V254" s="34">
        <f>_xll.qlYieldTSDiscount(OisCurve,R254,,AllTriggers)</f>
        <v>1.0017547083278693</v>
      </c>
      <c r="W254" s="33">
        <f t="shared" si="28"/>
        <v>-1.564711120114446E-3</v>
      </c>
      <c r="X254" s="35">
        <f t="shared" si="29"/>
        <v>3.7626089542903534E-4</v>
      </c>
      <c r="Y254" s="33">
        <f t="shared" si="23"/>
        <v>1.4881958590462364E-3</v>
      </c>
      <c r="Z254" s="54"/>
    </row>
    <row r="255" spans="15:26" x14ac:dyDescent="0.25">
      <c r="O255" s="35" t="s">
        <v>30</v>
      </c>
      <c r="P255" s="31">
        <f>_xll.qlCalendarAdvance(Calendar,P254,O254,"f",,Trigger)</f>
        <v>42480</v>
      </c>
      <c r="Q255" s="31">
        <f>_xll.qlInterestRateIndexValueDate(Index,P255,Trigger)</f>
        <v>42482</v>
      </c>
      <c r="R255" s="31">
        <f>_xll.qlInterestRateIndexMaturity(Index,Q255,Trigger)</f>
        <v>42573</v>
      </c>
      <c r="S255" s="32">
        <f>_xll.qlDayCounterYearFraction(DayCounter,Q255,R255,,,Trigger)</f>
        <v>0.25277777777777777</v>
      </c>
      <c r="T255" s="33">
        <f>_xll.qlIndexFixing(Index,P255,,AllTriggers)</f>
        <v>-7.6548788288330674E-5</v>
      </c>
      <c r="U255" s="34">
        <f>_xll.qlYieldTSDiscount(OisCurve,Q255,,AllTriggers)</f>
        <v>1.0013629555623726</v>
      </c>
      <c r="V255" s="34">
        <f>_xll.qlYieldTSDiscount(OisCurve,R255,,AllTriggers)</f>
        <v>1.001759053668414</v>
      </c>
      <c r="W255" s="33">
        <f t="shared" si="28"/>
        <v>-1.5642299539666415E-3</v>
      </c>
      <c r="X255" s="35">
        <f t="shared" si="29"/>
        <v>3.76130744100757E-4</v>
      </c>
      <c r="Y255" s="33">
        <f t="shared" si="23"/>
        <v>1.4876811656783107E-3</v>
      </c>
      <c r="Z255" s="54"/>
    </row>
    <row r="256" spans="15:26" x14ac:dyDescent="0.25">
      <c r="O256" s="35" t="s">
        <v>30</v>
      </c>
      <c r="P256" s="31">
        <f>_xll.qlCalendarAdvance(Calendar,P255,O255,"f",,Trigger)</f>
        <v>42481</v>
      </c>
      <c r="Q256" s="31">
        <f>_xll.qlInterestRateIndexValueDate(Index,P256,Trigger)</f>
        <v>42485</v>
      </c>
      <c r="R256" s="31">
        <f>_xll.qlInterestRateIndexMaturity(Index,Q256,Trigger)</f>
        <v>42576</v>
      </c>
      <c r="S256" s="32">
        <f>_xll.qlDayCounterYearFraction(DayCounter,Q256,R256,,,Trigger)</f>
        <v>0.25277777777777777</v>
      </c>
      <c r="T256" s="33">
        <f>_xll.qlIndexFixing(Index,P256,,AllTriggers)</f>
        <v>-7.6641876871765682E-5</v>
      </c>
      <c r="U256" s="34">
        <f>_xll.qlYieldTSDiscount(OisCurve,Q256,,AllTriggers)</f>
        <v>1.0013763438423053</v>
      </c>
      <c r="V256" s="34">
        <f>_xll.qlYieldTSDiscount(OisCurve,R256,,AllTriggers)</f>
        <v>1.0017720996518169</v>
      </c>
      <c r="W256" s="33">
        <f t="shared" si="28"/>
        <v>-1.5628578384561987E-3</v>
      </c>
      <c r="X256" s="35">
        <f t="shared" si="29"/>
        <v>3.7576023547476371E-4</v>
      </c>
      <c r="Y256" s="33">
        <f t="shared" si="23"/>
        <v>1.4862159615844331E-3</v>
      </c>
      <c r="Z256" s="54"/>
    </row>
    <row r="257" spans="15:26" x14ac:dyDescent="0.25">
      <c r="O257" s="35" t="s">
        <v>30</v>
      </c>
      <c r="P257" s="31">
        <f>_xll.qlCalendarAdvance(Calendar,P256,O256,"f",,Trigger)</f>
        <v>42482</v>
      </c>
      <c r="Q257" s="31">
        <f>_xll.qlInterestRateIndexValueDate(Index,P257,Trigger)</f>
        <v>42486</v>
      </c>
      <c r="R257" s="31">
        <f>_xll.qlInterestRateIndexMaturity(Index,Q257,Trigger)</f>
        <v>42577</v>
      </c>
      <c r="S257" s="32">
        <f>_xll.qlDayCounterYearFraction(DayCounter,Q257,R257,,,Trigger)</f>
        <v>0.25277777777777777</v>
      </c>
      <c r="T257" s="33">
        <f>_xll.qlIndexFixing(Index,P257,,AllTriggers)</f>
        <v>-7.6670221953212519E-5</v>
      </c>
      <c r="U257" s="34">
        <f>_xll.qlYieldTSDiscount(OisCurve,Q257,,AllTriggers)</f>
        <v>1.0013808006520142</v>
      </c>
      <c r="V257" s="34">
        <f>_xll.qlYieldTSDiscount(OisCurve,R257,,AllTriggers)</f>
        <v>1.0017764517960639</v>
      </c>
      <c r="W257" s="33">
        <f t="shared" si="28"/>
        <v>-1.5624377218224099E-3</v>
      </c>
      <c r="X257" s="35">
        <f t="shared" si="29"/>
        <v>3.7564683221563352E-4</v>
      </c>
      <c r="Y257" s="33">
        <f t="shared" si="23"/>
        <v>1.4857674998691973E-3</v>
      </c>
      <c r="Z257" s="54"/>
    </row>
    <row r="258" spans="15:26" x14ac:dyDescent="0.25">
      <c r="O258" s="35" t="s">
        <v>30</v>
      </c>
      <c r="P258" s="31">
        <f>_xll.qlCalendarAdvance(Calendar,P257,O257,"f",,Trigger)</f>
        <v>42485</v>
      </c>
      <c r="Q258" s="31">
        <f>_xll.qlInterestRateIndexValueDate(Index,P258,Trigger)</f>
        <v>42487</v>
      </c>
      <c r="R258" s="31">
        <f>_xll.qlInterestRateIndexMaturity(Index,Q258,Trigger)</f>
        <v>42578</v>
      </c>
      <c r="S258" s="32">
        <f>_xll.qlDayCounterYearFraction(DayCounter,Q258,R258,,,Trigger)</f>
        <v>0.25277777777777777</v>
      </c>
      <c r="T258" s="33">
        <f>_xll.qlIndexFixing(Index,P258,,AllTriggers)</f>
        <v>-7.669713143620605E-5</v>
      </c>
      <c r="U258" s="34">
        <f>_xll.qlYieldTSDiscount(OisCurve,Q258,,AllTriggers)</f>
        <v>1.0013852528633809</v>
      </c>
      <c r="V258" s="34">
        <f>_xll.qlYieldTSDiscount(OisCurve,R258,,AllTriggers)</f>
        <v>1.0017808057631306</v>
      </c>
      <c r="W258" s="33">
        <f t="shared" si="28"/>
        <v>-1.5620429632392252E-3</v>
      </c>
      <c r="X258" s="35">
        <f t="shared" si="29"/>
        <v>3.7554020434606665E-4</v>
      </c>
      <c r="Y258" s="33">
        <f t="shared" si="23"/>
        <v>1.4853458318030192E-3</v>
      </c>
      <c r="Z258" s="54"/>
    </row>
    <row r="259" spans="15:26" x14ac:dyDescent="0.25">
      <c r="O259" s="37" t="s">
        <v>31</v>
      </c>
      <c r="P259" s="31">
        <f>_xll.qlCalendarAdvance(Calendar,P258,O258,"f",,Trigger)</f>
        <v>42486</v>
      </c>
      <c r="Q259" s="31">
        <f>_xll.qlInterestRateIndexValueDate(Index,P259,Trigger)</f>
        <v>42488</v>
      </c>
      <c r="R259" s="31">
        <f>_xll.qlInterestRateIndexMaturity(Index,Q259,Trigger)</f>
        <v>42579</v>
      </c>
      <c r="S259" s="32">
        <f>_xll.qlDayCounterYearFraction(DayCounter,Q259,R259,,,Trigger)</f>
        <v>0.25277777777777777</v>
      </c>
      <c r="T259" s="33">
        <f>_xll.qlIndexFixing(Index,P259,,AllTriggers)</f>
        <v>-7.6722549295232389E-5</v>
      </c>
      <c r="U259" s="34">
        <f>_xll.qlYieldTSDiscount(OisCurve,Q259,,AllTriggers)</f>
        <v>1.0013896996848368</v>
      </c>
      <c r="V259" s="34">
        <f>_xll.qlYieldTSDiscount(OisCurve,R259,,AllTriggers)</f>
        <v>1.0017851616017766</v>
      </c>
      <c r="W259" s="33">
        <f t="shared" ref="W259" si="30">(U259/V259-1)/S259</f>
        <v>-1.5616768807531418E-3</v>
      </c>
      <c r="X259" s="35">
        <f t="shared" ref="X259" si="31">LN((1+T259*S259)/(1+W259*S259))</f>
        <v>3.7544120508574473E-4</v>
      </c>
      <c r="Y259" s="33">
        <f t="shared" si="23"/>
        <v>1.4849543314579094E-3</v>
      </c>
      <c r="Z259" s="54"/>
    </row>
    <row r="260" spans="15:26" x14ac:dyDescent="0.25">
      <c r="O260" s="37" t="s">
        <v>31</v>
      </c>
      <c r="P260" s="31">
        <f>_xll.qlCalendarAdvance(Calendar,P259,O259,"f",,Trigger)</f>
        <v>42493</v>
      </c>
      <c r="Q260" s="31">
        <f>_xll.qlInterestRateIndexValueDate(Index,P260,Trigger)</f>
        <v>42495</v>
      </c>
      <c r="R260" s="31">
        <f>_xll.qlInterestRateIndexMaturity(Index,Q260,Trigger)</f>
        <v>42587</v>
      </c>
      <c r="S260" s="32">
        <f>_xll.qlDayCounterYearFraction(DayCounter,Q260,R260,,,Trigger)</f>
        <v>0.25555555555555554</v>
      </c>
      <c r="T260" s="33">
        <f>_xll.qlIndexFixing(Index,P260,,AllTriggers)</f>
        <v>-7.6844135713323254E-5</v>
      </c>
      <c r="U260" s="34">
        <f>_xll.qlYieldTSDiscount(OisCurve,Q260,,AllTriggers)</f>
        <v>1.0014206815187481</v>
      </c>
      <c r="V260" s="34">
        <f>_xll.qlYieldTSDiscount(OisCurve,R260,,AllTriggers)</f>
        <v>1.0018200773579933</v>
      </c>
      <c r="W260" s="33">
        <f t="shared" ref="W260:W323" si="32">(U260/V260-1)/S260</f>
        <v>-1.5600139379564086E-3</v>
      </c>
      <c r="X260" s="35">
        <f t="shared" ref="X260:X323" si="33">LN((1+T260*S260)/(1+W260*S260))</f>
        <v>3.7911158007160014E-4</v>
      </c>
      <c r="Y260" s="33">
        <f t="shared" ref="Y260:Y323" si="34">T260-W260</f>
        <v>1.4831698022430852E-3</v>
      </c>
      <c r="Z260" s="54"/>
    </row>
    <row r="261" spans="15:26" x14ac:dyDescent="0.25">
      <c r="O261" s="37" t="s">
        <v>31</v>
      </c>
      <c r="P261" s="31">
        <f>_xll.qlCalendarAdvance(Calendar,P260,O260,"f",,Trigger)</f>
        <v>42500</v>
      </c>
      <c r="Q261" s="31">
        <f>_xll.qlInterestRateIndexValueDate(Index,P261,Trigger)</f>
        <v>42502</v>
      </c>
      <c r="R261" s="31">
        <f>_xll.qlInterestRateIndexMaturity(Index,Q261,Trigger)</f>
        <v>42594</v>
      </c>
      <c r="S261" s="32">
        <f>_xll.qlDayCounterYearFraction(DayCounter,Q261,R261,,,Trigger)</f>
        <v>0.25555555555555554</v>
      </c>
      <c r="T261" s="33">
        <f>_xll.qlIndexFixing(Index,P261,,AllTriggers)</f>
        <v>-7.686868019585664E-5</v>
      </c>
      <c r="U261" s="34">
        <f>_xll.qlYieldTSDiscount(OisCurve,Q261,,AllTriggers)</f>
        <v>1.0014514374826229</v>
      </c>
      <c r="V261" s="34">
        <f>_xll.qlYieldTSDiscount(OisCurve,R261,,AllTriggers)</f>
        <v>1.0018507234792311</v>
      </c>
      <c r="W261" s="33">
        <f t="shared" si="32"/>
        <v>-1.5595371928890716E-3</v>
      </c>
      <c r="X261" s="35">
        <f t="shared" si="33"/>
        <v>3.7898342403511551E-4</v>
      </c>
      <c r="Y261" s="33">
        <f t="shared" si="34"/>
        <v>1.4826685126932151E-3</v>
      </c>
      <c r="Z261" s="54"/>
    </row>
    <row r="262" spans="15:26" x14ac:dyDescent="0.25">
      <c r="O262" s="37" t="s">
        <v>31</v>
      </c>
      <c r="P262" s="31">
        <f>_xll.qlCalendarAdvance(Calendar,P261,O261,"f",,Trigger)</f>
        <v>42507</v>
      </c>
      <c r="Q262" s="31">
        <f>_xll.qlInterestRateIndexValueDate(Index,P262,Trigger)</f>
        <v>42509</v>
      </c>
      <c r="R262" s="31">
        <f>_xll.qlInterestRateIndexMaturity(Index,Q262,Trigger)</f>
        <v>42601</v>
      </c>
      <c r="S262" s="32">
        <f>_xll.qlDayCounterYearFraction(DayCounter,Q262,R262,,,Trigger)</f>
        <v>0.25555555555555554</v>
      </c>
      <c r="T262" s="33">
        <f>_xll.qlIndexFixing(Index,P262,,AllTriggers)</f>
        <v>-7.6777911805226836E-5</v>
      </c>
      <c r="U262" s="34">
        <f>_xll.qlYieldTSDiscount(OisCurve,Q262,,AllTriggers)</f>
        <v>1.0014820088574055</v>
      </c>
      <c r="V262" s="34">
        <f>_xll.qlYieldTSDiscount(OisCurve,R262,,AllTriggers)</f>
        <v>1.0018814493616317</v>
      </c>
      <c r="W262" s="33">
        <f t="shared" si="32"/>
        <v>-1.5600928243672905E-3</v>
      </c>
      <c r="X262" s="35">
        <f t="shared" si="33"/>
        <v>3.7914867219253931E-4</v>
      </c>
      <c r="Y262" s="33">
        <f t="shared" si="34"/>
        <v>1.4833149125620636E-3</v>
      </c>
      <c r="Z262" s="54"/>
    </row>
    <row r="263" spans="15:26" x14ac:dyDescent="0.25">
      <c r="O263" s="37" t="s">
        <v>31</v>
      </c>
      <c r="P263" s="31">
        <f>_xll.qlCalendarAdvance(Calendar,P262,O262,"f",,Trigger)</f>
        <v>42514</v>
      </c>
      <c r="Q263" s="31">
        <f>_xll.qlInterestRateIndexValueDate(Index,P263,Trigger)</f>
        <v>42516</v>
      </c>
      <c r="R263" s="31">
        <f>_xll.qlInterestRateIndexMaturity(Index,Q263,Trigger)</f>
        <v>42608</v>
      </c>
      <c r="S263" s="32">
        <f>_xll.qlDayCounterYearFraction(DayCounter,Q263,R263,,,Trigger)</f>
        <v>0.25555555555555554</v>
      </c>
      <c r="T263" s="33">
        <f>_xll.qlIndexFixing(Index,P263,,AllTriggers)</f>
        <v>-7.6552822590133957E-5</v>
      </c>
      <c r="U263" s="34">
        <f>_xll.qlYieldTSDiscount(OisCurve,Q263,,AllTriggers)</f>
        <v>1.0015124369292014</v>
      </c>
      <c r="V263" s="34">
        <f>_xll.qlYieldTSDiscount(OisCurve,R263,,AllTriggers)</f>
        <v>1.0019122466413453</v>
      </c>
      <c r="W263" s="33">
        <f t="shared" si="32"/>
        <v>-1.5614868386869204E-3</v>
      </c>
      <c r="X263" s="35">
        <f t="shared" si="33"/>
        <v>3.7956258637582199E-4</v>
      </c>
      <c r="Y263" s="33">
        <f t="shared" si="34"/>
        <v>1.4849340160967865E-3</v>
      </c>
      <c r="Z263" s="54"/>
    </row>
    <row r="264" spans="15:26" x14ac:dyDescent="0.25">
      <c r="O264" s="37" t="s">
        <v>31</v>
      </c>
      <c r="P264" s="31">
        <f>_xll.qlCalendarAdvance(Calendar,P263,O263,"f",,Trigger)</f>
        <v>42521</v>
      </c>
      <c r="Q264" s="31">
        <f>_xll.qlInterestRateIndexValueDate(Index,P264,Trigger)</f>
        <v>42523</v>
      </c>
      <c r="R264" s="31">
        <f>_xll.qlInterestRateIndexMaturity(Index,Q264,Trigger)</f>
        <v>42615</v>
      </c>
      <c r="S264" s="32">
        <f>_xll.qlDayCounterYearFraction(DayCounter,Q264,R264,,,Trigger)</f>
        <v>0.25555555555555554</v>
      </c>
      <c r="T264" s="33">
        <f>_xll.qlIndexFixing(Index,P264,,AllTriggers)</f>
        <v>-7.6174404579294091E-5</v>
      </c>
      <c r="U264" s="34">
        <f>_xll.qlYieldTSDiscount(OisCurve,Q264,,AllTriggers)</f>
        <v>1.0015427629892117</v>
      </c>
      <c r="V264" s="34">
        <f>_xll.qlYieldTSDiscount(OisCurve,R264,,AllTriggers)</f>
        <v>1.001943106953509</v>
      </c>
      <c r="W264" s="33">
        <f t="shared" si="32"/>
        <v>-1.5635252417849743E-3</v>
      </c>
      <c r="X264" s="35">
        <f t="shared" si="33"/>
        <v>3.8018042841640319E-4</v>
      </c>
      <c r="Y264" s="33">
        <f t="shared" si="34"/>
        <v>1.4873508372056801E-3</v>
      </c>
      <c r="Z264" s="54"/>
    </row>
    <row r="265" spans="15:26" x14ac:dyDescent="0.25">
      <c r="O265" s="37" t="s">
        <v>31</v>
      </c>
      <c r="P265" s="31">
        <f>_xll.qlCalendarAdvance(Calendar,P264,O264,"f",,Trigger)</f>
        <v>42528</v>
      </c>
      <c r="Q265" s="31">
        <f>_xll.qlInterestRateIndexValueDate(Index,P265,Trigger)</f>
        <v>42530</v>
      </c>
      <c r="R265" s="31">
        <f>_xll.qlInterestRateIndexMaturity(Index,Q265,Trigger)</f>
        <v>42622</v>
      </c>
      <c r="S265" s="32">
        <f>_xll.qlDayCounterYearFraction(DayCounter,Q265,R265,,,Trigger)</f>
        <v>0.25555555555555554</v>
      </c>
      <c r="T265" s="33">
        <f>_xll.qlIndexFixing(Index,P265,,AllTriggers)</f>
        <v>-7.5623649779701579E-5</v>
      </c>
      <c r="U265" s="34">
        <f>_xll.qlYieldTSDiscount(OisCurve,Q265,,AllTriggers)</f>
        <v>1.0015730283217312</v>
      </c>
      <c r="V265" s="34">
        <f>_xll.qlYieldTSDiscount(OisCurve,R265,,AllTriggers)</f>
        <v>1.0019740219322415</v>
      </c>
      <c r="W265" s="33">
        <f t="shared" si="32"/>
        <v>-1.5660140862789498E-3</v>
      </c>
      <c r="X265" s="35">
        <f t="shared" si="33"/>
        <v>3.8095747207692228E-4</v>
      </c>
      <c r="Y265" s="33">
        <f t="shared" si="34"/>
        <v>1.4903904364992483E-3</v>
      </c>
      <c r="Z265" s="54"/>
    </row>
    <row r="266" spans="15:26" x14ac:dyDescent="0.25">
      <c r="O266" s="37" t="s">
        <v>31</v>
      </c>
      <c r="P266" s="31">
        <f>_xll.qlCalendarAdvance(Calendar,P265,O265,"f",,Trigger)</f>
        <v>42535</v>
      </c>
      <c r="Q266" s="31">
        <f>_xll.qlInterestRateIndexValueDate(Index,P266,Trigger)</f>
        <v>42537</v>
      </c>
      <c r="R266" s="31">
        <f>_xll.qlInterestRateIndexMaturity(Index,Q266,Trigger)</f>
        <v>42629</v>
      </c>
      <c r="S266" s="32">
        <f>_xll.qlDayCounterYearFraction(DayCounter,Q266,R266,,,Trigger)</f>
        <v>0.25555555555555554</v>
      </c>
      <c r="T266" s="33">
        <f>_xll.qlIndexFixing(Index,P266,,AllTriggers)</f>
        <v>-7.488153033945359E-5</v>
      </c>
      <c r="U266" s="34">
        <f>_xll.qlYieldTSDiscount(OisCurve,Q266,,AllTriggers)</f>
        <v>1.0016032681453746</v>
      </c>
      <c r="V266" s="34">
        <f>_xll.qlYieldTSDiscount(OisCurve,R266,,AllTriggers)</f>
        <v>1.0020049832106388</v>
      </c>
      <c r="W266" s="33">
        <f t="shared" si="32"/>
        <v>-1.5687831324096015E-3</v>
      </c>
      <c r="X266" s="35">
        <f t="shared" si="33"/>
        <v>3.8185505715830485E-4</v>
      </c>
      <c r="Y266" s="33">
        <f t="shared" si="34"/>
        <v>1.493901602070148E-3</v>
      </c>
      <c r="Z266" s="54"/>
    </row>
    <row r="267" spans="15:26" x14ac:dyDescent="0.25">
      <c r="O267" s="37" t="s">
        <v>31</v>
      </c>
      <c r="P267" s="31">
        <f>_xll.qlCalendarAdvance(Calendar,P266,O266,"f",,Trigger)</f>
        <v>42542</v>
      </c>
      <c r="Q267" s="31">
        <f>_xll.qlInterestRateIndexValueDate(Index,P267,Trigger)</f>
        <v>42544</v>
      </c>
      <c r="R267" s="31">
        <f>_xll.qlInterestRateIndexMaturity(Index,Q267,Trigger)</f>
        <v>42636</v>
      </c>
      <c r="S267" s="32">
        <f>_xll.qlDayCounterYearFraction(DayCounter,Q267,R267,,,Trigger)</f>
        <v>0.25555555555555554</v>
      </c>
      <c r="T267" s="33">
        <f>_xll.qlIndexFixing(Index,P267,,AllTriggers)</f>
        <v>-7.3922114841102029E-5</v>
      </c>
      <c r="U267" s="34">
        <f>_xll.qlYieldTSDiscount(OisCurve,Q267,,AllTriggers)</f>
        <v>1.001633501752953</v>
      </c>
      <c r="V267" s="34">
        <f>_xll.qlYieldTSDiscount(OisCurve,R267,,AllTriggers)</f>
        <v>1.0020359824207687</v>
      </c>
      <c r="W267" s="33">
        <f t="shared" si="32"/>
        <v>-1.5717243491775652E-3</v>
      </c>
      <c r="X267" s="35">
        <f t="shared" si="33"/>
        <v>3.8285219181250478E-4</v>
      </c>
      <c r="Y267" s="33">
        <f t="shared" si="34"/>
        <v>1.4978022343364631E-3</v>
      </c>
      <c r="Z267" s="54"/>
    </row>
    <row r="268" spans="15:26" x14ac:dyDescent="0.25">
      <c r="O268" s="37" t="s">
        <v>31</v>
      </c>
      <c r="P268" s="31">
        <f>_xll.qlCalendarAdvance(Calendar,P267,O267,"f",,Trigger)</f>
        <v>42549</v>
      </c>
      <c r="Q268" s="31">
        <f>_xll.qlInterestRateIndexValueDate(Index,P268,Trigger)</f>
        <v>42551</v>
      </c>
      <c r="R268" s="31">
        <f>_xll.qlInterestRateIndexMaturity(Index,Q268,Trigger)</f>
        <v>42643</v>
      </c>
      <c r="S268" s="32">
        <f>_xll.qlDayCounterYearFraction(DayCounter,Q268,R268,,,Trigger)</f>
        <v>0.25555555555555554</v>
      </c>
      <c r="T268" s="33">
        <f>_xll.qlIndexFixing(Index,P268,,AllTriggers)</f>
        <v>-7.2705715954268299E-5</v>
      </c>
      <c r="U268" s="34">
        <f>_xll.qlYieldTSDiscount(OisCurve,Q268,,AllTriggers)</f>
        <v>1.0016637458582134</v>
      </c>
      <c r="V268" s="34">
        <f>_xll.qlYieldTSDiscount(OisCurve,R268,,AllTriggers)</f>
        <v>1.0020670111936687</v>
      </c>
      <c r="W268" s="33">
        <f t="shared" si="32"/>
        <v>-1.5747397861468181E-3</v>
      </c>
      <c r="X268" s="35">
        <f t="shared" si="33"/>
        <v>3.8393397674748399E-4</v>
      </c>
      <c r="Y268" s="33">
        <f t="shared" si="34"/>
        <v>1.5020340701925499E-3</v>
      </c>
      <c r="Z268" s="54"/>
    </row>
    <row r="269" spans="15:26" x14ac:dyDescent="0.25">
      <c r="O269" s="37" t="s">
        <v>31</v>
      </c>
      <c r="P269" s="31">
        <f>_xll.qlCalendarAdvance(Calendar,P268,O268,"f",,Trigger)</f>
        <v>42556</v>
      </c>
      <c r="Q269" s="31">
        <f>_xll.qlInterestRateIndexValueDate(Index,P269,Trigger)</f>
        <v>42558</v>
      </c>
      <c r="R269" s="31">
        <f>_xll.qlInterestRateIndexMaturity(Index,Q269,Trigger)</f>
        <v>42650</v>
      </c>
      <c r="S269" s="32">
        <f>_xll.qlDayCounterYearFraction(DayCounter,Q269,R269,,,Trigger)</f>
        <v>0.25555555555555554</v>
      </c>
      <c r="T269" s="33">
        <f>_xll.qlIndexFixing(Index,P269,,AllTriggers)</f>
        <v>-7.1191531870064338E-5</v>
      </c>
      <c r="U269" s="34">
        <f>_xll.qlYieldTSDiscount(OisCurve,Q269,,AllTriggers)</f>
        <v>1.0016940171769226</v>
      </c>
      <c r="V269" s="34">
        <f>_xll.qlYieldTSDiscount(OisCurve,R269,,AllTriggers)</f>
        <v>1.0020980611593415</v>
      </c>
      <c r="W269" s="33">
        <f t="shared" si="32"/>
        <v>-1.5777314931689334E-3</v>
      </c>
      <c r="X269" s="35">
        <f t="shared" si="33"/>
        <v>3.8508579746344848E-4</v>
      </c>
      <c r="Y269" s="33">
        <f t="shared" si="34"/>
        <v>1.5065399612988689E-3</v>
      </c>
      <c r="Z269" s="54"/>
    </row>
    <row r="270" spans="15:26" x14ac:dyDescent="0.25">
      <c r="O270" s="37" t="s">
        <v>31</v>
      </c>
      <c r="P270" s="31">
        <f>_xll.qlCalendarAdvance(Calendar,P269,O269,"f",,Trigger)</f>
        <v>42563</v>
      </c>
      <c r="Q270" s="31">
        <f>_xll.qlInterestRateIndexValueDate(Index,P270,Trigger)</f>
        <v>42565</v>
      </c>
      <c r="R270" s="31">
        <f>_xll.qlInterestRateIndexMaturity(Index,Q270,Trigger)</f>
        <v>42657</v>
      </c>
      <c r="S270" s="32">
        <f>_xll.qlDayCounterYearFraction(DayCounter,Q270,R270,,,Trigger)</f>
        <v>0.25555555555555554</v>
      </c>
      <c r="T270" s="33">
        <f>_xll.qlIndexFixing(Index,P270,,AllTriggers)</f>
        <v>-6.9338760649271549E-5</v>
      </c>
      <c r="U270" s="34">
        <f>_xll.qlYieldTSDiscount(OisCurve,Q270,,AllTriggers)</f>
        <v>1.001724332426869</v>
      </c>
      <c r="V270" s="34">
        <f>_xll.qlYieldTSDiscount(OisCurve,R270,,AllTriggers)</f>
        <v>1.0021291239467549</v>
      </c>
      <c r="W270" s="33">
        <f t="shared" si="32"/>
        <v>-1.5806015203974164E-3</v>
      </c>
      <c r="X270" s="35">
        <f t="shared" si="33"/>
        <v>3.8629303946190814E-4</v>
      </c>
      <c r="Y270" s="33">
        <f t="shared" si="34"/>
        <v>1.5112627597481448E-3</v>
      </c>
      <c r="Z270" s="54"/>
    </row>
    <row r="271" spans="15:26" x14ac:dyDescent="0.25">
      <c r="O271" s="37" t="s">
        <v>31</v>
      </c>
      <c r="P271" s="31">
        <f>_xll.qlCalendarAdvance(Calendar,P270,O270,"f",,Trigger)</f>
        <v>42570</v>
      </c>
      <c r="Q271" s="31">
        <f>_xll.qlInterestRateIndexValueDate(Index,P271,Trigger)</f>
        <v>42572</v>
      </c>
      <c r="R271" s="31">
        <f>_xll.qlInterestRateIndexMaturity(Index,Q271,Trigger)</f>
        <v>42664</v>
      </c>
      <c r="S271" s="32">
        <f>_xll.qlDayCounterYearFraction(DayCounter,Q271,R271,,,Trigger)</f>
        <v>0.25555555555555554</v>
      </c>
      <c r="T271" s="33">
        <f>_xll.qlIndexFixing(Index,P271,,AllTriggers)</f>
        <v>-6.7106600199750161E-5</v>
      </c>
      <c r="U271" s="34">
        <f>_xll.qlYieldTSDiscount(OisCurve,Q271,,AllTriggers)</f>
        <v>1.0017547083278693</v>
      </c>
      <c r="V271" s="34">
        <f>_xll.qlYieldTSDiscount(OisCurve,R271,,AllTriggers)</f>
        <v>1.0021601911838389</v>
      </c>
      <c r="W271" s="33">
        <f t="shared" si="32"/>
        <v>-1.5832519182629422E-3</v>
      </c>
      <c r="X271" s="35">
        <f t="shared" si="33"/>
        <v>3.8754108824285848E-4</v>
      </c>
      <c r="Y271" s="33">
        <f t="shared" si="34"/>
        <v>1.5161453180631921E-3</v>
      </c>
      <c r="Z271" s="54"/>
    </row>
    <row r="272" spans="15:26" x14ac:dyDescent="0.25">
      <c r="O272" s="37" t="s">
        <v>31</v>
      </c>
      <c r="P272" s="31">
        <f>_xll.qlCalendarAdvance(Calendar,P271,O271,"f",,Trigger)</f>
        <v>42577</v>
      </c>
      <c r="Q272" s="31">
        <f>_xll.qlInterestRateIndexValueDate(Index,P272,Trigger)</f>
        <v>42579</v>
      </c>
      <c r="R272" s="31">
        <f>_xll.qlInterestRateIndexMaturity(Index,Q272,Trigger)</f>
        <v>42671</v>
      </c>
      <c r="S272" s="32">
        <f>_xll.qlDayCounterYearFraction(DayCounter,Q272,R272,,,Trigger)</f>
        <v>0.25555555555555554</v>
      </c>
      <c r="T272" s="33">
        <f>_xll.qlIndexFixing(Index,P272,,AllTriggers)</f>
        <v>-6.4454248228216997E-5</v>
      </c>
      <c r="U272" s="34">
        <f>_xll.qlYieldTSDiscount(OisCurve,Q272,,AllTriggers)</f>
        <v>1.0017851616017766</v>
      </c>
      <c r="V272" s="34">
        <f>_xll.qlYieldTSDiscount(OisCurve,R272,,AllTriggers)</f>
        <v>1.0021912544974851</v>
      </c>
      <c r="W272" s="33">
        <f t="shared" si="32"/>
        <v>-1.5855847374333873E-3</v>
      </c>
      <c r="X272" s="35">
        <f t="shared" si="33"/>
        <v>3.8881532930737335E-4</v>
      </c>
      <c r="Y272" s="33">
        <f t="shared" si="34"/>
        <v>1.5211304892051702E-3</v>
      </c>
      <c r="Z272" s="54"/>
    </row>
    <row r="273" spans="15:26" x14ac:dyDescent="0.25">
      <c r="O273" s="37" t="s">
        <v>31</v>
      </c>
      <c r="P273" s="31">
        <f>_xll.qlCalendarAdvance(Calendar,P272,O272,"f",,Trigger)</f>
        <v>42584</v>
      </c>
      <c r="Q273" s="31">
        <f>_xll.qlInterestRateIndexValueDate(Index,P273,Trigger)</f>
        <v>42586</v>
      </c>
      <c r="R273" s="31">
        <f>_xll.qlInterestRateIndexMaturity(Index,Q273,Trigger)</f>
        <v>42678</v>
      </c>
      <c r="S273" s="32">
        <f>_xll.qlDayCounterYearFraction(DayCounter,Q273,R273,,,Trigger)</f>
        <v>0.25555555555555554</v>
      </c>
      <c r="T273" s="33">
        <f>_xll.qlIndexFixing(Index,P273,,AllTriggers)</f>
        <v>-6.1340902207228325E-5</v>
      </c>
      <c r="U273" s="34">
        <f>_xll.qlYieldTSDiscount(OisCurve,Q273,,AllTriggers)</f>
        <v>1.0018157063394308</v>
      </c>
      <c r="V273" s="34">
        <f>_xll.qlYieldTSDiscount(OisCurve,R273,,AllTriggers)</f>
        <v>1.0022223049652506</v>
      </c>
      <c r="W273" s="33">
        <f t="shared" si="32"/>
        <v>-1.5875101693021132E-3</v>
      </c>
      <c r="X273" s="35">
        <f t="shared" si="33"/>
        <v>3.9010322936457777E-4</v>
      </c>
      <c r="Y273" s="33">
        <f t="shared" si="34"/>
        <v>1.5261692670948848E-3</v>
      </c>
      <c r="Z273" s="54"/>
    </row>
    <row r="274" spans="15:26" x14ac:dyDescent="0.25">
      <c r="O274" s="37" t="s">
        <v>31</v>
      </c>
      <c r="P274" s="31">
        <f>_xll.qlCalendarAdvance(Calendar,P273,O273,"f",,Trigger)</f>
        <v>42591</v>
      </c>
      <c r="Q274" s="31">
        <f>_xll.qlInterestRateIndexValueDate(Index,P274,Trigger)</f>
        <v>42593</v>
      </c>
      <c r="R274" s="31">
        <f>_xll.qlInterestRateIndexMaturity(Index,Q274,Trigger)</f>
        <v>42685</v>
      </c>
      <c r="S274" s="32">
        <f>_xll.qlDayCounterYearFraction(DayCounter,Q274,R274,,,Trigger)</f>
        <v>0.25555555555555554</v>
      </c>
      <c r="T274" s="33">
        <f>_xll.qlIndexFixing(Index,P274,,AllTriggers)</f>
        <v>-5.7725759326523175E-5</v>
      </c>
      <c r="U274" s="34">
        <f>_xll.qlYieldTSDiscount(OisCurve,Q274,,AllTriggers)</f>
        <v>1.0018463403835123</v>
      </c>
      <c r="V274" s="34">
        <f>_xll.qlYieldTSDiscount(OisCurve,R274,,AllTriggers)</f>
        <v>1.0022533244536282</v>
      </c>
      <c r="W274" s="33">
        <f t="shared" si="32"/>
        <v>-1.5889659055923213E-3</v>
      </c>
      <c r="X274" s="35">
        <f t="shared" si="33"/>
        <v>3.9139928582267619E-4</v>
      </c>
      <c r="Y274" s="33">
        <f t="shared" si="34"/>
        <v>1.5312401462657982E-3</v>
      </c>
      <c r="Z274" s="54"/>
    </row>
    <row r="275" spans="15:26" x14ac:dyDescent="0.25">
      <c r="O275" s="37" t="s">
        <v>31</v>
      </c>
      <c r="P275" s="31">
        <f>_xll.qlCalendarAdvance(Calendar,P274,O274,"f",,Trigger)</f>
        <v>42598</v>
      </c>
      <c r="Q275" s="31">
        <f>_xll.qlInterestRateIndexValueDate(Index,P275,Trigger)</f>
        <v>42600</v>
      </c>
      <c r="R275" s="31">
        <f>_xll.qlInterestRateIndexMaturity(Index,Q275,Trigger)</f>
        <v>42692</v>
      </c>
      <c r="S275" s="32">
        <f>_xll.qlDayCounterYearFraction(DayCounter,Q275,R275,,,Trigger)</f>
        <v>0.25555555555555554</v>
      </c>
      <c r="T275" s="33">
        <f>_xll.qlIndexFixing(Index,P275,,AllTriggers)</f>
        <v>-5.3568016437415657E-5</v>
      </c>
      <c r="U275" s="34">
        <f>_xll.qlYieldTSDiscount(OisCurve,Q275,,AllTriggers)</f>
        <v>1.0018770553835099</v>
      </c>
      <c r="V275" s="34">
        <f>_xll.qlYieldTSDiscount(OisCurve,R275,,AllTriggers)</f>
        <v>1.0022842871845081</v>
      </c>
      <c r="W275" s="33">
        <f t="shared" si="32"/>
        <v>-1.5898839914101253E-3</v>
      </c>
      <c r="X275" s="35">
        <f t="shared" si="33"/>
        <v>3.9269655249721686E-4</v>
      </c>
      <c r="Y275" s="33">
        <f t="shared" si="34"/>
        <v>1.5363159749727097E-3</v>
      </c>
      <c r="Z275" s="54"/>
    </row>
    <row r="276" spans="15:26" x14ac:dyDescent="0.25">
      <c r="O276" s="37" t="s">
        <v>31</v>
      </c>
      <c r="P276" s="31">
        <f>_xll.qlCalendarAdvance(Calendar,P275,O275,"f",,Trigger)</f>
        <v>42605</v>
      </c>
      <c r="Q276" s="31">
        <f>_xll.qlInterestRateIndexValueDate(Index,P276,Trigger)</f>
        <v>42607</v>
      </c>
      <c r="R276" s="31">
        <f>_xll.qlInterestRateIndexMaturity(Index,Q276,Trigger)</f>
        <v>42699</v>
      </c>
      <c r="S276" s="32">
        <f>_xll.qlDayCounterYearFraction(DayCounter,Q276,R276,,,Trigger)</f>
        <v>0.25555555555555554</v>
      </c>
      <c r="T276" s="33">
        <f>_xll.qlIndexFixing(Index,P276,,AllTriggers)</f>
        <v>-4.8826870007179231E-5</v>
      </c>
      <c r="U276" s="34">
        <f>_xll.qlYieldTSDiscount(OisCurve,Q276,,AllTriggers)</f>
        <v>1.0019078429757182</v>
      </c>
      <c r="V276" s="34">
        <f>_xll.qlYieldTSDiscount(OisCurve,R276,,AllTriggers)</f>
        <v>1.0023151671452688</v>
      </c>
      <c r="W276" s="33">
        <f t="shared" si="32"/>
        <v>-1.5901956165519035E-3</v>
      </c>
      <c r="X276" s="35">
        <f t="shared" si="33"/>
        <v>3.9398786456954681E-4</v>
      </c>
      <c r="Y276" s="33">
        <f t="shared" si="34"/>
        <v>1.5413687465447243E-3</v>
      </c>
      <c r="Z276" s="54"/>
    </row>
    <row r="277" spans="15:26" x14ac:dyDescent="0.25">
      <c r="O277" s="37" t="s">
        <v>31</v>
      </c>
      <c r="P277" s="31">
        <f>_xll.qlCalendarAdvance(Calendar,P276,O276,"f",,Trigger)</f>
        <v>42612</v>
      </c>
      <c r="Q277" s="31">
        <f>_xll.qlInterestRateIndexValueDate(Index,P277,Trigger)</f>
        <v>42614</v>
      </c>
      <c r="R277" s="31">
        <f>_xll.qlInterestRateIndexMaturity(Index,Q277,Trigger)</f>
        <v>42705</v>
      </c>
      <c r="S277" s="32">
        <f>_xll.qlDayCounterYearFraction(DayCounter,Q277,R277,,,Trigger)</f>
        <v>0.25277777777777777</v>
      </c>
      <c r="T277" s="33">
        <f>_xll.qlIndexFixing(Index,P277,,AllTriggers)</f>
        <v>-4.3977068569151871E-5</v>
      </c>
      <c r="U277" s="34">
        <f>_xll.qlYieldTSDiscount(OisCurve,Q277,,AllTriggers)</f>
        <v>1.0019386947954192</v>
      </c>
      <c r="V277" s="34">
        <f>_xll.qlYieldTSDiscount(OisCurve,R277,,AllTriggers)</f>
        <v>1.0023415500844521</v>
      </c>
      <c r="W277" s="33">
        <f t="shared" si="32"/>
        <v>-1.5899901896760254E-3</v>
      </c>
      <c r="X277" s="35">
        <f t="shared" si="33"/>
        <v>3.9087848853516289E-4</v>
      </c>
      <c r="Y277" s="33">
        <f t="shared" si="34"/>
        <v>1.5460131211068736E-3</v>
      </c>
      <c r="Z277" s="54"/>
    </row>
    <row r="278" spans="15:26" x14ac:dyDescent="0.25">
      <c r="O278" s="37" t="s">
        <v>31</v>
      </c>
      <c r="P278" s="31">
        <f>_xll.qlCalendarAdvance(Calendar,P277,O277,"f",,Trigger)</f>
        <v>42619</v>
      </c>
      <c r="Q278" s="31">
        <f>_xll.qlInterestRateIndexValueDate(Index,P278,Trigger)</f>
        <v>42621</v>
      </c>
      <c r="R278" s="31">
        <f>_xll.qlInterestRateIndexMaturity(Index,Q278,Trigger)</f>
        <v>42712</v>
      </c>
      <c r="S278" s="32">
        <f>_xll.qlDayCounterYearFraction(DayCounter,Q278,R278,,,Trigger)</f>
        <v>0.25277777777777777</v>
      </c>
      <c r="T278" s="33">
        <f>_xll.qlIndexFixing(Index,P278,,AllTriggers)</f>
        <v>-3.7999508792321866E-5</v>
      </c>
      <c r="U278" s="34">
        <f>_xll.qlYieldTSDiscount(OisCurve,Q278,,AllTriggers)</f>
        <v>1.0019696024768774</v>
      </c>
      <c r="V278" s="34">
        <f>_xll.qlYieldTSDiscount(OisCurve,R278,,AllTriggers)</f>
        <v>1.002372207305342</v>
      </c>
      <c r="W278" s="33">
        <f t="shared" si="32"/>
        <v>-1.588953072235746E-3</v>
      </c>
      <c r="X278" s="35">
        <f t="shared" si="33"/>
        <v>3.9212723285172757E-4</v>
      </c>
      <c r="Y278" s="33">
        <f t="shared" si="34"/>
        <v>1.5509535634434242E-3</v>
      </c>
      <c r="Z278" s="54"/>
    </row>
    <row r="279" spans="15:26" x14ac:dyDescent="0.25">
      <c r="O279" s="37" t="s">
        <v>31</v>
      </c>
      <c r="P279" s="31">
        <f>_xll.qlCalendarAdvance(Calendar,P278,O278,"f",,Trigger)</f>
        <v>42626</v>
      </c>
      <c r="Q279" s="31">
        <f>_xll.qlInterestRateIndexValueDate(Index,P279,Trigger)</f>
        <v>42628</v>
      </c>
      <c r="R279" s="31">
        <f>_xll.qlInterestRateIndexMaturity(Index,Q279,Trigger)</f>
        <v>42719</v>
      </c>
      <c r="S279" s="32">
        <f>_xll.qlDayCounterYearFraction(DayCounter,Q279,R279,,,Trigger)</f>
        <v>0.25277777777777777</v>
      </c>
      <c r="T279" s="33">
        <f>_xll.qlIndexFixing(Index,P279,,AllTriggers)</f>
        <v>-3.131658061707619E-5</v>
      </c>
      <c r="U279" s="34">
        <f>_xll.qlYieldTSDiscount(OisCurve,Q279,,AllTriggers)</f>
        <v>1.0020005576533353</v>
      </c>
      <c r="V279" s="34">
        <f>_xll.qlYieldTSDiscount(OisCurve,R279,,AllTriggers)</f>
        <v>1.0024027074168591</v>
      </c>
      <c r="W279" s="33">
        <f t="shared" si="32"/>
        <v>-1.5871087833677475E-3</v>
      </c>
      <c r="X279" s="35">
        <f t="shared" si="33"/>
        <v>3.9335016092831358E-4</v>
      </c>
      <c r="Y279" s="33">
        <f t="shared" si="34"/>
        <v>1.5557922027506714E-3</v>
      </c>
      <c r="Z279" s="54"/>
    </row>
    <row r="280" spans="15:26" x14ac:dyDescent="0.25">
      <c r="O280" s="37" t="s">
        <v>31</v>
      </c>
      <c r="P280" s="31">
        <f>_xll.qlCalendarAdvance(Calendar,P279,O279,"f",,Trigger)</f>
        <v>42633</v>
      </c>
      <c r="Q280" s="31">
        <f>_xll.qlInterestRateIndexValueDate(Index,P280,Trigger)</f>
        <v>42635</v>
      </c>
      <c r="R280" s="31">
        <f>_xll.qlInterestRateIndexMaturity(Index,Q280,Trigger)</f>
        <v>42726</v>
      </c>
      <c r="S280" s="32">
        <f>_xll.qlDayCounterYearFraction(DayCounter,Q280,R280,,,Trigger)</f>
        <v>0.25277777777777777</v>
      </c>
      <c r="T280" s="33">
        <f>_xll.qlIndexFixing(Index,P280,,AllTriggers)</f>
        <v>-2.3893920973223309E-5</v>
      </c>
      <c r="U280" s="34">
        <f>_xll.qlYieldTSDiscount(OisCurve,Q280,,AllTriggers)</f>
        <v>1.0020315519570078</v>
      </c>
      <c r="V280" s="34">
        <f>_xll.qlYieldTSDiscount(OisCurve,R280,,AllTriggers)</f>
        <v>1.0024330243942443</v>
      </c>
      <c r="W280" s="33">
        <f t="shared" si="32"/>
        <v>-1.5843877547903453E-3</v>
      </c>
      <c r="X280" s="35">
        <f t="shared" si="33"/>
        <v>3.9453836605817856E-4</v>
      </c>
      <c r="Y280" s="33">
        <f t="shared" si="34"/>
        <v>1.5604938338171219E-3</v>
      </c>
      <c r="Z280" s="54"/>
    </row>
    <row r="281" spans="15:26" x14ac:dyDescent="0.25">
      <c r="O281" s="37" t="s">
        <v>31</v>
      </c>
      <c r="P281" s="31">
        <f>_xll.qlCalendarAdvance(Calendar,P280,O280,"f",,Trigger)</f>
        <v>42640</v>
      </c>
      <c r="Q281" s="31">
        <f>_xll.qlInterestRateIndexValueDate(Index,P281,Trigger)</f>
        <v>42642</v>
      </c>
      <c r="R281" s="31">
        <f>_xll.qlInterestRateIndexMaturity(Index,Q281,Trigger)</f>
        <v>42733</v>
      </c>
      <c r="S281" s="32">
        <f>_xll.qlDayCounterYearFraction(DayCounter,Q281,R281,,,Trigger)</f>
        <v>0.25277777777777777</v>
      </c>
      <c r="T281" s="33">
        <f>_xll.qlIndexFixing(Index,P281,,AllTriggers)</f>
        <v>-1.5732728041658387E-5</v>
      </c>
      <c r="U281" s="34">
        <f>_xll.qlYieldTSDiscount(OisCurve,Q281,,AllTriggers)</f>
        <v>1.0020625770190794</v>
      </c>
      <c r="V281" s="34">
        <f>_xll.qlYieldTSDiscount(OisCurve,R281,,AllTriggers)</f>
        <v>1.0024631322096844</v>
      </c>
      <c r="W281" s="33">
        <f t="shared" si="32"/>
        <v>-1.5807204174800304E-3</v>
      </c>
      <c r="X281" s="35">
        <f t="shared" si="33"/>
        <v>3.9567395223899331E-4</v>
      </c>
      <c r="Y281" s="33">
        <f t="shared" si="34"/>
        <v>1.5649876894383722E-3</v>
      </c>
      <c r="Z281" s="54"/>
    </row>
    <row r="282" spans="15:26" x14ac:dyDescent="0.25">
      <c r="O282" s="37" t="s">
        <v>31</v>
      </c>
      <c r="P282" s="31">
        <f>_xll.qlCalendarAdvance(Calendar,P281,O281,"f",,Trigger)</f>
        <v>42647</v>
      </c>
      <c r="Q282" s="31">
        <f>_xll.qlInterestRateIndexValueDate(Index,P282,Trigger)</f>
        <v>42649</v>
      </c>
      <c r="R282" s="31">
        <f>_xll.qlInterestRateIndexMaturity(Index,Q282,Trigger)</f>
        <v>42741</v>
      </c>
      <c r="S282" s="32">
        <f>_xll.qlDayCounterYearFraction(DayCounter,Q282,R282,,,Trigger)</f>
        <v>0.25555555555555554</v>
      </c>
      <c r="T282" s="33">
        <f>_xll.qlIndexFixing(Index,P282,,AllTriggers)</f>
        <v>-6.0913586405354838E-6</v>
      </c>
      <c r="U282" s="34">
        <f>_xll.qlYieldTSDiscount(OisCurve,Q282,,AllTriggers)</f>
        <v>1.0020936244697012</v>
      </c>
      <c r="V282" s="34">
        <f>_xll.qlYieldTSDiscount(OisCurve,R282,,AllTriggers)</f>
        <v>1.0024906351506491</v>
      </c>
      <c r="W282" s="33">
        <f t="shared" si="32"/>
        <v>-1.5496604171765626E-3</v>
      </c>
      <c r="X282" s="35">
        <f t="shared" si="33"/>
        <v>3.945460854251148E-4</v>
      </c>
      <c r="Y282" s="33">
        <f t="shared" si="34"/>
        <v>1.5435690585360272E-3</v>
      </c>
      <c r="Z282" s="54"/>
    </row>
    <row r="283" spans="15:26" x14ac:dyDescent="0.25">
      <c r="O283" s="37" t="s">
        <v>31</v>
      </c>
      <c r="P283" s="31">
        <f>_xll.qlCalendarAdvance(Calendar,P282,O282,"f",,Trigger)</f>
        <v>42654</v>
      </c>
      <c r="Q283" s="31">
        <f>_xll.qlInterestRateIndexValueDate(Index,P283,Trigger)</f>
        <v>42656</v>
      </c>
      <c r="R283" s="31">
        <f>_xll.qlInterestRateIndexMaturity(Index,Q283,Trigger)</f>
        <v>42748</v>
      </c>
      <c r="S283" s="32">
        <f>_xll.qlDayCounterYearFraction(DayCounter,Q283,R283,,,Trigger)</f>
        <v>0.25555555555555554</v>
      </c>
      <c r="T283" s="33">
        <f>_xll.qlIndexFixing(Index,P283,,AllTriggers)</f>
        <v>3.4978534799047565E-6</v>
      </c>
      <c r="U283" s="34">
        <f>_xll.qlYieldTSDiscount(OisCurve,Q283,,AllTriggers)</f>
        <v>1.0021246859379889</v>
      </c>
      <c r="V283" s="34">
        <f>_xll.qlYieldTSDiscount(OisCurve,R283,,AllTriggers)</f>
        <v>1.0025202069081747</v>
      </c>
      <c r="W283" s="33">
        <f t="shared" si="32"/>
        <v>-1.543800057331771E-3</v>
      </c>
      <c r="X283" s="35">
        <f t="shared" si="33"/>
        <v>3.954984229346054E-4</v>
      </c>
      <c r="Y283" s="33">
        <f t="shared" si="34"/>
        <v>1.5472979108116756E-3</v>
      </c>
      <c r="Z283" s="54"/>
    </row>
    <row r="284" spans="15:26" x14ac:dyDescent="0.25">
      <c r="O284" s="37" t="s">
        <v>31</v>
      </c>
      <c r="P284" s="31">
        <f>_xll.qlCalendarAdvance(Calendar,P283,O283,"f",,Trigger)</f>
        <v>42661</v>
      </c>
      <c r="Q284" s="31">
        <f>_xll.qlInterestRateIndexValueDate(Index,P284,Trigger)</f>
        <v>42663</v>
      </c>
      <c r="R284" s="31">
        <f>_xll.qlInterestRateIndexMaturity(Index,Q284,Trigger)</f>
        <v>42755</v>
      </c>
      <c r="S284" s="32">
        <f>_xll.qlDayCounterYearFraction(DayCounter,Q284,R284,,,Trigger)</f>
        <v>0.25555555555555554</v>
      </c>
      <c r="T284" s="33">
        <f>_xll.qlIndexFixing(Index,P284,,AllTriggers)</f>
        <v>1.3727565287980287E-5</v>
      </c>
      <c r="U284" s="34">
        <f>_xll.qlYieldTSDiscount(OisCurve,Q284,,AllTriggers)</f>
        <v>1.0021557530520206</v>
      </c>
      <c r="V284" s="34">
        <f>_xll.qlYieldTSDiscount(OisCurve,R284,,AllTriggers)</f>
        <v>1.0025494876846948</v>
      </c>
      <c r="W284" s="33">
        <f t="shared" si="32"/>
        <v>-1.5367827279120518E-3</v>
      </c>
      <c r="X284" s="35">
        <f t="shared" si="33"/>
        <v>3.963186531649742E-4</v>
      </c>
      <c r="Y284" s="33">
        <f t="shared" si="34"/>
        <v>1.5505102932000321E-3</v>
      </c>
      <c r="Z284" s="54"/>
    </row>
    <row r="285" spans="15:26" x14ac:dyDescent="0.25">
      <c r="O285" s="37" t="s">
        <v>31</v>
      </c>
      <c r="P285" s="31">
        <f>_xll.qlCalendarAdvance(Calendar,P284,O284,"f",,Trigger)</f>
        <v>42668</v>
      </c>
      <c r="Q285" s="31">
        <f>_xll.qlInterestRateIndexValueDate(Index,P285,Trigger)</f>
        <v>42670</v>
      </c>
      <c r="R285" s="31">
        <f>_xll.qlInterestRateIndexMaturity(Index,Q285,Trigger)</f>
        <v>42762</v>
      </c>
      <c r="S285" s="32">
        <f>_xll.qlDayCounterYearFraction(DayCounter,Q285,R285,,,Trigger)</f>
        <v>0.25555555555555554</v>
      </c>
      <c r="T285" s="33">
        <f>_xll.qlIndexFixing(Index,P285,,AllTriggers)</f>
        <v>2.4565477606010845E-5</v>
      </c>
      <c r="U285" s="34">
        <f>_xll.qlYieldTSDiscount(OisCurve,Q285,,AllTriggers)</f>
        <v>1.0021868174388366</v>
      </c>
      <c r="V285" s="34">
        <f>_xll.qlYieldTSDiscount(OisCurve,R285,,AllTriggers)</f>
        <v>1.0025784514405294</v>
      </c>
      <c r="W285" s="33">
        <f t="shared" si="32"/>
        <v>-1.5285396110268888E-3</v>
      </c>
      <c r="X285" s="35">
        <f t="shared" si="33"/>
        <v>3.9698092857469507E-4</v>
      </c>
      <c r="Y285" s="33">
        <f t="shared" si="34"/>
        <v>1.5531050886328996E-3</v>
      </c>
      <c r="Z285" s="54"/>
    </row>
    <row r="286" spans="15:26" x14ac:dyDescent="0.25">
      <c r="O286" s="37" t="s">
        <v>31</v>
      </c>
      <c r="P286" s="31">
        <f>_xll.qlCalendarAdvance(Calendar,P285,O285,"f",,Trigger)</f>
        <v>42675</v>
      </c>
      <c r="Q286" s="31">
        <f>_xll.qlInterestRateIndexValueDate(Index,P286,Trigger)</f>
        <v>42677</v>
      </c>
      <c r="R286" s="31">
        <f>_xll.qlInterestRateIndexMaturity(Index,Q286,Trigger)</f>
        <v>42769</v>
      </c>
      <c r="S286" s="32">
        <f>_xll.qlDayCounterYearFraction(DayCounter,Q286,R286,,,Trigger)</f>
        <v>0.25555555555555554</v>
      </c>
      <c r="T286" s="33">
        <f>_xll.qlIndexFixing(Index,P286,,AllTriggers)</f>
        <v>3.5979291190716459E-5</v>
      </c>
      <c r="U286" s="34">
        <f>_xll.qlYieldTSDiscount(OisCurve,Q286,,AllTriggers)</f>
        <v>1.002217870493127</v>
      </c>
      <c r="V286" s="34">
        <f>_xll.qlYieldTSDiscount(OisCurve,R286,,AllTriggers)</f>
        <v>1.002607072967153</v>
      </c>
      <c r="W286" s="33">
        <f t="shared" si="32"/>
        <v>-1.5190060431182957E-3</v>
      </c>
      <c r="X286" s="35">
        <f t="shared" si="33"/>
        <v>3.9746046413005381E-4</v>
      </c>
      <c r="Y286" s="33">
        <f t="shared" si="34"/>
        <v>1.5549853343090122E-3</v>
      </c>
      <c r="Z286" s="54"/>
    </row>
    <row r="287" spans="15:26" x14ac:dyDescent="0.25">
      <c r="O287" s="37" t="s">
        <v>31</v>
      </c>
      <c r="P287" s="31">
        <f>_xll.qlCalendarAdvance(Calendar,P286,O286,"f",,Trigger)</f>
        <v>42682</v>
      </c>
      <c r="Q287" s="31">
        <f>_xll.qlInterestRateIndexValueDate(Index,P287,Trigger)</f>
        <v>42684</v>
      </c>
      <c r="R287" s="31">
        <f>_xll.qlInterestRateIndexMaturity(Index,Q287,Trigger)</f>
        <v>42776</v>
      </c>
      <c r="S287" s="32">
        <f>_xll.qlDayCounterYearFraction(DayCounter,Q287,R287,,,Trigger)</f>
        <v>0.25555555555555554</v>
      </c>
      <c r="T287" s="33">
        <f>_xll.qlIndexFixing(Index,P287,,AllTriggers)</f>
        <v>4.7936706687601791E-5</v>
      </c>
      <c r="U287" s="34">
        <f>_xll.qlYieldTSDiscount(OisCurve,Q287,,AllTriggers)</f>
        <v>1.0022488959664262</v>
      </c>
      <c r="V287" s="34">
        <f>_xll.qlYieldTSDiscount(OisCurve,R287,,AllTriggers)</f>
        <v>1.0026353410604127</v>
      </c>
      <c r="W287" s="33">
        <f t="shared" si="32"/>
        <v>-1.5082018285240068E-3</v>
      </c>
      <c r="X287" s="35">
        <f t="shared" si="33"/>
        <v>3.9775406983653759E-4</v>
      </c>
      <c r="Y287" s="33">
        <f t="shared" si="34"/>
        <v>1.5561385352116086E-3</v>
      </c>
      <c r="Z287" s="54"/>
    </row>
    <row r="288" spans="15:26" x14ac:dyDescent="0.25">
      <c r="O288" s="37" t="s">
        <v>31</v>
      </c>
      <c r="P288" s="31">
        <f>_xll.qlCalendarAdvance(Calendar,P287,O287,"f",,Trigger)</f>
        <v>42689</v>
      </c>
      <c r="Q288" s="31">
        <f>_xll.qlInterestRateIndexValueDate(Index,P288,Trigger)</f>
        <v>42691</v>
      </c>
      <c r="R288" s="31">
        <f>_xll.qlInterestRateIndexMaturity(Index,Q288,Trigger)</f>
        <v>42783</v>
      </c>
      <c r="S288" s="32">
        <f>_xll.qlDayCounterYearFraction(DayCounter,Q288,R288,,,Trigger)</f>
        <v>0.25555555555555554</v>
      </c>
      <c r="T288" s="33">
        <f>_xll.qlIndexFixing(Index,P288,,AllTriggers)</f>
        <v>6.0405424583168234E-5</v>
      </c>
      <c r="U288" s="34">
        <f>_xll.qlYieldTSDiscount(OisCurve,Q288,,AllTriggers)</f>
        <v>1.0022798683980549</v>
      </c>
      <c r="V288" s="34">
        <f>_xll.qlYieldTSDiscount(OisCurve,R288,,AllTriggers)</f>
        <v>1.0026632561380651</v>
      </c>
      <c r="W288" s="33">
        <f t="shared" si="32"/>
        <v>-1.4962280571348288E-3</v>
      </c>
      <c r="X288" s="35">
        <f t="shared" si="33"/>
        <v>3.9787933688483032E-4</v>
      </c>
      <c r="Y288" s="33">
        <f t="shared" si="34"/>
        <v>1.5566334817179971E-3</v>
      </c>
      <c r="Z288" s="54"/>
    </row>
    <row r="289" spans="15:26" x14ac:dyDescent="0.25">
      <c r="O289" s="37" t="s">
        <v>31</v>
      </c>
      <c r="P289" s="31">
        <f>_xll.qlCalendarAdvance(Calendar,P288,O288,"f",,Trigger)</f>
        <v>42696</v>
      </c>
      <c r="Q289" s="31">
        <f>_xll.qlInterestRateIndexValueDate(Index,P289,Trigger)</f>
        <v>42698</v>
      </c>
      <c r="R289" s="31">
        <f>_xll.qlInterestRateIndexMaturity(Index,Q289,Trigger)</f>
        <v>42790</v>
      </c>
      <c r="S289" s="32">
        <f>_xll.qlDayCounterYearFraction(DayCounter,Q289,R289,,,Trigger)</f>
        <v>0.25555555555555554</v>
      </c>
      <c r="T289" s="33">
        <f>_xll.qlIndexFixing(Index,P289,,AllTriggers)</f>
        <v>7.335314516147045E-5</v>
      </c>
      <c r="U289" s="34">
        <f>_xll.qlYieldTSDiscount(OisCurve,Q289,,AllTriggers)</f>
        <v>1.0023107617758489</v>
      </c>
      <c r="V289" s="34">
        <f>_xll.qlYieldTSDiscount(OisCurve,R289,,AllTriggers)</f>
        <v>1.002690818970112</v>
      </c>
      <c r="W289" s="33">
        <f t="shared" si="32"/>
        <v>-1.4831893313883428E-3</v>
      </c>
      <c r="X289" s="35">
        <f t="shared" si="33"/>
        <v>3.9785475442464038E-4</v>
      </c>
      <c r="Y289" s="33">
        <f t="shared" si="34"/>
        <v>1.5565424765498132E-3</v>
      </c>
      <c r="Z289" s="54"/>
    </row>
    <row r="290" spans="15:26" x14ac:dyDescent="0.25">
      <c r="O290" s="37" t="s">
        <v>31</v>
      </c>
      <c r="P290" s="31">
        <f>_xll.qlCalendarAdvance(Calendar,P289,O289,"f",,Trigger)</f>
        <v>42703</v>
      </c>
      <c r="Q290" s="31">
        <f>_xll.qlInterestRateIndexValueDate(Index,P290,Trigger)</f>
        <v>42705</v>
      </c>
      <c r="R290" s="31">
        <f>_xll.qlInterestRateIndexMaturity(Index,Q290,Trigger)</f>
        <v>42795</v>
      </c>
      <c r="S290" s="32">
        <f>_xll.qlDayCounterYearFraction(DayCounter,Q290,R290,,,Trigger)</f>
        <v>0.25</v>
      </c>
      <c r="T290" s="33">
        <f>_xll.qlIndexFixing(Index,P290,,AllTriggers)</f>
        <v>8.4691247119295099E-5</v>
      </c>
      <c r="U290" s="34">
        <f>_xll.qlYieldTSDiscount(OisCurve,Q290,,AllTriggers)</f>
        <v>1.0023415500844521</v>
      </c>
      <c r="V290" s="34">
        <f>_xll.qlYieldTSDiscount(OisCurve,R290,,AllTriggers)</f>
        <v>1.0027102914734809</v>
      </c>
      <c r="W290" s="33">
        <f t="shared" si="32"/>
        <v>-1.4709787748836689E-3</v>
      </c>
      <c r="X290" s="35">
        <f t="shared" si="33"/>
        <v>3.8898491602193559E-4</v>
      </c>
      <c r="Y290" s="33">
        <f t="shared" si="34"/>
        <v>1.555670022002964E-3</v>
      </c>
      <c r="Z290" s="54"/>
    </row>
    <row r="291" spans="15:26" x14ac:dyDescent="0.25">
      <c r="O291" s="37" t="s">
        <v>31</v>
      </c>
      <c r="P291" s="31">
        <f>_xll.qlCalendarAdvance(Calendar,P290,O290,"f",,Trigger)</f>
        <v>42710</v>
      </c>
      <c r="Q291" s="31">
        <f>_xll.qlInterestRateIndexValueDate(Index,P291,Trigger)</f>
        <v>42712</v>
      </c>
      <c r="R291" s="31">
        <f>_xll.qlInterestRateIndexMaturity(Index,Q291,Trigger)</f>
        <v>42802</v>
      </c>
      <c r="S291" s="32">
        <f>_xll.qlDayCounterYearFraction(DayCounter,Q291,R291,,,Trigger)</f>
        <v>0.25</v>
      </c>
      <c r="T291" s="33">
        <f>_xll.qlIndexFixing(Index,P291,,AllTriggers)</f>
        <v>9.8452026265682946E-5</v>
      </c>
      <c r="U291" s="34">
        <f>_xll.qlYieldTSDiscount(OisCurve,Q291,,AllTriggers)</f>
        <v>1.002372207305342</v>
      </c>
      <c r="V291" s="34">
        <f>_xll.qlYieldTSDiscount(OisCurve,R291,,AllTriggers)</f>
        <v>1.0027372522486715</v>
      </c>
      <c r="W291" s="33">
        <f t="shared" si="32"/>
        <v>-1.4561938035546618E-3</v>
      </c>
      <c r="X291" s="35">
        <f t="shared" si="33"/>
        <v>3.8872743628434313E-4</v>
      </c>
      <c r="Y291" s="33">
        <f t="shared" si="34"/>
        <v>1.5546458298203447E-3</v>
      </c>
      <c r="Z291" s="54"/>
    </row>
    <row r="292" spans="15:26" x14ac:dyDescent="0.25">
      <c r="O292" s="37" t="s">
        <v>31</v>
      </c>
      <c r="P292" s="31">
        <f>_xll.qlCalendarAdvance(Calendar,P291,O291,"f",,Trigger)</f>
        <v>42717</v>
      </c>
      <c r="Q292" s="31">
        <f>_xll.qlInterestRateIndexValueDate(Index,P292,Trigger)</f>
        <v>42719</v>
      </c>
      <c r="R292" s="31">
        <f>_xll.qlInterestRateIndexMaturity(Index,Q292,Trigger)</f>
        <v>42809</v>
      </c>
      <c r="S292" s="32">
        <f>_xll.qlDayCounterYearFraction(DayCounter,Q292,R292,,,Trigger)</f>
        <v>0.25</v>
      </c>
      <c r="T292" s="33">
        <f>_xll.qlIndexFixing(Index,P292,,AllTriggers)</f>
        <v>1.1259623871140434E-4</v>
      </c>
      <c r="U292" s="34">
        <f>_xll.qlYieldTSDiscount(OisCurve,Q292,,AllTriggers)</f>
        <v>1.0024027074168591</v>
      </c>
      <c r="V292" s="34">
        <f>_xll.qlYieldTSDiscount(OisCurve,R292,,AllTriggers)</f>
        <v>1.0027638628705686</v>
      </c>
      <c r="W292" s="33">
        <f t="shared" si="32"/>
        <v>-1.4406400832021049E-3</v>
      </c>
      <c r="X292" s="35">
        <f t="shared" si="33"/>
        <v>3.883735574983504E-4</v>
      </c>
      <c r="Y292" s="33">
        <f t="shared" si="34"/>
        <v>1.5532363219135092E-3</v>
      </c>
      <c r="Z292" s="54"/>
    </row>
    <row r="293" spans="15:26" x14ac:dyDescent="0.25">
      <c r="O293" s="37" t="s">
        <v>31</v>
      </c>
      <c r="P293" s="31">
        <f>_xll.qlCalendarAdvance(Calendar,P292,O292,"f",,Trigger)</f>
        <v>42724</v>
      </c>
      <c r="Q293" s="31">
        <f>_xll.qlInterestRateIndexValueDate(Index,P293,Trigger)</f>
        <v>42726</v>
      </c>
      <c r="R293" s="31">
        <f>_xll.qlInterestRateIndexMaturity(Index,Q293,Trigger)</f>
        <v>42816</v>
      </c>
      <c r="S293" s="32">
        <f>_xll.qlDayCounterYearFraction(DayCounter,Q293,R293,,,Trigger)</f>
        <v>0.25</v>
      </c>
      <c r="T293" s="33">
        <f>_xll.qlIndexFixing(Index,P293,,AllTriggers)</f>
        <v>1.2709087957940568E-4</v>
      </c>
      <c r="U293" s="34">
        <f>_xll.qlYieldTSDiscount(OisCurve,Q293,,AllTriggers)</f>
        <v>1.0024330243942443</v>
      </c>
      <c r="V293" s="34">
        <f>_xll.qlYieldTSDiscount(OisCurve,R293,,AllTriggers)</f>
        <v>1.002790124110867</v>
      </c>
      <c r="W293" s="33">
        <f t="shared" si="32"/>
        <v>-1.4244245452230686E-3</v>
      </c>
      <c r="X293" s="35">
        <f t="shared" si="33"/>
        <v>3.8794177230544035E-4</v>
      </c>
      <c r="Y293" s="33">
        <f t="shared" si="34"/>
        <v>1.5515154248024743E-3</v>
      </c>
      <c r="Z293" s="54"/>
    </row>
    <row r="294" spans="15:26" x14ac:dyDescent="0.25">
      <c r="O294" s="37" t="s">
        <v>31</v>
      </c>
      <c r="P294" s="31">
        <f>_xll.qlCalendarAdvance(Calendar,P293,O293,"f",,Trigger)</f>
        <v>42731</v>
      </c>
      <c r="Q294" s="31">
        <f>_xll.qlInterestRateIndexValueDate(Index,P294,Trigger)</f>
        <v>42733</v>
      </c>
      <c r="R294" s="31">
        <f>_xll.qlInterestRateIndexMaturity(Index,Q294,Trigger)</f>
        <v>42823</v>
      </c>
      <c r="S294" s="32">
        <f>_xll.qlDayCounterYearFraction(DayCounter,Q294,R294,,,Trigger)</f>
        <v>0.25</v>
      </c>
      <c r="T294" s="33">
        <f>_xll.qlIndexFixing(Index,P294,,AllTriggers)</f>
        <v>1.4191003862595863E-4</v>
      </c>
      <c r="U294" s="34">
        <f>_xll.qlYieldTSDiscount(OisCurve,Q294,,AllTriggers)</f>
        <v>1.0024631322096844</v>
      </c>
      <c r="V294" s="34">
        <f>_xll.qlYieldTSDiscount(OisCurve,R294,,AllTriggers)</f>
        <v>1.0028160367417112</v>
      </c>
      <c r="W294" s="33">
        <f t="shared" si="32"/>
        <v>-1.4076541223788652E-3</v>
      </c>
      <c r="X294" s="35">
        <f t="shared" si="33"/>
        <v>3.8745234703690951E-4</v>
      </c>
      <c r="Y294" s="33">
        <f t="shared" si="34"/>
        <v>1.5495641610048239E-3</v>
      </c>
      <c r="Z294" s="54"/>
    </row>
    <row r="295" spans="15:26" x14ac:dyDescent="0.25">
      <c r="O295" s="37" t="s">
        <v>31</v>
      </c>
      <c r="P295" s="31">
        <f>_xll.qlCalendarAdvance(Calendar,P294,O294,"f",,Trigger)</f>
        <v>42738</v>
      </c>
      <c r="Q295" s="31">
        <f>_xll.qlInterestRateIndexValueDate(Index,P295,Trigger)</f>
        <v>42740</v>
      </c>
      <c r="R295" s="31">
        <f>_xll.qlInterestRateIndexMaturity(Index,Q295,Trigger)</f>
        <v>42830</v>
      </c>
      <c r="S295" s="32">
        <f>_xll.qlDayCounterYearFraction(DayCounter,Q295,R295,,,Trigger)</f>
        <v>0.25</v>
      </c>
      <c r="T295" s="33">
        <f>_xll.qlIndexFixing(Index,P295,,AllTriggers)</f>
        <v>1.5704642282265979E-4</v>
      </c>
      <c r="U295" s="34">
        <f>_xll.qlYieldTSDiscount(OisCurve,Q295,,AllTriggers)</f>
        <v>1.0024863883785295</v>
      </c>
      <c r="V295" s="34">
        <f>_xll.qlYieldTSDiscount(OisCurve,R295,,AllTriggers)</f>
        <v>1.0028416015356918</v>
      </c>
      <c r="W295" s="33">
        <f t="shared" si="32"/>
        <v>-1.4168265720857498E-3</v>
      </c>
      <c r="X295" s="35">
        <f t="shared" si="33"/>
        <v>3.9353022400054208E-4</v>
      </c>
      <c r="Y295" s="33">
        <f t="shared" si="34"/>
        <v>1.5738729949084096E-3</v>
      </c>
      <c r="Z295" s="54"/>
    </row>
    <row r="296" spans="15:26" x14ac:dyDescent="0.25">
      <c r="O296" s="37" t="s">
        <v>31</v>
      </c>
      <c r="P296" s="31">
        <f>_xll.qlCalendarAdvance(Calendar,P295,O295,"f",,Trigger)</f>
        <v>42745</v>
      </c>
      <c r="Q296" s="31">
        <f>_xll.qlInterestRateIndexValueDate(Index,P296,Trigger)</f>
        <v>42747</v>
      </c>
      <c r="R296" s="31">
        <f>_xll.qlInterestRateIndexMaturity(Index,Q296,Trigger)</f>
        <v>42837</v>
      </c>
      <c r="S296" s="32">
        <f>_xll.qlDayCounterYearFraction(DayCounter,Q296,R296,,,Trigger)</f>
        <v>0.25</v>
      </c>
      <c r="T296" s="33">
        <f>_xll.qlIndexFixing(Index,P296,,AllTriggers)</f>
        <v>1.7249575591105071E-4</v>
      </c>
      <c r="U296" s="34">
        <f>_xll.qlYieldTSDiscount(OisCurve,Q296,,AllTriggers)</f>
        <v>1.0025159995792439</v>
      </c>
      <c r="V296" s="34">
        <f>_xll.qlYieldTSDiscount(OisCurve,R296,,AllTriggers)</f>
        <v>1.0028668192658441</v>
      </c>
      <c r="W296" s="33">
        <f t="shared" si="32"/>
        <v>-1.3992672999472155E-3</v>
      </c>
      <c r="X296" s="35">
        <f t="shared" si="33"/>
        <v>3.9300103433266255E-4</v>
      </c>
      <c r="Y296" s="33">
        <f t="shared" si="34"/>
        <v>1.5717630558582663E-3</v>
      </c>
      <c r="Z296" s="54"/>
    </row>
    <row r="297" spans="15:26" x14ac:dyDescent="0.25">
      <c r="O297" s="37" t="s">
        <v>31</v>
      </c>
      <c r="P297" s="31">
        <f>_xll.qlCalendarAdvance(Calendar,P296,O296,"f",,Trigger)</f>
        <v>42752</v>
      </c>
      <c r="Q297" s="31">
        <f>_xll.qlInterestRateIndexValueDate(Index,P297,Trigger)</f>
        <v>42754</v>
      </c>
      <c r="R297" s="31">
        <f>_xll.qlInterestRateIndexMaturity(Index,Q297,Trigger)</f>
        <v>42844</v>
      </c>
      <c r="S297" s="32">
        <f>_xll.qlDayCounterYearFraction(DayCounter,Q297,R297,,,Trigger)</f>
        <v>0.25</v>
      </c>
      <c r="T297" s="33">
        <f>_xll.qlIndexFixing(Index,P297,,AllTriggers)</f>
        <v>1.88253761638002E-4</v>
      </c>
      <c r="U297" s="34">
        <f>_xll.qlYieldTSDiscount(OisCurve,Q297,,AllTriggers)</f>
        <v>1.002545323518681</v>
      </c>
      <c r="V297" s="34">
        <f>_xll.qlYieldTSDiscount(OisCurve,R297,,AllTriggers)</f>
        <v>1.0028916907056449</v>
      </c>
      <c r="W297" s="33">
        <f t="shared" si="32"/>
        <v>-1.3814739524673492E-3</v>
      </c>
      <c r="X297" s="35">
        <f t="shared" si="33"/>
        <v>3.9249047450892662E-4</v>
      </c>
      <c r="Y297" s="33">
        <f t="shared" si="34"/>
        <v>1.5697277141053512E-3</v>
      </c>
      <c r="Z297" s="54"/>
    </row>
    <row r="298" spans="15:26" x14ac:dyDescent="0.25">
      <c r="O298" s="37" t="s">
        <v>31</v>
      </c>
      <c r="P298" s="31">
        <f>_xll.qlCalendarAdvance(Calendar,P297,O297,"f",,Trigger)</f>
        <v>42759</v>
      </c>
      <c r="Q298" s="31">
        <f>_xll.qlInterestRateIndexValueDate(Index,P298,Trigger)</f>
        <v>42761</v>
      </c>
      <c r="R298" s="31">
        <f>_xll.qlInterestRateIndexMaturity(Index,Q298,Trigger)</f>
        <v>42851</v>
      </c>
      <c r="S298" s="32">
        <f>_xll.qlDayCounterYearFraction(DayCounter,Q298,R298,,,Trigger)</f>
        <v>0.25</v>
      </c>
      <c r="T298" s="33">
        <f>_xll.qlIndexFixing(Index,P298,,AllTriggers)</f>
        <v>2.0431616375837791E-4</v>
      </c>
      <c r="U298" s="34">
        <f>_xll.qlYieldTSDiscount(OisCurve,Q298,,AllTriggers)</f>
        <v>1.002574334157555</v>
      </c>
      <c r="V298" s="34">
        <f>_xll.qlYieldTSDiscount(OisCurve,R298,,AllTriggers)</f>
        <v>1.0029162166290084</v>
      </c>
      <c r="W298" s="33">
        <f t="shared" si="32"/>
        <v>-1.3635534685141337E-3</v>
      </c>
      <c r="X298" s="35">
        <f t="shared" si="33"/>
        <v>3.9202421922547381E-4</v>
      </c>
      <c r="Y298" s="33">
        <f t="shared" si="34"/>
        <v>1.5678696322725116E-3</v>
      </c>
      <c r="Z298" s="54"/>
    </row>
    <row r="299" spans="15:26" x14ac:dyDescent="0.25">
      <c r="O299" s="37" t="s">
        <v>31</v>
      </c>
      <c r="P299" s="31">
        <f>_xll.qlCalendarAdvance(Calendar,P298,O298,"f",,Trigger)</f>
        <v>42766</v>
      </c>
      <c r="Q299" s="31">
        <f>_xll.qlInterestRateIndexValueDate(Index,P299,Trigger)</f>
        <v>42768</v>
      </c>
      <c r="R299" s="31">
        <f>_xll.qlInterestRateIndexMaturity(Index,Q299,Trigger)</f>
        <v>42857</v>
      </c>
      <c r="S299" s="32">
        <f>_xll.qlDayCounterYearFraction(DayCounter,Q299,R299,,,Trigger)</f>
        <v>0.24722222222222223</v>
      </c>
      <c r="T299" s="33">
        <f>_xll.qlIndexFixing(Index,P299,,AllTriggers)</f>
        <v>2.1945482102648806E-4</v>
      </c>
      <c r="U299" s="34">
        <f>_xll.qlYieldTSDiscount(OisCurve,Q299,,AllTriggers)</f>
        <v>1.0026030058056383</v>
      </c>
      <c r="V299" s="34">
        <f>_xll.qlYieldTSDiscount(OisCurve,R299,,AllTriggers)</f>
        <v>1.0029369643378352</v>
      </c>
      <c r="W299" s="33">
        <f t="shared" si="32"/>
        <v>-1.3468877397622471E-3</v>
      </c>
      <c r="X299" s="35">
        <f t="shared" si="33"/>
        <v>3.8728866728154703E-4</v>
      </c>
      <c r="Y299" s="33">
        <f t="shared" si="34"/>
        <v>1.5663425607887352E-3</v>
      </c>
      <c r="Z299" s="54"/>
    </row>
    <row r="300" spans="15:26" x14ac:dyDescent="0.25">
      <c r="O300" s="37" t="s">
        <v>31</v>
      </c>
      <c r="P300" s="31">
        <f>_xll.qlCalendarAdvance(Calendar,P299,O299,"f",,Trigger)</f>
        <v>42773</v>
      </c>
      <c r="Q300" s="31">
        <f>_xll.qlInterestRateIndexValueDate(Index,P300,Trigger)</f>
        <v>42775</v>
      </c>
      <c r="R300" s="31">
        <f>_xll.qlInterestRateIndexMaturity(Index,Q300,Trigger)</f>
        <v>42864</v>
      </c>
      <c r="S300" s="32">
        <f>_xll.qlDayCounterYearFraction(DayCounter,Q300,R300,,,Trigger)</f>
        <v>0.24722222222222223</v>
      </c>
      <c r="T300" s="33">
        <f>_xll.qlIndexFixing(Index,P300,,AllTriggers)</f>
        <v>2.3609316672903844E-4</v>
      </c>
      <c r="U300" s="34">
        <f>_xll.qlYieldTSDiscount(OisCurve,Q300,,AllTriggers)</f>
        <v>1.0026313243925293</v>
      </c>
      <c r="V300" s="34">
        <f>_xll.qlYieldTSDiscount(OisCurve,R300,,AllTriggers)</f>
        <v>1.0029608487562405</v>
      </c>
      <c r="W300" s="33">
        <f t="shared" si="32"/>
        <v>-1.3289726515843588E-3</v>
      </c>
      <c r="X300" s="35">
        <f t="shared" si="33"/>
        <v>3.8697133110530258E-4</v>
      </c>
      <c r="Y300" s="33">
        <f t="shared" si="34"/>
        <v>1.5650658183133973E-3</v>
      </c>
      <c r="Z300" s="54"/>
    </row>
    <row r="301" spans="15:26" x14ac:dyDescent="0.25">
      <c r="O301" s="37" t="s">
        <v>31</v>
      </c>
      <c r="P301" s="31">
        <f>_xll.qlCalendarAdvance(Calendar,P300,O300,"f",,Trigger)</f>
        <v>42780</v>
      </c>
      <c r="Q301" s="31">
        <f>_xll.qlInterestRateIndexValueDate(Index,P301,Trigger)</f>
        <v>42782</v>
      </c>
      <c r="R301" s="31">
        <f>_xll.qlInterestRateIndexMaturity(Index,Q301,Trigger)</f>
        <v>42871</v>
      </c>
      <c r="S301" s="32">
        <f>_xll.qlDayCounterYearFraction(DayCounter,Q301,R301,,,Trigger)</f>
        <v>0.24722222222222223</v>
      </c>
      <c r="T301" s="33">
        <f>_xll.qlIndexFixing(Index,P301,,AllTriggers)</f>
        <v>2.5302335364076539E-4</v>
      </c>
      <c r="U301" s="34">
        <f>_xll.qlYieldTSDiscount(OisCurve,Q301,,AllTriggers)</f>
        <v>1.0026592898538509</v>
      </c>
      <c r="V301" s="34">
        <f>_xll.qlYieldTSDiscount(OisCurve,R301,,AllTriggers)</f>
        <v>1.002984385056825</v>
      </c>
      <c r="W301" s="33">
        <f t="shared" si="32"/>
        <v>-1.3110790674773542E-3</v>
      </c>
      <c r="X301" s="35">
        <f t="shared" si="33"/>
        <v>3.8673146077007506E-4</v>
      </c>
      <c r="Y301" s="33">
        <f t="shared" si="34"/>
        <v>1.5641024211181195E-3</v>
      </c>
      <c r="Z301" s="54"/>
    </row>
    <row r="302" spans="15:26" x14ac:dyDescent="0.25">
      <c r="O302" s="37" t="s">
        <v>31</v>
      </c>
      <c r="P302" s="31">
        <f>_xll.qlCalendarAdvance(Calendar,P301,O301,"f",,Trigger)</f>
        <v>42787</v>
      </c>
      <c r="Q302" s="31">
        <f>_xll.qlInterestRateIndexValueDate(Index,P302,Trigger)</f>
        <v>42789</v>
      </c>
      <c r="R302" s="31">
        <f>_xll.qlInterestRateIndexMaturity(Index,Q302,Trigger)</f>
        <v>42878</v>
      </c>
      <c r="S302" s="32">
        <f>_xll.qlDayCounterYearFraction(DayCounter,Q302,R302,,,Trigger)</f>
        <v>0.24722222222222223</v>
      </c>
      <c r="T302" s="33">
        <f>_xll.qlIndexFixing(Index,P302,,AllTriggers)</f>
        <v>2.7024105737632467E-4</v>
      </c>
      <c r="U302" s="34">
        <f>_xll.qlYieldTSDiscount(OisCurve,Q302,,AllTriggers)</f>
        <v>1.002686902959538</v>
      </c>
      <c r="V302" s="34">
        <f>_xll.qlYieldTSDiscount(OisCurve,R302,,AllTriggers)</f>
        <v>1.0030075709507567</v>
      </c>
      <c r="W302" s="33">
        <f t="shared" si="32"/>
        <v>-1.2931946348063628E-3</v>
      </c>
      <c r="X302" s="35">
        <f t="shared" si="33"/>
        <v>3.8656493146417266E-4</v>
      </c>
      <c r="Y302" s="33">
        <f t="shared" si="34"/>
        <v>1.5634356921826874E-3</v>
      </c>
      <c r="Z302" s="54"/>
    </row>
    <row r="303" spans="15:26" x14ac:dyDescent="0.25">
      <c r="O303" s="37" t="s">
        <v>31</v>
      </c>
      <c r="P303" s="31">
        <f>_xll.qlCalendarAdvance(Calendar,P302,O302,"f",,Trigger)</f>
        <v>42794</v>
      </c>
      <c r="Q303" s="31">
        <f>_xll.qlInterestRateIndexValueDate(Index,P303,Trigger)</f>
        <v>42796</v>
      </c>
      <c r="R303" s="31">
        <f>_xll.qlInterestRateIndexMaturity(Index,Q303,Trigger)</f>
        <v>42888</v>
      </c>
      <c r="S303" s="32">
        <f>_xll.qlDayCounterYearFraction(DayCounter,Q303,R303,,,Trigger)</f>
        <v>0.25555555555555554</v>
      </c>
      <c r="T303" s="33">
        <f>_xll.qlIndexFixing(Index,P303,,AllTriggers)</f>
        <v>2.9165491539775149E-4</v>
      </c>
      <c r="U303" s="34">
        <f>_xll.qlYieldTSDiscount(OisCurve,Q303,,AllTriggers)</f>
        <v>1.0027141644799862</v>
      </c>
      <c r="V303" s="34">
        <f>_xll.qlYieldTSDiscount(OisCurve,R303,,AllTriggers)</f>
        <v>1.0030400812708162</v>
      </c>
      <c r="W303" s="33">
        <f t="shared" si="32"/>
        <v>-1.2714612273495333E-3</v>
      </c>
      <c r="X303" s="35">
        <f t="shared" si="33"/>
        <v>3.9951303759364103E-4</v>
      </c>
      <c r="Y303" s="33">
        <f t="shared" si="34"/>
        <v>1.5631161427472847E-3</v>
      </c>
      <c r="Z303" s="54"/>
    </row>
    <row r="304" spans="15:26" x14ac:dyDescent="0.25">
      <c r="O304" s="37" t="s">
        <v>31</v>
      </c>
      <c r="P304" s="31">
        <f>_xll.qlCalendarAdvance(Calendar,P303,O303,"f",,Trigger)</f>
        <v>42801</v>
      </c>
      <c r="Q304" s="31">
        <f>_xll.qlInterestRateIndexValueDate(Index,P304,Trigger)</f>
        <v>42803</v>
      </c>
      <c r="R304" s="31">
        <f>_xll.qlInterestRateIndexMaturity(Index,Q304,Trigger)</f>
        <v>42895</v>
      </c>
      <c r="S304" s="32">
        <f>_xll.qlDayCounterYearFraction(DayCounter,Q304,R304,,,Trigger)</f>
        <v>0.25555555555555554</v>
      </c>
      <c r="T304" s="33">
        <f>_xll.qlIndexFixing(Index,P304,,AllTriggers)</f>
        <v>3.0949231722204152E-4</v>
      </c>
      <c r="U304" s="34">
        <f>_xll.qlYieldTSDiscount(OisCurve,Q304,,AllTriggers)</f>
        <v>1.0027410751860482</v>
      </c>
      <c r="V304" s="34">
        <f>_xll.qlYieldTSDiscount(OisCurve,R304,,AllTriggers)</f>
        <v>1.0030624066491258</v>
      </c>
      <c r="W304" s="33">
        <f t="shared" si="32"/>
        <v>-1.2535451210423125E-3</v>
      </c>
      <c r="X304" s="35">
        <f t="shared" si="33"/>
        <v>3.9949109640131621E-4</v>
      </c>
      <c r="Y304" s="33">
        <f t="shared" si="34"/>
        <v>1.563037438264354E-3</v>
      </c>
      <c r="Z304" s="54"/>
    </row>
    <row r="305" spans="15:26" x14ac:dyDescent="0.25">
      <c r="O305" s="37" t="s">
        <v>31</v>
      </c>
      <c r="P305" s="31">
        <f>_xll.qlCalendarAdvance(Calendar,P304,O304,"f",,Trigger)</f>
        <v>42808</v>
      </c>
      <c r="Q305" s="31">
        <f>_xll.qlInterestRateIndexValueDate(Index,P305,Trigger)</f>
        <v>42810</v>
      </c>
      <c r="R305" s="31">
        <f>_xll.qlInterestRateIndexMaturity(Index,Q305,Trigger)</f>
        <v>42902</v>
      </c>
      <c r="S305" s="32">
        <f>_xll.qlDayCounterYearFraction(DayCounter,Q305,R305,,,Trigger)</f>
        <v>0.25555555555555554</v>
      </c>
      <c r="T305" s="33">
        <f>_xll.qlIndexFixing(Index,P305,,AllTriggers)</f>
        <v>3.2760402133764731E-4</v>
      </c>
      <c r="U305" s="34">
        <f>_xll.qlYieldTSDiscount(OisCurve,Q305,,AllTriggers)</f>
        <v>1.0027676358490314</v>
      </c>
      <c r="V305" s="34">
        <f>_xll.qlYieldTSDiscount(OisCurve,R305,,AllTriggers)</f>
        <v>1.003084373774594</v>
      </c>
      <c r="W305" s="33">
        <f t="shared" si="32"/>
        <v>-1.2355982271730263E-3</v>
      </c>
      <c r="X305" s="35">
        <f t="shared" si="33"/>
        <v>3.9953137860049921E-4</v>
      </c>
      <c r="Y305" s="33">
        <f t="shared" si="34"/>
        <v>1.5632022485106737E-3</v>
      </c>
      <c r="Z305" s="54"/>
    </row>
    <row r="306" spans="15:26" x14ac:dyDescent="0.25">
      <c r="O306" s="37" t="s">
        <v>31</v>
      </c>
      <c r="P306" s="31">
        <f>_xll.qlCalendarAdvance(Calendar,P305,O305,"f",,Trigger)</f>
        <v>42815</v>
      </c>
      <c r="Q306" s="31">
        <f>_xll.qlInterestRateIndexValueDate(Index,P306,Trigger)</f>
        <v>42817</v>
      </c>
      <c r="R306" s="31">
        <f>_xll.qlInterestRateIndexMaturity(Index,Q306,Trigger)</f>
        <v>42909</v>
      </c>
      <c r="S306" s="32">
        <f>_xll.qlDayCounterYearFraction(DayCounter,Q306,R306,,,Trigger)</f>
        <v>0.25555555555555554</v>
      </c>
      <c r="T306" s="33">
        <f>_xll.qlIndexFixing(Index,P306,,AllTriggers)</f>
        <v>3.4598406697269277E-4</v>
      </c>
      <c r="U306" s="34">
        <f>_xll.qlYieldTSDiscount(OisCurve,Q306,,AllTriggers)</f>
        <v>1.0027938472406945</v>
      </c>
      <c r="V306" s="34">
        <f>_xll.qlYieldTSDiscount(OisCurve,R306,,AllTriggers)</f>
        <v>1.0031059803591424</v>
      </c>
      <c r="W306" s="33">
        <f t="shared" si="32"/>
        <v>-1.2176085951103215E-3</v>
      </c>
      <c r="X306" s="35">
        <f t="shared" si="33"/>
        <v>3.9962930515138407E-4</v>
      </c>
      <c r="Y306" s="33">
        <f t="shared" si="34"/>
        <v>1.5635926620830142E-3</v>
      </c>
      <c r="Z306" s="54"/>
    </row>
    <row r="307" spans="15:26" x14ac:dyDescent="0.25">
      <c r="O307" s="37" t="s">
        <v>31</v>
      </c>
      <c r="P307" s="31">
        <f>_xll.qlCalendarAdvance(Calendar,P306,O306,"f",,Trigger)</f>
        <v>42822</v>
      </c>
      <c r="Q307" s="31">
        <f>_xll.qlInterestRateIndexValueDate(Index,P307,Trigger)</f>
        <v>42824</v>
      </c>
      <c r="R307" s="31">
        <f>_xll.qlInterestRateIndexMaturity(Index,Q307,Trigger)</f>
        <v>42916</v>
      </c>
      <c r="S307" s="32">
        <f>_xll.qlDayCounterYearFraction(DayCounter,Q307,R307,,,Trigger)</f>
        <v>0.25555555555555554</v>
      </c>
      <c r="T307" s="33">
        <f>_xll.qlIndexFixing(Index,P307,,AllTriggers)</f>
        <v>3.6462321350760402E-4</v>
      </c>
      <c r="U307" s="34">
        <f>_xll.qlYieldTSDiscount(OisCurve,Q307,,AllTriggers)</f>
        <v>1.0028197101332463</v>
      </c>
      <c r="V307" s="34">
        <f>_xll.qlYieldTSDiscount(OisCurve,R307,,AllTriggers)</f>
        <v>1.0031272241148839</v>
      </c>
      <c r="W307" s="33">
        <f t="shared" si="32"/>
        <v>-1.1995642739956339E-3</v>
      </c>
      <c r="X307" s="35">
        <f t="shared" si="33"/>
        <v>3.9977945892233298E-4</v>
      </c>
      <c r="Y307" s="33">
        <f t="shared" si="34"/>
        <v>1.564187487503238E-3</v>
      </c>
      <c r="Z307" s="54"/>
    </row>
    <row r="308" spans="15:26" x14ac:dyDescent="0.25">
      <c r="O308" s="37" t="s">
        <v>31</v>
      </c>
      <c r="P308" s="31">
        <f>_xll.qlCalendarAdvance(Calendar,P307,O307,"f",,Trigger)</f>
        <v>42829</v>
      </c>
      <c r="Q308" s="31">
        <f>_xll.qlInterestRateIndexValueDate(Index,P308,Trigger)</f>
        <v>42831</v>
      </c>
      <c r="R308" s="31">
        <f>_xll.qlInterestRateIndexMaturity(Index,Q308,Trigger)</f>
        <v>42922</v>
      </c>
      <c r="S308" s="32">
        <f>_xll.qlDayCounterYearFraction(DayCounter,Q308,R308,,,Trigger)</f>
        <v>0.25277777777777777</v>
      </c>
      <c r="T308" s="33">
        <f>_xll.qlIndexFixing(Index,P308,,AllTriggers)</f>
        <v>3.8211669873552685E-4</v>
      </c>
      <c r="U308" s="34">
        <f>_xll.qlYieldTSDiscount(OisCurve,Q308,,AllTriggers)</f>
        <v>1.0028452252993409</v>
      </c>
      <c r="V308" s="34">
        <f>_xll.qlYieldTSDiscount(OisCurve,R308,,AllTriggers)</f>
        <v>1.0031451425321525</v>
      </c>
      <c r="W308" s="33">
        <f t="shared" si="32"/>
        <v>-1.1827657891885321E-3</v>
      </c>
      <c r="X308" s="35">
        <f t="shared" si="33"/>
        <v>3.956075557141009E-4</v>
      </c>
      <c r="Y308" s="33">
        <f t="shared" si="34"/>
        <v>1.5648824879240589E-3</v>
      </c>
      <c r="Z308" s="54"/>
    </row>
    <row r="309" spans="15:26" x14ac:dyDescent="0.25">
      <c r="O309" s="37" t="s">
        <v>31</v>
      </c>
      <c r="P309" s="31">
        <f>_xll.qlCalendarAdvance(Calendar,P308,O308,"f",,Trigger)</f>
        <v>42836</v>
      </c>
      <c r="Q309" s="31">
        <f>_xll.qlInterestRateIndexValueDate(Index,P309,Trigger)</f>
        <v>42838</v>
      </c>
      <c r="R309" s="31">
        <f>_xll.qlInterestRateIndexMaturity(Index,Q309,Trigger)</f>
        <v>42929</v>
      </c>
      <c r="S309" s="32">
        <f>_xll.qlDayCounterYearFraction(DayCounter,Q309,R309,,,Trigger)</f>
        <v>0.25277777777777777</v>
      </c>
      <c r="T309" s="33">
        <f>_xll.qlIndexFixing(Index,P309,,AllTriggers)</f>
        <v>4.0123589675020014E-4</v>
      </c>
      <c r="U309" s="34">
        <f>_xll.qlYieldTSDiscount(OisCurve,Q309,,AllTriggers)</f>
        <v>1.0028703935120771</v>
      </c>
      <c r="V309" s="34">
        <f>_xll.qlYieldTSDiscount(OisCurve,R309,,AllTriggers)</f>
        <v>1.0031657063937516</v>
      </c>
      <c r="W309" s="33">
        <f t="shared" si="32"/>
        <v>-1.1645840096450579E-3</v>
      </c>
      <c r="X309" s="35">
        <f t="shared" si="33"/>
        <v>3.9584267190127733E-4</v>
      </c>
      <c r="Y309" s="33">
        <f t="shared" si="34"/>
        <v>1.5658199063952581E-3</v>
      </c>
      <c r="Z309" s="54"/>
    </row>
    <row r="310" spans="15:26" x14ac:dyDescent="0.25">
      <c r="O310" s="37" t="s">
        <v>31</v>
      </c>
      <c r="P310" s="31">
        <f>_xll.qlCalendarAdvance(Calendar,P309,O309,"f",,Trigger)</f>
        <v>42843</v>
      </c>
      <c r="Q310" s="31">
        <f>_xll.qlInterestRateIndexValueDate(Index,P310,Trigger)</f>
        <v>42845</v>
      </c>
      <c r="R310" s="31">
        <f>_xll.qlInterestRateIndexMaturity(Index,Q310,Trigger)</f>
        <v>42936</v>
      </c>
      <c r="S310" s="32">
        <f>_xll.qlDayCounterYearFraction(DayCounter,Q310,R310,,,Trigger)</f>
        <v>0.25277777777777777</v>
      </c>
      <c r="T310" s="33">
        <f>_xll.qlIndexFixing(Index,P310,,AllTriggers)</f>
        <v>4.2059290902370843E-4</v>
      </c>
      <c r="U310" s="34">
        <f>_xll.qlYieldTSDiscount(OisCurve,Q310,,AllTriggers)</f>
        <v>1.0028952155449942</v>
      </c>
      <c r="V310" s="34">
        <f>_xll.qlYieldTSDiscount(OisCurve,R310,,AllTriggers)</f>
        <v>1.0031859008908559</v>
      </c>
      <c r="W310" s="33">
        <f t="shared" si="32"/>
        <v>-1.146311969282545E-3</v>
      </c>
      <c r="X310" s="35">
        <f t="shared" si="33"/>
        <v>3.9611507110004452E-4</v>
      </c>
      <c r="Y310" s="33">
        <f t="shared" si="34"/>
        <v>1.5669048783062533E-3</v>
      </c>
      <c r="Z310" s="54"/>
    </row>
    <row r="311" spans="15:26" x14ac:dyDescent="0.25">
      <c r="O311" s="37" t="s">
        <v>31</v>
      </c>
      <c r="P311" s="31">
        <f>_xll.qlCalendarAdvance(Calendar,P310,O310,"f",,Trigger)</f>
        <v>42850</v>
      </c>
      <c r="Q311" s="31">
        <f>_xll.qlInterestRateIndexValueDate(Index,P311,Trigger)</f>
        <v>42852</v>
      </c>
      <c r="R311" s="31">
        <f>_xll.qlInterestRateIndexMaturity(Index,Q311,Trigger)</f>
        <v>42943</v>
      </c>
      <c r="S311" s="32">
        <f>_xll.qlDayCounterYearFraction(DayCounter,Q311,R311,,,Trigger)</f>
        <v>0.25277777777777777</v>
      </c>
      <c r="T311" s="33">
        <f>_xll.qlIndexFixing(Index,P311,,AllTriggers)</f>
        <v>4.4018040626195694E-4</v>
      </c>
      <c r="U311" s="34">
        <f>_xll.qlYieldTSDiscount(OisCurve,Q311,,AllTriggers)</f>
        <v>1.0029196921720689</v>
      </c>
      <c r="V311" s="34">
        <f>_xll.qlYieldTSDiscount(OisCurve,R311,,AllTriggers)</f>
        <v>1.003205723736396</v>
      </c>
      <c r="W311" s="33">
        <f t="shared" si="32"/>
        <v>-1.1279375850047114E-3</v>
      </c>
      <c r="X311" s="35">
        <f t="shared" si="33"/>
        <v>3.9641984505844332E-4</v>
      </c>
      <c r="Y311" s="33">
        <f t="shared" si="34"/>
        <v>1.5681179912666683E-3</v>
      </c>
      <c r="Z311" s="54"/>
    </row>
    <row r="312" spans="15:26" x14ac:dyDescent="0.25">
      <c r="O312" s="37" t="s">
        <v>31</v>
      </c>
      <c r="P312" s="31">
        <f>_xll.qlCalendarAdvance(Calendar,P311,O311,"f",,Trigger)</f>
        <v>42857</v>
      </c>
      <c r="Q312" s="31">
        <f>_xll.qlInterestRateIndexValueDate(Index,P312,Trigger)</f>
        <v>42859</v>
      </c>
      <c r="R312" s="31">
        <f>_xll.qlInterestRateIndexMaturity(Index,Q312,Trigger)</f>
        <v>42951</v>
      </c>
      <c r="S312" s="32">
        <f>_xll.qlDayCounterYearFraction(DayCounter,Q312,R312,,,Trigger)</f>
        <v>0.25555555555555554</v>
      </c>
      <c r="T312" s="33">
        <f>_xll.qlIndexFixing(Index,P312,,AllTriggers)</f>
        <v>4.614479167722778E-4</v>
      </c>
      <c r="U312" s="34">
        <f>_xll.qlYieldTSDiscount(OisCurve,Q312,,AllTriggers)</f>
        <v>1.0029438238461408</v>
      </c>
      <c r="V312" s="34">
        <f>_xll.qlYieldTSDiscount(OisCurve,R312,,AllTriggers)</f>
        <v>1.0032279203999257</v>
      </c>
      <c r="W312" s="33">
        <f t="shared" si="32"/>
        <v>-1.1081052913092491E-3</v>
      </c>
      <c r="X312" s="35">
        <f t="shared" si="33"/>
        <v>4.0114119311593881E-4</v>
      </c>
      <c r="Y312" s="33">
        <f t="shared" si="34"/>
        <v>1.5695532080815268E-3</v>
      </c>
      <c r="Z312" s="54"/>
    </row>
    <row r="313" spans="15:26" x14ac:dyDescent="0.25">
      <c r="O313" s="37" t="s">
        <v>31</v>
      </c>
      <c r="P313" s="31">
        <f>_xll.qlCalendarAdvance(Calendar,P312,O312,"f",,Trigger)</f>
        <v>42864</v>
      </c>
      <c r="Q313" s="31">
        <f>_xll.qlInterestRateIndexValueDate(Index,P313,Trigger)</f>
        <v>42866</v>
      </c>
      <c r="R313" s="31">
        <f>_xll.qlInterestRateIndexMaturity(Index,Q313,Trigger)</f>
        <v>42958</v>
      </c>
      <c r="S313" s="32">
        <f>_xll.qlDayCounterYearFraction(DayCounter,Q313,R313,,,Trigger)</f>
        <v>0.25555555555555554</v>
      </c>
      <c r="T313" s="33">
        <f>_xll.qlIndexFixing(Index,P313,,AllTriggers)</f>
        <v>4.8148790453368494E-4</v>
      </c>
      <c r="U313" s="34">
        <f>_xll.qlYieldTSDiscount(OisCurve,Q313,,AllTriggers)</f>
        <v>1.0029676090358746</v>
      </c>
      <c r="V313" s="34">
        <f>_xll.qlYieldTSDiscount(OisCurve,R313,,AllTriggers)</f>
        <v>1.0032469391489951</v>
      </c>
      <c r="W313" s="33">
        <f t="shared" si="32"/>
        <v>-1.089493358788858E-3</v>
      </c>
      <c r="X313" s="35">
        <f t="shared" si="33"/>
        <v>4.0150418760313811E-4</v>
      </c>
      <c r="Y313" s="33">
        <f t="shared" si="34"/>
        <v>1.570981263322543E-3</v>
      </c>
      <c r="Z313" s="54"/>
    </row>
    <row r="314" spans="15:26" x14ac:dyDescent="0.25">
      <c r="O314" s="37" t="s">
        <v>31</v>
      </c>
      <c r="P314" s="31">
        <f>_xll.qlCalendarAdvance(Calendar,P313,O313,"f",,Trigger)</f>
        <v>42871</v>
      </c>
      <c r="Q314" s="31">
        <f>_xll.qlInterestRateIndexValueDate(Index,P314,Trigger)</f>
        <v>42873</v>
      </c>
      <c r="R314" s="31">
        <f>_xll.qlInterestRateIndexMaturity(Index,Q314,Trigger)</f>
        <v>42965</v>
      </c>
      <c r="S314" s="32">
        <f>_xll.qlDayCounterYearFraction(DayCounter,Q314,R314,,,Trigger)</f>
        <v>0.25555555555555554</v>
      </c>
      <c r="T314" s="33">
        <f>_xll.qlIndexFixing(Index,P314,,AllTriggers)</f>
        <v>5.0173599183530064E-4</v>
      </c>
      <c r="U314" s="34">
        <f>_xll.qlYieldTSDiscount(OisCurve,Q314,,AllTriggers)</f>
        <v>1.00299104545382</v>
      </c>
      <c r="V314" s="34">
        <f>_xll.qlYieldTSDiscount(OisCurve,R314,,AllTriggers)</f>
        <v>1.0032655790601228</v>
      </c>
      <c r="W314" s="33">
        <f t="shared" si="32"/>
        <v>-1.0707652690654802E-3</v>
      </c>
      <c r="X314" s="35">
        <f t="shared" si="33"/>
        <v>4.0189065993738362E-4</v>
      </c>
      <c r="Y314" s="33">
        <f t="shared" si="34"/>
        <v>1.5725012609007808E-3</v>
      </c>
      <c r="Z314" s="54"/>
    </row>
    <row r="315" spans="15:26" x14ac:dyDescent="0.25">
      <c r="O315" s="37" t="s">
        <v>31</v>
      </c>
      <c r="P315" s="31">
        <f>_xll.qlCalendarAdvance(Calendar,P314,O314,"f",,Trigger)</f>
        <v>42878</v>
      </c>
      <c r="Q315" s="31">
        <f>_xll.qlInterestRateIndexValueDate(Index,P315,Trigger)</f>
        <v>42880</v>
      </c>
      <c r="R315" s="31">
        <f>_xll.qlInterestRateIndexMaturity(Index,Q315,Trigger)</f>
        <v>42972</v>
      </c>
      <c r="S315" s="32">
        <f>_xll.qlDayCounterYearFraction(DayCounter,Q315,R315,,,Trigger)</f>
        <v>0.25555555555555554</v>
      </c>
      <c r="T315" s="33">
        <f>_xll.qlIndexFixing(Index,P315,,AllTriggers)</f>
        <v>5.2218492866696741E-4</v>
      </c>
      <c r="U315" s="34">
        <f>_xll.qlYieldTSDiscount(OisCurve,Q315,,AllTriggers)</f>
        <v>1.0030141308111891</v>
      </c>
      <c r="V315" s="34">
        <f>_xll.qlYieldTSDiscount(OisCurve,R315,,AllTriggers)</f>
        <v>1.0032838378472568</v>
      </c>
      <c r="W315" s="33">
        <f t="shared" si="32"/>
        <v>-1.0519210204665407E-3</v>
      </c>
      <c r="X315" s="35">
        <f t="shared" si="33"/>
        <v>4.022987567591974E-4</v>
      </c>
      <c r="Y315" s="33">
        <f t="shared" si="34"/>
        <v>1.574105949133508E-3</v>
      </c>
      <c r="Z315" s="54"/>
    </row>
    <row r="316" spans="15:26" x14ac:dyDescent="0.25">
      <c r="O316" s="37" t="s">
        <v>31</v>
      </c>
      <c r="P316" s="31">
        <f>_xll.qlCalendarAdvance(Calendar,P315,O315,"f",,Trigger)</f>
        <v>42885</v>
      </c>
      <c r="Q316" s="31">
        <f>_xll.qlInterestRateIndexValueDate(Index,P316,Trigger)</f>
        <v>42887</v>
      </c>
      <c r="R316" s="31">
        <f>_xll.qlInterestRateIndexMaturity(Index,Q316,Trigger)</f>
        <v>42979</v>
      </c>
      <c r="S316" s="32">
        <f>_xll.qlDayCounterYearFraction(DayCounter,Q316,R316,,,Trigger)</f>
        <v>0.25555555555555554</v>
      </c>
      <c r="T316" s="33">
        <f>_xll.qlIndexFixing(Index,P316,,AllTriggers)</f>
        <v>5.4282746489862379E-4</v>
      </c>
      <c r="U316" s="34">
        <f>_xll.qlYieldTSDiscount(OisCurve,Q316,,AllTriggers)</f>
        <v>1.0030368628193522</v>
      </c>
      <c r="V316" s="34">
        <f>_xll.qlYieldTSDiscount(OisCurve,R316,,AllTriggers)</f>
        <v>1.0033017132246151</v>
      </c>
      <c r="W316" s="33">
        <f t="shared" si="32"/>
        <v>-1.0329606113177266E-3</v>
      </c>
      <c r="X316" s="35">
        <f t="shared" si="33"/>
        <v>4.0272662471108436E-4</v>
      </c>
      <c r="Y316" s="33">
        <f t="shared" si="34"/>
        <v>1.5757880762163503E-3</v>
      </c>
      <c r="Z316" s="54"/>
    </row>
    <row r="317" spans="15:26" x14ac:dyDescent="0.25">
      <c r="O317" s="37" t="s">
        <v>31</v>
      </c>
      <c r="P317" s="31">
        <f>_xll.qlCalendarAdvance(Calendar,P316,O316,"f",,Trigger)</f>
        <v>42892</v>
      </c>
      <c r="Q317" s="31">
        <f>_xll.qlInterestRateIndexValueDate(Index,P317,Trigger)</f>
        <v>42894</v>
      </c>
      <c r="R317" s="31">
        <f>_xll.qlInterestRateIndexMaturity(Index,Q317,Trigger)</f>
        <v>42986</v>
      </c>
      <c r="S317" s="32">
        <f>_xll.qlDayCounterYearFraction(DayCounter,Q317,R317,,,Trigger)</f>
        <v>0.25555555555555554</v>
      </c>
      <c r="T317" s="33">
        <f>_xll.qlIndexFixing(Index,P317,,AllTriggers)</f>
        <v>5.6365635027769753E-4</v>
      </c>
      <c r="U317" s="34">
        <f>_xll.qlYieldTSDiscount(OisCurve,Q317,,AllTriggers)</f>
        <v>1.0030592391898461</v>
      </c>
      <c r="V317" s="34">
        <f>_xll.qlYieldTSDiscount(OisCurve,R317,,AllTriggers)</f>
        <v>1.0033192029066909</v>
      </c>
      <c r="W317" s="33">
        <f t="shared" si="32"/>
        <v>-1.0138840399316919E-3</v>
      </c>
      <c r="X317" s="35">
        <f t="shared" si="33"/>
        <v>4.0317241043547433E-4</v>
      </c>
      <c r="Y317" s="33">
        <f t="shared" si="34"/>
        <v>1.5775403902093894E-3</v>
      </c>
      <c r="Z317" s="54"/>
    </row>
    <row r="318" spans="15:26" x14ac:dyDescent="0.25">
      <c r="O318" s="37" t="s">
        <v>31</v>
      </c>
      <c r="P318" s="31">
        <f>_xll.qlCalendarAdvance(Calendar,P317,O317,"f",,Trigger)</f>
        <v>42899</v>
      </c>
      <c r="Q318" s="31">
        <f>_xll.qlInterestRateIndexValueDate(Index,P318,Trigger)</f>
        <v>42901</v>
      </c>
      <c r="R318" s="31">
        <f>_xll.qlInterestRateIndexMaturity(Index,Q318,Trigger)</f>
        <v>42993</v>
      </c>
      <c r="S318" s="32">
        <f>_xll.qlDayCounterYearFraction(DayCounter,Q318,R318,,,Trigger)</f>
        <v>0.25555555555555554</v>
      </c>
      <c r="T318" s="33">
        <f>_xll.qlIndexFixing(Index,P318,,AllTriggers)</f>
        <v>5.846643344230236E-4</v>
      </c>
      <c r="U318" s="34">
        <f>_xll.qlYieldTSDiscount(OisCurve,Q318,,AllTriggers)</f>
        <v>1.0030812576343826</v>
      </c>
      <c r="V318" s="34">
        <f>_xll.qlYieldTSDiscount(OisCurve,R318,,AllTriggers)</f>
        <v>1.0033363046082622</v>
      </c>
      <c r="W318" s="33">
        <f t="shared" si="32"/>
        <v>-9.9469130460632022E-4</v>
      </c>
      <c r="X318" s="35">
        <f t="shared" si="33"/>
        <v>4.0363426057307385E-4</v>
      </c>
      <c r="Y318" s="33">
        <f t="shared" si="34"/>
        <v>1.5793556390293439E-3</v>
      </c>
      <c r="Z318" s="54"/>
    </row>
    <row r="319" spans="15:26" x14ac:dyDescent="0.25">
      <c r="O319" s="37" t="s">
        <v>31</v>
      </c>
      <c r="P319" s="31">
        <f>_xll.qlCalendarAdvance(Calendar,P318,O318,"f",,Trigger)</f>
        <v>42906</v>
      </c>
      <c r="Q319" s="31">
        <f>_xll.qlInterestRateIndexValueDate(Index,P319,Trigger)</f>
        <v>42908</v>
      </c>
      <c r="R319" s="31">
        <f>_xll.qlInterestRateIndexMaturity(Index,Q319,Trigger)</f>
        <v>43000</v>
      </c>
      <c r="S319" s="32">
        <f>_xll.qlDayCounterYearFraction(DayCounter,Q319,R319,,,Trigger)</f>
        <v>0.25555555555555554</v>
      </c>
      <c r="T319" s="33">
        <f>_xll.qlIndexFixing(Index,P319,,AllTriggers)</f>
        <v>6.058453757230431E-4</v>
      </c>
      <c r="U319" s="34">
        <f>_xll.qlYieldTSDiscount(OisCurve,Q319,,AllTriggers)</f>
        <v>1.0031029158648559</v>
      </c>
      <c r="V319" s="34">
        <f>_xll.qlYieldTSDiscount(OisCurve,R319,,AllTriggers)</f>
        <v>1.0033530160444017</v>
      </c>
      <c r="W319" s="33">
        <f t="shared" si="32"/>
        <v>-9.7538240363515005E-4</v>
      </c>
      <c r="X319" s="35">
        <f t="shared" si="33"/>
        <v>4.041106306593584E-4</v>
      </c>
      <c r="Y319" s="33">
        <f t="shared" si="34"/>
        <v>1.5812277793581932E-3</v>
      </c>
      <c r="Z319" s="54"/>
    </row>
    <row r="320" spans="15:26" x14ac:dyDescent="0.25">
      <c r="O320" s="37" t="s">
        <v>31</v>
      </c>
      <c r="P320" s="31">
        <f>_xll.qlCalendarAdvance(Calendar,P319,O319,"f",,Trigger)</f>
        <v>42913</v>
      </c>
      <c r="Q320" s="31">
        <f>_xll.qlInterestRateIndexValueDate(Index,P320,Trigger)</f>
        <v>42915</v>
      </c>
      <c r="R320" s="31">
        <f>_xll.qlInterestRateIndexMaturity(Index,Q320,Trigger)</f>
        <v>43007</v>
      </c>
      <c r="S320" s="32">
        <f>_xll.qlDayCounterYearFraction(DayCounter,Q320,R320,,,Trigger)</f>
        <v>0.25555555555555554</v>
      </c>
      <c r="T320" s="33">
        <f>_xll.qlIndexFixing(Index,P320,,AllTriggers)</f>
        <v>6.2719826808079469E-4</v>
      </c>
      <c r="U320" s="34">
        <f>_xll.qlYieldTSDiscount(OisCurve,Q320,,AllTriggers)</f>
        <v>1.0031242115933512</v>
      </c>
      <c r="V320" s="34">
        <f>_xll.qlYieldTSDiscount(OisCurve,R320,,AllTriggers)</f>
        <v>1.0033693349304849</v>
      </c>
      <c r="W320" s="33">
        <f t="shared" si="32"/>
        <v>-9.5595733529868748E-4</v>
      </c>
      <c r="X320" s="35">
        <f t="shared" si="33"/>
        <v>4.0460121180130055E-4</v>
      </c>
      <c r="Y320" s="33">
        <f t="shared" si="34"/>
        <v>1.5831556033794822E-3</v>
      </c>
      <c r="Z320" s="54"/>
    </row>
    <row r="321" spans="15:26" x14ac:dyDescent="0.25">
      <c r="O321" s="37" t="s">
        <v>31</v>
      </c>
      <c r="P321" s="31">
        <f>_xll.qlCalendarAdvance(Calendar,P320,O320,"f",,Trigger)</f>
        <v>42920</v>
      </c>
      <c r="Q321" s="31">
        <f>_xll.qlInterestRateIndexValueDate(Index,P321,Trigger)</f>
        <v>42922</v>
      </c>
      <c r="R321" s="31">
        <f>_xll.qlInterestRateIndexMaturity(Index,Q321,Trigger)</f>
        <v>43014</v>
      </c>
      <c r="S321" s="32">
        <f>_xll.qlDayCounterYearFraction(DayCounter,Q321,R321,,,Trigger)</f>
        <v>0.25555555555555554</v>
      </c>
      <c r="T321" s="33">
        <f>_xll.qlIndexFixing(Index,P321,,AllTriggers)</f>
        <v>6.4872301430707324E-4</v>
      </c>
      <c r="U321" s="34">
        <f>_xll.qlYieldTSDiscount(OisCurve,Q321,,AllTriggers)</f>
        <v>1.0031451425321525</v>
      </c>
      <c r="V321" s="34">
        <f>_xll.qlYieldTSDiscount(OisCurve,R321,,AllTriggers)</f>
        <v>1.0033852589821981</v>
      </c>
      <c r="W321" s="33">
        <f t="shared" si="32"/>
        <v>-9.3641609786788082E-4</v>
      </c>
      <c r="X321" s="35">
        <f t="shared" si="33"/>
        <v>4.0510600399862692E-4</v>
      </c>
      <c r="Y321" s="33">
        <f t="shared" si="34"/>
        <v>1.585139112174954E-3</v>
      </c>
      <c r="Z321" s="54"/>
    </row>
    <row r="322" spans="15:26" x14ac:dyDescent="0.25">
      <c r="O322" s="37" t="s">
        <v>31</v>
      </c>
      <c r="P322" s="31">
        <f>_xll.qlCalendarAdvance(Calendar,P321,O321,"f",,Trigger)</f>
        <v>42927</v>
      </c>
      <c r="Q322" s="31">
        <f>_xll.qlInterestRateIndexValueDate(Index,P322,Trigger)</f>
        <v>42929</v>
      </c>
      <c r="R322" s="31">
        <f>_xll.qlInterestRateIndexMaturity(Index,Q322,Trigger)</f>
        <v>43021</v>
      </c>
      <c r="S322" s="32">
        <f>_xll.qlDayCounterYearFraction(DayCounter,Q322,R322,,,Trigger)</f>
        <v>0.25555555555555554</v>
      </c>
      <c r="T322" s="33">
        <f>_xll.qlIndexFixing(Index,P322,,AllTriggers)</f>
        <v>6.7041961723700251E-4</v>
      </c>
      <c r="U322" s="34">
        <f>_xll.qlYieldTSDiscount(OisCurve,Q322,,AllTriggers)</f>
        <v>1.0031657063937516</v>
      </c>
      <c r="V322" s="34">
        <f>_xll.qlYieldTSDiscount(OisCurve,R322,,AllTriggers)</f>
        <v>1.0034007859155489</v>
      </c>
      <c r="W322" s="33">
        <f t="shared" si="32"/>
        <v>-9.1675868960238317E-4</v>
      </c>
      <c r="X322" s="35">
        <f t="shared" si="33"/>
        <v>4.0562500725156806E-4</v>
      </c>
      <c r="Y322" s="33">
        <f t="shared" si="34"/>
        <v>1.5871783068393858E-3</v>
      </c>
      <c r="Z322" s="54"/>
    </row>
    <row r="323" spans="15:26" x14ac:dyDescent="0.25">
      <c r="O323" s="37" t="s">
        <v>31</v>
      </c>
      <c r="P323" s="31">
        <f>_xll.qlCalendarAdvance(Calendar,P322,O322,"f",,Trigger)</f>
        <v>42934</v>
      </c>
      <c r="Q323" s="31">
        <f>_xll.qlInterestRateIndexValueDate(Index,P323,Trigger)</f>
        <v>42936</v>
      </c>
      <c r="R323" s="31">
        <f>_xll.qlInterestRateIndexMaturity(Index,Q323,Trigger)</f>
        <v>43028</v>
      </c>
      <c r="S323" s="32">
        <f>_xll.qlDayCounterYearFraction(DayCounter,Q323,R323,,,Trigger)</f>
        <v>0.25555555555555554</v>
      </c>
      <c r="T323" s="33">
        <f>_xll.qlIndexFixing(Index,P323,,AllTriggers)</f>
        <v>6.9228807972829634E-4</v>
      </c>
      <c r="U323" s="34">
        <f>_xll.qlYieldTSDiscount(OisCurve,Q323,,AllTriggers)</f>
        <v>1.0031859008908559</v>
      </c>
      <c r="V323" s="34">
        <f>_xll.qlYieldTSDiscount(OisCurve,R323,,AllTriggers)</f>
        <v>1.0034159134468743</v>
      </c>
      <c r="W323" s="33">
        <f t="shared" si="32"/>
        <v>-8.9698510875142084E-4</v>
      </c>
      <c r="X323" s="35">
        <f t="shared" si="33"/>
        <v>4.0615822156019255E-4</v>
      </c>
      <c r="Y323" s="33">
        <f t="shared" si="34"/>
        <v>1.5892731884797171E-3</v>
      </c>
      <c r="Z323" s="54"/>
    </row>
    <row r="324" spans="15:26" x14ac:dyDescent="0.25">
      <c r="O324" s="37" t="s">
        <v>31</v>
      </c>
      <c r="P324" s="31">
        <f>_xll.qlCalendarAdvance(Calendar,P323,O323,"f",,Trigger)</f>
        <v>42941</v>
      </c>
      <c r="Q324" s="31">
        <f>_xll.qlInterestRateIndexValueDate(Index,P324,Trigger)</f>
        <v>42943</v>
      </c>
      <c r="R324" s="31">
        <f>_xll.qlInterestRateIndexMaturity(Index,Q324,Trigger)</f>
        <v>43035</v>
      </c>
      <c r="S324" s="32">
        <f>_xll.qlDayCounterYearFraction(DayCounter,Q324,R324,,,Trigger)</f>
        <v>0.25555555555555554</v>
      </c>
      <c r="T324" s="33">
        <f>_xll.qlIndexFixing(Index,P324,,AllTriggers)</f>
        <v>7.1432840465778392E-4</v>
      </c>
      <c r="U324" s="34">
        <f>_xll.qlYieldTSDiscount(OisCurve,Q324,,AllTriggers)</f>
        <v>1.003205723736396</v>
      </c>
      <c r="V324" s="34">
        <f>_xll.qlYieldTSDiscount(OisCurve,R324,,AllTriggers)</f>
        <v>1.0034306392928496</v>
      </c>
      <c r="W324" s="33">
        <f t="shared" ref="W324:W387" si="35">(U324/V324-1)/S324</f>
        <v>-8.7709535355640089E-4</v>
      </c>
      <c r="X324" s="35">
        <f t="shared" ref="X324:X387" si="36">LN((1+T324*S324)/(1+W324*S324))</f>
        <v>4.0670564692440694E-4</v>
      </c>
      <c r="Y324" s="33">
        <f t="shared" ref="Y324:Y387" si="37">T324-W324</f>
        <v>1.5914237582141848E-3</v>
      </c>
      <c r="Z324" s="54"/>
    </row>
    <row r="325" spans="15:26" x14ac:dyDescent="0.25">
      <c r="O325" s="37" t="s">
        <v>31</v>
      </c>
      <c r="P325" s="31">
        <f>_xll.qlCalendarAdvance(Calendar,P324,O324,"f",,Trigger)</f>
        <v>42948</v>
      </c>
      <c r="Q325" s="31">
        <f>_xll.qlInterestRateIndexValueDate(Index,P325,Trigger)</f>
        <v>42950</v>
      </c>
      <c r="R325" s="31">
        <f>_xll.qlInterestRateIndexMaturity(Index,Q325,Trigger)</f>
        <v>43042</v>
      </c>
      <c r="S325" s="32">
        <f>_xll.qlDayCounterYearFraction(DayCounter,Q325,R325,,,Trigger)</f>
        <v>0.25555555555555554</v>
      </c>
      <c r="T325" s="33">
        <f>_xll.qlIndexFixing(Index,P325,,AllTriggers)</f>
        <v>7.365405949300985E-4</v>
      </c>
      <c r="U325" s="34">
        <f>_xll.qlYieldTSDiscount(OisCurve,Q325,,AllTriggers)</f>
        <v>1.0032251726435359</v>
      </c>
      <c r="V325" s="34">
        <f>_xll.qlYieldTSDiscount(OisCurve,R325,,AllTriggers)</f>
        <v>1.0034449611704974</v>
      </c>
      <c r="W325" s="33">
        <f t="shared" si="35"/>
        <v>-8.5708942224395899E-4</v>
      </c>
      <c r="X325" s="35">
        <f t="shared" si="36"/>
        <v>4.0726728334395588E-4</v>
      </c>
      <c r="Y325" s="33">
        <f t="shared" si="37"/>
        <v>1.5936300171740575E-3</v>
      </c>
      <c r="Z325" s="54"/>
    </row>
    <row r="326" spans="15:26" x14ac:dyDescent="0.25">
      <c r="O326" s="37" t="s">
        <v>31</v>
      </c>
      <c r="P326" s="31">
        <f>_xll.qlCalendarAdvance(Calendar,P325,O325,"f",,Trigger)</f>
        <v>42955</v>
      </c>
      <c r="Q326" s="31">
        <f>_xll.qlInterestRateIndexValueDate(Index,P326,Trigger)</f>
        <v>42957</v>
      </c>
      <c r="R326" s="31">
        <f>_xll.qlInterestRateIndexMaturity(Index,Q326,Trigger)</f>
        <v>43049</v>
      </c>
      <c r="S326" s="32">
        <f>_xll.qlDayCounterYearFraction(DayCounter,Q326,R326,,,Trigger)</f>
        <v>0.25555555555555554</v>
      </c>
      <c r="T326" s="33">
        <f>_xll.qlIndexFixing(Index,P326,,AllTriggers)</f>
        <v>7.5892465346898814E-4</v>
      </c>
      <c r="U326" s="34">
        <f>_xll.qlYieldTSDiscount(OisCurve,Q326,,AllTriggers)</f>
        <v>1.0032442453256798</v>
      </c>
      <c r="V326" s="34">
        <f>_xll.qlYieldTSDiscount(OisCurve,R326,,AllTriggers)</f>
        <v>1.0034588767971981</v>
      </c>
      <c r="W326" s="33">
        <f t="shared" si="35"/>
        <v>-8.3696731303551796E-4</v>
      </c>
      <c r="X326" s="35">
        <f t="shared" si="36"/>
        <v>4.0784313081953182E-4</v>
      </c>
      <c r="Y326" s="33">
        <f t="shared" si="37"/>
        <v>1.5958919665045061E-3</v>
      </c>
      <c r="Z326" s="54"/>
    </row>
    <row r="327" spans="15:26" x14ac:dyDescent="0.25">
      <c r="O327" s="37" t="s">
        <v>31</v>
      </c>
      <c r="P327" s="31">
        <f>_xll.qlCalendarAdvance(Calendar,P326,O326,"f",,Trigger)</f>
        <v>42962</v>
      </c>
      <c r="Q327" s="31">
        <f>_xll.qlInterestRateIndexValueDate(Index,P327,Trigger)</f>
        <v>42964</v>
      </c>
      <c r="R327" s="31">
        <f>_xll.qlInterestRateIndexMaturity(Index,Q327,Trigger)</f>
        <v>43056</v>
      </c>
      <c r="S327" s="32">
        <f>_xll.qlDayCounterYearFraction(DayCounter,Q327,R327,,,Trigger)</f>
        <v>0.25555555555555554</v>
      </c>
      <c r="T327" s="33">
        <f>_xll.qlIndexFixing(Index,P327,,AllTriggers)</f>
        <v>7.8148058322252939E-4</v>
      </c>
      <c r="U327" s="34">
        <f>_xll.qlYieldTSDiscount(OisCurve,Q327,,AllTriggers)</f>
        <v>1.0032629394964818</v>
      </c>
      <c r="V327" s="34">
        <f>_xll.qlYieldTSDiscount(OisCurve,R327,,AllTriggers)</f>
        <v>1.0034723838906969</v>
      </c>
      <c r="W327" s="33">
        <f t="shared" si="35"/>
        <v>-8.1672902413512302E-4</v>
      </c>
      <c r="X327" s="35">
        <f t="shared" si="36"/>
        <v>4.0843318935011142E-4</v>
      </c>
      <c r="Y327" s="33">
        <f t="shared" si="37"/>
        <v>1.5982096073576524E-3</v>
      </c>
      <c r="Z327" s="54"/>
    </row>
    <row r="328" spans="15:26" x14ac:dyDescent="0.25">
      <c r="O328" s="37" t="s">
        <v>31</v>
      </c>
      <c r="P328" s="31">
        <f>_xll.qlCalendarAdvance(Calendar,P327,O327,"f",,Trigger)</f>
        <v>42969</v>
      </c>
      <c r="Q328" s="31">
        <f>_xll.qlInterestRateIndexValueDate(Index,P328,Trigger)</f>
        <v>42971</v>
      </c>
      <c r="R328" s="31">
        <f>_xll.qlInterestRateIndexMaturity(Index,Q328,Trigger)</f>
        <v>43063</v>
      </c>
      <c r="S328" s="32">
        <f>_xll.qlDayCounterYearFraction(DayCounter,Q328,R328,,,Trigger)</f>
        <v>0.25555555555555554</v>
      </c>
      <c r="T328" s="33">
        <f>_xll.qlIndexFixing(Index,P328,,AllTriggers)</f>
        <v>8.0420838715965172E-4</v>
      </c>
      <c r="U328" s="34">
        <f>_xll.qlYieldTSDiscount(OisCurve,Q328,,AllTriggers)</f>
        <v>1.0032812528698531</v>
      </c>
      <c r="V328" s="34">
        <f>_xll.qlYieldTSDiscount(OisCurve,R328,,AllTriggers)</f>
        <v>1.0034854801691151</v>
      </c>
      <c r="W328" s="33">
        <f t="shared" si="35"/>
        <v>-7.9637455374551632E-4</v>
      </c>
      <c r="X328" s="35">
        <f t="shared" si="36"/>
        <v>4.0903745893650708E-4</v>
      </c>
      <c r="Y328" s="33">
        <f t="shared" si="37"/>
        <v>1.6005829409051681E-3</v>
      </c>
      <c r="Z328" s="54"/>
    </row>
    <row r="329" spans="15:26" x14ac:dyDescent="0.25">
      <c r="O329" s="37" t="s">
        <v>31</v>
      </c>
      <c r="P329" s="31">
        <f>_xll.qlCalendarAdvance(Calendar,P328,O328,"f",,Trigger)</f>
        <v>42976</v>
      </c>
      <c r="Q329" s="31">
        <f>_xll.qlInterestRateIndexValueDate(Index,P329,Trigger)</f>
        <v>42978</v>
      </c>
      <c r="R329" s="31">
        <f>_xll.qlInterestRateIndexMaturity(Index,Q329,Trigger)</f>
        <v>43069</v>
      </c>
      <c r="S329" s="32">
        <f>_xll.qlDayCounterYearFraction(DayCounter,Q329,R329,,,Trigger)</f>
        <v>0.25277777777777777</v>
      </c>
      <c r="T329" s="33">
        <f>_xll.qlIndexFixing(Index,P329,,AllTriggers)</f>
        <v>8.2543900479539777E-4</v>
      </c>
      <c r="U329" s="34">
        <f>_xll.qlYieldTSDiscount(OisCurve,Q329,,AllTriggers)</f>
        <v>1.003299183159972</v>
      </c>
      <c r="V329" s="34">
        <f>_xll.qlYieldTSDiscount(OisCurve,R329,,AllTriggers)</f>
        <v>1.0034963768459244</v>
      </c>
      <c r="W329" s="33">
        <f t="shared" si="35"/>
        <v>-7.7738884512360766E-4</v>
      </c>
      <c r="X329" s="35">
        <f t="shared" si="36"/>
        <v>4.0515680708535704E-4</v>
      </c>
      <c r="Y329" s="33">
        <f t="shared" si="37"/>
        <v>1.6028278499190054E-3</v>
      </c>
      <c r="Z329" s="54"/>
    </row>
    <row r="330" spans="15:26" x14ac:dyDescent="0.25">
      <c r="O330" s="37" t="s">
        <v>31</v>
      </c>
      <c r="P330" s="31">
        <f>_xll.qlCalendarAdvance(Calendar,P329,O329,"f",,Trigger)</f>
        <v>42983</v>
      </c>
      <c r="Q330" s="31">
        <f>_xll.qlInterestRateIndexValueDate(Index,P330,Trigger)</f>
        <v>42985</v>
      </c>
      <c r="R330" s="31">
        <f>_xll.qlInterestRateIndexMaturity(Index,Q330,Trigger)</f>
        <v>43076</v>
      </c>
      <c r="S330" s="32">
        <f>_xll.qlDayCounterYearFraction(DayCounter,Q330,R330,,,Trigger)</f>
        <v>0.25277777777777777</v>
      </c>
      <c r="T330" s="33">
        <f>_xll.qlIndexFixing(Index,P330,,AllTriggers)</f>
        <v>8.4849823508238189E-4</v>
      </c>
      <c r="U330" s="34">
        <f>_xll.qlYieldTSDiscount(OisCurve,Q330,,AllTriggers)</f>
        <v>1.0033167280812918</v>
      </c>
      <c r="V330" s="34">
        <f>_xll.qlYieldTSDiscount(OisCurve,R330,,AllTriggers)</f>
        <v>1.0035087041294024</v>
      </c>
      <c r="W330" s="33">
        <f t="shared" si="35"/>
        <v>-7.5681026154313363E-4</v>
      </c>
      <c r="X330" s="35">
        <f t="shared" si="36"/>
        <v>4.0578161765690438E-4</v>
      </c>
      <c r="Y330" s="33">
        <f t="shared" si="37"/>
        <v>1.6053084966255156E-3</v>
      </c>
      <c r="Z330" s="54"/>
    </row>
    <row r="331" spans="15:26" x14ac:dyDescent="0.25">
      <c r="O331" s="37" t="s">
        <v>31</v>
      </c>
      <c r="P331" s="31">
        <f>_xll.qlCalendarAdvance(Calendar,P330,O330,"f",,Trigger)</f>
        <v>42990</v>
      </c>
      <c r="Q331" s="31">
        <f>_xll.qlInterestRateIndexValueDate(Index,P331,Trigger)</f>
        <v>42992</v>
      </c>
      <c r="R331" s="31">
        <f>_xll.qlInterestRateIndexMaturity(Index,Q331,Trigger)</f>
        <v>43083</v>
      </c>
      <c r="S331" s="32">
        <f>_xll.qlDayCounterYearFraction(DayCounter,Q331,R331,,,Trigger)</f>
        <v>0.25277777777777777</v>
      </c>
      <c r="T331" s="33">
        <f>_xll.qlIndexFixing(Index,P331,,AllTriggers)</f>
        <v>8.7172934648881324E-4</v>
      </c>
      <c r="U331" s="34">
        <f>_xll.qlYieldTSDiscount(OisCurve,Q331,,AllTriggers)</f>
        <v>1.0033338853485501</v>
      </c>
      <c r="V331" s="34">
        <f>_xll.qlYieldTSDiscount(OisCurve,R331,,AllTriggers)</f>
        <v>1.0035206140802955</v>
      </c>
      <c r="W331" s="33">
        <f t="shared" si="35"/>
        <v>-7.3611549207493567E-4</v>
      </c>
      <c r="X331" s="35">
        <f t="shared" si="36"/>
        <v>4.0642048481652341E-4</v>
      </c>
      <c r="Y331" s="33">
        <f t="shared" si="37"/>
        <v>1.607844838563749E-3</v>
      </c>
      <c r="Z331" s="54"/>
    </row>
    <row r="332" spans="15:26" x14ac:dyDescent="0.25">
      <c r="O332" s="37" t="s">
        <v>31</v>
      </c>
      <c r="P332" s="31">
        <f>_xll.qlCalendarAdvance(Calendar,P331,O331,"f",,Trigger)</f>
        <v>42997</v>
      </c>
      <c r="Q332" s="31">
        <f>_xll.qlInterestRateIndexValueDate(Index,P332,Trigger)</f>
        <v>42999</v>
      </c>
      <c r="R332" s="31">
        <f>_xll.qlInterestRateIndexMaturity(Index,Q332,Trigger)</f>
        <v>43090</v>
      </c>
      <c r="S332" s="32">
        <f>_xll.qlDayCounterYearFraction(DayCounter,Q332,R332,,,Trigger)</f>
        <v>0.25277777777777777</v>
      </c>
      <c r="T332" s="33">
        <f>_xll.qlIndexFixing(Index,P332,,AllTriggers)</f>
        <v>8.9513234203996415E-4</v>
      </c>
      <c r="U332" s="34">
        <f>_xll.qlYieldTSDiscount(OisCurve,Q332,,AllTriggers)</f>
        <v>1.0033506526767764</v>
      </c>
      <c r="V332" s="34">
        <f>_xll.qlYieldTSDiscount(OisCurve,R332,,AllTriggers)</f>
        <v>1.0035321044182584</v>
      </c>
      <c r="W332" s="33">
        <f t="shared" si="35"/>
        <v>-7.1530453489541761E-4</v>
      </c>
      <c r="X332" s="35">
        <f t="shared" si="36"/>
        <v>4.0707340856368558E-4</v>
      </c>
      <c r="Y332" s="33">
        <f t="shared" si="37"/>
        <v>1.6104368769353818E-3</v>
      </c>
      <c r="Z332" s="54"/>
    </row>
    <row r="333" spans="15:26" x14ac:dyDescent="0.25">
      <c r="O333" s="37" t="s">
        <v>31</v>
      </c>
      <c r="P333" s="31">
        <f>_xll.qlCalendarAdvance(Calendar,P332,O332,"f",,Trigger)</f>
        <v>43004</v>
      </c>
      <c r="Q333" s="31">
        <f>_xll.qlInterestRateIndexValueDate(Index,P333,Trigger)</f>
        <v>43006</v>
      </c>
      <c r="R333" s="31">
        <f>_xll.qlInterestRateIndexMaturity(Index,Q333,Trigger)</f>
        <v>43097</v>
      </c>
      <c r="S333" s="32">
        <f>_xll.qlDayCounterYearFraction(DayCounter,Q333,R333,,,Trigger)</f>
        <v>0.25277777777777777</v>
      </c>
      <c r="T333" s="33">
        <f>_xll.qlIndexFixing(Index,P333,,AllTriggers)</f>
        <v>9.1870722478306732E-4</v>
      </c>
      <c r="U333" s="34">
        <f>_xll.qlYieldTSDiscount(OisCurve,Q333,,AllTriggers)</f>
        <v>1.003367027781302</v>
      </c>
      <c r="V333" s="34">
        <f>_xll.qlYieldTSDiscount(OisCurve,R333,,AllTriggers)</f>
        <v>1.0035431728633675</v>
      </c>
      <c r="W333" s="33">
        <f t="shared" si="35"/>
        <v>-6.9437738817307738E-4</v>
      </c>
      <c r="X333" s="35">
        <f t="shared" si="36"/>
        <v>4.0774038889860133E-4</v>
      </c>
      <c r="Y333" s="33">
        <f t="shared" si="37"/>
        <v>1.6130846129561447E-3</v>
      </c>
      <c r="Z333" s="54"/>
    </row>
    <row r="334" spans="15:26" x14ac:dyDescent="0.25">
      <c r="O334" s="37" t="s">
        <v>31</v>
      </c>
      <c r="P334" s="31">
        <f>_xll.qlCalendarAdvance(Calendar,P333,O333,"f",,Trigger)</f>
        <v>43011</v>
      </c>
      <c r="Q334" s="31">
        <f>_xll.qlInterestRateIndexValueDate(Index,P334,Trigger)</f>
        <v>43013</v>
      </c>
      <c r="R334" s="31">
        <f>_xll.qlInterestRateIndexMaturity(Index,Q334,Trigger)</f>
        <v>43105</v>
      </c>
      <c r="S334" s="32">
        <f>_xll.qlDayCounterYearFraction(DayCounter,Q334,R334,,,Trigger)</f>
        <v>0.25555555555555554</v>
      </c>
      <c r="T334" s="33">
        <f>_xll.qlIndexFixing(Index,P334,,AllTriggers)</f>
        <v>9.4418473783441936E-4</v>
      </c>
      <c r="U334" s="34">
        <f>_xll.qlYieldTSDiscount(OisCurve,Q334,,AllTriggers)</f>
        <v>1.0033830083777693</v>
      </c>
      <c r="V334" s="34">
        <f>_xll.qlYieldTSDiscount(OisCurve,R334,,AllTriggers)</f>
        <v>1.0035553029873145</v>
      </c>
      <c r="W334" s="33">
        <f t="shared" si="35"/>
        <v>-6.7180781787883244E-4</v>
      </c>
      <c r="X334" s="35">
        <f t="shared" si="36"/>
        <v>4.1296150862213534E-4</v>
      </c>
      <c r="Y334" s="33">
        <f t="shared" si="37"/>
        <v>1.6159925557132518E-3</v>
      </c>
      <c r="Z334" s="54"/>
    </row>
    <row r="335" spans="15:26" x14ac:dyDescent="0.25">
      <c r="O335" s="37" t="s">
        <v>31</v>
      </c>
      <c r="P335" s="31">
        <f>_xll.qlCalendarAdvance(Calendar,P334,O334,"f",,Trigger)</f>
        <v>43018</v>
      </c>
      <c r="Q335" s="31">
        <f>_xll.qlInterestRateIndexValueDate(Index,P335,Trigger)</f>
        <v>43020</v>
      </c>
      <c r="R335" s="31">
        <f>_xll.qlInterestRateIndexMaturity(Index,Q335,Trigger)</f>
        <v>43112</v>
      </c>
      <c r="S335" s="32">
        <f>_xll.qlDayCounterYearFraction(DayCounter,Q335,R335,,,Trigger)</f>
        <v>0.25555555555555554</v>
      </c>
      <c r="T335" s="33">
        <f>_xll.qlIndexFixing(Index,P335,,AllTriggers)</f>
        <v>9.681157461268211E-4</v>
      </c>
      <c r="U335" s="34">
        <f>_xll.qlYieldTSDiscount(OisCurve,Q335,,AllTriggers)</f>
        <v>1.0033985921821389</v>
      </c>
      <c r="V335" s="34">
        <f>_xll.qlYieldTSDiscount(OisCurve,R335,,AllTriggers)</f>
        <v>1.0035654597010266</v>
      </c>
      <c r="W335" s="33">
        <f t="shared" si="35"/>
        <v>-6.5064002572537546E-4</v>
      </c>
      <c r="X335" s="35">
        <f t="shared" si="36"/>
        <v>4.136652555972844E-4</v>
      </c>
      <c r="Y335" s="33">
        <f t="shared" si="37"/>
        <v>1.6187557718521967E-3</v>
      </c>
      <c r="Z335" s="54"/>
    </row>
    <row r="336" spans="15:26" x14ac:dyDescent="0.25">
      <c r="O336" s="37" t="s">
        <v>31</v>
      </c>
      <c r="P336" s="31">
        <f>_xll.qlCalendarAdvance(Calendar,P335,O335,"f",,Trigger)</f>
        <v>43025</v>
      </c>
      <c r="Q336" s="31">
        <f>_xll.qlInterestRateIndexValueDate(Index,P336,Trigger)</f>
        <v>43027</v>
      </c>
      <c r="R336" s="31">
        <f>_xll.qlInterestRateIndexMaturity(Index,Q336,Trigger)</f>
        <v>43119</v>
      </c>
      <c r="S336" s="32">
        <f>_xll.qlDayCounterYearFraction(DayCounter,Q336,R336,,,Trigger)</f>
        <v>0.25555555555555554</v>
      </c>
      <c r="T336" s="33">
        <f>_xll.qlIndexFixing(Index,P336,,AllTriggers)</f>
        <v>9.9221865317966618E-4</v>
      </c>
      <c r="U336" s="34">
        <f>_xll.qlYieldTSDiscount(OisCurve,Q336,,AllTriggers)</f>
        <v>1.0034137769106999</v>
      </c>
      <c r="V336" s="34">
        <f>_xll.qlYieldTSDiscount(OisCurve,R336,,AllTriggers)</f>
        <v>1.0035751873592553</v>
      </c>
      <c r="W336" s="33">
        <f t="shared" si="35"/>
        <v>-6.2935603729410148E-4</v>
      </c>
      <c r="X336" s="35">
        <f t="shared" si="36"/>
        <v>4.1438321362825082E-4</v>
      </c>
      <c r="Y336" s="33">
        <f t="shared" si="37"/>
        <v>1.6215746904737678E-3</v>
      </c>
      <c r="Z336" s="54"/>
    </row>
    <row r="337" spans="15:26" x14ac:dyDescent="0.25">
      <c r="O337" s="37" t="s">
        <v>31</v>
      </c>
      <c r="P337" s="31">
        <f>_xll.qlCalendarAdvance(Calendar,P336,O336,"f",,Trigger)</f>
        <v>43032</v>
      </c>
      <c r="Q337" s="31">
        <f>_xll.qlInterestRateIndexValueDate(Index,P337,Trigger)</f>
        <v>43034</v>
      </c>
      <c r="R337" s="31">
        <f>_xll.qlInterestRateIndexMaturity(Index,Q337,Trigger)</f>
        <v>43126</v>
      </c>
      <c r="S337" s="32">
        <f>_xll.qlDayCounterYearFraction(DayCounter,Q337,R337,,,Trigger)</f>
        <v>0.25555555555555554</v>
      </c>
      <c r="T337" s="33">
        <f>_xll.qlIndexFixing(Index,P337,,AllTriggers)</f>
        <v>1.0164934621669376E-3</v>
      </c>
      <c r="U337" s="34">
        <f>_xll.qlYieldTSDiscount(OisCurve,Q337,,AllTriggers)</f>
        <v>1.0034285602800785</v>
      </c>
      <c r="V337" s="34">
        <f>_xll.qlYieldTSDiscount(OisCurve,R337,,AllTriggers)</f>
        <v>1.0035844836839214</v>
      </c>
      <c r="W337" s="33">
        <f t="shared" si="35"/>
        <v>-6.0795585068826687E-4</v>
      </c>
      <c r="X337" s="35">
        <f t="shared" si="36"/>
        <v>4.1511538271505488E-4</v>
      </c>
      <c r="Y337" s="33">
        <f t="shared" si="37"/>
        <v>1.6244493128552044E-3</v>
      </c>
      <c r="Z337" s="54"/>
    </row>
    <row r="338" spans="15:26" x14ac:dyDescent="0.25">
      <c r="O338" s="37" t="s">
        <v>31</v>
      </c>
      <c r="P338" s="31">
        <f>_xll.qlCalendarAdvance(Calendar,P337,O337,"f",,Trigger)</f>
        <v>43039</v>
      </c>
      <c r="Q338" s="31">
        <f>_xll.qlInterestRateIndexValueDate(Index,P338,Trigger)</f>
        <v>43041</v>
      </c>
      <c r="R338" s="31">
        <f>_xll.qlInterestRateIndexMaturity(Index,Q338,Trigger)</f>
        <v>43133</v>
      </c>
      <c r="S338" s="32">
        <f>_xll.qlDayCounterYearFraction(DayCounter,Q338,R338,,,Trigger)</f>
        <v>0.25555555555555554</v>
      </c>
      <c r="T338" s="33">
        <f>_xll.qlIndexFixing(Index,P338,,AllTriggers)</f>
        <v>1.0409401762843397E-3</v>
      </c>
      <c r="U338" s="34">
        <f>_xll.qlYieldTSDiscount(OisCurve,Q338,,AllTriggers)</f>
        <v>1.0034429400072484</v>
      </c>
      <c r="V338" s="34">
        <f>_xll.qlYieldTSDiscount(OisCurve,R338,,AllTriggers)</f>
        <v>1.0035933463974167</v>
      </c>
      <c r="W338" s="33">
        <f t="shared" si="35"/>
        <v>-5.8643946400157047E-4</v>
      </c>
      <c r="X338" s="35">
        <f t="shared" si="36"/>
        <v>4.1586176285688899E-4</v>
      </c>
      <c r="Y338" s="33">
        <f t="shared" si="37"/>
        <v>1.6273796402859102E-3</v>
      </c>
      <c r="Z338" s="54"/>
    </row>
    <row r="339" spans="15:26" x14ac:dyDescent="0.25">
      <c r="O339" s="37" t="s">
        <v>31</v>
      </c>
      <c r="P339" s="31">
        <f>_xll.qlCalendarAdvance(Calendar,P338,O338,"f",,Trigger)</f>
        <v>43046</v>
      </c>
      <c r="Q339" s="31">
        <f>_xll.qlInterestRateIndexValueDate(Index,P339,Trigger)</f>
        <v>43048</v>
      </c>
      <c r="R339" s="31">
        <f>_xll.qlInterestRateIndexMaturity(Index,Q339,Trigger)</f>
        <v>43140</v>
      </c>
      <c r="S339" s="32">
        <f>_xll.qlDayCounterYearFraction(DayCounter,Q339,R339,,,Trigger)</f>
        <v>0.25555555555555554</v>
      </c>
      <c r="T339" s="33">
        <f>_xll.qlIndexFixing(Index,P339,,AllTriggers)</f>
        <v>1.0655587987519056E-3</v>
      </c>
      <c r="U339" s="34">
        <f>_xll.qlYieldTSDiscount(OisCurve,Q339,,AllTriggers)</f>
        <v>1.0034569138095371</v>
      </c>
      <c r="V339" s="34">
        <f>_xll.qlYieldTSDiscount(OisCurve,R339,,AllTriggers)</f>
        <v>1.0036017732226123</v>
      </c>
      <c r="W339" s="33">
        <f t="shared" si="35"/>
        <v>-5.6480687531945684E-4</v>
      </c>
      <c r="X339" s="35">
        <f t="shared" si="36"/>
        <v>4.1662235405455917E-4</v>
      </c>
      <c r="Y339" s="33">
        <f t="shared" si="37"/>
        <v>1.6303656740713625E-3</v>
      </c>
      <c r="Z339" s="54"/>
    </row>
    <row r="340" spans="15:26" x14ac:dyDescent="0.25">
      <c r="O340" s="37" t="s">
        <v>31</v>
      </c>
      <c r="P340" s="31">
        <f>_xll.qlCalendarAdvance(Calendar,P339,O339,"f",,Trigger)</f>
        <v>43053</v>
      </c>
      <c r="Q340" s="31">
        <f>_xll.qlInterestRateIndexValueDate(Index,P340,Trigger)</f>
        <v>43055</v>
      </c>
      <c r="R340" s="31">
        <f>_xll.qlInterestRateIndexMaturity(Index,Q340,Trigger)</f>
        <v>43147</v>
      </c>
      <c r="S340" s="32">
        <f>_xll.qlDayCounterYearFraction(DayCounter,Q340,R340,,,Trigger)</f>
        <v>0.25555555555555554</v>
      </c>
      <c r="T340" s="33">
        <f>_xll.qlIndexFixing(Index,P340,,AllTriggers)</f>
        <v>1.0903493328122587E-3</v>
      </c>
      <c r="U340" s="34">
        <f>_xll.qlYieldTSDiscount(OisCurve,Q340,,AllTriggers)</f>
        <v>1.0034704794046376</v>
      </c>
      <c r="V340" s="34">
        <f>_xll.qlYieldTSDiscount(OisCurve,R340,,AllTriggers)</f>
        <v>1.0036097618828699</v>
      </c>
      <c r="W340" s="33">
        <f t="shared" si="35"/>
        <v>-5.4305808271564078E-4</v>
      </c>
      <c r="X340" s="35">
        <f t="shared" si="36"/>
        <v>4.1739715630826555E-4</v>
      </c>
      <c r="Y340" s="33">
        <f t="shared" si="37"/>
        <v>1.6334074155278993E-3</v>
      </c>
      <c r="Z340" s="54"/>
    </row>
    <row r="341" spans="15:26" x14ac:dyDescent="0.25">
      <c r="O341" s="37" t="s">
        <v>31</v>
      </c>
      <c r="P341" s="31">
        <f>_xll.qlCalendarAdvance(Calendar,P340,O340,"f",,Trigger)</f>
        <v>43060</v>
      </c>
      <c r="Q341" s="31">
        <f>_xll.qlInterestRateIndexValueDate(Index,P341,Trigger)</f>
        <v>43062</v>
      </c>
      <c r="R341" s="31">
        <f>_xll.qlInterestRateIndexMaturity(Index,Q341,Trigger)</f>
        <v>43154</v>
      </c>
      <c r="S341" s="32">
        <f>_xll.qlDayCounterYearFraction(DayCounter,Q341,R341,,,Trigger)</f>
        <v>0.25555555555555554</v>
      </c>
      <c r="T341" s="33">
        <f>_xll.qlIndexFixing(Index,P341,,AllTriggers)</f>
        <v>1.1153117817271378E-3</v>
      </c>
      <c r="U341" s="34">
        <f>_xll.qlYieldTSDiscount(OisCurve,Q341,,AllTriggers)</f>
        <v>1.0034836345106166</v>
      </c>
      <c r="V341" s="34">
        <f>_xll.qlYieldTSDiscount(OisCurve,R341,,AllTriggers)</f>
        <v>1.0036173101020502</v>
      </c>
      <c r="W341" s="33">
        <f t="shared" si="35"/>
        <v>-5.2119308425341055E-4</v>
      </c>
      <c r="X341" s="35">
        <f t="shared" si="36"/>
        <v>4.1818616961693651E-4</v>
      </c>
      <c r="Y341" s="33">
        <f t="shared" si="37"/>
        <v>1.6365048659805483E-3</v>
      </c>
      <c r="Z341" s="54"/>
    </row>
    <row r="342" spans="15:26" x14ac:dyDescent="0.25">
      <c r="O342" s="37" t="s">
        <v>31</v>
      </c>
      <c r="P342" s="31">
        <f>_xll.qlCalendarAdvance(Calendar,P341,O341,"f",,Trigger)</f>
        <v>43067</v>
      </c>
      <c r="Q342" s="31">
        <f>_xll.qlInterestRateIndexValueDate(Index,P342,Trigger)</f>
        <v>43069</v>
      </c>
      <c r="R342" s="31">
        <f>_xll.qlInterestRateIndexMaturity(Index,Q342,Trigger)</f>
        <v>43159</v>
      </c>
      <c r="S342" s="32">
        <f>_xll.qlDayCounterYearFraction(DayCounter,Q342,R342,,,Trigger)</f>
        <v>0.25</v>
      </c>
      <c r="T342" s="33">
        <f>_xll.qlIndexFixing(Index,P342,,AllTriggers)</f>
        <v>1.1367882464057288E-3</v>
      </c>
      <c r="U342" s="34">
        <f>_xll.qlYieldTSDiscount(OisCurve,Q342,,AllTriggers)</f>
        <v>1.0034963768459244</v>
      </c>
      <c r="V342" s="34">
        <f>_xll.qlYieldTSDiscount(OisCurve,R342,,AllTriggers)</f>
        <v>1.0036224307688038</v>
      </c>
      <c r="W342" s="33">
        <f t="shared" si="35"/>
        <v>-5.0239579752231478E-4</v>
      </c>
      <c r="X342" s="35">
        <f t="shared" si="36"/>
        <v>4.0976352285544503E-4</v>
      </c>
      <c r="Y342" s="33">
        <f t="shared" si="37"/>
        <v>1.6391840439280436E-3</v>
      </c>
      <c r="Z342" s="54"/>
    </row>
    <row r="343" spans="15:26" x14ac:dyDescent="0.25">
      <c r="O343" s="37" t="s">
        <v>31</v>
      </c>
      <c r="P343" s="31">
        <f>_xll.qlCalendarAdvance(Calendar,P342,O342,"f",,Trigger)</f>
        <v>43074</v>
      </c>
      <c r="Q343" s="31">
        <f>_xll.qlInterestRateIndexValueDate(Index,P343,Trigger)</f>
        <v>43076</v>
      </c>
      <c r="R343" s="31">
        <f>_xll.qlInterestRateIndexMaturity(Index,Q343,Trigger)</f>
        <v>43166</v>
      </c>
      <c r="S343" s="32">
        <f>_xll.qlDayCounterYearFraction(DayCounter,Q343,R343,,,Trigger)</f>
        <v>0.25</v>
      </c>
      <c r="T343" s="33">
        <f>_xll.qlIndexFixing(Index,P343,,AllTriggers)</f>
        <v>1.1620698127448037E-3</v>
      </c>
      <c r="U343" s="34">
        <f>_xll.qlYieldTSDiscount(OisCurve,Q343,,AllTriggers)</f>
        <v>1.0035087041294024</v>
      </c>
      <c r="V343" s="34">
        <f>_xll.qlYieldTSDiscount(OisCurve,R343,,AllTriggers)</f>
        <v>1.0036292186521043</v>
      </c>
      <c r="W343" s="33">
        <f t="shared" si="35"/>
        <v>-4.8031492293043598E-4</v>
      </c>
      <c r="X343" s="35">
        <f t="shared" si="36"/>
        <v>4.1056120192299264E-4</v>
      </c>
      <c r="Y343" s="33">
        <f t="shared" si="37"/>
        <v>1.6423847356752397E-3</v>
      </c>
      <c r="Z343" s="54"/>
    </row>
    <row r="344" spans="15:26" x14ac:dyDescent="0.25">
      <c r="O344" s="37" t="s">
        <v>31</v>
      </c>
      <c r="P344" s="31">
        <f>_xll.qlCalendarAdvance(Calendar,P343,O343,"f",,Trigger)</f>
        <v>43081</v>
      </c>
      <c r="Q344" s="31">
        <f>_xll.qlInterestRateIndexValueDate(Index,P344,Trigger)</f>
        <v>43083</v>
      </c>
      <c r="R344" s="31">
        <f>_xll.qlInterestRateIndexMaturity(Index,Q344,Trigger)</f>
        <v>43173</v>
      </c>
      <c r="S344" s="32">
        <f>_xll.qlDayCounterYearFraction(DayCounter,Q344,R344,,,Trigger)</f>
        <v>0.25</v>
      </c>
      <c r="T344" s="33">
        <f>_xll.qlIndexFixing(Index,P344,,AllTriggers)</f>
        <v>1.1875232987073048E-3</v>
      </c>
      <c r="U344" s="34">
        <f>_xll.qlYieldTSDiscount(OisCurve,Q344,,AllTriggers)</f>
        <v>1.0035206140802955</v>
      </c>
      <c r="V344" s="34">
        <f>_xll.qlYieldTSDiscount(OisCurve,R344,,AllTriggers)</f>
        <v>1.0036355599188351</v>
      </c>
      <c r="W344" s="33">
        <f t="shared" si="35"/>
        <v>-4.5811783930416183E-4</v>
      </c>
      <c r="X344" s="35">
        <f t="shared" si="36"/>
        <v>4.1137278311054615E-4</v>
      </c>
      <c r="Y344" s="33">
        <f t="shared" si="37"/>
        <v>1.6456411380114666E-3</v>
      </c>
      <c r="Z344" s="54"/>
    </row>
    <row r="345" spans="15:26" x14ac:dyDescent="0.25">
      <c r="O345" s="37" t="s">
        <v>31</v>
      </c>
      <c r="P345" s="31">
        <f>_xll.qlCalendarAdvance(Calendar,P344,O344,"f",,Trigger)</f>
        <v>43088</v>
      </c>
      <c r="Q345" s="31">
        <f>_xll.qlInterestRateIndexValueDate(Index,P345,Trigger)</f>
        <v>43090</v>
      </c>
      <c r="R345" s="31">
        <f>_xll.qlInterestRateIndexMaturity(Index,Q345,Trigger)</f>
        <v>43180</v>
      </c>
      <c r="S345" s="32">
        <f>_xll.qlDayCounterYearFraction(DayCounter,Q345,R345,,,Trigger)</f>
        <v>0.25</v>
      </c>
      <c r="T345" s="33">
        <f>_xll.qlIndexFixing(Index,P345,,AllTriggers)</f>
        <v>1.2131487075697223E-3</v>
      </c>
      <c r="U345" s="34">
        <f>_xll.qlYieldTSDiscount(OisCurve,Q345,,AllTriggers)</f>
        <v>1.0035321044182584</v>
      </c>
      <c r="V345" s="34">
        <f>_xll.qlYieldTSDiscount(OisCurve,R345,,AllTriggers)</f>
        <v>1.0036414522948007</v>
      </c>
      <c r="W345" s="33">
        <f t="shared" si="35"/>
        <v>-4.3580454470992791E-4</v>
      </c>
      <c r="X345" s="35">
        <f t="shared" si="36"/>
        <v>4.1219826641732799E-4</v>
      </c>
      <c r="Y345" s="33">
        <f t="shared" si="37"/>
        <v>1.6489532522796502E-3</v>
      </c>
      <c r="Z345" s="54"/>
    </row>
    <row r="346" spans="15:26" x14ac:dyDescent="0.25">
      <c r="O346" s="37" t="s">
        <v>31</v>
      </c>
      <c r="P346" s="31">
        <f>_xll.qlCalendarAdvance(Calendar,P345,O345,"f",,Trigger)</f>
        <v>43096</v>
      </c>
      <c r="Q346" s="31">
        <f>_xll.qlInterestRateIndexValueDate(Index,P346,Trigger)</f>
        <v>43098</v>
      </c>
      <c r="R346" s="31">
        <f>_xll.qlInterestRateIndexMaturity(Index,Q346,Trigger)</f>
        <v>43188</v>
      </c>
      <c r="S346" s="32">
        <f>_xll.qlDayCounterYearFraction(DayCounter,Q346,R346,,,Trigger)</f>
        <v>0.25</v>
      </c>
      <c r="T346" s="33">
        <f>_xll.qlIndexFixing(Index,P346,,AllTriggers)</f>
        <v>1.2426454112013374E-3</v>
      </c>
      <c r="U346" s="34">
        <f>_xll.qlYieldTSDiscount(OisCurve,Q346,,AllTriggers)</f>
        <v>1.0035447194966582</v>
      </c>
      <c r="V346" s="34">
        <f>_xll.qlYieldTSDiscount(OisCurve,R346,,AllTriggers)</f>
        <v>1.0036476338599922</v>
      </c>
      <c r="W346" s="33">
        <f t="shared" si="35"/>
        <v>-4.1016133496230012E-4</v>
      </c>
      <c r="X346" s="35">
        <f t="shared" si="36"/>
        <v>4.1315869891390695E-4</v>
      </c>
      <c r="Y346" s="33">
        <f t="shared" si="37"/>
        <v>1.6528067461636375E-3</v>
      </c>
      <c r="Z346" s="54"/>
    </row>
    <row r="347" spans="15:26" x14ac:dyDescent="0.25">
      <c r="O347" s="37" t="s">
        <v>31</v>
      </c>
      <c r="P347" s="31">
        <f>_xll.qlCalendarAdvance(Calendar,P346,O346,"f",,Trigger)</f>
        <v>43103</v>
      </c>
      <c r="Q347" s="31">
        <f>_xll.qlInterestRateIndexValueDate(Index,P347,Trigger)</f>
        <v>43105</v>
      </c>
      <c r="R347" s="31">
        <f>_xll.qlInterestRateIndexMaturity(Index,Q347,Trigger)</f>
        <v>43195</v>
      </c>
      <c r="S347" s="32">
        <f>_xll.qlDayCounterYearFraction(DayCounter,Q347,R347,,,Trigger)</f>
        <v>0.25</v>
      </c>
      <c r="T347" s="33">
        <f>_xll.qlIndexFixing(Index,P347,,AllTriggers)</f>
        <v>1.268639237425262E-3</v>
      </c>
      <c r="U347" s="34">
        <f>_xll.qlYieldTSDiscount(OisCurve,Q347,,AllTriggers)</f>
        <v>1.0035553029873145</v>
      </c>
      <c r="V347" s="34">
        <f>_xll.qlYieldTSDiscount(OisCurve,R347,,AllTriggers)</f>
        <v>1.0036525566717294</v>
      </c>
      <c r="W347" s="33">
        <f t="shared" si="35"/>
        <v>-3.8759901030838151E-4</v>
      </c>
      <c r="X347" s="35">
        <f t="shared" si="36"/>
        <v>4.140139724773587E-4</v>
      </c>
      <c r="Y347" s="33">
        <f t="shared" si="37"/>
        <v>1.6562382477336435E-3</v>
      </c>
      <c r="Z347" s="54"/>
    </row>
    <row r="348" spans="15:26" x14ac:dyDescent="0.25">
      <c r="O348" s="37" t="s">
        <v>31</v>
      </c>
      <c r="P348" s="31">
        <f>_xll.qlCalendarAdvance(Calendar,P347,O347,"f",,Trigger)</f>
        <v>43110</v>
      </c>
      <c r="Q348" s="31">
        <f>_xll.qlInterestRateIndexValueDate(Index,P348,Trigger)</f>
        <v>43112</v>
      </c>
      <c r="R348" s="31">
        <f>_xll.qlInterestRateIndexMaturity(Index,Q348,Trigger)</f>
        <v>43202</v>
      </c>
      <c r="S348" s="32">
        <f>_xll.qlDayCounterYearFraction(DayCounter,Q348,R348,,,Trigger)</f>
        <v>0.25</v>
      </c>
      <c r="T348" s="33">
        <f>_xll.qlIndexFixing(Index,P348,,AllTriggers)</f>
        <v>1.2948049970002984E-3</v>
      </c>
      <c r="U348" s="34">
        <f>_xll.qlYieldTSDiscount(OisCurve,Q348,,AllTriggers)</f>
        <v>1.0035654597010266</v>
      </c>
      <c r="V348" s="34">
        <f>_xll.qlYieldTSDiscount(OisCurve,R348,,AllTriggers)</f>
        <v>1.00365702344884</v>
      </c>
      <c r="W348" s="33">
        <f t="shared" si="35"/>
        <v>-3.64920468542973E-4</v>
      </c>
      <c r="X348" s="35">
        <f t="shared" si="36"/>
        <v>4.1488314815997111E-4</v>
      </c>
      <c r="Y348" s="33">
        <f t="shared" si="37"/>
        <v>1.6597254655432714E-3</v>
      </c>
      <c r="Z348" s="54"/>
    </row>
    <row r="349" spans="15:26" x14ac:dyDescent="0.25">
      <c r="O349" s="37" t="s">
        <v>31</v>
      </c>
      <c r="P349" s="31">
        <f>_xll.qlCalendarAdvance(Calendar,P348,O348,"f",,Trigger)</f>
        <v>43117</v>
      </c>
      <c r="Q349" s="31">
        <f>_xll.qlInterestRateIndexValueDate(Index,P349,Trigger)</f>
        <v>43119</v>
      </c>
      <c r="R349" s="31">
        <f>_xll.qlInterestRateIndexMaturity(Index,Q349,Trigger)</f>
        <v>43209</v>
      </c>
      <c r="S349" s="32">
        <f>_xll.qlDayCounterYearFraction(DayCounter,Q349,R349,,,Trigger)</f>
        <v>0.25</v>
      </c>
      <c r="T349" s="33">
        <f>_xll.qlIndexFixing(Index,P349,,AllTriggers)</f>
        <v>1.3211426932961956E-3</v>
      </c>
      <c r="U349" s="34">
        <f>_xll.qlYieldTSDiscount(OisCurve,Q349,,AllTriggers)</f>
        <v>1.0035751873592553</v>
      </c>
      <c r="V349" s="34">
        <f>_xll.qlYieldTSDiscount(OisCurve,R349,,AllTriggers)</f>
        <v>1.0036610319194621</v>
      </c>
      <c r="W349" s="33">
        <f t="shared" si="35"/>
        <v>-3.4212570769076578E-4</v>
      </c>
      <c r="X349" s="35">
        <f t="shared" si="36"/>
        <v>4.1576622596189376E-4</v>
      </c>
      <c r="Y349" s="33">
        <f t="shared" si="37"/>
        <v>1.6632684009869614E-3</v>
      </c>
      <c r="Z349" s="54"/>
    </row>
    <row r="350" spans="15:26" x14ac:dyDescent="0.25">
      <c r="O350" s="37" t="s">
        <v>31</v>
      </c>
      <c r="P350" s="31">
        <f>_xll.qlCalendarAdvance(Calendar,P349,O349,"f",,Trigger)</f>
        <v>43124</v>
      </c>
      <c r="Q350" s="31">
        <f>_xll.qlInterestRateIndexValueDate(Index,P350,Trigger)</f>
        <v>43126</v>
      </c>
      <c r="R350" s="31">
        <f>_xll.qlInterestRateIndexMaturity(Index,Q350,Trigger)</f>
        <v>43216</v>
      </c>
      <c r="S350" s="32">
        <f>_xll.qlDayCounterYearFraction(DayCounter,Q350,R350,,,Trigger)</f>
        <v>0.25</v>
      </c>
      <c r="T350" s="33">
        <f>_xll.qlIndexFixing(Index,P350,,AllTriggers)</f>
        <v>1.3476523297075715E-3</v>
      </c>
      <c r="U350" s="34">
        <f>_xll.qlYieldTSDiscount(OisCurve,Q350,,AllTriggers)</f>
        <v>1.0035844836839214</v>
      </c>
      <c r="V350" s="34">
        <f>_xll.qlYieldTSDiscount(OisCurve,R350,,AllTriggers)</f>
        <v>1.0036645798123234</v>
      </c>
      <c r="W350" s="33">
        <f t="shared" si="35"/>
        <v>-3.1921472576801335E-4</v>
      </c>
      <c r="X350" s="35">
        <f t="shared" si="36"/>
        <v>4.1666320588402777E-4</v>
      </c>
      <c r="Y350" s="33">
        <f t="shared" si="37"/>
        <v>1.6668670554755849E-3</v>
      </c>
      <c r="Z350" s="54"/>
    </row>
    <row r="351" spans="15:26" x14ac:dyDescent="0.25">
      <c r="O351" s="37" t="s">
        <v>31</v>
      </c>
      <c r="P351" s="31">
        <f>_xll.qlCalendarAdvance(Calendar,P350,O350,"f",,Trigger)</f>
        <v>43131</v>
      </c>
      <c r="Q351" s="31">
        <f>_xll.qlInterestRateIndexValueDate(Index,P351,Trigger)</f>
        <v>43133</v>
      </c>
      <c r="R351" s="31">
        <f>_xll.qlInterestRateIndexMaturity(Index,Q351,Trigger)</f>
        <v>43222</v>
      </c>
      <c r="S351" s="32">
        <f>_xll.qlDayCounterYearFraction(DayCounter,Q351,R351,,,Trigger)</f>
        <v>0.24722222222222223</v>
      </c>
      <c r="T351" s="33">
        <f>_xll.qlIndexFixing(Index,P351,,AllTriggers)</f>
        <v>1.3723935490358653E-3</v>
      </c>
      <c r="U351" s="34">
        <f>_xll.qlYieldTSDiscount(OisCurve,Q351,,AllTriggers)</f>
        <v>1.0035933463974167</v>
      </c>
      <c r="V351" s="34">
        <f>_xll.qlYieldTSDiscount(OisCurve,R351,,AllTriggers)</f>
        <v>1.0036672525715147</v>
      </c>
      <c r="W351" s="33">
        <f t="shared" si="35"/>
        <v>-2.9785401628674161E-4</v>
      </c>
      <c r="X351" s="35">
        <f t="shared" si="36"/>
        <v>4.1286748149207617E-4</v>
      </c>
      <c r="Y351" s="33">
        <f t="shared" si="37"/>
        <v>1.670247565322607E-3</v>
      </c>
      <c r="Z351" s="54"/>
    </row>
    <row r="352" spans="15:26" x14ac:dyDescent="0.25">
      <c r="O352" s="37" t="s">
        <v>31</v>
      </c>
      <c r="P352" s="31">
        <f>_xll.qlCalendarAdvance(Calendar,P351,O351,"f",,Trigger)</f>
        <v>43138</v>
      </c>
      <c r="Q352" s="31">
        <f>_xll.qlInterestRateIndexValueDate(Index,P352,Trigger)</f>
        <v>43140</v>
      </c>
      <c r="R352" s="31">
        <f>_xll.qlInterestRateIndexMaturity(Index,Q352,Trigger)</f>
        <v>43229</v>
      </c>
      <c r="S352" s="32">
        <f>_xll.qlDayCounterYearFraction(DayCounter,Q352,R352,,,Trigger)</f>
        <v>0.24722222222222223</v>
      </c>
      <c r="T352" s="33">
        <f>_xll.qlIndexFixing(Index,P352,,AllTriggers)</f>
        <v>1.3992283248898617E-3</v>
      </c>
      <c r="U352" s="34">
        <f>_xll.qlYieldTSDiscount(OisCurve,Q352,,AllTriggers)</f>
        <v>1.0036017732226123</v>
      </c>
      <c r="V352" s="34">
        <f>_xll.qlYieldTSDiscount(OisCurve,R352,,AllTriggers)</f>
        <v>1.0036699401357085</v>
      </c>
      <c r="W352" s="33">
        <f t="shared" si="35"/>
        <v>-2.7472311648085908E-4</v>
      </c>
      <c r="X352" s="35">
        <f t="shared" si="36"/>
        <v>4.1378048509125963E-4</v>
      </c>
      <c r="Y352" s="33">
        <f t="shared" si="37"/>
        <v>1.6739514413707207E-3</v>
      </c>
      <c r="Z352" s="54"/>
    </row>
    <row r="353" spans="15:26" x14ac:dyDescent="0.25">
      <c r="O353" s="37" t="s">
        <v>31</v>
      </c>
      <c r="P353" s="31">
        <f>_xll.qlCalendarAdvance(Calendar,P352,O352,"f",,Trigger)</f>
        <v>43145</v>
      </c>
      <c r="Q353" s="31">
        <f>_xll.qlInterestRateIndexValueDate(Index,P353,Trigger)</f>
        <v>43147</v>
      </c>
      <c r="R353" s="31">
        <f>_xll.qlInterestRateIndexMaturity(Index,Q353,Trigger)</f>
        <v>43236</v>
      </c>
      <c r="S353" s="32">
        <f>_xll.qlDayCounterYearFraction(DayCounter,Q353,R353,,,Trigger)</f>
        <v>0.24722222222222223</v>
      </c>
      <c r="T353" s="33">
        <f>_xll.qlIndexFixing(Index,P353,,AllTriggers)</f>
        <v>1.4262116871248101E-3</v>
      </c>
      <c r="U353" s="34">
        <f>_xll.qlYieldTSDiscount(OisCurve,Q353,,AllTriggers)</f>
        <v>1.0036097618828699</v>
      </c>
      <c r="V353" s="34">
        <f>_xll.qlYieldTSDiscount(OisCurve,R353,,AllTriggers)</f>
        <v>1.0036721645034981</v>
      </c>
      <c r="W353" s="33">
        <f t="shared" si="35"/>
        <v>-2.5149157623652172E-4</v>
      </c>
      <c r="X353" s="35">
        <f t="shared" si="36"/>
        <v>4.1470531622233073E-4</v>
      </c>
      <c r="Y353" s="33">
        <f t="shared" si="37"/>
        <v>1.6777032633613319E-3</v>
      </c>
      <c r="Z353" s="54"/>
    </row>
    <row r="354" spans="15:26" x14ac:dyDescent="0.25">
      <c r="O354" s="37" t="s">
        <v>31</v>
      </c>
      <c r="P354" s="31">
        <f>_xll.qlCalendarAdvance(Calendar,P353,O353,"f",,Trigger)</f>
        <v>43152</v>
      </c>
      <c r="Q354" s="31">
        <f>_xll.qlInterestRateIndexValueDate(Index,P354,Trigger)</f>
        <v>43154</v>
      </c>
      <c r="R354" s="31">
        <f>_xll.qlInterestRateIndexMaturity(Index,Q354,Trigger)</f>
        <v>43243</v>
      </c>
      <c r="S354" s="32">
        <f>_xll.qlDayCounterYearFraction(DayCounter,Q354,R354,,,Trigger)</f>
        <v>0.24722222222222223</v>
      </c>
      <c r="T354" s="33">
        <f>_xll.qlIndexFixing(Index,P354,,AllTriggers)</f>
        <v>1.4533254688991963E-3</v>
      </c>
      <c r="U354" s="34">
        <f>_xll.qlYieldTSDiscount(OisCurve,Q354,,AllTriggers)</f>
        <v>1.0036173101020502</v>
      </c>
      <c r="V354" s="34">
        <f>_xll.qlYieldTSDiscount(OisCurve,R354,,AllTriggers)</f>
        <v>1.0036739264139534</v>
      </c>
      <c r="W354" s="33">
        <f t="shared" si="35"/>
        <v>-2.2817151559847263E-4</v>
      </c>
      <c r="X354" s="35">
        <f t="shared" si="36"/>
        <v>4.156404814597385E-4</v>
      </c>
      <c r="Y354" s="33">
        <f t="shared" si="37"/>
        <v>1.6814969844976689E-3</v>
      </c>
      <c r="Z354" s="54"/>
    </row>
    <row r="355" spans="15:26" x14ac:dyDescent="0.25">
      <c r="O355" s="37" t="s">
        <v>31</v>
      </c>
      <c r="P355" s="31">
        <f>_xll.qlCalendarAdvance(Calendar,P354,O354,"f",,Trigger)</f>
        <v>43159</v>
      </c>
      <c r="Q355" s="31">
        <f>_xll.qlInterestRateIndexValueDate(Index,P355,Trigger)</f>
        <v>43161</v>
      </c>
      <c r="R355" s="31">
        <f>_xll.qlInterestRateIndexMaturity(Index,Q355,Trigger)</f>
        <v>43255</v>
      </c>
      <c r="S355" s="32">
        <f>_xll.qlDayCounterYearFraction(DayCounter,Q355,R355,,,Trigger)</f>
        <v>0.26111111111111113</v>
      </c>
      <c r="T355" s="33">
        <f>_xll.qlIndexFixing(Index,P355,,AllTriggers)</f>
        <v>1.4903925789239039E-3</v>
      </c>
      <c r="U355" s="34">
        <f>_xll.qlYieldTSDiscount(OisCurve,Q355,,AllTriggers)</f>
        <v>1.0036244156045244</v>
      </c>
      <c r="V355" s="34">
        <f>_xll.qlYieldTSDiscount(OisCurve,R355,,AllTriggers)</f>
        <v>1.0036758730417883</v>
      </c>
      <c r="W355" s="33">
        <f t="shared" si="35"/>
        <v>-1.9634928129992534E-4</v>
      </c>
      <c r="X355" s="35">
        <f t="shared" si="36"/>
        <v>4.4035265322041767E-4</v>
      </c>
      <c r="Y355" s="33">
        <f t="shared" si="37"/>
        <v>1.6867418602238293E-3</v>
      </c>
      <c r="Z355" s="54"/>
    </row>
    <row r="356" spans="15:26" x14ac:dyDescent="0.25">
      <c r="O356" s="37" t="s">
        <v>31</v>
      </c>
      <c r="P356" s="31">
        <f>_xll.qlCalendarAdvance(Calendar,P355,O355,"f",,Trigger)</f>
        <v>43166</v>
      </c>
      <c r="Q356" s="31">
        <f>_xll.qlInterestRateIndexValueDate(Index,P356,Trigger)</f>
        <v>43168</v>
      </c>
      <c r="R356" s="31">
        <f>_xll.qlInterestRateIndexMaturity(Index,Q356,Trigger)</f>
        <v>43262</v>
      </c>
      <c r="S356" s="32">
        <f>_xll.qlDayCounterYearFraction(DayCounter,Q356,R356,,,Trigger)</f>
        <v>0.26111111111111113</v>
      </c>
      <c r="T356" s="33">
        <f>_xll.qlIndexFixing(Index,P356,,AllTriggers)</f>
        <v>1.5177225933031644E-3</v>
      </c>
      <c r="U356" s="34">
        <f>_xll.qlYieldTSDiscount(OisCurve,Q356,,AllTriggers)</f>
        <v>1.003631076115183</v>
      </c>
      <c r="V356" s="34">
        <f>_xll.qlYieldTSDiscount(OisCurve,R356,,AllTriggers)</f>
        <v>1.003676383441525</v>
      </c>
      <c r="W356" s="33">
        <f t="shared" si="35"/>
        <v>-1.728818400989898E-4</v>
      </c>
      <c r="X356" s="35">
        <f t="shared" si="36"/>
        <v>4.4135811713754113E-4</v>
      </c>
      <c r="Y356" s="33">
        <f t="shared" si="37"/>
        <v>1.6906044334021543E-3</v>
      </c>
      <c r="Z356" s="54"/>
    </row>
    <row r="357" spans="15:26" x14ac:dyDescent="0.25">
      <c r="O357" s="37" t="s">
        <v>31</v>
      </c>
      <c r="P357" s="31">
        <f>_xll.qlCalendarAdvance(Calendar,P356,O356,"f",,Trigger)</f>
        <v>43173</v>
      </c>
      <c r="Q357" s="31">
        <f>_xll.qlInterestRateIndexValueDate(Index,P357,Trigger)</f>
        <v>43175</v>
      </c>
      <c r="R357" s="31">
        <f>_xll.qlInterestRateIndexMaturity(Index,Q357,Trigger)</f>
        <v>43269</v>
      </c>
      <c r="S357" s="32">
        <f>_xll.qlDayCounterYearFraction(DayCounter,Q357,R357,,,Trigger)</f>
        <v>0.26111111111111113</v>
      </c>
      <c r="T357" s="33">
        <f>_xll.qlIndexFixing(Index,P357,,AllTriggers)</f>
        <v>1.5451213562662721E-3</v>
      </c>
      <c r="U357" s="34">
        <f>_xll.qlYieldTSDiscount(OisCurve,Q357,,AllTriggers)</f>
        <v>1.0036372893594463</v>
      </c>
      <c r="V357" s="34">
        <f>_xll.qlYieldTSDiscount(OisCurve,R357,,AllTriggers)</f>
        <v>1.0036764341346673</v>
      </c>
      <c r="W357" s="33">
        <f t="shared" si="35"/>
        <v>-1.4936702240128603E-4</v>
      </c>
      <c r="X357" s="35">
        <f t="shared" si="36"/>
        <v>4.4236914048865757E-4</v>
      </c>
      <c r="Y357" s="33">
        <f t="shared" si="37"/>
        <v>1.6944883786675581E-3</v>
      </c>
      <c r="Z357" s="54"/>
    </row>
    <row r="358" spans="15:26" x14ac:dyDescent="0.25">
      <c r="O358" s="37" t="s">
        <v>31</v>
      </c>
      <c r="P358" s="31">
        <f>_xll.qlCalendarAdvance(Calendar,P357,O357,"f",,Trigger)</f>
        <v>43180</v>
      </c>
      <c r="Q358" s="31">
        <f>_xll.qlInterestRateIndexValueDate(Index,P358,Trigger)</f>
        <v>43182</v>
      </c>
      <c r="R358" s="31">
        <f>_xll.qlInterestRateIndexMaturity(Index,Q358,Trigger)</f>
        <v>43276</v>
      </c>
      <c r="S358" s="32">
        <f>_xll.qlDayCounterYearFraction(DayCounter,Q358,R358,,,Trigger)</f>
        <v>0.26111111111111113</v>
      </c>
      <c r="T358" s="33">
        <f>_xll.qlIndexFixing(Index,P358,,AllTriggers)</f>
        <v>1.5725716650718676E-3</v>
      </c>
      <c r="U358" s="34">
        <f>_xll.qlYieldTSDiscount(OisCurve,Q358,,AllTriggers)</f>
        <v>1.0036430530632747</v>
      </c>
      <c r="V358" s="34">
        <f>_xll.qlYieldTSDiscount(OisCurve,R358,,AllTriggers)</f>
        <v>1.0036760258632975</v>
      </c>
      <c r="W358" s="33">
        <f t="shared" si="35"/>
        <v>-1.2581630460834528E-4</v>
      </c>
      <c r="X358" s="35">
        <f t="shared" si="36"/>
        <v>4.4338422984811657E-4</v>
      </c>
      <c r="Y358" s="33">
        <f t="shared" si="37"/>
        <v>1.6983879696802128E-3</v>
      </c>
      <c r="Z358" s="54"/>
    </row>
    <row r="359" spans="15:26" x14ac:dyDescent="0.25">
      <c r="O359" s="37" t="s">
        <v>31</v>
      </c>
      <c r="P359" s="31">
        <f>_xll.qlCalendarAdvance(Calendar,P358,O358,"f",,Trigger)</f>
        <v>43187</v>
      </c>
      <c r="Q359" s="31">
        <f>_xll.qlInterestRateIndexValueDate(Index,P359,Trigger)</f>
        <v>43193</v>
      </c>
      <c r="R359" s="31">
        <f>_xll.qlInterestRateIndexMaturity(Index,Q359,Trigger)</f>
        <v>43284</v>
      </c>
      <c r="S359" s="32">
        <f>_xll.qlDayCounterYearFraction(DayCounter,Q359,R359,,,Trigger)</f>
        <v>0.25277777777777777</v>
      </c>
      <c r="T359" s="33">
        <f>_xll.qlIndexFixing(Index,P359,,AllTriggers)</f>
        <v>1.6098709237266885E-3</v>
      </c>
      <c r="U359" s="34">
        <f>_xll.qlYieldTSDiscount(OisCurve,Q359,,AllTriggers)</f>
        <v>1.0036511965888686</v>
      </c>
      <c r="V359" s="34">
        <f>_xll.qlYieldTSDiscount(OisCurve,R359,,AllTriggers)</f>
        <v>1.0036749982228612</v>
      </c>
      <c r="W359" s="33">
        <f t="shared" si="35"/>
        <v>-9.3815538363784714E-5</v>
      </c>
      <c r="X359" s="35">
        <f t="shared" si="36"/>
        <v>4.3057158164946756E-4</v>
      </c>
      <c r="Y359" s="33">
        <f t="shared" si="37"/>
        <v>1.7036864620904731E-3</v>
      </c>
      <c r="Z359" s="54"/>
    </row>
    <row r="360" spans="15:26" x14ac:dyDescent="0.25">
      <c r="O360" s="37" t="s">
        <v>31</v>
      </c>
      <c r="P360" s="31">
        <f>_xll.qlCalendarAdvance(Calendar,P359,O359,"f",,Trigger)</f>
        <v>43194</v>
      </c>
      <c r="Q360" s="31">
        <f>_xll.qlInterestRateIndexValueDate(Index,P360,Trigger)</f>
        <v>43196</v>
      </c>
      <c r="R360" s="31">
        <f>_xll.qlInterestRateIndexMaturity(Index,Q360,Trigger)</f>
        <v>43287</v>
      </c>
      <c r="S360" s="32">
        <f>_xll.qlDayCounterYearFraction(DayCounter,Q360,R360,,,Trigger)</f>
        <v>0.25277777777777777</v>
      </c>
      <c r="T360" s="33">
        <f>_xll.qlIndexFixing(Index,P360,,AllTriggers)</f>
        <v>1.6216620501500641E-3</v>
      </c>
      <c r="U360" s="34">
        <f>_xll.qlYieldTSDiscount(OisCurve,Q360,,AllTriggers)</f>
        <v>1.0036532227562267</v>
      </c>
      <c r="V360" s="34">
        <f>_xll.qlYieldTSDiscount(OisCurve,R360,,AllTriggers)</f>
        <v>1.0036744587849733</v>
      </c>
      <c r="W360" s="33">
        <f t="shared" si="35"/>
        <v>-8.3703099583806094E-5</v>
      </c>
      <c r="X360" s="35">
        <f t="shared" si="36"/>
        <v>4.3099464238608202E-4</v>
      </c>
      <c r="Y360" s="33">
        <f t="shared" si="37"/>
        <v>1.7053651497338702E-3</v>
      </c>
      <c r="Z360" s="54"/>
    </row>
    <row r="361" spans="15:26" x14ac:dyDescent="0.25">
      <c r="O361" s="37" t="s">
        <v>31</v>
      </c>
      <c r="P361" s="31">
        <f>_xll.qlCalendarAdvance(Calendar,P360,O360,"f",,Trigger)</f>
        <v>43201</v>
      </c>
      <c r="Q361" s="31">
        <f>_xll.qlInterestRateIndexValueDate(Index,P361,Trigger)</f>
        <v>43203</v>
      </c>
      <c r="R361" s="31">
        <f>_xll.qlInterestRateIndexMaturity(Index,Q361,Trigger)</f>
        <v>43294</v>
      </c>
      <c r="S361" s="32">
        <f>_xll.qlDayCounterYearFraction(DayCounter,Q361,R361,,,Trigger)</f>
        <v>0.25277777777777777</v>
      </c>
      <c r="T361" s="33">
        <f>_xll.qlIndexFixing(Index,P361,,AllTriggers)</f>
        <v>1.6491735985231287E-3</v>
      </c>
      <c r="U361" s="34">
        <f>_xll.qlYieldTSDiscount(OisCurve,Q361,,AllTriggers)</f>
        <v>1.0036576242000619</v>
      </c>
      <c r="V361" s="34">
        <f>_xll.qlYieldTSDiscount(OisCurve,R361,,AllTriggers)</f>
        <v>1.0036728737310541</v>
      </c>
      <c r="W361" s="33">
        <f t="shared" si="35"/>
        <v>-6.010704931187421E-5</v>
      </c>
      <c r="X361" s="35">
        <f t="shared" si="36"/>
        <v>4.319814111770855E-4</v>
      </c>
      <c r="Y361" s="33">
        <f t="shared" si="37"/>
        <v>1.709280647835003E-3</v>
      </c>
      <c r="Z361" s="54"/>
    </row>
    <row r="362" spans="15:26" x14ac:dyDescent="0.25">
      <c r="O362" s="37" t="s">
        <v>31</v>
      </c>
      <c r="P362" s="31">
        <f>_xll.qlCalendarAdvance(Calendar,P361,O361,"f",,Trigger)</f>
        <v>43208</v>
      </c>
      <c r="Q362" s="31">
        <f>_xll.qlInterestRateIndexValueDate(Index,P362,Trigger)</f>
        <v>43210</v>
      </c>
      <c r="R362" s="31">
        <f>_xll.qlInterestRateIndexMaturity(Index,Q362,Trigger)</f>
        <v>43301</v>
      </c>
      <c r="S362" s="32">
        <f>_xll.qlDayCounterYearFraction(DayCounter,Q362,R362,,,Trigger)</f>
        <v>0.25277777777777777</v>
      </c>
      <c r="T362" s="33">
        <f>_xll.qlIndexFixing(Index,P362,,AllTriggers)</f>
        <v>1.6766692483925806E-3</v>
      </c>
      <c r="U362" s="34">
        <f>_xll.qlYieldTSDiscount(OisCurve,Q362,,AllTriggers)</f>
        <v>1.0036615670129045</v>
      </c>
      <c r="V362" s="34">
        <f>_xll.qlYieldTSDiscount(OisCurve,R362,,AllTriggers)</f>
        <v>1.0036708323680268</v>
      </c>
      <c r="W362" s="33">
        <f t="shared" si="35"/>
        <v>-3.6520092992346627E-5</v>
      </c>
      <c r="X362" s="35">
        <f t="shared" si="36"/>
        <v>4.3296644890746953E-4</v>
      </c>
      <c r="Y362" s="33">
        <f t="shared" si="37"/>
        <v>1.7131893413849272E-3</v>
      </c>
      <c r="Z362" s="54"/>
    </row>
    <row r="363" spans="15:26" x14ac:dyDescent="0.25">
      <c r="O363" s="37" t="s">
        <v>31</v>
      </c>
      <c r="P363" s="31">
        <f>_xll.qlCalendarAdvance(Calendar,P362,O362,"f",,Trigger)</f>
        <v>43215</v>
      </c>
      <c r="Q363" s="31">
        <f>_xll.qlInterestRateIndexValueDate(Index,P363,Trigger)</f>
        <v>43217</v>
      </c>
      <c r="R363" s="31">
        <f>_xll.qlInterestRateIndexMaturity(Index,Q363,Trigger)</f>
        <v>43308</v>
      </c>
      <c r="S363" s="32">
        <f>_xll.qlDayCounterYearFraction(DayCounter,Q363,R363,,,Trigger)</f>
        <v>0.25277777777777777</v>
      </c>
      <c r="T363" s="33">
        <f>_xll.qlIndexFixing(Index,P363,,AllTriggers)</f>
        <v>1.7041312276792273E-3</v>
      </c>
      <c r="U363" s="34">
        <f>_xll.qlYieldTSDiscount(OisCurve,Q363,,AllTriggers)</f>
        <v>1.0036650489235679</v>
      </c>
      <c r="V363" s="34">
        <f>_xll.qlYieldTSDiscount(OisCurve,R363,,AllTriggers)</f>
        <v>1.0036683354408216</v>
      </c>
      <c r="W363" s="33">
        <f t="shared" si="35"/>
        <v>-1.2954086782158691E-5</v>
      </c>
      <c r="X363" s="35">
        <f t="shared" si="36"/>
        <v>4.3394826215059157E-4</v>
      </c>
      <c r="Y363" s="33">
        <f t="shared" si="37"/>
        <v>1.7170853144613859E-3</v>
      </c>
      <c r="Z363" s="54"/>
    </row>
    <row r="364" spans="15:26" x14ac:dyDescent="0.25">
      <c r="O364" s="37" t="s">
        <v>31</v>
      </c>
      <c r="P364" s="31">
        <f>_xll.qlCalendarAdvance(Calendar,P363,O363,"f",,Trigger)</f>
        <v>43222</v>
      </c>
      <c r="Q364" s="31">
        <f>_xll.qlInterestRateIndexValueDate(Index,P364,Trigger)</f>
        <v>43224</v>
      </c>
      <c r="R364" s="31">
        <f>_xll.qlInterestRateIndexMaturity(Index,Q364,Trigger)</f>
        <v>43318</v>
      </c>
      <c r="S364" s="32">
        <f>_xll.qlDayCounterYearFraction(DayCounter,Q364,R364,,,Trigger)</f>
        <v>0.26111111111111113</v>
      </c>
      <c r="T364" s="33">
        <f>_xll.qlIndexFixing(Index,P364,,AllTriggers)</f>
        <v>1.7373931000513284E-3</v>
      </c>
      <c r="U364" s="34">
        <f>_xll.qlYieldTSDiscount(OisCurve,Q364,,AllTriggers)</f>
        <v>1.0036680677550065</v>
      </c>
      <c r="V364" s="34">
        <f>_xll.qlYieldTSDiscount(OisCurve,R364,,AllTriggers)</f>
        <v>1.0036639796157421</v>
      </c>
      <c r="W364" s="33">
        <f t="shared" si="35"/>
        <v>1.5599547143391769E-5</v>
      </c>
      <c r="X364" s="35">
        <f t="shared" si="36"/>
        <v>4.4947656674916418E-4</v>
      </c>
      <c r="Y364" s="33">
        <f t="shared" si="37"/>
        <v>1.7217935529079366E-3</v>
      </c>
      <c r="Z364" s="54"/>
    </row>
    <row r="365" spans="15:26" x14ac:dyDescent="0.25">
      <c r="O365" s="37" t="s">
        <v>31</v>
      </c>
      <c r="P365" s="31">
        <f>_xll.qlCalendarAdvance(Calendar,P364,O364,"f",,Trigger)</f>
        <v>43229</v>
      </c>
      <c r="Q365" s="31">
        <f>_xll.qlInterestRateIndexValueDate(Index,P365,Trigger)</f>
        <v>43231</v>
      </c>
      <c r="R365" s="31">
        <f>_xll.qlInterestRateIndexMaturity(Index,Q365,Trigger)</f>
        <v>43325</v>
      </c>
      <c r="S365" s="32">
        <f>_xll.qlDayCounterYearFraction(DayCounter,Q365,R365,,,Trigger)</f>
        <v>0.26111111111111113</v>
      </c>
      <c r="T365" s="33">
        <f>_xll.qlIndexFixing(Index,P365,,AllTriggers)</f>
        <v>1.7647331038526445E-3</v>
      </c>
      <c r="U365" s="34">
        <f>_xll.qlYieldTSDiscount(OisCurve,Q365,,AllTriggers)</f>
        <v>1.0036706229019929</v>
      </c>
      <c r="V365" s="34">
        <f>_xll.qlYieldTSDiscount(OisCurve,R365,,AllTriggers)</f>
        <v>1.0036603794234957</v>
      </c>
      <c r="W365" s="33">
        <f t="shared" si="35"/>
        <v>3.9087268945780834E-5</v>
      </c>
      <c r="X365" s="35">
        <f t="shared" si="36"/>
        <v>4.5047922165366292E-4</v>
      </c>
      <c r="Y365" s="33">
        <f t="shared" si="37"/>
        <v>1.7256458349068637E-3</v>
      </c>
      <c r="Z365" s="54"/>
    </row>
    <row r="366" spans="15:26" x14ac:dyDescent="0.25">
      <c r="O366" s="37" t="s">
        <v>31</v>
      </c>
      <c r="P366" s="31">
        <f>_xll.qlCalendarAdvance(Calendar,P365,O365,"f",,Trigger)</f>
        <v>43236</v>
      </c>
      <c r="Q366" s="31">
        <f>_xll.qlInterestRateIndexValueDate(Index,P366,Trigger)</f>
        <v>43238</v>
      </c>
      <c r="R366" s="31">
        <f>_xll.qlInterestRateIndexMaturity(Index,Q366,Trigger)</f>
        <v>43332</v>
      </c>
      <c r="S366" s="32">
        <f>_xll.qlDayCounterYearFraction(DayCounter,Q366,R366,,,Trigger)</f>
        <v>0.26111111111111113</v>
      </c>
      <c r="T366" s="33">
        <f>_xll.qlIndexFixing(Index,P366,,AllTriggers)</f>
        <v>1.7920140507261019E-3</v>
      </c>
      <c r="U366" s="34">
        <f>_xll.qlYieldTSDiscount(OisCurve,Q366,,AllTriggers)</f>
        <v>1.0036727150636722</v>
      </c>
      <c r="V366" s="34">
        <f>_xll.qlYieldTSDiscount(OisCurve,R366,,AllTriggers)</f>
        <v>1.0036563262257556</v>
      </c>
      <c r="W366" s="33">
        <f t="shared" si="35"/>
        <v>6.2537106171842803E-5</v>
      </c>
      <c r="X366" s="35">
        <f t="shared" si="36"/>
        <v>4.5147634196900398E-4</v>
      </c>
      <c r="Y366" s="33">
        <f t="shared" si="37"/>
        <v>1.729476944554259E-3</v>
      </c>
      <c r="Z366" s="54"/>
    </row>
    <row r="367" spans="15:26" x14ac:dyDescent="0.25">
      <c r="O367" s="37" t="s">
        <v>31</v>
      </c>
      <c r="P367" s="31">
        <f>_xll.qlCalendarAdvance(Calendar,P366,O366,"f",,Trigger)</f>
        <v>43243</v>
      </c>
      <c r="Q367" s="31">
        <f>_xll.qlInterestRateIndexValueDate(Index,P367,Trigger)</f>
        <v>43245</v>
      </c>
      <c r="R367" s="31">
        <f>_xll.qlInterestRateIndexMaturity(Index,Q367,Trigger)</f>
        <v>43339</v>
      </c>
      <c r="S367" s="32">
        <f>_xll.qlDayCounterYearFraction(DayCounter,Q367,R367,,,Trigger)</f>
        <v>0.26111111111111113</v>
      </c>
      <c r="T367" s="33">
        <f>_xll.qlIndexFixing(Index,P367,,AllTriggers)</f>
        <v>1.8192359394080305E-3</v>
      </c>
      <c r="U367" s="34">
        <f>_xll.qlYieldTSDiscount(OisCurve,Q367,,AllTriggers)</f>
        <v>1.0036743449792984</v>
      </c>
      <c r="V367" s="34">
        <f>_xll.qlYieldTSDiscount(OisCurve,R367,,AllTriggers)</f>
        <v>1.0036518207701435</v>
      </c>
      <c r="W367" s="33">
        <f t="shared" si="35"/>
        <v>8.5949058122562373E-5</v>
      </c>
      <c r="X367" s="35">
        <f t="shared" si="36"/>
        <v>4.5246792769576229E-4</v>
      </c>
      <c r="Y367" s="33">
        <f t="shared" si="37"/>
        <v>1.7332868812854681E-3</v>
      </c>
      <c r="Z367" s="54"/>
    </row>
    <row r="368" spans="15:26" x14ac:dyDescent="0.25">
      <c r="O368" s="37" t="s">
        <v>31</v>
      </c>
      <c r="P368" s="31">
        <f>_xll.qlCalendarAdvance(Calendar,P367,O367,"f",,Trigger)</f>
        <v>43250</v>
      </c>
      <c r="Q368" s="31">
        <f>_xll.qlInterestRateIndexValueDate(Index,P368,Trigger)</f>
        <v>43252</v>
      </c>
      <c r="R368" s="31">
        <f>_xll.qlInterestRateIndexMaturity(Index,Q368,Trigger)</f>
        <v>43346</v>
      </c>
      <c r="S368" s="32">
        <f>_xll.qlDayCounterYearFraction(DayCounter,Q368,R368,,,Trigger)</f>
        <v>0.26111111111111113</v>
      </c>
      <c r="T368" s="33">
        <f>_xll.qlIndexFixing(Index,P368,,AllTriggers)</f>
        <v>1.8463987686364613E-3</v>
      </c>
      <c r="U368" s="34">
        <f>_xll.qlYieldTSDiscount(OisCurve,Q368,,AllTriggers)</f>
        <v>1.003675513388772</v>
      </c>
      <c r="V368" s="34">
        <f>_xll.qlYieldTSDiscount(OisCurve,R368,,AllTriggers)</f>
        <v>1.0036468638048799</v>
      </c>
      <c r="W368" s="33">
        <f t="shared" si="35"/>
        <v>1.0932312410657767E-4</v>
      </c>
      <c r="X368" s="35">
        <f t="shared" si="36"/>
        <v>4.5345397883242352E-4</v>
      </c>
      <c r="Y368" s="33">
        <f t="shared" si="37"/>
        <v>1.7370756445298837E-3</v>
      </c>
      <c r="Z368" s="54"/>
    </row>
    <row r="369" spans="15:26" x14ac:dyDescent="0.25">
      <c r="O369" s="37" t="s">
        <v>31</v>
      </c>
      <c r="P369" s="31">
        <f>_xll.qlCalendarAdvance(Calendar,P368,O368,"f",,Trigger)</f>
        <v>43257</v>
      </c>
      <c r="Q369" s="31">
        <f>_xll.qlInterestRateIndexValueDate(Index,P369,Trigger)</f>
        <v>43259</v>
      </c>
      <c r="R369" s="31">
        <f>_xll.qlInterestRateIndexMaturity(Index,Q369,Trigger)</f>
        <v>43353</v>
      </c>
      <c r="S369" s="32">
        <f>_xll.qlDayCounterYearFraction(DayCounter,Q369,R369,,,Trigger)</f>
        <v>0.26111111111111113</v>
      </c>
      <c r="T369" s="33">
        <f>_xll.qlIndexFixing(Index,P369,,AllTriggers)</f>
        <v>1.873502537153677E-3</v>
      </c>
      <c r="U369" s="34">
        <f>_xll.qlYieldTSDiscount(OisCurve,Q369,,AllTriggers)</f>
        <v>1.003676221032632</v>
      </c>
      <c r="V369" s="34">
        <f>_xll.qlYieldTSDiscount(OisCurve,R369,,AllTriggers)</f>
        <v>1.0036414560787816</v>
      </c>
      <c r="W369" s="33">
        <f t="shared" si="35"/>
        <v>1.3265930342147184E-4</v>
      </c>
      <c r="X369" s="35">
        <f t="shared" si="36"/>
        <v>4.5443449538115443E-4</v>
      </c>
      <c r="Y369" s="33">
        <f t="shared" si="37"/>
        <v>1.7408432337322052E-3</v>
      </c>
      <c r="Z369" s="54"/>
    </row>
    <row r="370" spans="15:26" x14ac:dyDescent="0.25">
      <c r="O370" s="37" t="s">
        <v>31</v>
      </c>
      <c r="P370" s="31">
        <f>_xll.qlCalendarAdvance(Calendar,P369,O369,"f",,Trigger)</f>
        <v>43264</v>
      </c>
      <c r="Q370" s="31">
        <f>_xll.qlInterestRateIndexValueDate(Index,P370,Trigger)</f>
        <v>43266</v>
      </c>
      <c r="R370" s="31">
        <f>_xll.qlInterestRateIndexMaturity(Index,Q370,Trigger)</f>
        <v>43360</v>
      </c>
      <c r="S370" s="32">
        <f>_xll.qlDayCounterYearFraction(DayCounter,Q370,R370,,,Trigger)</f>
        <v>0.26111111111111113</v>
      </c>
      <c r="T370" s="33">
        <f>_xll.qlIndexFixing(Index,P370,,AllTriggers)</f>
        <v>1.9005472437011095E-3</v>
      </c>
      <c r="U370" s="34">
        <f>_xll.qlYieldTSDiscount(OisCurve,Q370,,AllTriggers)</f>
        <v>1.0036764686520556</v>
      </c>
      <c r="V370" s="34">
        <f>_xll.qlYieldTSDiscount(OisCurve,R370,,AllTriggers)</f>
        <v>1.0036355983412566</v>
      </c>
      <c r="W370" s="33">
        <f t="shared" si="35"/>
        <v>1.5595759537418227E-4</v>
      </c>
      <c r="X370" s="35">
        <f t="shared" si="36"/>
        <v>4.5540947734092269E-4</v>
      </c>
      <c r="Y370" s="33">
        <f t="shared" si="37"/>
        <v>1.7445896483269272E-3</v>
      </c>
      <c r="Z370" s="54"/>
    </row>
    <row r="371" spans="15:26" x14ac:dyDescent="0.25">
      <c r="O371" s="37" t="s">
        <v>31</v>
      </c>
      <c r="P371" s="31">
        <f>_xll.qlCalendarAdvance(Calendar,P370,O370,"f",,Trigger)</f>
        <v>43271</v>
      </c>
      <c r="Q371" s="31">
        <f>_xll.qlInterestRateIndexValueDate(Index,P371,Trigger)</f>
        <v>43273</v>
      </c>
      <c r="R371" s="31">
        <f>_xll.qlInterestRateIndexMaturity(Index,Q371,Trigger)</f>
        <v>43367</v>
      </c>
      <c r="S371" s="32">
        <f>_xll.qlDayCounterYearFraction(DayCounter,Q371,R371,,,Trigger)</f>
        <v>0.26111111111111113</v>
      </c>
      <c r="T371" s="33">
        <f>_xll.qlIndexFixing(Index,P371,,AllTriggers)</f>
        <v>1.9275328870286951E-3</v>
      </c>
      <c r="U371" s="34">
        <f>_xll.qlYieldTSDiscount(OisCurve,Q371,,AllTriggers)</f>
        <v>1.0036762569888549</v>
      </c>
      <c r="V371" s="34">
        <f>_xll.qlYieldTSDiscount(OisCurve,R371,,AllTriggers)</f>
        <v>1.0036292913423013</v>
      </c>
      <c r="W371" s="33">
        <f t="shared" si="35"/>
        <v>1.7921799927674866E-4</v>
      </c>
      <c r="X371" s="35">
        <f t="shared" si="36"/>
        <v>4.5637892471126997E-4</v>
      </c>
      <c r="Y371" s="33">
        <f t="shared" si="37"/>
        <v>1.7483148877519466E-3</v>
      </c>
      <c r="Z371" s="54"/>
    </row>
    <row r="372" spans="15:26" x14ac:dyDescent="0.25">
      <c r="O372" s="37" t="s">
        <v>31</v>
      </c>
      <c r="P372" s="31">
        <f>_xll.qlCalendarAdvance(Calendar,P371,O371,"f",,Trigger)</f>
        <v>43278</v>
      </c>
      <c r="Q372" s="31">
        <f>_xll.qlInterestRateIndexValueDate(Index,P372,Trigger)</f>
        <v>43280</v>
      </c>
      <c r="R372" s="31">
        <f>_xll.qlInterestRateIndexMaturity(Index,Q372,Trigger)</f>
        <v>43371</v>
      </c>
      <c r="S372" s="32">
        <f>_xll.qlDayCounterYearFraction(DayCounter,Q372,R372,,,Trigger)</f>
        <v>0.25277777777777777</v>
      </c>
      <c r="T372" s="33">
        <f>_xll.qlIndexFixing(Index,P372,,AllTriggers)</f>
        <v>1.9487066012653304E-3</v>
      </c>
      <c r="U372" s="34">
        <f>_xll.qlYieldTSDiscount(OisCurve,Q372,,AllTriggers)</f>
        <v>1.003675586785471</v>
      </c>
      <c r="V372" s="34">
        <f>_xll.qlYieldTSDiscount(OisCurve,R372,,AllTriggers)</f>
        <v>1.0036254859225144</v>
      </c>
      <c r="W372" s="33">
        <f t="shared" si="35"/>
        <v>1.9748523614832953E-4</v>
      </c>
      <c r="X372" s="35">
        <f t="shared" si="36"/>
        <v>4.4254980853546832E-4</v>
      </c>
      <c r="Y372" s="33">
        <f t="shared" si="37"/>
        <v>1.7512213651170009E-3</v>
      </c>
      <c r="Z372" s="54"/>
    </row>
    <row r="373" spans="15:26" x14ac:dyDescent="0.25">
      <c r="O373" s="37" t="s">
        <v>31</v>
      </c>
      <c r="P373" s="31">
        <f>_xll.qlCalendarAdvance(Calendar,P372,O372,"f",,Trigger)</f>
        <v>43285</v>
      </c>
      <c r="Q373" s="31">
        <f>_xll.qlInterestRateIndexValueDate(Index,P373,Trigger)</f>
        <v>43287</v>
      </c>
      <c r="R373" s="31">
        <f>_xll.qlInterestRateIndexMaturity(Index,Q373,Trigger)</f>
        <v>43381</v>
      </c>
      <c r="S373" s="32">
        <f>_xll.qlDayCounterYearFraction(DayCounter,Q373,R373,,,Trigger)</f>
        <v>0.26111111111111113</v>
      </c>
      <c r="T373" s="33">
        <f>_xll.qlIndexFixing(Index,P373,,AllTriggers)</f>
        <v>1.9813269790189682E-3</v>
      </c>
      <c r="U373" s="34">
        <f>_xll.qlYieldTSDiscount(OisCurve,Q373,,AllTriggers)</f>
        <v>1.0036744587849733</v>
      </c>
      <c r="V373" s="34">
        <f>_xll.qlYieldTSDiscount(OisCurve,R373,,AllTriggers)</f>
        <v>1.0036153325630108</v>
      </c>
      <c r="W373" s="33">
        <f t="shared" si="35"/>
        <v>2.2562514015239557E-4</v>
      </c>
      <c r="X373" s="35">
        <f t="shared" si="36"/>
        <v>4.5830121568518221E-4</v>
      </c>
      <c r="Y373" s="33">
        <f t="shared" si="37"/>
        <v>1.7557018388665727E-3</v>
      </c>
      <c r="Z373" s="54"/>
    </row>
    <row r="374" spans="15:26" x14ac:dyDescent="0.25">
      <c r="O374" s="37" t="s">
        <v>31</v>
      </c>
      <c r="P374" s="31">
        <f>_xll.qlCalendarAdvance(Calendar,P373,O373,"f",,Trigger)</f>
        <v>43292</v>
      </c>
      <c r="Q374" s="31">
        <f>_xll.qlInterestRateIndexValueDate(Index,P374,Trigger)</f>
        <v>43294</v>
      </c>
      <c r="R374" s="31">
        <f>_xll.qlInterestRateIndexMaturity(Index,Q374,Trigger)</f>
        <v>43388</v>
      </c>
      <c r="S374" s="32">
        <f>_xll.qlDayCounterYearFraction(DayCounter,Q374,R374,,,Trigger)</f>
        <v>0.26111111111111113</v>
      </c>
      <c r="T374" s="33">
        <f>_xll.qlIndexFixing(Index,P374,,AllTriggers)</f>
        <v>2.008135425189181E-3</v>
      </c>
      <c r="U374" s="34">
        <f>_xll.qlYieldTSDiscount(OisCurve,Q374,,AllTriggers)</f>
        <v>1.0036728737310541</v>
      </c>
      <c r="V374" s="34">
        <f>_xll.qlYieldTSDiscount(OisCurve,R374,,AllTriggers)</f>
        <v>1.0036076822855826</v>
      </c>
      <c r="W374" s="33">
        <f t="shared" si="35"/>
        <v>2.4877187574615393E-4</v>
      </c>
      <c r="X374" s="35">
        <f t="shared" si="36"/>
        <v>4.5925405928870278E-4</v>
      </c>
      <c r="Y374" s="33">
        <f t="shared" si="37"/>
        <v>1.759363549443027E-3</v>
      </c>
      <c r="Z374" s="54"/>
    </row>
    <row r="375" spans="15:26" x14ac:dyDescent="0.25">
      <c r="O375" s="37" t="s">
        <v>31</v>
      </c>
      <c r="P375" s="31">
        <f>_xll.qlCalendarAdvance(Calendar,P374,O374,"f",,Trigger)</f>
        <v>43299</v>
      </c>
      <c r="Q375" s="31">
        <f>_xll.qlInterestRateIndexValueDate(Index,P375,Trigger)</f>
        <v>43301</v>
      </c>
      <c r="R375" s="31">
        <f>_xll.qlInterestRateIndexMaturity(Index,Q375,Trigger)</f>
        <v>43395</v>
      </c>
      <c r="S375" s="32">
        <f>_xll.qlDayCounterYearFraction(DayCounter,Q375,R375,,,Trigger)</f>
        <v>0.26111111111111113</v>
      </c>
      <c r="T375" s="33">
        <f>_xll.qlIndexFixing(Index,P375,,AllTriggers)</f>
        <v>2.0348848031520473E-3</v>
      </c>
      <c r="U375" s="34">
        <f>_xll.qlYieldTSDiscount(OisCurve,Q375,,AllTriggers)</f>
        <v>1.0036708323680268</v>
      </c>
      <c r="V375" s="34">
        <f>_xll.qlYieldTSDiscount(OisCurve,R375,,AllTriggers)</f>
        <v>1.0035995857525317</v>
      </c>
      <c r="W375" s="33">
        <f t="shared" si="35"/>
        <v>2.7188072052347043E-4</v>
      </c>
      <c r="X375" s="35">
        <f t="shared" si="36"/>
        <v>4.6020136830360157E-4</v>
      </c>
      <c r="Y375" s="33">
        <f t="shared" si="37"/>
        <v>1.7630040826285768E-3</v>
      </c>
      <c r="Z375" s="54"/>
    </row>
    <row r="376" spans="15:26" x14ac:dyDescent="0.25">
      <c r="O376" s="37" t="s">
        <v>31</v>
      </c>
      <c r="P376" s="31">
        <f>_xll.qlCalendarAdvance(Calendar,P375,O375,"f",,Trigger)</f>
        <v>43306</v>
      </c>
      <c r="Q376" s="31">
        <f>_xll.qlInterestRateIndexValueDate(Index,P376,Trigger)</f>
        <v>43308</v>
      </c>
      <c r="R376" s="31">
        <f>_xll.qlInterestRateIndexMaturity(Index,Q376,Trigger)</f>
        <v>43402</v>
      </c>
      <c r="S376" s="32">
        <f>_xll.qlDayCounterYearFraction(DayCounter,Q376,R376,,,Trigger)</f>
        <v>0.26111111111111113</v>
      </c>
      <c r="T376" s="33">
        <f>_xll.qlIndexFixing(Index,P376,,AllTriggers)</f>
        <v>2.061575111667708E-3</v>
      </c>
      <c r="U376" s="34">
        <f>_xll.qlYieldTSDiscount(OisCurve,Q376,,AllTriggers)</f>
        <v>1.0036683354408216</v>
      </c>
      <c r="V376" s="34">
        <f>_xll.qlYieldTSDiscount(OisCurve,R376,,AllTriggers)</f>
        <v>1.0035910437167477</v>
      </c>
      <c r="W376" s="33">
        <f t="shared" si="35"/>
        <v>2.949516738006366E-4</v>
      </c>
      <c r="X376" s="35">
        <f t="shared" si="36"/>
        <v>4.6114314272896093E-4</v>
      </c>
      <c r="Y376" s="33">
        <f t="shared" si="37"/>
        <v>1.7666234378670713E-3</v>
      </c>
      <c r="Z376" s="54"/>
    </row>
    <row r="377" spans="15:26" x14ac:dyDescent="0.25">
      <c r="O377" s="37" t="s">
        <v>31</v>
      </c>
      <c r="P377" s="31">
        <f>_xll.qlCalendarAdvance(Calendar,P376,O376,"f",,Trigger)</f>
        <v>43313</v>
      </c>
      <c r="Q377" s="31">
        <f>_xll.qlInterestRateIndexValueDate(Index,P377,Trigger)</f>
        <v>43315</v>
      </c>
      <c r="R377" s="31">
        <f>_xll.qlInterestRateIndexMaturity(Index,Q377,Trigger)</f>
        <v>43409</v>
      </c>
      <c r="S377" s="32">
        <f>_xll.qlDayCounterYearFraction(DayCounter,Q377,R377,,,Trigger)</f>
        <v>0.26111111111111113</v>
      </c>
      <c r="T377" s="33">
        <f>_xll.qlIndexFixing(Index,P377,,AllTriggers)</f>
        <v>2.0882063494997048E-3</v>
      </c>
      <c r="U377" s="34">
        <f>_xll.qlYieldTSDiscount(OisCurve,Q377,,AllTriggers)</f>
        <v>1.0036653836949818</v>
      </c>
      <c r="V377" s="34">
        <f>_xll.qlYieldTSDiscount(OisCurve,R377,,AllTriggers)</f>
        <v>1.0035820569316898</v>
      </c>
      <c r="W377" s="33">
        <f t="shared" si="35"/>
        <v>3.1798473488629054E-4</v>
      </c>
      <c r="X377" s="35">
        <f t="shared" si="36"/>
        <v>4.6207938256599083E-4</v>
      </c>
      <c r="Y377" s="33">
        <f t="shared" si="37"/>
        <v>1.7702216146134142E-3</v>
      </c>
      <c r="Z377" s="54"/>
    </row>
    <row r="378" spans="15:26" x14ac:dyDescent="0.25">
      <c r="O378" s="37" t="s">
        <v>31</v>
      </c>
      <c r="P378" s="31">
        <f>_xll.qlCalendarAdvance(Calendar,P377,O377,"f",,Trigger)</f>
        <v>43320</v>
      </c>
      <c r="Q378" s="31">
        <f>_xll.qlInterestRateIndexValueDate(Index,P378,Trigger)</f>
        <v>43322</v>
      </c>
      <c r="R378" s="31">
        <f>_xll.qlInterestRateIndexMaturity(Index,Q378,Trigger)</f>
        <v>43416</v>
      </c>
      <c r="S378" s="32">
        <f>_xll.qlDayCounterYearFraction(DayCounter,Q378,R378,,,Trigger)</f>
        <v>0.26111111111111113</v>
      </c>
      <c r="T378" s="33">
        <f>_xll.qlIndexFixing(Index,P378,,AllTriggers)</f>
        <v>2.1147785154132809E-3</v>
      </c>
      <c r="U378" s="34">
        <f>_xll.qlYieldTSDiscount(OisCurve,Q378,,AllTriggers)</f>
        <v>1.003661977876662</v>
      </c>
      <c r="V378" s="34">
        <f>_xll.qlYieldTSDiscount(OisCurve,R378,,AllTriggers)</f>
        <v>1.0035726261513818</v>
      </c>
      <c r="W378" s="33">
        <f t="shared" si="35"/>
        <v>3.4097990309927515E-4</v>
      </c>
      <c r="X378" s="35">
        <f t="shared" si="36"/>
        <v>4.630100878138117E-4</v>
      </c>
      <c r="Y378" s="33">
        <f t="shared" si="37"/>
        <v>1.7737986123140057E-3</v>
      </c>
      <c r="Z378" s="54"/>
    </row>
    <row r="379" spans="15:26" x14ac:dyDescent="0.25">
      <c r="O379" s="37" t="s">
        <v>31</v>
      </c>
      <c r="P379" s="31">
        <f>_xll.qlCalendarAdvance(Calendar,P378,O378,"f",,Trigger)</f>
        <v>43327</v>
      </c>
      <c r="Q379" s="31">
        <f>_xll.qlInterestRateIndexValueDate(Index,P379,Trigger)</f>
        <v>43329</v>
      </c>
      <c r="R379" s="31">
        <f>_xll.qlInterestRateIndexMaturity(Index,Q379,Trigger)</f>
        <v>43423</v>
      </c>
      <c r="S379" s="32">
        <f>_xll.qlDayCounterYearFraction(DayCounter,Q379,R379,,,Trigger)</f>
        <v>0.26111111111111113</v>
      </c>
      <c r="T379" s="33">
        <f>_xll.qlIndexFixing(Index,P379,,AllTriggers)</f>
        <v>2.1412916081770808E-3</v>
      </c>
      <c r="U379" s="34">
        <f>_xll.qlYieldTSDiscount(OisCurve,Q379,,AllTriggers)</f>
        <v>1.003658118732623</v>
      </c>
      <c r="V379" s="34">
        <f>_xll.qlYieldTSDiscount(OisCurve,R379,,AllTriggers)</f>
        <v>1.00356275213041</v>
      </c>
      <c r="W379" s="33">
        <f t="shared" si="35"/>
        <v>3.6393717775418111E-4</v>
      </c>
      <c r="X379" s="35">
        <f t="shared" si="36"/>
        <v>4.6393525847234011E-4</v>
      </c>
      <c r="Y379" s="33">
        <f t="shared" si="37"/>
        <v>1.7773544304228997E-3</v>
      </c>
      <c r="Z379" s="54"/>
    </row>
    <row r="380" spans="15:26" x14ac:dyDescent="0.25">
      <c r="O380" s="37" t="s">
        <v>31</v>
      </c>
      <c r="P380" s="31">
        <f>_xll.qlCalendarAdvance(Calendar,P379,O379,"f",,Trigger)</f>
        <v>43334</v>
      </c>
      <c r="Q380" s="31">
        <f>_xll.qlInterestRateIndexValueDate(Index,P380,Trigger)</f>
        <v>43336</v>
      </c>
      <c r="R380" s="31">
        <f>_xll.qlInterestRateIndexMaturity(Index,Q380,Trigger)</f>
        <v>43430</v>
      </c>
      <c r="S380" s="32">
        <f>_xll.qlDayCounterYearFraction(DayCounter,Q380,R380,,,Trigger)</f>
        <v>0.26111111111111113</v>
      </c>
      <c r="T380" s="33">
        <f>_xll.qlIndexFixing(Index,P380,,AllTriggers)</f>
        <v>2.1677456265631512E-3</v>
      </c>
      <c r="U380" s="34">
        <f>_xll.qlYieldTSDiscount(OisCurve,Q380,,AllTriggers)</f>
        <v>1.0036538070102292</v>
      </c>
      <c r="V380" s="34">
        <f>_xll.qlYieldTSDiscount(OisCurve,R380,,AllTriggers)</f>
        <v>1.0035524356239194</v>
      </c>
      <c r="W380" s="33">
        <f t="shared" si="35"/>
        <v>3.8685655816815041E-4</v>
      </c>
      <c r="X380" s="35">
        <f t="shared" si="36"/>
        <v>4.6485489454206646E-4</v>
      </c>
      <c r="Y380" s="33">
        <f t="shared" si="37"/>
        <v>1.7808890683950007E-3</v>
      </c>
      <c r="Z380" s="54"/>
    </row>
    <row r="381" spans="15:26" x14ac:dyDescent="0.25">
      <c r="O381" s="37" t="s">
        <v>31</v>
      </c>
      <c r="P381" s="31">
        <f>_xll.qlCalendarAdvance(Calendar,P380,O380,"f",,Trigger)</f>
        <v>43341</v>
      </c>
      <c r="Q381" s="31">
        <f>_xll.qlInterestRateIndexValueDate(Index,P381,Trigger)</f>
        <v>43343</v>
      </c>
      <c r="R381" s="31">
        <f>_xll.qlInterestRateIndexMaturity(Index,Q381,Trigger)</f>
        <v>43434</v>
      </c>
      <c r="S381" s="32">
        <f>_xll.qlDayCounterYearFraction(DayCounter,Q381,R381,,,Trigger)</f>
        <v>0.25277777777777777</v>
      </c>
      <c r="T381" s="33">
        <f>_xll.qlIndexFixing(Index,P381,,AllTriggers)</f>
        <v>2.1884974968745517E-3</v>
      </c>
      <c r="U381" s="34">
        <f>_xll.qlYieldTSDiscount(OisCurve,Q381,,AllTriggers)</f>
        <v>1.003649043457445</v>
      </c>
      <c r="V381" s="34">
        <f>_xll.qlYieldTSDiscount(OisCurve,R381,,AllTriggers)</f>
        <v>1.0035463421011865</v>
      </c>
      <c r="W381" s="33">
        <f t="shared" si="35"/>
        <v>4.0485532422265976E-4</v>
      </c>
      <c r="X381" s="35">
        <f t="shared" si="36"/>
        <v>4.5071738030808803E-4</v>
      </c>
      <c r="Y381" s="33">
        <f t="shared" si="37"/>
        <v>1.7836421726518919E-3</v>
      </c>
      <c r="Z381" s="54"/>
    </row>
    <row r="382" spans="15:26" x14ac:dyDescent="0.25">
      <c r="O382" s="37" t="s">
        <v>31</v>
      </c>
      <c r="P382" s="31">
        <f>_xll.qlCalendarAdvance(Calendar,P381,O381,"f",,Trigger)</f>
        <v>43348</v>
      </c>
      <c r="Q382" s="31">
        <f>_xll.qlInterestRateIndexValueDate(Index,P382,Trigger)</f>
        <v>43350</v>
      </c>
      <c r="R382" s="31">
        <f>_xll.qlInterestRateIndexMaturity(Index,Q382,Trigger)</f>
        <v>43441</v>
      </c>
      <c r="S382" s="32">
        <f>_xll.qlDayCounterYearFraction(DayCounter,Q382,R382,,,Trigger)</f>
        <v>0.25277777777777777</v>
      </c>
      <c r="T382" s="33">
        <f>_xll.qlIndexFixing(Index,P382,,AllTriggers)</f>
        <v>2.2148455391587788E-3</v>
      </c>
      <c r="U382" s="34">
        <f>_xll.qlYieldTSDiscount(OisCurve,Q382,,AllTriggers)</f>
        <v>1.0036438288228318</v>
      </c>
      <c r="V382" s="34">
        <f>_xll.qlYieldTSDiscount(OisCurve,R382,,AllTriggers)</f>
        <v>1.003535331787345</v>
      </c>
      <c r="W382" s="33">
        <f t="shared" si="35"/>
        <v>4.2770695549035006E-4</v>
      </c>
      <c r="X382" s="35">
        <f t="shared" si="36"/>
        <v>4.5159809851716615E-4</v>
      </c>
      <c r="Y382" s="33">
        <f t="shared" si="37"/>
        <v>1.7871385836684289E-3</v>
      </c>
      <c r="Z382" s="54"/>
    </row>
    <row r="383" spans="15:26" x14ac:dyDescent="0.25">
      <c r="O383" s="37" t="s">
        <v>31</v>
      </c>
      <c r="P383" s="31">
        <f>_xll.qlCalendarAdvance(Calendar,P382,O382,"f",,Trigger)</f>
        <v>43355</v>
      </c>
      <c r="Q383" s="31">
        <f>_xll.qlInterestRateIndexValueDate(Index,P383,Trigger)</f>
        <v>43357</v>
      </c>
      <c r="R383" s="31">
        <f>_xll.qlInterestRateIndexMaturity(Index,Q383,Trigger)</f>
        <v>43448</v>
      </c>
      <c r="S383" s="32">
        <f>_xll.qlDayCounterYearFraction(DayCounter,Q383,R383,,,Trigger)</f>
        <v>0.25277777777777777</v>
      </c>
      <c r="T383" s="33">
        <f>_xll.qlIndexFixing(Index,P383,,AllTriggers)</f>
        <v>2.2411344989774922E-3</v>
      </c>
      <c r="U383" s="34">
        <f>_xll.qlYieldTSDiscount(OisCurve,Q383,,AllTriggers)</f>
        <v>1.0036381638555445</v>
      </c>
      <c r="V383" s="34">
        <f>_xll.qlYieldTSDiscount(OisCurve,R383,,AllTriggers)</f>
        <v>1.0035238809323284</v>
      </c>
      <c r="W383" s="33">
        <f t="shared" si="35"/>
        <v>4.5052068641144303E-4</v>
      </c>
      <c r="X383" s="35">
        <f t="shared" si="36"/>
        <v>4.5247345877325029E-4</v>
      </c>
      <c r="Y383" s="33">
        <f t="shared" si="37"/>
        <v>1.7906138125660491E-3</v>
      </c>
      <c r="Z383" s="54"/>
    </row>
    <row r="384" spans="15:26" x14ac:dyDescent="0.25">
      <c r="O384" s="37" t="s">
        <v>31</v>
      </c>
      <c r="P384" s="31">
        <f>_xll.qlCalendarAdvance(Calendar,P383,O383,"f",,Trigger)</f>
        <v>43362</v>
      </c>
      <c r="Q384" s="31">
        <f>_xll.qlInterestRateIndexValueDate(Index,P384,Trigger)</f>
        <v>43364</v>
      </c>
      <c r="R384" s="31">
        <f>_xll.qlInterestRateIndexMaturity(Index,Q384,Trigger)</f>
        <v>43455</v>
      </c>
      <c r="S384" s="32">
        <f>_xll.qlDayCounterYearFraction(DayCounter,Q384,R384,,,Trigger)</f>
        <v>0.25277777777777777</v>
      </c>
      <c r="T384" s="33">
        <f>_xll.qlIndexFixing(Index,P384,,AllTriggers)</f>
        <v>2.2673643751500985E-3</v>
      </c>
      <c r="U384" s="34">
        <f>_xll.qlYieldTSDiscount(OisCurve,Q384,,AllTriggers)</f>
        <v>1.0036320493053281</v>
      </c>
      <c r="V384" s="34">
        <f>_xll.qlYieldTSDiscount(OisCurve,R384,,AllTriggers)</f>
        <v>1.0035119902932499</v>
      </c>
      <c r="W384" s="33">
        <f t="shared" si="35"/>
        <v>4.7329651632976015E-4</v>
      </c>
      <c r="X384" s="35">
        <f t="shared" si="36"/>
        <v>4.5334346107554004E-4</v>
      </c>
      <c r="Y384" s="33">
        <f t="shared" si="37"/>
        <v>1.7940678588203383E-3</v>
      </c>
      <c r="Z384" s="54"/>
    </row>
    <row r="385" spans="15:26" x14ac:dyDescent="0.25">
      <c r="O385" s="37" t="s">
        <v>31</v>
      </c>
      <c r="P385" s="31">
        <f>_xll.qlCalendarAdvance(Calendar,P384,O384,"f",,Trigger)</f>
        <v>43369</v>
      </c>
      <c r="Q385" s="31">
        <f>_xll.qlInterestRateIndexValueDate(Index,P385,Trigger)</f>
        <v>43371</v>
      </c>
      <c r="R385" s="31">
        <f>_xll.qlInterestRateIndexMaturity(Index,Q385,Trigger)</f>
        <v>43465</v>
      </c>
      <c r="S385" s="32">
        <f>_xll.qlDayCounterYearFraction(DayCounter,Q385,R385,,,Trigger)</f>
        <v>0.26111111111111113</v>
      </c>
      <c r="T385" s="33">
        <f>_xll.qlIndexFixing(Index,P385,,AllTriggers)</f>
        <v>2.2991295600005329E-3</v>
      </c>
      <c r="U385" s="34">
        <f>_xll.qlYieldTSDiscount(OisCurve,Q385,,AllTriggers)</f>
        <v>1.0036254859225144</v>
      </c>
      <c r="V385" s="34">
        <f>_xll.qlYieldTSDiscount(OisCurve,R385,,AllTriggers)</f>
        <v>1.003494242277452</v>
      </c>
      <c r="W385" s="33">
        <f t="shared" si="35"/>
        <v>5.0088502278684507E-4</v>
      </c>
      <c r="X385" s="35">
        <f t="shared" si="36"/>
        <v>4.6937005605652936E-4</v>
      </c>
      <c r="Y385" s="33">
        <f t="shared" si="37"/>
        <v>1.7982445372136879E-3</v>
      </c>
      <c r="Z385" s="54"/>
    </row>
    <row r="386" spans="15:26" x14ac:dyDescent="0.25">
      <c r="O386" s="37" t="s">
        <v>31</v>
      </c>
      <c r="P386" s="31">
        <f>_xll.qlCalendarAdvance(Calendar,P385,O385,"f",,Trigger)</f>
        <v>43376</v>
      </c>
      <c r="Q386" s="31">
        <f>_xll.qlInterestRateIndexValueDate(Index,P386,Trigger)</f>
        <v>43378</v>
      </c>
      <c r="R386" s="31">
        <f>_xll.qlInterestRateIndexMaturity(Index,Q386,Trigger)</f>
        <v>43472</v>
      </c>
      <c r="S386" s="32">
        <f>_xll.qlDayCounterYearFraction(DayCounter,Q386,R386,,,Trigger)</f>
        <v>0.26111111111111113</v>
      </c>
      <c r="T386" s="33">
        <f>_xll.qlIndexFixing(Index,P386,,AllTriggers)</f>
        <v>2.3252291064658507E-3</v>
      </c>
      <c r="U386" s="34">
        <f>_xll.qlYieldTSDiscount(OisCurve,Q386,,AllTriggers)</f>
        <v>1.0036184744580181</v>
      </c>
      <c r="V386" s="34">
        <f>_xll.qlYieldTSDiscount(OisCurve,R386,,AllTriggers)</f>
        <v>1.0034812867467653</v>
      </c>
      <c r="W386" s="33">
        <f t="shared" si="35"/>
        <v>5.2357702347045096E-4</v>
      </c>
      <c r="X386" s="35">
        <f t="shared" si="36"/>
        <v>4.7025648459282746E-4</v>
      </c>
      <c r="Y386" s="33">
        <f t="shared" si="37"/>
        <v>1.8016520829953998E-3</v>
      </c>
      <c r="Z386" s="54"/>
    </row>
    <row r="387" spans="15:26" x14ac:dyDescent="0.25">
      <c r="O387" s="37" t="s">
        <v>31</v>
      </c>
      <c r="P387" s="31">
        <f>_xll.qlCalendarAdvance(Calendar,P386,O386,"f",,Trigger)</f>
        <v>43383</v>
      </c>
      <c r="Q387" s="31">
        <f>_xll.qlInterestRateIndexValueDate(Index,P387,Trigger)</f>
        <v>43385</v>
      </c>
      <c r="R387" s="31">
        <f>_xll.qlInterestRateIndexMaturity(Index,Q387,Trigger)</f>
        <v>43479</v>
      </c>
      <c r="S387" s="32">
        <f>_xll.qlDayCounterYearFraction(DayCounter,Q387,R387,,,Trigger)</f>
        <v>0.26111111111111113</v>
      </c>
      <c r="T387" s="33">
        <f>_xll.qlIndexFixing(Index,P387,,AllTriggers)</f>
        <v>2.3512695700274931E-3</v>
      </c>
      <c r="U387" s="34">
        <f>_xll.qlYieldTSDiscount(OisCurve,Q387,,AllTriggers)</f>
        <v>1.0036110156633349</v>
      </c>
      <c r="V387" s="34">
        <f>_xll.qlYieldTSDiscount(OisCurve,R387,,AllTriggers)</f>
        <v>1.0034678940319421</v>
      </c>
      <c r="W387" s="33">
        <f t="shared" si="35"/>
        <v>5.4623112516457824E-4</v>
      </c>
      <c r="X387" s="35">
        <f t="shared" si="36"/>
        <v>4.7113737853940869E-4</v>
      </c>
      <c r="Y387" s="33">
        <f t="shared" si="37"/>
        <v>1.8050384448629149E-3</v>
      </c>
      <c r="Z387" s="54"/>
    </row>
    <row r="388" spans="15:26" x14ac:dyDescent="0.25">
      <c r="O388" s="37" t="s">
        <v>31</v>
      </c>
      <c r="P388" s="31">
        <f>_xll.qlCalendarAdvance(Calendar,P387,O387,"f",,Trigger)</f>
        <v>43390</v>
      </c>
      <c r="Q388" s="31">
        <f>_xll.qlInterestRateIndexValueDate(Index,P388,Trigger)</f>
        <v>43392</v>
      </c>
      <c r="R388" s="31">
        <f>_xll.qlInterestRateIndexMaturity(Index,Q388,Trigger)</f>
        <v>43486</v>
      </c>
      <c r="S388" s="32">
        <f>_xll.qlDayCounterYearFraction(DayCounter,Q388,R388,,,Trigger)</f>
        <v>0.26111111111111113</v>
      </c>
      <c r="T388" s="33">
        <f>_xll.qlIndexFixing(Index,P388,,AllTriggers)</f>
        <v>2.3772509494796152E-3</v>
      </c>
      <c r="U388" s="34">
        <f>_xll.qlYieldTSDiscount(OisCurve,Q388,,AllTriggers)</f>
        <v>1.0036031102905363</v>
      </c>
      <c r="V388" s="34">
        <f>_xll.qlYieldTSDiscount(OisCurve,R388,,AllTriggers)</f>
        <v>1.0034540648924783</v>
      </c>
      <c r="W388" s="33">
        <f t="shared" ref="W388:W451" si="38">(U388/V388-1)/S388</f>
        <v>5.6884732719317201E-4</v>
      </c>
      <c r="X388" s="35">
        <f t="shared" ref="X388:X451" si="39">LN((1+T388*S388)/(1+W388*S388))</f>
        <v>4.7201273789736019E-4</v>
      </c>
      <c r="Y388" s="33">
        <f t="shared" ref="Y388:Y451" si="40">T388-W388</f>
        <v>1.8084036222864432E-3</v>
      </c>
      <c r="Z388" s="54"/>
    </row>
    <row r="389" spans="15:26" x14ac:dyDescent="0.25">
      <c r="O389" s="37" t="s">
        <v>31</v>
      </c>
      <c r="P389" s="31">
        <f>_xll.qlCalendarAdvance(Calendar,P388,O388,"f",,Trigger)</f>
        <v>43397</v>
      </c>
      <c r="Q389" s="31">
        <f>_xll.qlInterestRateIndexValueDate(Index,P389,Trigger)</f>
        <v>43399</v>
      </c>
      <c r="R389" s="31">
        <f>_xll.qlInterestRateIndexMaturity(Index,Q389,Trigger)</f>
        <v>43493</v>
      </c>
      <c r="S389" s="32">
        <f>_xll.qlDayCounterYearFraction(DayCounter,Q389,R389,,,Trigger)</f>
        <v>0.26111111111111113</v>
      </c>
      <c r="T389" s="33">
        <f>_xll.qlIndexFixing(Index,P389,,AllTriggers)</f>
        <v>2.4031732436172238E-3</v>
      </c>
      <c r="U389" s="34">
        <f>_xll.qlYieldTSDiscount(OisCurve,Q389,,AllTriggers)</f>
        <v>1.0035947590922678</v>
      </c>
      <c r="V389" s="34">
        <f>_xll.qlYieldTSDiscount(OisCurve,R389,,AllTriggers)</f>
        <v>1.0034398000883999</v>
      </c>
      <c r="W389" s="33">
        <f t="shared" si="38"/>
        <v>5.9142562888272836E-4</v>
      </c>
      <c r="X389" s="35">
        <f t="shared" si="39"/>
        <v>4.7288256266656752E-4</v>
      </c>
      <c r="Y389" s="33">
        <f t="shared" si="40"/>
        <v>1.8117476147344953E-3</v>
      </c>
      <c r="Z389" s="54"/>
    </row>
    <row r="390" spans="15:26" x14ac:dyDescent="0.25">
      <c r="O390" s="37" t="s">
        <v>31</v>
      </c>
      <c r="P390" s="31">
        <f>_xll.qlCalendarAdvance(Calendar,P389,O389,"f",,Trigger)</f>
        <v>43404</v>
      </c>
      <c r="Q390" s="31">
        <f>_xll.qlInterestRateIndexValueDate(Index,P390,Trigger)</f>
        <v>43406</v>
      </c>
      <c r="R390" s="31">
        <f>_xll.qlInterestRateIndexMaturity(Index,Q390,Trigger)</f>
        <v>43500</v>
      </c>
      <c r="S390" s="32">
        <f>_xll.qlDayCounterYearFraction(DayCounter,Q390,R390,,,Trigger)</f>
        <v>0.26111111111111113</v>
      </c>
      <c r="T390" s="33">
        <f>_xll.qlIndexFixing(Index,P390,,AllTriggers)</f>
        <v>2.4290364512395777E-3</v>
      </c>
      <c r="U390" s="34">
        <f>_xll.qlYieldTSDiscount(OisCurve,Q390,,AllTriggers)</f>
        <v>1.0035859628217449</v>
      </c>
      <c r="V390" s="34">
        <f>_xll.qlYieldTSDiscount(OisCurve,R390,,AllTriggers)</f>
        <v>1.0034251003802577</v>
      </c>
      <c r="W390" s="33">
        <f t="shared" si="38"/>
        <v>6.1396602956314509E-4</v>
      </c>
      <c r="X390" s="35">
        <f t="shared" si="39"/>
        <v>4.7374685284660241E-4</v>
      </c>
      <c r="Y390" s="33">
        <f t="shared" si="40"/>
        <v>1.8150704216764327E-3</v>
      </c>
      <c r="Z390" s="54"/>
    </row>
    <row r="391" spans="15:26" x14ac:dyDescent="0.25">
      <c r="O391" s="37" t="s">
        <v>31</v>
      </c>
      <c r="P391" s="31">
        <f>_xll.qlCalendarAdvance(Calendar,P390,O390,"f",,Trigger)</f>
        <v>43411</v>
      </c>
      <c r="Q391" s="31">
        <f>_xll.qlInterestRateIndexValueDate(Index,P391,Trigger)</f>
        <v>43413</v>
      </c>
      <c r="R391" s="31">
        <f>_xll.qlInterestRateIndexMaturity(Index,Q391,Trigger)</f>
        <v>43507</v>
      </c>
      <c r="S391" s="32">
        <f>_xll.qlDayCounterYearFraction(DayCounter,Q391,R391,,,Trigger)</f>
        <v>0.26111111111111113</v>
      </c>
      <c r="T391" s="33">
        <f>_xll.qlIndexFixing(Index,P391,,AllTriggers)</f>
        <v>2.4548405711484859E-3</v>
      </c>
      <c r="U391" s="34">
        <f>_xll.qlYieldTSDiscount(OisCurve,Q391,,AllTriggers)</f>
        <v>1.0035767222327499</v>
      </c>
      <c r="V391" s="34">
        <f>_xll.qlYieldTSDiscount(OisCurve,R391,,AllTriggers)</f>
        <v>1.0034099665291261</v>
      </c>
      <c r="W391" s="33">
        <f t="shared" si="38"/>
        <v>6.3646852856261908E-4</v>
      </c>
      <c r="X391" s="35">
        <f t="shared" si="39"/>
        <v>4.7460560843783257E-4</v>
      </c>
      <c r="Y391" s="33">
        <f t="shared" si="40"/>
        <v>1.8183720425858669E-3</v>
      </c>
      <c r="Z391" s="54"/>
    </row>
    <row r="392" spans="15:26" x14ac:dyDescent="0.25">
      <c r="O392" s="37" t="s">
        <v>31</v>
      </c>
      <c r="P392" s="31">
        <f>_xll.qlCalendarAdvance(Calendar,P391,O391,"f",,Trigger)</f>
        <v>43418</v>
      </c>
      <c r="Q392" s="31">
        <f>_xll.qlInterestRateIndexValueDate(Index,P392,Trigger)</f>
        <v>43420</v>
      </c>
      <c r="R392" s="31">
        <f>_xll.qlInterestRateIndexMaturity(Index,Q392,Trigger)</f>
        <v>43514</v>
      </c>
      <c r="S392" s="32">
        <f>_xll.qlDayCounterYearFraction(DayCounter,Q392,R392,,,Trigger)</f>
        <v>0.26111111111111113</v>
      </c>
      <c r="T392" s="33">
        <f>_xll.qlIndexFixing(Index,P392,,AllTriggers)</f>
        <v>2.4805856021466086E-3</v>
      </c>
      <c r="U392" s="34">
        <f>_xll.qlYieldTSDiscount(OisCurve,Q392,,AllTriggers)</f>
        <v>1.0035670380796284</v>
      </c>
      <c r="V392" s="34">
        <f>_xll.qlYieldTSDiscount(OisCurve,R392,,AllTriggers)</f>
        <v>1.0033943992965983</v>
      </c>
      <c r="W392" s="33">
        <f t="shared" si="38"/>
        <v>6.5893312521274892E-4</v>
      </c>
      <c r="X392" s="35">
        <f t="shared" si="39"/>
        <v>4.7545882943986786E-4</v>
      </c>
      <c r="Y392" s="33">
        <f t="shared" si="40"/>
        <v>1.8216524769338596E-3</v>
      </c>
      <c r="Z392" s="54"/>
    </row>
    <row r="393" spans="15:26" x14ac:dyDescent="0.25">
      <c r="O393" s="37" t="s">
        <v>31</v>
      </c>
      <c r="P393" s="31">
        <f>_xll.qlCalendarAdvance(Calendar,P392,O392,"f",,Trigger)</f>
        <v>43425</v>
      </c>
      <c r="Q393" s="31">
        <f>_xll.qlInterestRateIndexValueDate(Index,P393,Trigger)</f>
        <v>43427</v>
      </c>
      <c r="R393" s="31">
        <f>_xll.qlInterestRateIndexMaturity(Index,Q393,Trigger)</f>
        <v>43521</v>
      </c>
      <c r="S393" s="32">
        <f>_xll.qlDayCounterYearFraction(DayCounter,Q393,R393,,,Trigger)</f>
        <v>0.26111111111111113</v>
      </c>
      <c r="T393" s="33">
        <f>_xll.qlIndexFixing(Index,P393,,AllTriggers)</f>
        <v>2.506271543041708E-3</v>
      </c>
      <c r="U393" s="34">
        <f>_xll.qlYieldTSDiscount(OisCurve,Q393,,AllTriggers)</f>
        <v>1.0035569111172864</v>
      </c>
      <c r="V393" s="34">
        <f>_xll.qlYieldTSDiscount(OisCurve,R393,,AllTriggers)</f>
        <v>1.003378399444784</v>
      </c>
      <c r="W393" s="33">
        <f t="shared" si="38"/>
        <v>6.8135981884343228E-4</v>
      </c>
      <c r="X393" s="35">
        <f t="shared" si="39"/>
        <v>4.7630651585311415E-4</v>
      </c>
      <c r="Y393" s="33">
        <f t="shared" si="40"/>
        <v>1.8249117241982758E-3</v>
      </c>
      <c r="Z393" s="54"/>
    </row>
    <row r="394" spans="15:26" x14ac:dyDescent="0.25">
      <c r="O394" s="37" t="s">
        <v>31</v>
      </c>
      <c r="P394" s="31">
        <f>_xll.qlCalendarAdvance(Calendar,P393,O393,"f",,Trigger)</f>
        <v>43432</v>
      </c>
      <c r="Q394" s="31">
        <f>_xll.qlInterestRateIndexValueDate(Index,P394,Trigger)</f>
        <v>43434</v>
      </c>
      <c r="R394" s="31">
        <f>_xll.qlInterestRateIndexMaturity(Index,Q394,Trigger)</f>
        <v>43524</v>
      </c>
      <c r="S394" s="32">
        <f>_xll.qlDayCounterYearFraction(DayCounter,Q394,R394,,,Trigger)</f>
        <v>0.25</v>
      </c>
      <c r="T394" s="33">
        <f>_xll.qlIndexFixing(Index,P394,,AllTriggers)</f>
        <v>2.5245841540320058E-3</v>
      </c>
      <c r="U394" s="34">
        <f>_xll.qlYieldTSDiscount(OisCurve,Q394,,AllTriggers)</f>
        <v>1.0035463421011865</v>
      </c>
      <c r="V394" s="34">
        <f>_xll.qlYieldTSDiscount(OisCurve,R394,,AllTriggers)</f>
        <v>1.0033714101199294</v>
      </c>
      <c r="W394" s="33">
        <f t="shared" si="38"/>
        <v>6.9737678188896979E-4</v>
      </c>
      <c r="X394" s="35">
        <f t="shared" si="39"/>
        <v>4.566179503228768E-4</v>
      </c>
      <c r="Y394" s="33">
        <f t="shared" si="40"/>
        <v>1.827207372143036E-3</v>
      </c>
      <c r="Z394" s="54"/>
    </row>
    <row r="395" spans="15:26" x14ac:dyDescent="0.25">
      <c r="O395" s="37" t="s">
        <v>31</v>
      </c>
      <c r="P395" s="31">
        <f>_xll.qlCalendarAdvance(Calendar,P394,O394,"f",,Trigger)</f>
        <v>43439</v>
      </c>
      <c r="Q395" s="31">
        <f>_xll.qlInterestRateIndexValueDate(Index,P395,Trigger)</f>
        <v>43441</v>
      </c>
      <c r="R395" s="31">
        <f>_xll.qlInterestRateIndexMaturity(Index,Q395,Trigger)</f>
        <v>43531</v>
      </c>
      <c r="S395" s="32">
        <f>_xll.qlDayCounterYearFraction(DayCounter,Q395,R395,,,Trigger)</f>
        <v>0.25</v>
      </c>
      <c r="T395" s="33">
        <f>_xll.qlIndexFixing(Index,P395,,AllTriggers)</f>
        <v>2.5501680740163124E-3</v>
      </c>
      <c r="U395" s="34">
        <f>_xll.qlYieldTSDiscount(OisCurve,Q395,,AllTriggers)</f>
        <v>1.003535331787345</v>
      </c>
      <c r="V395" s="34">
        <f>_xll.qlYieldTSDiscount(OisCurve,R395,,AllTriggers)</f>
        <v>1.0033547935636056</v>
      </c>
      <c r="W395" s="33">
        <f t="shared" si="38"/>
        <v>7.1973832146898786E-4</v>
      </c>
      <c r="X395" s="35">
        <f t="shared" si="39"/>
        <v>4.5742048084620925E-4</v>
      </c>
      <c r="Y395" s="33">
        <f t="shared" si="40"/>
        <v>1.8304297525473245E-3</v>
      </c>
      <c r="Z395" s="54"/>
    </row>
    <row r="396" spans="15:26" x14ac:dyDescent="0.25">
      <c r="O396" s="37" t="s">
        <v>31</v>
      </c>
      <c r="P396" s="31">
        <f>_xll.qlCalendarAdvance(Calendar,P395,O395,"f",,Trigger)</f>
        <v>43446</v>
      </c>
      <c r="Q396" s="31">
        <f>_xll.qlInterestRateIndexValueDate(Index,P396,Trigger)</f>
        <v>43448</v>
      </c>
      <c r="R396" s="31">
        <f>_xll.qlInterestRateIndexMaturity(Index,Q396,Trigger)</f>
        <v>43538</v>
      </c>
      <c r="S396" s="32">
        <f>_xll.qlDayCounterYearFraction(DayCounter,Q396,R396,,,Trigger)</f>
        <v>0.25</v>
      </c>
      <c r="T396" s="33">
        <f>_xll.qlIndexFixing(Index,P396,,AllTriggers)</f>
        <v>2.5756928950935176E-3</v>
      </c>
      <c r="U396" s="34">
        <f>_xll.qlYieldTSDiscount(OisCurve,Q396,,AllTriggers)</f>
        <v>1.0035238809323284</v>
      </c>
      <c r="V396" s="34">
        <f>_xll.qlYieldTSDiscount(OisCurve,R396,,AllTriggers)</f>
        <v>1.0033377462409614</v>
      </c>
      <c r="W396" s="33">
        <f t="shared" si="38"/>
        <v>7.4206195098014405E-4</v>
      </c>
      <c r="X396" s="35">
        <f t="shared" si="39"/>
        <v>4.5821771229458515E-4</v>
      </c>
      <c r="Y396" s="33">
        <f t="shared" si="40"/>
        <v>1.8336309441133736E-3</v>
      </c>
      <c r="Z396" s="54"/>
    </row>
    <row r="397" spans="15:26" x14ac:dyDescent="0.25">
      <c r="O397" s="37" t="s">
        <v>31</v>
      </c>
      <c r="P397" s="31">
        <f>_xll.qlCalendarAdvance(Calendar,P396,O396,"f",,Trigger)</f>
        <v>43453</v>
      </c>
      <c r="Q397" s="31">
        <f>_xll.qlInterestRateIndexValueDate(Index,P397,Trigger)</f>
        <v>43455</v>
      </c>
      <c r="R397" s="31">
        <f>_xll.qlInterestRateIndexMaturity(Index,Q397,Trigger)</f>
        <v>43545</v>
      </c>
      <c r="S397" s="32">
        <f>_xll.qlDayCounterYearFraction(DayCounter,Q397,R397,,,Trigger)</f>
        <v>0.25</v>
      </c>
      <c r="T397" s="33">
        <f>_xll.qlIndexFixing(Index,P397,,AllTriggers)</f>
        <v>2.6011586161320821E-3</v>
      </c>
      <c r="U397" s="34">
        <f>_xll.qlYieldTSDiscount(OisCurve,Q397,,AllTriggers)</f>
        <v>1.0035119902932499</v>
      </c>
      <c r="V397" s="34">
        <f>_xll.qlYieldTSDiscount(OisCurve,R397,,AllTriggers)</f>
        <v>1.0033202689158516</v>
      </c>
      <c r="W397" s="33">
        <f t="shared" si="38"/>
        <v>7.6434766978472624E-4</v>
      </c>
      <c r="X397" s="35">
        <f t="shared" si="39"/>
        <v>4.5900964466869291E-4</v>
      </c>
      <c r="Y397" s="33">
        <f t="shared" si="40"/>
        <v>1.8368109463473559E-3</v>
      </c>
      <c r="Z397" s="54"/>
    </row>
    <row r="398" spans="15:26" x14ac:dyDescent="0.25">
      <c r="O398" s="37" t="s">
        <v>31</v>
      </c>
      <c r="P398" s="31">
        <f>_xll.qlCalendarAdvance(Calendar,P397,O397,"f",,Trigger)</f>
        <v>43461</v>
      </c>
      <c r="Q398" s="31">
        <f>_xll.qlInterestRateIndexValueDate(Index,P398,Trigger)</f>
        <v>43465</v>
      </c>
      <c r="R398" s="31">
        <f>_xll.qlInterestRateIndexMaturity(Index,Q398,Trigger)</f>
        <v>43553</v>
      </c>
      <c r="S398" s="32">
        <f>_xll.qlDayCounterYearFraction(DayCounter,Q398,R398,,,Trigger)</f>
        <v>0.24444444444444444</v>
      </c>
      <c r="T398" s="33">
        <f>_xll.qlIndexFixing(Index,P398,,AllTriggers)</f>
        <v>2.6338120897160459E-3</v>
      </c>
      <c r="U398" s="34">
        <f>_xll.qlYieldTSDiscount(OisCurve,Q398,,AllTriggers)</f>
        <v>1.003494242277452</v>
      </c>
      <c r="V398" s="34">
        <f>_xll.qlYieldTSDiscount(OisCurve,R398,,AllTriggers)</f>
        <v>1.0032997692769183</v>
      </c>
      <c r="W398" s="33">
        <f t="shared" si="38"/>
        <v>7.929547979389596E-4</v>
      </c>
      <c r="X398" s="35">
        <f t="shared" si="39"/>
        <v>4.4979895759994764E-4</v>
      </c>
      <c r="Y398" s="33">
        <f t="shared" si="40"/>
        <v>1.8408572917770864E-3</v>
      </c>
      <c r="Z398" s="54"/>
    </row>
    <row r="399" spans="15:26" x14ac:dyDescent="0.25">
      <c r="O399" s="37" t="s">
        <v>31</v>
      </c>
      <c r="P399" s="31">
        <f>_xll.qlCalendarAdvance(Calendar,P398,O398,"f",,Trigger)</f>
        <v>43468</v>
      </c>
      <c r="Q399" s="31">
        <f>_xll.qlInterestRateIndexValueDate(Index,P399,Trigger)</f>
        <v>43472</v>
      </c>
      <c r="R399" s="31">
        <f>_xll.qlInterestRateIndexMaturity(Index,Q399,Trigger)</f>
        <v>43563</v>
      </c>
      <c r="S399" s="32">
        <f>_xll.qlDayCounterYearFraction(DayCounter,Q399,R399,,,Trigger)</f>
        <v>0.25277777777777777</v>
      </c>
      <c r="T399" s="33">
        <f>_xll.qlIndexFixing(Index,P399,,AllTriggers)</f>
        <v>2.6645650860164043E-3</v>
      </c>
      <c r="U399" s="34">
        <f>_xll.qlYieldTSDiscount(OisCurve,Q399,,AllTriggers)</f>
        <v>1.0034812867467653</v>
      </c>
      <c r="V399" s="34">
        <f>_xll.qlYieldTSDiscount(OisCurve,R399,,AllTriggers)</f>
        <v>1.0032733580712292</v>
      </c>
      <c r="W399" s="33">
        <f t="shared" si="38"/>
        <v>8.1989118272201211E-4</v>
      </c>
      <c r="X399" s="35">
        <f t="shared" si="39"/>
        <v>4.6608731519221528E-4</v>
      </c>
      <c r="Y399" s="33">
        <f t="shared" si="40"/>
        <v>1.8446739032943922E-3</v>
      </c>
      <c r="Z399" s="54"/>
    </row>
    <row r="400" spans="15:26" x14ac:dyDescent="0.25">
      <c r="O400" s="37" t="s">
        <v>31</v>
      </c>
      <c r="P400" s="31">
        <f>_xll.qlCalendarAdvance(Calendar,P399,O399,"f",,Trigger)</f>
        <v>43475</v>
      </c>
      <c r="Q400" s="31">
        <f>_xll.qlInterestRateIndexValueDate(Index,P400,Trigger)</f>
        <v>43479</v>
      </c>
      <c r="R400" s="31">
        <f>_xll.qlInterestRateIndexMaturity(Index,Q400,Trigger)</f>
        <v>43570</v>
      </c>
      <c r="S400" s="32">
        <f>_xll.qlDayCounterYearFraction(DayCounter,Q400,R400,,,Trigger)</f>
        <v>0.25277777777777777</v>
      </c>
      <c r="T400" s="33">
        <f>_xll.qlIndexFixing(Index,P400,,AllTriggers)</f>
        <v>2.6898241357578966E-3</v>
      </c>
      <c r="U400" s="34">
        <f>_xll.qlYieldTSDiscount(OisCurve,Q400,,AllTriggers)</f>
        <v>1.0034678940319421</v>
      </c>
      <c r="V400" s="34">
        <f>_xll.qlYieldTSDiscount(OisCurve,R400,,AllTriggers)</f>
        <v>1.0032543512661505</v>
      </c>
      <c r="W400" s="33">
        <f t="shared" si="38"/>
        <v>8.4204426016305073E-4</v>
      </c>
      <c r="X400" s="35">
        <f t="shared" si="39"/>
        <v>4.668692939784043E-4</v>
      </c>
      <c r="Y400" s="33">
        <f t="shared" si="40"/>
        <v>1.8477798755948459E-3</v>
      </c>
      <c r="Z400" s="54"/>
    </row>
    <row r="401" spans="15:26" x14ac:dyDescent="0.25">
      <c r="O401" s="37" t="s">
        <v>31</v>
      </c>
      <c r="P401" s="31">
        <f>_xll.qlCalendarAdvance(Calendar,P400,O400,"f",,Trigger)</f>
        <v>43482</v>
      </c>
      <c r="Q401" s="31">
        <f>_xll.qlInterestRateIndexValueDate(Index,P401,Trigger)</f>
        <v>43486</v>
      </c>
      <c r="R401" s="31">
        <f>_xll.qlInterestRateIndexMaturity(Index,Q401,Trigger)</f>
        <v>43578</v>
      </c>
      <c r="S401" s="32">
        <f>_xll.qlDayCounterYearFraction(DayCounter,Q401,R401,,,Trigger)</f>
        <v>0.25555555555555554</v>
      </c>
      <c r="T401" s="33">
        <f>_xll.qlIndexFixing(Index,P401,,AllTriggers)</f>
        <v>2.7168228430189379E-3</v>
      </c>
      <c r="U401" s="34">
        <f>_xll.qlYieldTSDiscount(OisCurve,Q401,,AllTriggers)</f>
        <v>1.0034540648924783</v>
      </c>
      <c r="V401" s="34">
        <f>_xll.qlYieldTSDiscount(OisCurve,R401,,AllTriggers)</f>
        <v>1.0032321069978356</v>
      </c>
      <c r="W401" s="33">
        <f t="shared" si="38"/>
        <v>8.6573275119695568E-4</v>
      </c>
      <c r="X401" s="35">
        <f t="shared" si="39"/>
        <v>4.7283991321632831E-4</v>
      </c>
      <c r="Y401" s="33">
        <f t="shared" si="40"/>
        <v>1.8510900918219822E-3</v>
      </c>
      <c r="Z401" s="54"/>
    </row>
    <row r="402" spans="15:26" x14ac:dyDescent="0.25">
      <c r="O402" s="37" t="s">
        <v>31</v>
      </c>
      <c r="P402" s="31">
        <f>_xll.qlCalendarAdvance(Calendar,P401,O401,"f",,Trigger)</f>
        <v>43489</v>
      </c>
      <c r="Q402" s="31">
        <f>_xll.qlInterestRateIndexValueDate(Index,P402,Trigger)</f>
        <v>43493</v>
      </c>
      <c r="R402" s="31">
        <f>_xll.qlInterestRateIndexMaturity(Index,Q402,Trigger)</f>
        <v>43584</v>
      </c>
      <c r="S402" s="32">
        <f>_xll.qlDayCounterYearFraction(DayCounter,Q402,R402,,,Trigger)</f>
        <v>0.25277777777777777</v>
      </c>
      <c r="T402" s="33">
        <f>_xll.qlIndexFixing(Index,P402,,AllTriggers)</f>
        <v>2.7401649227746325E-3</v>
      </c>
      <c r="U402" s="34">
        <f>_xll.qlYieldTSDiscount(OisCurve,Q402,,AllTriggers)</f>
        <v>1.0034398000883999</v>
      </c>
      <c r="V402" s="34">
        <f>_xll.qlYieldTSDiscount(OisCurve,R402,,AllTriggers)</f>
        <v>1.0032150589099498</v>
      </c>
      <c r="W402" s="33">
        <f t="shared" si="38"/>
        <v>8.8623667755537204E-4</v>
      </c>
      <c r="X402" s="35">
        <f t="shared" si="39"/>
        <v>4.684171776920406E-4</v>
      </c>
      <c r="Y402" s="33">
        <f t="shared" si="40"/>
        <v>1.8539282452192606E-3</v>
      </c>
      <c r="Z402" s="54"/>
    </row>
    <row r="403" spans="15:26" x14ac:dyDescent="0.25">
      <c r="O403" s="37" t="s">
        <v>31</v>
      </c>
      <c r="P403" s="31">
        <f>_xll.qlCalendarAdvance(Calendar,P402,O402,"f",,Trigger)</f>
        <v>43496</v>
      </c>
      <c r="Q403" s="31">
        <f>_xll.qlInterestRateIndexValueDate(Index,P403,Trigger)</f>
        <v>43500</v>
      </c>
      <c r="R403" s="31">
        <f>_xll.qlInterestRateIndexMaturity(Index,Q403,Trigger)</f>
        <v>43591</v>
      </c>
      <c r="S403" s="32">
        <f>_xll.qlDayCounterYearFraction(DayCounter,Q403,R403,,,Trigger)</f>
        <v>0.25277777777777777</v>
      </c>
      <c r="T403" s="33">
        <f>_xll.qlIndexFixing(Index,P403,,AllTriggers)</f>
        <v>2.7652469241164473E-3</v>
      </c>
      <c r="U403" s="34">
        <f>_xll.qlYieldTSDiscount(OisCurve,Q403,,AllTriggers)</f>
        <v>1.0034251003802577</v>
      </c>
      <c r="V403" s="34">
        <f>_xll.qlYieldTSDiscount(OisCurve,R403,,AllTriggers)</f>
        <v>1.0031947743546967</v>
      </c>
      <c r="W403" s="33">
        <f t="shared" si="38"/>
        <v>9.0827813763929546E-4</v>
      </c>
      <c r="X403" s="35">
        <f t="shared" si="39"/>
        <v>4.6918261377275111E-4</v>
      </c>
      <c r="Y403" s="33">
        <f t="shared" si="40"/>
        <v>1.8569687864771517E-3</v>
      </c>
      <c r="Z403" s="54"/>
    </row>
    <row r="404" spans="15:26" x14ac:dyDescent="0.25">
      <c r="O404" s="37" t="s">
        <v>31</v>
      </c>
      <c r="P404" s="31">
        <f>_xll.qlCalendarAdvance(Calendar,P403,O403,"f",,Trigger)</f>
        <v>43503</v>
      </c>
      <c r="Q404" s="31">
        <f>_xll.qlInterestRateIndexValueDate(Index,P404,Trigger)</f>
        <v>43507</v>
      </c>
      <c r="R404" s="31">
        <f>_xll.qlInterestRateIndexMaturity(Index,Q404,Trigger)</f>
        <v>43598</v>
      </c>
      <c r="S404" s="32">
        <f>_xll.qlDayCounterYearFraction(DayCounter,Q404,R404,,,Trigger)</f>
        <v>0.25277777777777777</v>
      </c>
      <c r="T404" s="33">
        <f>_xll.qlIndexFixing(Index,P404,,AllTriggers)</f>
        <v>2.7902714162582228E-3</v>
      </c>
      <c r="U404" s="34">
        <f>_xll.qlYieldTSDiscount(OisCurve,Q404,,AllTriggers)</f>
        <v>1.0034099665291261</v>
      </c>
      <c r="V404" s="34">
        <f>_xll.qlYieldTSDiscount(OisCurve,R404,,AllTriggers)</f>
        <v>1.0031740623695924</v>
      </c>
      <c r="W404" s="33">
        <f t="shared" si="38"/>
        <v>9.3029441204286448E-4</v>
      </c>
      <c r="X404" s="35">
        <f t="shared" si="39"/>
        <v>4.6993987882220864E-4</v>
      </c>
      <c r="Y404" s="33">
        <f t="shared" si="40"/>
        <v>1.8599770042153582E-3</v>
      </c>
      <c r="Z404" s="54"/>
    </row>
    <row r="405" spans="15:26" x14ac:dyDescent="0.25">
      <c r="O405" s="37" t="s">
        <v>31</v>
      </c>
      <c r="P405" s="31">
        <f>_xll.qlCalendarAdvance(Calendar,P404,O404,"f",,Trigger)</f>
        <v>43510</v>
      </c>
      <c r="Q405" s="31">
        <f>_xll.qlInterestRateIndexValueDate(Index,P405,Trigger)</f>
        <v>43514</v>
      </c>
      <c r="R405" s="31">
        <f>_xll.qlInterestRateIndexMaturity(Index,Q405,Trigger)</f>
        <v>43605</v>
      </c>
      <c r="S405" s="32">
        <f>_xll.qlDayCounterYearFraction(DayCounter,Q405,R405,,,Trigger)</f>
        <v>0.25277777777777777</v>
      </c>
      <c r="T405" s="33">
        <f>_xll.qlIndexFixing(Index,P405,,AllTriggers)</f>
        <v>2.8152399960773141E-3</v>
      </c>
      <c r="U405" s="34">
        <f>_xll.qlYieldTSDiscount(OisCurve,Q405,,AllTriggers)</f>
        <v>1.0033943992965983</v>
      </c>
      <c r="V405" s="34">
        <f>_xll.qlYieldTSDiscount(OisCurve,R405,,AllTriggers)</f>
        <v>1.0031529204960286</v>
      </c>
      <c r="W405" s="33">
        <f t="shared" si="38"/>
        <v>9.5229822890286538E-4</v>
      </c>
      <c r="X405" s="35">
        <f t="shared" si="39"/>
        <v>4.706861597617925E-4</v>
      </c>
      <c r="Y405" s="33">
        <f t="shared" si="40"/>
        <v>1.8629417671744489E-3</v>
      </c>
      <c r="Z405" s="54"/>
    </row>
    <row r="406" spans="15:26" x14ac:dyDescent="0.25">
      <c r="O406" s="37" t="s">
        <v>31</v>
      </c>
      <c r="P406" s="31">
        <f>_xll.qlCalendarAdvance(Calendar,P405,O405,"f",,Trigger)</f>
        <v>43517</v>
      </c>
      <c r="Q406" s="31">
        <f>_xll.qlInterestRateIndexValueDate(Index,P406,Trigger)</f>
        <v>43521</v>
      </c>
      <c r="R406" s="31">
        <f>_xll.qlInterestRateIndexMaturity(Index,Q406,Trigger)</f>
        <v>43612</v>
      </c>
      <c r="S406" s="32">
        <f>_xll.qlDayCounterYearFraction(DayCounter,Q406,R406,,,Trigger)</f>
        <v>0.25277777777777777</v>
      </c>
      <c r="T406" s="33">
        <f>_xll.qlIndexFixing(Index,P406,,AllTriggers)</f>
        <v>2.840154260492363E-3</v>
      </c>
      <c r="U406" s="34">
        <f>_xll.qlYieldTSDiscount(OisCurve,Q406,,AllTriggers)</f>
        <v>1.003378399444784</v>
      </c>
      <c r="V406" s="34">
        <f>_xll.qlYieldTSDiscount(OisCurve,R406,,AllTriggers)</f>
        <v>1.0031313462761569</v>
      </c>
      <c r="W406" s="33">
        <f t="shared" si="38"/>
        <v>9.7430231663805662E-4</v>
      </c>
      <c r="X406" s="35">
        <f t="shared" si="39"/>
        <v>4.7141864351320359E-4</v>
      </c>
      <c r="Y406" s="33">
        <f t="shared" si="40"/>
        <v>1.8658519438543063E-3</v>
      </c>
      <c r="Z406" s="54"/>
    </row>
    <row r="407" spans="15:26" x14ac:dyDescent="0.25">
      <c r="O407" s="37" t="s">
        <v>31</v>
      </c>
      <c r="P407" s="31">
        <f>_xll.qlCalendarAdvance(Calendar,P406,O406,"f",,Trigger)</f>
        <v>43524</v>
      </c>
      <c r="Q407" s="31">
        <f>_xll.qlInterestRateIndexValueDate(Index,P407,Trigger)</f>
        <v>43528</v>
      </c>
      <c r="R407" s="31">
        <f>_xll.qlInterestRateIndexMaturity(Index,Q407,Trigger)</f>
        <v>43620</v>
      </c>
      <c r="S407" s="32">
        <f>_xll.qlDayCounterYearFraction(DayCounter,Q407,R407,,,Trigger)</f>
        <v>0.25555555555555554</v>
      </c>
      <c r="T407" s="33">
        <f>_xll.qlIndexFixing(Index,P407,,AllTriggers)</f>
        <v>2.8667929399790073E-3</v>
      </c>
      <c r="U407" s="34">
        <f>_xll.qlYieldTSDiscount(OisCurve,Q407,,AllTriggers)</f>
        <v>1.0033619677363053</v>
      </c>
      <c r="V407" s="34">
        <f>_xll.qlYieldTSDiscount(OisCurve,R407,,AllTriggers)</f>
        <v>1.0031061574693323</v>
      </c>
      <c r="W407" s="33">
        <f t="shared" si="38"/>
        <v>9.9789707140833712E-4</v>
      </c>
      <c r="X407" s="35">
        <f t="shared" si="39"/>
        <v>4.7737099497634547E-4</v>
      </c>
      <c r="Y407" s="33">
        <f t="shared" si="40"/>
        <v>1.8688958685706702E-3</v>
      </c>
      <c r="Z407" s="54"/>
    </row>
    <row r="408" spans="15:26" x14ac:dyDescent="0.25">
      <c r="O408" s="37" t="s">
        <v>31</v>
      </c>
      <c r="P408" s="31">
        <f>_xll.qlCalendarAdvance(Calendar,P407,O407,"f",,Trigger)</f>
        <v>43531</v>
      </c>
      <c r="Q408" s="31">
        <f>_xll.qlInterestRateIndexValueDate(Index,P408,Trigger)</f>
        <v>43535</v>
      </c>
      <c r="R408" s="31">
        <f>_xll.qlInterestRateIndexMaturity(Index,Q408,Trigger)</f>
        <v>43627</v>
      </c>
      <c r="S408" s="32">
        <f>_xll.qlDayCounterYearFraction(DayCounter,Q408,R408,,,Trigger)</f>
        <v>0.25555555555555554</v>
      </c>
      <c r="T408" s="33">
        <f>_xll.qlIndexFixing(Index,P408,,AllTriggers)</f>
        <v>2.8916003351275384E-3</v>
      </c>
      <c r="U408" s="34">
        <f>_xll.qlYieldTSDiscount(OisCurve,Q408,,AllTriggers)</f>
        <v>1.0033451049342945</v>
      </c>
      <c r="V408" s="34">
        <f>_xll.qlYieldTSDiscount(OisCurve,R408,,AllTriggers)</f>
        <v>1.0030836485202572</v>
      </c>
      <c r="W408" s="33">
        <f t="shared" si="38"/>
        <v>1.0199451634039455E-3</v>
      </c>
      <c r="X408" s="35">
        <f t="shared" si="39"/>
        <v>4.7807294136484557E-4</v>
      </c>
      <c r="Y408" s="33">
        <f t="shared" si="40"/>
        <v>1.8716551717235929E-3</v>
      </c>
      <c r="Z408" s="54"/>
    </row>
    <row r="409" spans="15:26" x14ac:dyDescent="0.25">
      <c r="O409" s="37" t="s">
        <v>31</v>
      </c>
      <c r="P409" s="31">
        <f>_xll.qlCalendarAdvance(Calendar,P408,O408,"f",,Trigger)</f>
        <v>43538</v>
      </c>
      <c r="Q409" s="31">
        <f>_xll.qlInterestRateIndexValueDate(Index,P409,Trigger)</f>
        <v>43542</v>
      </c>
      <c r="R409" s="31">
        <f>_xll.qlInterestRateIndexMaturity(Index,Q409,Trigger)</f>
        <v>43634</v>
      </c>
      <c r="S409" s="32">
        <f>_xll.qlDayCounterYearFraction(DayCounter,Q409,R409,,,Trigger)</f>
        <v>0.25555555555555554</v>
      </c>
      <c r="T409" s="33">
        <f>_xll.qlIndexFixing(Index,P409,,AllTriggers)</f>
        <v>2.9163583287175731E-3</v>
      </c>
      <c r="U409" s="34">
        <f>_xll.qlYieldTSDiscount(OisCurve,Q409,,AllTriggers)</f>
        <v>1.0033278118023901</v>
      </c>
      <c r="V409" s="34">
        <f>_xll.qlYieldTSDiscount(OisCurve,R409,,AllTriggers)</f>
        <v>1.0030606995052753</v>
      </c>
      <c r="W409" s="33">
        <f t="shared" si="38"/>
        <v>1.0420326832700875E-3</v>
      </c>
      <c r="X409" s="35">
        <f t="shared" si="39"/>
        <v>4.787521905828288E-4</v>
      </c>
      <c r="Y409" s="33">
        <f t="shared" si="40"/>
        <v>1.8743256454474856E-3</v>
      </c>
      <c r="Z409" s="54"/>
    </row>
    <row r="410" spans="15:26" x14ac:dyDescent="0.25">
      <c r="O410" s="37" t="s">
        <v>31</v>
      </c>
      <c r="P410" s="31">
        <f>_xll.qlCalendarAdvance(Calendar,P409,O409,"f",,Trigger)</f>
        <v>43545</v>
      </c>
      <c r="Q410" s="31">
        <f>_xll.qlInterestRateIndexValueDate(Index,P410,Trigger)</f>
        <v>43549</v>
      </c>
      <c r="R410" s="31">
        <f>_xll.qlInterestRateIndexMaturity(Index,Q410,Trigger)</f>
        <v>43641</v>
      </c>
      <c r="S410" s="32">
        <f>_xll.qlDayCounterYearFraction(DayCounter,Q410,R410,,,Trigger)</f>
        <v>0.25555555555555554</v>
      </c>
      <c r="T410" s="33">
        <f>_xll.qlIndexFixing(Index,P410,,AllTriggers)</f>
        <v>2.9410685004741585E-3</v>
      </c>
      <c r="U410" s="34">
        <f>_xll.qlYieldTSDiscount(OisCurve,Q410,,AllTriggers)</f>
        <v>1.003310089104734</v>
      </c>
      <c r="V410" s="34">
        <f>_xll.qlYieldTSDiscount(OisCurve,R410,,AllTriggers)</f>
        <v>1.0030373079698014</v>
      </c>
      <c r="W410" s="33">
        <f t="shared" si="38"/>
        <v>1.0641722222687092E-3</v>
      </c>
      <c r="X410" s="35">
        <f t="shared" si="39"/>
        <v>4.7940592955306838E-4</v>
      </c>
      <c r="Y410" s="33">
        <f t="shared" si="40"/>
        <v>1.8768962782054492E-3</v>
      </c>
      <c r="Z410" s="54"/>
    </row>
    <row r="411" spans="15:26" x14ac:dyDescent="0.25">
      <c r="O411" s="37" t="s">
        <v>31</v>
      </c>
      <c r="P411" s="31">
        <f>_xll.qlCalendarAdvance(Calendar,P410,O410,"f",,Trigger)</f>
        <v>43552</v>
      </c>
      <c r="Q411" s="31">
        <f>_xll.qlInterestRateIndexValueDate(Index,P411,Trigger)</f>
        <v>43556</v>
      </c>
      <c r="R411" s="31">
        <f>_xll.qlInterestRateIndexMaturity(Index,Q411,Trigger)</f>
        <v>43647</v>
      </c>
      <c r="S411" s="32">
        <f>_xll.qlDayCounterYearFraction(DayCounter,Q411,R411,,,Trigger)</f>
        <v>0.25277777777777777</v>
      </c>
      <c r="T411" s="33">
        <f>_xll.qlIndexFixing(Index,P411,,AllTriggers)</f>
        <v>2.9639667466636039E-3</v>
      </c>
      <c r="U411" s="34">
        <f>_xll.qlYieldTSDiscount(OisCurve,Q411,,AllTriggers)</f>
        <v>1.0032919376059672</v>
      </c>
      <c r="V411" s="34">
        <f>_xll.qlYieldTSDiscount(OisCurve,R411,,AllTriggers)</f>
        <v>1.0030169040120414</v>
      </c>
      <c r="W411" s="33">
        <f t="shared" si="38"/>
        <v>1.0847723329559407E-3</v>
      </c>
      <c r="X411" s="35">
        <f t="shared" si="39"/>
        <v>4.7477564671153299E-4</v>
      </c>
      <c r="Y411" s="33">
        <f t="shared" si="40"/>
        <v>1.8791944137076632E-3</v>
      </c>
      <c r="Z411" s="54"/>
    </row>
    <row r="412" spans="15:26" x14ac:dyDescent="0.25">
      <c r="O412" s="37" t="s">
        <v>31</v>
      </c>
      <c r="P412" s="31">
        <f>_xll.qlCalendarAdvance(Calendar,P411,O411,"f",,Trigger)</f>
        <v>43559</v>
      </c>
      <c r="Q412" s="31">
        <f>_xll.qlInterestRateIndexValueDate(Index,P412,Trigger)</f>
        <v>43563</v>
      </c>
      <c r="R412" s="31">
        <f>_xll.qlInterestRateIndexMaturity(Index,Q412,Trigger)</f>
        <v>43654</v>
      </c>
      <c r="S412" s="32">
        <f>_xll.qlDayCounterYearFraction(DayCounter,Q412,R412,,,Trigger)</f>
        <v>0.25277777777777777</v>
      </c>
      <c r="T412" s="33">
        <f>_xll.qlIndexFixing(Index,P412,,AllTriggers)</f>
        <v>2.9885886563325264E-3</v>
      </c>
      <c r="U412" s="34">
        <f>_xll.qlYieldTSDiscount(OisCurve,Q412,,AllTriggers)</f>
        <v>1.0032733580712292</v>
      </c>
      <c r="V412" s="34">
        <f>_xll.qlYieldTSDiscount(OisCurve,R412,,AllTriggers)</f>
        <v>1.0029926841434191</v>
      </c>
      <c r="W412" s="33">
        <f t="shared" si="38"/>
        <v>1.1070453586408441E-3</v>
      </c>
      <c r="X412" s="35">
        <f t="shared" si="39"/>
        <v>4.7536627269080008E-4</v>
      </c>
      <c r="Y412" s="33">
        <f t="shared" si="40"/>
        <v>1.8815432976916823E-3</v>
      </c>
      <c r="Z412" s="54"/>
    </row>
    <row r="413" spans="15:26" x14ac:dyDescent="0.25">
      <c r="O413" s="37" t="s">
        <v>31</v>
      </c>
      <c r="P413" s="31">
        <f>_xll.qlCalendarAdvance(Calendar,P412,O412,"f",,Trigger)</f>
        <v>43566</v>
      </c>
      <c r="Q413" s="31">
        <f>_xll.qlInterestRateIndexValueDate(Index,P413,Trigger)</f>
        <v>43570</v>
      </c>
      <c r="R413" s="31">
        <f>_xll.qlInterestRateIndexMaturity(Index,Q413,Trigger)</f>
        <v>43661</v>
      </c>
      <c r="S413" s="32">
        <f>_xll.qlDayCounterYearFraction(DayCounter,Q413,R413,,,Trigger)</f>
        <v>0.25277777777777777</v>
      </c>
      <c r="T413" s="33">
        <f>_xll.qlIndexFixing(Index,P413,,AllTriggers)</f>
        <v>3.0131674302137602E-3</v>
      </c>
      <c r="U413" s="34">
        <f>_xll.qlYieldTSDiscount(OisCurve,Q413,,AllTriggers)</f>
        <v>1.0032543512661505</v>
      </c>
      <c r="V413" s="34">
        <f>_xll.qlYieldTSDiscount(OisCurve,R413,,AllTriggers)</f>
        <v>1.0029680147457323</v>
      </c>
      <c r="W413" s="33">
        <f t="shared" si="38"/>
        <v>1.1294077621030148E-3</v>
      </c>
      <c r="X413" s="35">
        <f t="shared" si="39"/>
        <v>4.7592340993462287E-4</v>
      </c>
      <c r="Y413" s="33">
        <f t="shared" si="40"/>
        <v>1.8837596681107454E-3</v>
      </c>
      <c r="Z413" s="54"/>
    </row>
    <row r="414" spans="15:26" x14ac:dyDescent="0.25">
      <c r="O414" s="37" t="s">
        <v>31</v>
      </c>
      <c r="P414" s="31">
        <f>_xll.qlCalendarAdvance(Calendar,P413,O413,"f",,Trigger)</f>
        <v>43573</v>
      </c>
      <c r="Q414" s="31">
        <f>_xll.qlInterestRateIndexValueDate(Index,P414,Trigger)</f>
        <v>43579</v>
      </c>
      <c r="R414" s="31">
        <f>_xll.qlInterestRateIndexMaturity(Index,Q414,Trigger)</f>
        <v>43670</v>
      </c>
      <c r="S414" s="32">
        <f>_xll.qlDayCounterYearFraction(DayCounter,Q414,R414,,,Trigger)</f>
        <v>0.25277777777777777</v>
      </c>
      <c r="T414" s="33">
        <f>_xll.qlIndexFixing(Index,P414,,AllTriggers)</f>
        <v>3.0447078982304451E-3</v>
      </c>
      <c r="U414" s="34">
        <f>_xll.qlYieldTSDiscount(OisCurve,Q414,,AllTriggers)</f>
        <v>1.003229287352529</v>
      </c>
      <c r="V414" s="34">
        <f>_xll.qlYieldTSDiscount(OisCurve,R414,,AllTriggers)</f>
        <v>1.0029356324712233</v>
      </c>
      <c r="W414" s="33">
        <f t="shared" si="38"/>
        <v>1.1583112422573442E-3</v>
      </c>
      <c r="X414" s="35">
        <f t="shared" si="39"/>
        <v>4.765859941394239E-4</v>
      </c>
      <c r="Y414" s="33">
        <f t="shared" si="40"/>
        <v>1.886396655973101E-3</v>
      </c>
      <c r="Z414" s="54"/>
    </row>
    <row r="415" spans="15:26" x14ac:dyDescent="0.25">
      <c r="O415" s="37" t="s">
        <v>31</v>
      </c>
      <c r="P415" s="31">
        <f>_xll.qlCalendarAdvance(Calendar,P414,O414,"f",,Trigger)</f>
        <v>43580</v>
      </c>
      <c r="Q415" s="31">
        <f>_xll.qlInterestRateIndexValueDate(Index,P415,Trigger)</f>
        <v>43584</v>
      </c>
      <c r="R415" s="31">
        <f>_xll.qlInterestRateIndexMaturity(Index,Q415,Trigger)</f>
        <v>43675</v>
      </c>
      <c r="S415" s="32">
        <f>_xll.qlDayCounterYearFraction(DayCounter,Q415,R415,,,Trigger)</f>
        <v>0.25277777777777777</v>
      </c>
      <c r="T415" s="33">
        <f>_xll.qlIndexFixing(Index,P415,,AllTriggers)</f>
        <v>3.0622019596668417E-3</v>
      </c>
      <c r="U415" s="34">
        <f>_xll.qlYieldTSDiscount(OisCurve,Q415,,AllTriggers)</f>
        <v>1.0032150589099498</v>
      </c>
      <c r="V415" s="34">
        <f>_xll.qlYieldTSDiscount(OisCurve,R415,,AllTriggers)</f>
        <v>1.0029173175585009</v>
      </c>
      <c r="W415" s="33">
        <f t="shared" si="38"/>
        <v>1.1744516255149599E-3</v>
      </c>
      <c r="X415" s="35">
        <f t="shared" si="39"/>
        <v>4.7692596590071331E-4</v>
      </c>
      <c r="Y415" s="33">
        <f t="shared" si="40"/>
        <v>1.8877503341518818E-3</v>
      </c>
      <c r="Z415" s="54"/>
    </row>
    <row r="416" spans="15:26" x14ac:dyDescent="0.25">
      <c r="O416" s="37" t="s">
        <v>31</v>
      </c>
      <c r="P416" s="31">
        <f>_xll.qlCalendarAdvance(Calendar,P415,O415,"f",,Trigger)</f>
        <v>43587</v>
      </c>
      <c r="Q416" s="31">
        <f>_xll.qlInterestRateIndexValueDate(Index,P416,Trigger)</f>
        <v>43591</v>
      </c>
      <c r="R416" s="31">
        <f>_xll.qlInterestRateIndexMaturity(Index,Q416,Trigger)</f>
        <v>43683</v>
      </c>
      <c r="S416" s="32">
        <f>_xll.qlDayCounterYearFraction(DayCounter,Q416,R416,,,Trigger)</f>
        <v>0.25555555555555554</v>
      </c>
      <c r="T416" s="33">
        <f>_xll.qlIndexFixing(Index,P416,,AllTriggers)</f>
        <v>3.0884134788517169E-3</v>
      </c>
      <c r="U416" s="34">
        <f>_xll.qlYieldTSDiscount(OisCurve,Q416,,AllTriggers)</f>
        <v>1.0031947743546967</v>
      </c>
      <c r="V416" s="34">
        <f>_xll.qlYieldTSDiscount(OisCurve,R416,,AllTriggers)</f>
        <v>1.0028875284739309</v>
      </c>
      <c r="W416" s="33">
        <f t="shared" si="38"/>
        <v>1.1988049066505423E-3</v>
      </c>
      <c r="X416" s="35">
        <f t="shared" si="39"/>
        <v>4.8263558462795231E-4</v>
      </c>
      <c r="Y416" s="33">
        <f t="shared" si="40"/>
        <v>1.8896085722011745E-3</v>
      </c>
      <c r="Z416" s="54"/>
    </row>
    <row r="417" spans="15:26" x14ac:dyDescent="0.25">
      <c r="O417" s="37" t="s">
        <v>31</v>
      </c>
      <c r="P417" s="31">
        <f>_xll.qlCalendarAdvance(Calendar,P416,O416,"f",,Trigger)</f>
        <v>43594</v>
      </c>
      <c r="Q417" s="31">
        <f>_xll.qlInterestRateIndexValueDate(Index,P417,Trigger)</f>
        <v>43598</v>
      </c>
      <c r="R417" s="31">
        <f>_xll.qlInterestRateIndexMaturity(Index,Q417,Trigger)</f>
        <v>43690</v>
      </c>
      <c r="S417" s="32">
        <f>_xll.qlDayCounterYearFraction(DayCounter,Q417,R417,,,Trigger)</f>
        <v>0.25555555555555554</v>
      </c>
      <c r="T417" s="33">
        <f>_xll.qlIndexFixing(Index,P417,,AllTriggers)</f>
        <v>3.1128312893452768E-3</v>
      </c>
      <c r="U417" s="34">
        <f>_xll.qlYieldTSDiscount(OisCurve,Q417,,AllTriggers)</f>
        <v>1.0031740623695924</v>
      </c>
      <c r="V417" s="34">
        <f>_xll.qlYieldTSDiscount(OisCurve,R417,,AllTriggers)</f>
        <v>1.0028609706364806</v>
      </c>
      <c r="W417" s="33">
        <f t="shared" si="38"/>
        <v>1.2216464696724256E-3</v>
      </c>
      <c r="X417" s="35">
        <f t="shared" si="39"/>
        <v>4.8303526759479912E-4</v>
      </c>
      <c r="Y417" s="33">
        <f t="shared" si="40"/>
        <v>1.8911848196728513E-3</v>
      </c>
      <c r="Z417" s="54"/>
    </row>
    <row r="418" spans="15:26" x14ac:dyDescent="0.25">
      <c r="O418" s="37" t="s">
        <v>31</v>
      </c>
      <c r="P418" s="31">
        <f>_xll.qlCalendarAdvance(Calendar,P417,O417,"f",,Trigger)</f>
        <v>43601</v>
      </c>
      <c r="Q418" s="31">
        <f>_xll.qlInterestRateIndexValueDate(Index,P418,Trigger)</f>
        <v>43605</v>
      </c>
      <c r="R418" s="31">
        <f>_xll.qlInterestRateIndexMaturity(Index,Q418,Trigger)</f>
        <v>43697</v>
      </c>
      <c r="S418" s="32">
        <f>_xll.qlDayCounterYearFraction(DayCounter,Q418,R418,,,Trigger)</f>
        <v>0.25555555555555554</v>
      </c>
      <c r="T418" s="33">
        <f>_xll.qlIndexFixing(Index,P418,,AllTriggers)</f>
        <v>3.1372107557769984E-3</v>
      </c>
      <c r="U418" s="34">
        <f>_xll.qlYieldTSDiscount(OisCurve,Q418,,AllTriggers)</f>
        <v>1.0031529204960286</v>
      </c>
      <c r="V418" s="34">
        <f>_xll.qlYieldTSDiscount(OisCurve,R418,,AllTriggers)</f>
        <v>1.0028339506721278</v>
      </c>
      <c r="W418" s="33">
        <f t="shared" si="38"/>
        <v>1.2446156099326477E-3</v>
      </c>
      <c r="X418" s="35">
        <f t="shared" si="39"/>
        <v>4.8339256184357494E-4</v>
      </c>
      <c r="Y418" s="33">
        <f t="shared" si="40"/>
        <v>1.8925951458443507E-3</v>
      </c>
      <c r="Z418" s="54"/>
    </row>
    <row r="419" spans="15:26" x14ac:dyDescent="0.25">
      <c r="O419" s="37" t="s">
        <v>31</v>
      </c>
      <c r="P419" s="31">
        <f>_xll.qlCalendarAdvance(Calendar,P418,O418,"f",,Trigger)</f>
        <v>43608</v>
      </c>
      <c r="Q419" s="31">
        <f>_xll.qlInterestRateIndexValueDate(Index,P419,Trigger)</f>
        <v>43612</v>
      </c>
      <c r="R419" s="31">
        <f>_xll.qlInterestRateIndexMaturity(Index,Q419,Trigger)</f>
        <v>43704</v>
      </c>
      <c r="S419" s="32">
        <f>_xll.qlDayCounterYearFraction(DayCounter,Q419,R419,,,Trigger)</f>
        <v>0.25555555555555554</v>
      </c>
      <c r="T419" s="33">
        <f>_xll.qlIndexFixing(Index,P419,,AllTriggers)</f>
        <v>3.1615518774300629E-3</v>
      </c>
      <c r="U419" s="34">
        <f>_xll.qlYieldTSDiscount(OisCurve,Q419,,AllTriggers)</f>
        <v>1.0031313462761569</v>
      </c>
      <c r="V419" s="34">
        <f>_xll.qlYieldTSDiscount(OisCurve,R419,,AllTriggers)</f>
        <v>1.0028064661340228</v>
      </c>
      <c r="W419" s="33">
        <f t="shared" si="38"/>
        <v>1.2677123296728934E-3</v>
      </c>
      <c r="X419" s="35">
        <f t="shared" si="39"/>
        <v>4.837074673746623E-4</v>
      </c>
      <c r="Y419" s="33">
        <f t="shared" si="40"/>
        <v>1.8938395477571695E-3</v>
      </c>
      <c r="Z419" s="54"/>
    </row>
    <row r="420" spans="15:26" x14ac:dyDescent="0.25">
      <c r="O420" s="37" t="s">
        <v>31</v>
      </c>
      <c r="P420" s="31">
        <f>_xll.qlCalendarAdvance(Calendar,P419,O419,"f",,Trigger)</f>
        <v>43615</v>
      </c>
      <c r="Q420" s="31">
        <f>_xll.qlInterestRateIndexValueDate(Index,P420,Trigger)</f>
        <v>43619</v>
      </c>
      <c r="R420" s="31">
        <f>_xll.qlInterestRateIndexMaturity(Index,Q420,Trigger)</f>
        <v>43711</v>
      </c>
      <c r="S420" s="32">
        <f>_xll.qlDayCounterYearFraction(DayCounter,Q420,R420,,,Trigger)</f>
        <v>0.25555555555555554</v>
      </c>
      <c r="T420" s="33">
        <f>_xll.qlIndexFixing(Index,P420,,AllTriggers)</f>
        <v>3.1858546535859151E-3</v>
      </c>
      <c r="U420" s="34">
        <f>_xll.qlYieldTSDiscount(OisCurve,Q420,,AllTriggers)</f>
        <v>1.0031093372528999</v>
      </c>
      <c r="V420" s="34">
        <f>_xll.qlYieldTSDiscount(OisCurve,R420,,AllTriggers)</f>
        <v>1.0027785145762316</v>
      </c>
      <c r="W420" s="33">
        <f t="shared" si="38"/>
        <v>1.290936631151357E-3</v>
      </c>
      <c r="X420" s="35">
        <f t="shared" si="39"/>
        <v>4.8397998418793573E-4</v>
      </c>
      <c r="Y420" s="33">
        <f t="shared" si="40"/>
        <v>1.8949180224345581E-3</v>
      </c>
      <c r="Z420" s="54"/>
    </row>
    <row r="421" spans="15:26" x14ac:dyDescent="0.25">
      <c r="O421" s="37" t="s">
        <v>31</v>
      </c>
      <c r="P421" s="31">
        <f>_xll.qlCalendarAdvance(Calendar,P420,O420,"f",,Trigger)</f>
        <v>43622</v>
      </c>
      <c r="Q421" s="31">
        <f>_xll.qlInterestRateIndexValueDate(Index,P421,Trigger)</f>
        <v>43626</v>
      </c>
      <c r="R421" s="31">
        <f>_xll.qlInterestRateIndexMaturity(Index,Q421,Trigger)</f>
        <v>43718</v>
      </c>
      <c r="S421" s="32">
        <f>_xll.qlDayCounterYearFraction(DayCounter,Q421,R421,,,Trigger)</f>
        <v>0.25555555555555554</v>
      </c>
      <c r="T421" s="33">
        <f>_xll.qlIndexFixing(Index,P421,,AllTriggers)</f>
        <v>3.2101190835312128E-3</v>
      </c>
      <c r="U421" s="34">
        <f>_xll.qlYieldTSDiscount(OisCurve,Q421,,AllTriggers)</f>
        <v>1.0030868909699613</v>
      </c>
      <c r="V421" s="34">
        <f>_xll.qlYieldTSDiscount(OisCurve,R421,,AllTriggers)</f>
        <v>1.0027500935537468</v>
      </c>
      <c r="W421" s="33">
        <f t="shared" si="38"/>
        <v>1.3142885166357891E-3</v>
      </c>
      <c r="X421" s="35">
        <f t="shared" si="39"/>
        <v>4.8421011228387193E-4</v>
      </c>
      <c r="Y421" s="33">
        <f t="shared" si="40"/>
        <v>1.8958305668954237E-3</v>
      </c>
      <c r="Z421" s="54"/>
    </row>
    <row r="422" spans="15:26" x14ac:dyDescent="0.25">
      <c r="O422" s="37" t="s">
        <v>31</v>
      </c>
      <c r="P422" s="31">
        <f>_xll.qlCalendarAdvance(Calendar,P421,O421,"f",,Trigger)</f>
        <v>43629</v>
      </c>
      <c r="Q422" s="31">
        <f>_xll.qlInterestRateIndexValueDate(Index,P422,Trigger)</f>
        <v>43633</v>
      </c>
      <c r="R422" s="31">
        <f>_xll.qlInterestRateIndexMaturity(Index,Q422,Trigger)</f>
        <v>43725</v>
      </c>
      <c r="S422" s="32">
        <f>_xll.qlDayCounterYearFraction(DayCounter,Q422,R422,,,Trigger)</f>
        <v>0.25555555555555554</v>
      </c>
      <c r="T422" s="33">
        <f>_xll.qlIndexFixing(Index,P422,,AllTriggers)</f>
        <v>3.2343451665491378E-3</v>
      </c>
      <c r="U422" s="34">
        <f>_xll.qlYieldTSDiscount(OisCurve,Q422,,AllTriggers)</f>
        <v>1.0030640049718373</v>
      </c>
      <c r="V422" s="34">
        <f>_xll.qlYieldTSDiscount(OisCurve,R422,,AllTriggers)</f>
        <v>1.0027212006224999</v>
      </c>
      <c r="W422" s="33">
        <f t="shared" si="38"/>
        <v>1.3377679884113184E-3</v>
      </c>
      <c r="X422" s="35">
        <f t="shared" si="39"/>
        <v>4.8439785166155185E-4</v>
      </c>
      <c r="Y422" s="33">
        <f t="shared" si="40"/>
        <v>1.8965771781378194E-3</v>
      </c>
      <c r="Z422" s="54"/>
    </row>
    <row r="423" spans="15:26" x14ac:dyDescent="0.25">
      <c r="O423" s="37" t="s">
        <v>31</v>
      </c>
      <c r="P423" s="31">
        <f>_xll.qlCalendarAdvance(Calendar,P422,O422,"f",,Trigger)</f>
        <v>43636</v>
      </c>
      <c r="Q423" s="31">
        <f>_xll.qlInterestRateIndexValueDate(Index,P423,Trigger)</f>
        <v>43640</v>
      </c>
      <c r="R423" s="31">
        <f>_xll.qlInterestRateIndexMaturity(Index,Q423,Trigger)</f>
        <v>43732</v>
      </c>
      <c r="S423" s="32">
        <f>_xll.qlDayCounterYearFraction(DayCounter,Q423,R423,,,Trigger)</f>
        <v>0.25555555555555554</v>
      </c>
      <c r="T423" s="33">
        <f>_xll.qlIndexFixing(Index,P423,,AllTriggers)</f>
        <v>3.2585329019280858E-3</v>
      </c>
      <c r="U423" s="34">
        <f>_xll.qlYieldTSDiscount(OisCurve,Q423,,AllTriggers)</f>
        <v>1.0030406768038267</v>
      </c>
      <c r="V423" s="34">
        <f>_xll.qlYieldTSDiscount(OisCurve,R423,,AllTriggers)</f>
        <v>1.0026918333393735</v>
      </c>
      <c r="W423" s="33">
        <f t="shared" si="38"/>
        <v>1.361375048769156E-3</v>
      </c>
      <c r="X423" s="35">
        <f t="shared" si="39"/>
        <v>4.845432023217681E-4</v>
      </c>
      <c r="Y423" s="33">
        <f t="shared" si="40"/>
        <v>1.8971578531589298E-3</v>
      </c>
      <c r="Z423" s="54"/>
    </row>
    <row r="424" spans="15:26" x14ac:dyDescent="0.25">
      <c r="O424" s="37" t="s">
        <v>31</v>
      </c>
      <c r="P424" s="31">
        <f>_xll.qlCalendarAdvance(Calendar,P423,O423,"f",,Trigger)</f>
        <v>43643</v>
      </c>
      <c r="Q424" s="31">
        <f>_xll.qlInterestRateIndexValueDate(Index,P424,Trigger)</f>
        <v>43647</v>
      </c>
      <c r="R424" s="31">
        <f>_xll.qlInterestRateIndexMaturity(Index,Q424,Trigger)</f>
        <v>43739</v>
      </c>
      <c r="S424" s="32">
        <f>_xll.qlDayCounterYearFraction(DayCounter,Q424,R424,,,Trigger)</f>
        <v>0.25555555555555554</v>
      </c>
      <c r="T424" s="33">
        <f>_xll.qlIndexFixing(Index,P424,,AllTriggers)</f>
        <v>3.282682288952976E-3</v>
      </c>
      <c r="U424" s="34">
        <f>_xll.qlYieldTSDiscount(OisCurve,Q424,,AllTriggers)</f>
        <v>1.0030169040120414</v>
      </c>
      <c r="V424" s="34">
        <f>_xll.qlYieldTSDiscount(OisCurve,R424,,AllTriggers)</f>
        <v>1.0026619892622104</v>
      </c>
      <c r="W424" s="33">
        <f t="shared" si="38"/>
        <v>1.3851097000161516E-3</v>
      </c>
      <c r="X424" s="35">
        <f t="shared" si="39"/>
        <v>4.8464616426391782E-4</v>
      </c>
      <c r="Y424" s="33">
        <f t="shared" si="40"/>
        <v>1.8975725889368244E-3</v>
      </c>
      <c r="Z424" s="54"/>
    </row>
    <row r="425" spans="15:26" x14ac:dyDescent="0.25">
      <c r="O425" s="37" t="s">
        <v>31</v>
      </c>
      <c r="P425" s="31">
        <f>_xll.qlCalendarAdvance(Calendar,P424,O424,"f",,Trigger)</f>
        <v>43650</v>
      </c>
      <c r="Q425" s="31">
        <f>_xll.qlInterestRateIndexValueDate(Index,P425,Trigger)</f>
        <v>43654</v>
      </c>
      <c r="R425" s="31">
        <f>_xll.qlInterestRateIndexMaturity(Index,Q425,Trigger)</f>
        <v>43746</v>
      </c>
      <c r="S425" s="32">
        <f>_xll.qlDayCounterYearFraction(DayCounter,Q425,R425,,,Trigger)</f>
        <v>0.25555555555555554</v>
      </c>
      <c r="T425" s="33">
        <f>_xll.qlIndexFixing(Index,P425,,AllTriggers)</f>
        <v>3.3067933269156796E-3</v>
      </c>
      <c r="U425" s="34">
        <f>_xll.qlYieldTSDiscount(OisCurve,Q425,,AllTriggers)</f>
        <v>1.0029926841434191</v>
      </c>
      <c r="V425" s="34">
        <f>_xll.qlYieldTSDiscount(OisCurve,R425,,AllTriggers)</f>
        <v>1.0026316659498284</v>
      </c>
      <c r="W425" s="33">
        <f t="shared" si="38"/>
        <v>1.4089719444730583E-3</v>
      </c>
      <c r="X425" s="35">
        <f t="shared" si="39"/>
        <v>4.8470673748866584E-4</v>
      </c>
      <c r="Y425" s="33">
        <f t="shared" si="40"/>
        <v>1.8978213824426212E-3</v>
      </c>
      <c r="Z425" s="54"/>
    </row>
    <row r="426" spans="15:26" x14ac:dyDescent="0.25">
      <c r="O426" s="37" t="s">
        <v>31</v>
      </c>
      <c r="P426" s="31">
        <f>_xll.qlCalendarAdvance(Calendar,P425,O425,"f",,Trigger)</f>
        <v>43657</v>
      </c>
      <c r="Q426" s="31">
        <f>_xll.qlInterestRateIndexValueDate(Index,P426,Trigger)</f>
        <v>43661</v>
      </c>
      <c r="R426" s="31">
        <f>_xll.qlInterestRateIndexMaturity(Index,Q426,Trigger)</f>
        <v>43753</v>
      </c>
      <c r="S426" s="32">
        <f>_xll.qlDayCounterYearFraction(DayCounter,Q426,R426,,,Trigger)</f>
        <v>0.25555555555555554</v>
      </c>
      <c r="T426" s="33">
        <f>_xll.qlIndexFixing(Index,P426,,AllTriggers)</f>
        <v>3.3308660151045917E-3</v>
      </c>
      <c r="U426" s="34">
        <f>_xll.qlYieldTSDiscount(OisCurve,Q426,,AllTriggers)</f>
        <v>1.0029680147457323</v>
      </c>
      <c r="V426" s="34">
        <f>_xll.qlYieldTSDiscount(OisCurve,R426,,AllTriggers)</f>
        <v>1.00260086096203</v>
      </c>
      <c r="W426" s="33">
        <f t="shared" si="38"/>
        <v>1.4329617844693165E-3</v>
      </c>
      <c r="X426" s="35">
        <f t="shared" si="39"/>
        <v>4.8472492199594716E-4</v>
      </c>
      <c r="Y426" s="33">
        <f t="shared" si="40"/>
        <v>1.8979042306352752E-3</v>
      </c>
      <c r="Z426" s="54"/>
    </row>
    <row r="427" spans="15:26" x14ac:dyDescent="0.25">
      <c r="O427" s="37" t="s">
        <v>31</v>
      </c>
      <c r="P427" s="31">
        <f>_xll.qlCalendarAdvance(Calendar,P426,O426,"f",,Trigger)</f>
        <v>43664</v>
      </c>
      <c r="Q427" s="31">
        <f>_xll.qlInterestRateIndexValueDate(Index,P427,Trigger)</f>
        <v>43668</v>
      </c>
      <c r="R427" s="31">
        <f>_xll.qlInterestRateIndexMaturity(Index,Q427,Trigger)</f>
        <v>43760</v>
      </c>
      <c r="S427" s="32">
        <f>_xll.qlDayCounterYearFraction(DayCounter,Q427,R427,,,Trigger)</f>
        <v>0.25555555555555554</v>
      </c>
      <c r="T427" s="33">
        <f>_xll.qlIndexFixing(Index,P427,,AllTriggers)</f>
        <v>3.3549003528098456E-3</v>
      </c>
      <c r="U427" s="34">
        <f>_xll.qlYieldTSDiscount(OisCurve,Q427,,AllTriggers)</f>
        <v>1.0029428933676006</v>
      </c>
      <c r="V427" s="34">
        <f>_xll.qlYieldTSDiscount(OisCurve,R427,,AllTriggers)</f>
        <v>1.0025695718596144</v>
      </c>
      <c r="W427" s="33">
        <f t="shared" si="38"/>
        <v>1.4570792223526135E-3</v>
      </c>
      <c r="X427" s="35">
        <f t="shared" si="39"/>
        <v>4.8470071778474523E-4</v>
      </c>
      <c r="Y427" s="33">
        <f t="shared" si="40"/>
        <v>1.8978211304572321E-3</v>
      </c>
      <c r="Z427" s="54"/>
    </row>
    <row r="428" spans="15:26" x14ac:dyDescent="0.25">
      <c r="O428" s="37" t="s">
        <v>31</v>
      </c>
      <c r="P428" s="31">
        <f>_xll.qlCalendarAdvance(Calendar,P427,O427,"f",,Trigger)</f>
        <v>43671</v>
      </c>
      <c r="Q428" s="31">
        <f>_xll.qlInterestRateIndexValueDate(Index,P428,Trigger)</f>
        <v>43675</v>
      </c>
      <c r="R428" s="31">
        <f>_xll.qlInterestRateIndexMaturity(Index,Q428,Trigger)</f>
        <v>43767</v>
      </c>
      <c r="S428" s="32">
        <f>_xll.qlDayCounterYearFraction(DayCounter,Q428,R428,,,Trigger)</f>
        <v>0.25555555555555554</v>
      </c>
      <c r="T428" s="33">
        <f>_xll.qlIndexFixing(Index,P428,,AllTriggers)</f>
        <v>3.3788963393259186E-3</v>
      </c>
      <c r="U428" s="34">
        <f>_xll.qlYieldTSDiscount(OisCurve,Q428,,AllTriggers)</f>
        <v>1.0029173175585009</v>
      </c>
      <c r="V428" s="34">
        <f>_xll.qlYieldTSDiscount(OisCurve,R428,,AllTriggers)</f>
        <v>1.0025377962043904</v>
      </c>
      <c r="W428" s="33">
        <f t="shared" si="38"/>
        <v>1.4813242604767188E-3</v>
      </c>
      <c r="X428" s="35">
        <f t="shared" si="39"/>
        <v>4.8463412485619885E-4</v>
      </c>
      <c r="Y428" s="33">
        <f t="shared" si="40"/>
        <v>1.8975720788491999E-3</v>
      </c>
      <c r="Z428" s="54"/>
    </row>
    <row r="429" spans="15:26" x14ac:dyDescent="0.25">
      <c r="O429" s="37" t="s">
        <v>31</v>
      </c>
      <c r="P429" s="31">
        <f>_xll.qlCalendarAdvance(Calendar,P428,O428,"f",,Trigger)</f>
        <v>43678</v>
      </c>
      <c r="Q429" s="31">
        <f>_xll.qlInterestRateIndexValueDate(Index,P429,Trigger)</f>
        <v>43682</v>
      </c>
      <c r="R429" s="31">
        <f>_xll.qlInterestRateIndexMaturity(Index,Q429,Trigger)</f>
        <v>43774</v>
      </c>
      <c r="S429" s="32">
        <f>_xll.qlDayCounterYearFraction(DayCounter,Q429,R429,,,Trigger)</f>
        <v>0.25555555555555554</v>
      </c>
      <c r="T429" s="33">
        <f>_xll.qlIndexFixing(Index,P429,,AllTriggers)</f>
        <v>3.4028539739438127E-3</v>
      </c>
      <c r="U429" s="34">
        <f>_xll.qlYieldTSDiscount(OisCurve,Q429,,AllTriggers)</f>
        <v>1.0028912848687794</v>
      </c>
      <c r="V429" s="34">
        <f>_xll.qlYieldTSDiscount(OisCurve,R429,,AllTriggers)</f>
        <v>1.0025055315591875</v>
      </c>
      <c r="W429" s="33">
        <f t="shared" si="38"/>
        <v>1.5056969012119104E-3</v>
      </c>
      <c r="X429" s="35">
        <f t="shared" si="39"/>
        <v>4.845251432096075E-4</v>
      </c>
      <c r="Y429" s="33">
        <f t="shared" si="40"/>
        <v>1.8971570727319023E-3</v>
      </c>
      <c r="Z429" s="54"/>
    </row>
    <row r="430" spans="15:26" x14ac:dyDescent="0.25">
      <c r="O430" s="37" t="s">
        <v>31</v>
      </c>
      <c r="P430" s="31">
        <f>_xll.qlCalendarAdvance(Calendar,P429,O429,"f",,Trigger)</f>
        <v>43685</v>
      </c>
      <c r="Q430" s="31">
        <f>_xll.qlInterestRateIndexValueDate(Index,P430,Trigger)</f>
        <v>43689</v>
      </c>
      <c r="R430" s="31">
        <f>_xll.qlInterestRateIndexMaturity(Index,Q430,Trigger)</f>
        <v>43781</v>
      </c>
      <c r="S430" s="32">
        <f>_xll.qlDayCounterYearFraction(DayCounter,Q430,R430,,,Trigger)</f>
        <v>0.25555555555555554</v>
      </c>
      <c r="T430" s="33">
        <f>_xll.qlIndexFixing(Index,P430,,AllTriggers)</f>
        <v>3.426773255958874E-3</v>
      </c>
      <c r="U430" s="34">
        <f>_xll.qlYieldTSDiscount(OisCurve,Q430,,AllTriggers)</f>
        <v>1.0028647928496621</v>
      </c>
      <c r="V430" s="34">
        <f>_xll.qlYieldTSDiscount(OisCurve,R430,,AllTriggers)</f>
        <v>1.002472775487868</v>
      </c>
      <c r="W430" s="33">
        <f t="shared" si="38"/>
        <v>1.5301971469371546E-3</v>
      </c>
      <c r="X430" s="35">
        <f t="shared" si="39"/>
        <v>4.8437377284576017E-4</v>
      </c>
      <c r="Y430" s="33">
        <f t="shared" si="40"/>
        <v>1.8965761090217195E-3</v>
      </c>
      <c r="Z430" s="54"/>
    </row>
    <row r="431" spans="15:26" x14ac:dyDescent="0.25">
      <c r="O431" s="37" t="s">
        <v>31</v>
      </c>
      <c r="P431" s="31">
        <f>_xll.qlCalendarAdvance(Calendar,P430,O430,"f",,Trigger)</f>
        <v>43692</v>
      </c>
      <c r="Q431" s="31">
        <f>_xll.qlInterestRateIndexValueDate(Index,P431,Trigger)</f>
        <v>43696</v>
      </c>
      <c r="R431" s="31">
        <f>_xll.qlInterestRateIndexMaturity(Index,Q431,Trigger)</f>
        <v>43788</v>
      </c>
      <c r="S431" s="32">
        <f>_xll.qlDayCounterYearFraction(DayCounter,Q431,R431,,,Trigger)</f>
        <v>0.25555555555555554</v>
      </c>
      <c r="T431" s="33">
        <f>_xll.qlIndexFixing(Index,P431,,AllTriggers)</f>
        <v>3.4506541846655802E-3</v>
      </c>
      <c r="U431" s="34">
        <f>_xll.qlYieldTSDiscount(OisCurve,Q431,,AllTriggers)</f>
        <v>1.0028378390532668</v>
      </c>
      <c r="V431" s="34">
        <f>_xll.qlYieldTSDiscount(OisCurve,R431,,AllTriggers)</f>
        <v>1.0024395255553384</v>
      </c>
      <c r="W431" s="33">
        <f t="shared" si="38"/>
        <v>1.5548250000505335E-3</v>
      </c>
      <c r="X431" s="35">
        <f t="shared" si="39"/>
        <v>4.8418001376338465E-4</v>
      </c>
      <c r="Y431" s="33">
        <f t="shared" si="40"/>
        <v>1.8958291846150467E-3</v>
      </c>
      <c r="Z431" s="54"/>
    </row>
    <row r="432" spans="15:26" x14ac:dyDescent="0.25">
      <c r="O432" s="37" t="s">
        <v>31</v>
      </c>
      <c r="P432" s="31">
        <f>_xll.qlCalendarAdvance(Calendar,P431,O431,"f",,Trigger)</f>
        <v>43699</v>
      </c>
      <c r="Q432" s="31">
        <f>_xll.qlInterestRateIndexValueDate(Index,P432,Trigger)</f>
        <v>43703</v>
      </c>
      <c r="R432" s="31">
        <f>_xll.qlInterestRateIndexMaturity(Index,Q432,Trigger)</f>
        <v>43795</v>
      </c>
      <c r="S432" s="32">
        <f>_xll.qlDayCounterYearFraction(DayCounter,Q432,R432,,,Trigger)</f>
        <v>0.25555555555555554</v>
      </c>
      <c r="T432" s="33">
        <f>_xll.qlIndexFixing(Index,P432,,AllTriggers)</f>
        <v>3.4744967593627525E-3</v>
      </c>
      <c r="U432" s="34">
        <f>_xll.qlYieldTSDiscount(OisCurve,Q432,,AllTriggers)</f>
        <v>1.0028104210326132</v>
      </c>
      <c r="V432" s="34">
        <f>_xll.qlYieldTSDiscount(OisCurve,R432,,AllTriggers)</f>
        <v>1.0024057793275629</v>
      </c>
      <c r="W432" s="33">
        <f t="shared" si="38"/>
        <v>1.5795804629553415E-3</v>
      </c>
      <c r="X432" s="35">
        <f t="shared" si="39"/>
        <v>4.8394386596402995E-4</v>
      </c>
      <c r="Y432" s="33">
        <f t="shared" si="40"/>
        <v>1.8949162964074109E-3</v>
      </c>
      <c r="Z432" s="54"/>
    </row>
    <row r="433" spans="15:26" x14ac:dyDescent="0.25">
      <c r="O433" s="37" t="s">
        <v>31</v>
      </c>
      <c r="P433" s="31">
        <f>_xll.qlCalendarAdvance(Calendar,P432,O432,"f",,Trigger)</f>
        <v>43706</v>
      </c>
      <c r="Q433" s="31">
        <f>_xll.qlInterestRateIndexValueDate(Index,P433,Trigger)</f>
        <v>43710</v>
      </c>
      <c r="R433" s="31">
        <f>_xll.qlInterestRateIndexMaturity(Index,Q433,Trigger)</f>
        <v>43801</v>
      </c>
      <c r="S433" s="32">
        <f>_xll.qlDayCounterYearFraction(DayCounter,Q433,R433,,,Trigger)</f>
        <v>0.25277777777777777</v>
      </c>
      <c r="T433" s="33">
        <f>_xll.qlIndexFixing(Index,P433,,AllTriggers)</f>
        <v>3.4965909651325073E-3</v>
      </c>
      <c r="U433" s="34">
        <f>_xll.qlYieldTSDiscount(OisCurve,Q433,,AllTriggers)</f>
        <v>1.0027825363416361</v>
      </c>
      <c r="V433" s="34">
        <f>_xll.qlYieldTSDiscount(OisCurve,R433,,AllTriggers)</f>
        <v>1.0023764571347074</v>
      </c>
      <c r="W433" s="33">
        <f t="shared" si="38"/>
        <v>1.6026585429163021E-3</v>
      </c>
      <c r="X433" s="35">
        <f t="shared" si="39"/>
        <v>4.7843569178973122E-4</v>
      </c>
      <c r="Y433" s="33">
        <f t="shared" si="40"/>
        <v>1.8939324222162052E-3</v>
      </c>
      <c r="Z433" s="54"/>
    </row>
    <row r="434" spans="15:26" x14ac:dyDescent="0.25">
      <c r="O434" s="37" t="s">
        <v>31</v>
      </c>
      <c r="P434" s="31">
        <f>_xll.qlCalendarAdvance(Calendar,P433,O433,"f",,Trigger)</f>
        <v>43713</v>
      </c>
      <c r="Q434" s="31">
        <f>_xll.qlInterestRateIndexValueDate(Index,P434,Trigger)</f>
        <v>43717</v>
      </c>
      <c r="R434" s="31">
        <f>_xll.qlInterestRateIndexMaturity(Index,Q434,Trigger)</f>
        <v>43808</v>
      </c>
      <c r="S434" s="32">
        <f>_xll.qlDayCounterYearFraction(DayCounter,Q434,R434,,,Trigger)</f>
        <v>0.25277777777777777</v>
      </c>
      <c r="T434" s="33">
        <f>_xll.qlIndexFixing(Index,P434,,AllTriggers)</f>
        <v>3.520359337894343E-3</v>
      </c>
      <c r="U434" s="34">
        <f>_xll.qlYieldTSDiscount(OisCurve,Q434,,AllTriggers)</f>
        <v>1.0027541825351949</v>
      </c>
      <c r="V434" s="34">
        <f>_xll.qlYieldTSDiscount(OisCurve,R434,,AllTriggers)</f>
        <v>1.00234178276177</v>
      </c>
      <c r="W434" s="33">
        <f t="shared" si="38"/>
        <v>1.6276600049896757E-3</v>
      </c>
      <c r="X434" s="35">
        <f t="shared" si="39"/>
        <v>4.7812124972717798E-4</v>
      </c>
      <c r="Y434" s="33">
        <f t="shared" si="40"/>
        <v>1.8926993329046672E-3</v>
      </c>
      <c r="Z434" s="54"/>
    </row>
    <row r="435" spans="15:26" x14ac:dyDescent="0.25">
      <c r="O435" s="37" t="s">
        <v>31</v>
      </c>
      <c r="P435" s="31">
        <f>_xll.qlCalendarAdvance(Calendar,P434,O434,"f",,Trigger)</f>
        <v>43720</v>
      </c>
      <c r="Q435" s="31">
        <f>_xll.qlInterestRateIndexValueDate(Index,P435,Trigger)</f>
        <v>43724</v>
      </c>
      <c r="R435" s="31">
        <f>_xll.qlInterestRateIndexMaturity(Index,Q435,Trigger)</f>
        <v>43815</v>
      </c>
      <c r="S435" s="32">
        <f>_xll.qlDayCounterYearFraction(DayCounter,Q435,R435,,,Trigger)</f>
        <v>0.25277777777777777</v>
      </c>
      <c r="T435" s="33">
        <f>_xll.qlIndexFixing(Index,P435,,AllTriggers)</f>
        <v>3.5440893534021026E-3</v>
      </c>
      <c r="U435" s="34">
        <f>_xll.qlYieldTSDiscount(OisCurve,Q435,,AllTriggers)</f>
        <v>1.0027253571690866</v>
      </c>
      <c r="V435" s="34">
        <f>_xll.qlYieldTSDiscount(OisCurve,R435,,AllTriggers)</f>
        <v>1.0023066051451304</v>
      </c>
      <c r="W435" s="33">
        <f t="shared" si="38"/>
        <v>1.6527890816535925E-3</v>
      </c>
      <c r="X435" s="35">
        <f t="shared" si="39"/>
        <v>4.7776487969415659E-4</v>
      </c>
      <c r="Y435" s="33">
        <f t="shared" si="40"/>
        <v>1.89130027174851E-3</v>
      </c>
      <c r="Z435" s="54"/>
    </row>
    <row r="436" spans="15:26" x14ac:dyDescent="0.25">
      <c r="O436" s="37" t="s">
        <v>31</v>
      </c>
      <c r="P436" s="31">
        <f>_xll.qlCalendarAdvance(Calendar,P435,O435,"f",,Trigger)</f>
        <v>43727</v>
      </c>
      <c r="Q436" s="31">
        <f>_xll.qlInterestRateIndexValueDate(Index,P436,Trigger)</f>
        <v>43731</v>
      </c>
      <c r="R436" s="31">
        <f>_xll.qlInterestRateIndexMaturity(Index,Q436,Trigger)</f>
        <v>43822</v>
      </c>
      <c r="S436" s="32">
        <f>_xll.qlDayCounterYearFraction(DayCounter,Q436,R436,,,Trigger)</f>
        <v>0.25277777777777777</v>
      </c>
      <c r="T436" s="33">
        <f>_xll.qlIndexFixing(Index,P436,,AllTriggers)</f>
        <v>3.5677810109635924E-3</v>
      </c>
      <c r="U436" s="34">
        <f>_xll.qlYieldTSDiscount(OisCurve,Q436,,AllTriggers)</f>
        <v>1.0026960578000566</v>
      </c>
      <c r="V436" s="34">
        <f>_xll.qlYieldTSDiscount(OisCurve,R436,,AllTriggers)</f>
        <v>1.0022709218549437</v>
      </c>
      <c r="W436" s="33">
        <f t="shared" si="38"/>
        <v>1.6780457753360005E-3</v>
      </c>
      <c r="X436" s="35">
        <f t="shared" si="39"/>
        <v>4.773665816902292E-4</v>
      </c>
      <c r="Y436" s="33">
        <f t="shared" si="40"/>
        <v>1.8897352356275919E-3</v>
      </c>
      <c r="Z436" s="54"/>
    </row>
    <row r="437" spans="15:26" x14ac:dyDescent="0.25">
      <c r="O437" s="37" t="s">
        <v>31</v>
      </c>
      <c r="P437" s="31">
        <f>_xll.qlCalendarAdvance(Calendar,P436,O436,"f",,Trigger)</f>
        <v>43734</v>
      </c>
      <c r="Q437" s="31">
        <f>_xll.qlInterestRateIndexValueDate(Index,P437,Trigger)</f>
        <v>43738</v>
      </c>
      <c r="R437" s="31">
        <f>_xll.qlInterestRateIndexMaturity(Index,Q437,Trigger)</f>
        <v>43830</v>
      </c>
      <c r="S437" s="32">
        <f>_xll.qlDayCounterYearFraction(DayCounter,Q437,R437,,,Trigger)</f>
        <v>0.25555555555555554</v>
      </c>
      <c r="T437" s="33">
        <f>_xll.qlIndexFixing(Index,P437,,AllTriggers)</f>
        <v>3.5931342981443889E-3</v>
      </c>
      <c r="U437" s="34">
        <f>_xll.qlYieldTSDiscount(OisCurve,Q437,,AllTriggers)</f>
        <v>1.0026662819858103</v>
      </c>
      <c r="V437" s="34">
        <f>_xll.qlYieldTSDiscount(OisCurve,R437,,AllTriggers)</f>
        <v>1.002229518644256</v>
      </c>
      <c r="W437" s="33">
        <f t="shared" si="38"/>
        <v>1.7052720094740369E-3</v>
      </c>
      <c r="X437" s="35">
        <f t="shared" si="39"/>
        <v>4.8212729619972328E-4</v>
      </c>
      <c r="Y437" s="33">
        <f t="shared" si="40"/>
        <v>1.8878622886703521E-3</v>
      </c>
      <c r="Z437" s="54"/>
    </row>
    <row r="438" spans="15:26" x14ac:dyDescent="0.25">
      <c r="O438" s="37" t="s">
        <v>31</v>
      </c>
      <c r="P438" s="31">
        <f>_xll.qlCalendarAdvance(Calendar,P437,O437,"f",,Trigger)</f>
        <v>43741</v>
      </c>
      <c r="Q438" s="31">
        <f>_xll.qlInterestRateIndexValueDate(Index,P438,Trigger)</f>
        <v>43745</v>
      </c>
      <c r="R438" s="31">
        <f>_xll.qlInterestRateIndexMaturity(Index,Q438,Trigger)</f>
        <v>43837</v>
      </c>
      <c r="S438" s="32">
        <f>_xll.qlDayCounterYearFraction(DayCounter,Q438,R438,,,Trigger)</f>
        <v>0.25555555555555554</v>
      </c>
      <c r="T438" s="33">
        <f>_xll.qlIndexFixing(Index,P438,,AllTriggers)</f>
        <v>3.6167467340691745E-3</v>
      </c>
      <c r="U438" s="34">
        <f>_xll.qlYieldTSDiscount(OisCurve,Q438,,AllTriggers)</f>
        <v>1.0026360272850254</v>
      </c>
      <c r="V438" s="34">
        <f>_xll.qlYieldTSDiscount(OisCurve,R438,,AllTriggers)</f>
        <v>1.0021927435909734</v>
      </c>
      <c r="W438" s="33">
        <f t="shared" si="38"/>
        <v>1.7307931823716479E-3</v>
      </c>
      <c r="X438" s="35">
        <f t="shared" si="39"/>
        <v>4.8163681609370923E-4</v>
      </c>
      <c r="Y438" s="33">
        <f t="shared" si="40"/>
        <v>1.8859535516975265E-3</v>
      </c>
      <c r="Z438" s="54"/>
    </row>
    <row r="439" spans="15:26" x14ac:dyDescent="0.25">
      <c r="O439" s="37" t="s">
        <v>31</v>
      </c>
      <c r="P439" s="31">
        <f>_xll.qlCalendarAdvance(Calendar,P438,O438,"f",,Trigger)</f>
        <v>43748</v>
      </c>
      <c r="Q439" s="31">
        <f>_xll.qlInterestRateIndexValueDate(Index,P439,Trigger)</f>
        <v>43752</v>
      </c>
      <c r="R439" s="31">
        <f>_xll.qlInterestRateIndexMaturity(Index,Q439,Trigger)</f>
        <v>43844</v>
      </c>
      <c r="S439" s="32">
        <f>_xll.qlDayCounterYearFraction(DayCounter,Q439,R439,,,Trigger)</f>
        <v>0.25555555555555554</v>
      </c>
      <c r="T439" s="33">
        <f>_xll.qlIndexFixing(Index,P439,,AllTriggers)</f>
        <v>3.6403208110900808E-3</v>
      </c>
      <c r="U439" s="34">
        <f>_xll.qlYieldTSDiscount(OisCurve,Q439,,AllTriggers)</f>
        <v>1.0026052912573629</v>
      </c>
      <c r="V439" s="34">
        <f>_xll.qlYieldTSDiscount(OisCurve,R439,,AllTriggers)</f>
        <v>1.0021554552348142</v>
      </c>
      <c r="W439" s="33">
        <f t="shared" si="38"/>
        <v>1.7564419822556296E-3</v>
      </c>
      <c r="X439" s="35">
        <f t="shared" si="39"/>
        <v>4.8110394727000471E-4</v>
      </c>
      <c r="Y439" s="33">
        <f t="shared" si="40"/>
        <v>1.8838788288344512E-3</v>
      </c>
      <c r="Z439" s="54"/>
    </row>
    <row r="440" spans="15:26" x14ac:dyDescent="0.25">
      <c r="O440" s="37" t="s">
        <v>31</v>
      </c>
      <c r="P440" s="31">
        <f>_xll.qlCalendarAdvance(Calendar,P439,O439,"f",,Trigger)</f>
        <v>43755</v>
      </c>
      <c r="Q440" s="31">
        <f>_xll.qlInterestRateIndexValueDate(Index,P440,Trigger)</f>
        <v>43759</v>
      </c>
      <c r="R440" s="31">
        <f>_xll.qlInterestRateIndexMaturity(Index,Q440,Trigger)</f>
        <v>43851</v>
      </c>
      <c r="S440" s="32">
        <f>_xll.qlDayCounterYearFraction(DayCounter,Q440,R440,,,Trigger)</f>
        <v>0.25555555555555554</v>
      </c>
      <c r="T440" s="33">
        <f>_xll.qlIndexFixing(Index,P440,,AllTriggers)</f>
        <v>3.6638565285137493E-3</v>
      </c>
      <c r="U440" s="34">
        <f>_xll.qlYieldTSDiscount(OisCurve,Q440,,AllTriggers)</f>
        <v>1.002574071463479</v>
      </c>
      <c r="V440" s="34">
        <f>_xll.qlYieldTSDiscount(OisCurve,R440,,AllTriggers)</f>
        <v>1.0021176511506389</v>
      </c>
      <c r="W440" s="33">
        <f t="shared" si="38"/>
        <v>1.7822184116344098E-3</v>
      </c>
      <c r="X440" s="35">
        <f t="shared" si="39"/>
        <v>4.8052868972831605E-4</v>
      </c>
      <c r="Y440" s="33">
        <f t="shared" si="40"/>
        <v>1.8816381168793395E-3</v>
      </c>
      <c r="Z440" s="54"/>
    </row>
    <row r="441" spans="15:26" x14ac:dyDescent="0.25">
      <c r="O441" s="37" t="s">
        <v>31</v>
      </c>
      <c r="P441" s="31">
        <f>_xll.qlCalendarAdvance(Calendar,P440,O440,"f",,Trigger)</f>
        <v>43762</v>
      </c>
      <c r="Q441" s="31">
        <f>_xll.qlInterestRateIndexValueDate(Index,P441,Trigger)</f>
        <v>43766</v>
      </c>
      <c r="R441" s="31">
        <f>_xll.qlInterestRateIndexMaturity(Index,Q441,Trigger)</f>
        <v>43858</v>
      </c>
      <c r="S441" s="32">
        <f>_xll.qlDayCounterYearFraction(DayCounter,Q441,R441,,,Trigger)</f>
        <v>0.25555555555555554</v>
      </c>
      <c r="T441" s="33">
        <f>_xll.qlIndexFixing(Index,P441,,AllTriggers)</f>
        <v>3.6873538856485592E-3</v>
      </c>
      <c r="U441" s="34">
        <f>_xll.qlYieldTSDiscount(OisCurve,Q441,,AllTriggers)</f>
        <v>1.0025423654650378</v>
      </c>
      <c r="V441" s="34">
        <f>_xll.qlYieldTSDiscount(OisCurve,R441,,AllTriggers)</f>
        <v>1.0020793289144774</v>
      </c>
      <c r="W441" s="33">
        <f t="shared" si="38"/>
        <v>1.8081224730277128E-3</v>
      </c>
      <c r="X441" s="35">
        <f t="shared" si="39"/>
        <v>4.7991104346895155E-4</v>
      </c>
      <c r="Y441" s="33">
        <f t="shared" si="40"/>
        <v>1.8792314126208464E-3</v>
      </c>
      <c r="Z441" s="54"/>
    </row>
    <row r="442" spans="15:26" x14ac:dyDescent="0.25">
      <c r="O442" s="37" t="s">
        <v>31</v>
      </c>
      <c r="P442" s="31">
        <f>_xll.qlCalendarAdvance(Calendar,P441,O441,"f",,Trigger)</f>
        <v>43769</v>
      </c>
      <c r="Q442" s="31">
        <f>_xll.qlInterestRateIndexValueDate(Index,P442,Trigger)</f>
        <v>43773</v>
      </c>
      <c r="R442" s="31">
        <f>_xll.qlInterestRateIndexMaturity(Index,Q442,Trigger)</f>
        <v>43865</v>
      </c>
      <c r="S442" s="32">
        <f>_xll.qlDayCounterYearFraction(DayCounter,Q442,R442,,,Trigger)</f>
        <v>0.25555555555555554</v>
      </c>
      <c r="T442" s="33">
        <f>_xll.qlIndexFixing(Index,P442,,AllTriggers)</f>
        <v>3.7108128817985456E-3</v>
      </c>
      <c r="U442" s="34">
        <f>_xll.qlYieldTSDiscount(OisCurve,Q442,,AllTriggers)</f>
        <v>1.0025101708247217</v>
      </c>
      <c r="V442" s="34">
        <f>_xll.qlYieldTSDiscount(OisCurve,R442,,AllTriggers)</f>
        <v>1.0020404861035404</v>
      </c>
      <c r="W442" s="33">
        <f t="shared" si="38"/>
        <v>1.8341541689639502E-3</v>
      </c>
      <c r="X442" s="35">
        <f t="shared" si="39"/>
        <v>4.7925100849171193E-4</v>
      </c>
      <c r="Y442" s="33">
        <f t="shared" si="40"/>
        <v>1.8766587128345954E-3</v>
      </c>
      <c r="Z442" s="54"/>
    </row>
    <row r="443" spans="15:26" x14ac:dyDescent="0.25">
      <c r="O443" s="37" t="s">
        <v>31</v>
      </c>
      <c r="P443" s="31">
        <f>_xll.qlCalendarAdvance(Calendar,P442,O442,"f",,Trigger)</f>
        <v>43776</v>
      </c>
      <c r="Q443" s="31">
        <f>_xll.qlInterestRateIndexValueDate(Index,P443,Trigger)</f>
        <v>43780</v>
      </c>
      <c r="R443" s="31">
        <f>_xll.qlInterestRateIndexMaturity(Index,Q443,Trigger)</f>
        <v>43872</v>
      </c>
      <c r="S443" s="32">
        <f>_xll.qlDayCounterYearFraction(DayCounter,Q443,R443,,,Trigger)</f>
        <v>0.25555555555555554</v>
      </c>
      <c r="T443" s="33">
        <f>_xll.qlIndexFixing(Index,P443,,AllTriggers)</f>
        <v>3.7342335162764322E-3</v>
      </c>
      <c r="U443" s="34">
        <f>_xll.qlYieldTSDiscount(OisCurve,Q443,,AllTriggers)</f>
        <v>1.0024774851062448</v>
      </c>
      <c r="V443" s="34">
        <f>_xll.qlYieldTSDiscount(OisCurve,R443,,AllTriggers)</f>
        <v>1.0020011202962313</v>
      </c>
      <c r="W443" s="33">
        <f t="shared" si="38"/>
        <v>1.8603135019897806E-3</v>
      </c>
      <c r="X443" s="35">
        <f t="shared" si="39"/>
        <v>4.7854858479677782E-4</v>
      </c>
      <c r="Y443" s="33">
        <f t="shared" si="40"/>
        <v>1.8739200142866516E-3</v>
      </c>
      <c r="Z443" s="54"/>
    </row>
    <row r="444" spans="15:26" x14ac:dyDescent="0.25">
      <c r="O444" s="37" t="s">
        <v>31</v>
      </c>
      <c r="P444" s="31">
        <f>_xll.qlCalendarAdvance(Calendar,P443,O443,"f",,Trigger)</f>
        <v>43783</v>
      </c>
      <c r="Q444" s="31">
        <f>_xll.qlInterestRateIndexValueDate(Index,P444,Trigger)</f>
        <v>43787</v>
      </c>
      <c r="R444" s="31">
        <f>_xll.qlInterestRateIndexMaturity(Index,Q444,Trigger)</f>
        <v>43879</v>
      </c>
      <c r="S444" s="32">
        <f>_xll.qlDayCounterYearFraction(DayCounter,Q444,R444,,,Trigger)</f>
        <v>0.25555555555555554</v>
      </c>
      <c r="T444" s="33">
        <f>_xll.qlIndexFixing(Index,P444,,AllTriggers)</f>
        <v>3.7576157883914673E-3</v>
      </c>
      <c r="U444" s="34">
        <f>_xll.qlYieldTSDiscount(OisCurve,Q444,,AllTriggers)</f>
        <v>1.002444305874364</v>
      </c>
      <c r="V444" s="34">
        <f>_xll.qlYieldTSDiscount(OisCurve,R444,,AllTriggers)</f>
        <v>1.0019612290721616</v>
      </c>
      <c r="W444" s="33">
        <f t="shared" si="38"/>
        <v>1.886600474658814E-3</v>
      </c>
      <c r="X444" s="35">
        <f t="shared" si="39"/>
        <v>4.7780377238426631E-4</v>
      </c>
      <c r="Y444" s="33">
        <f t="shared" si="40"/>
        <v>1.8710153137326533E-3</v>
      </c>
      <c r="Z444" s="54"/>
    </row>
    <row r="445" spans="15:26" x14ac:dyDescent="0.25">
      <c r="O445" s="37" t="s">
        <v>31</v>
      </c>
      <c r="P445" s="31">
        <f>_xll.qlCalendarAdvance(Calendar,P444,O444,"f",,Trigger)</f>
        <v>43790</v>
      </c>
      <c r="Q445" s="31">
        <f>_xll.qlInterestRateIndexValueDate(Index,P445,Trigger)</f>
        <v>43794</v>
      </c>
      <c r="R445" s="31">
        <f>_xll.qlInterestRateIndexMaturity(Index,Q445,Trigger)</f>
        <v>43886</v>
      </c>
      <c r="S445" s="32">
        <f>_xll.qlDayCounterYearFraction(DayCounter,Q445,R445,,,Trigger)</f>
        <v>0.25555555555555554</v>
      </c>
      <c r="T445" s="33">
        <f>_xll.qlIndexFixing(Index,P445,,AllTriggers)</f>
        <v>3.7809596974537683E-3</v>
      </c>
      <c r="U445" s="34">
        <f>_xll.qlYieldTSDiscount(OisCurve,Q445,,AllTriggers)</f>
        <v>1.0024106306948917</v>
      </c>
      <c r="V445" s="34">
        <f>_xll.qlYieldTSDiscount(OisCurve,R445,,AllTriggers)</f>
        <v>1.0019208100121606</v>
      </c>
      <c r="W445" s="33">
        <f t="shared" si="38"/>
        <v>1.9130150895402991E-3</v>
      </c>
      <c r="X445" s="35">
        <f t="shared" si="39"/>
        <v>4.7701657125423047E-4</v>
      </c>
      <c r="Y445" s="33">
        <f t="shared" si="40"/>
        <v>1.8679446079134692E-3</v>
      </c>
      <c r="Z445" s="54"/>
    </row>
    <row r="446" spans="15:26" x14ac:dyDescent="0.25">
      <c r="O446" s="37" t="s">
        <v>31</v>
      </c>
      <c r="P446" s="31">
        <f>_xll.qlCalendarAdvance(Calendar,P445,O445,"f",,Trigger)</f>
        <v>43797</v>
      </c>
      <c r="Q446" s="31">
        <f>_xll.qlInterestRateIndexValueDate(Index,P446,Trigger)</f>
        <v>43801</v>
      </c>
      <c r="R446" s="31">
        <f>_xll.qlInterestRateIndexMaturity(Index,Q446,Trigger)</f>
        <v>43892</v>
      </c>
      <c r="S446" s="32">
        <f>_xll.qlDayCounterYearFraction(DayCounter,Q446,R446,,,Trigger)</f>
        <v>0.25277777777777777</v>
      </c>
      <c r="T446" s="33">
        <f>_xll.qlIndexFixing(Index,P446,,AllTriggers)</f>
        <v>3.8025877482454362E-3</v>
      </c>
      <c r="U446" s="34">
        <f>_xll.qlYieldTSDiscount(OisCurve,Q446,,AllTriggers)</f>
        <v>1.0023764571347074</v>
      </c>
      <c r="V446" s="34">
        <f>_xll.qlYieldTSDiscount(OisCurve,R446,,AllTriggers)</f>
        <v>1.0018857431564021</v>
      </c>
      <c r="W446" s="33">
        <f t="shared" si="38"/>
        <v>1.9376321913759883E-3</v>
      </c>
      <c r="X446" s="35">
        <f t="shared" si="39"/>
        <v>4.7107756325596122E-4</v>
      </c>
      <c r="Y446" s="33">
        <f t="shared" si="40"/>
        <v>1.8649555568694479E-3</v>
      </c>
      <c r="Z446" s="54"/>
    </row>
    <row r="447" spans="15:26" x14ac:dyDescent="0.25">
      <c r="O447" s="37" t="s">
        <v>31</v>
      </c>
      <c r="P447" s="31">
        <f>_xll.qlCalendarAdvance(Calendar,P446,O446,"f",,Trigger)</f>
        <v>43804</v>
      </c>
      <c r="Q447" s="31">
        <f>_xll.qlInterestRateIndexValueDate(Index,P447,Trigger)</f>
        <v>43808</v>
      </c>
      <c r="R447" s="31">
        <f>_xll.qlInterestRateIndexMaturity(Index,Q447,Trigger)</f>
        <v>43899</v>
      </c>
      <c r="S447" s="32">
        <f>_xll.qlDayCounterYearFraction(DayCounter,Q447,R447,,,Trigger)</f>
        <v>0.25277777777777777</v>
      </c>
      <c r="T447" s="33">
        <f>_xll.qlIndexFixing(Index,P447,,AllTriggers)</f>
        <v>3.8258574230900242E-3</v>
      </c>
      <c r="U447" s="34">
        <f>_xll.qlYieldTSDiscount(OisCurve,Q447,,AllTriggers)</f>
        <v>1.00234178276177</v>
      </c>
      <c r="V447" s="34">
        <f>_xll.qlYieldTSDiscount(OisCurve,R447,,AllTriggers)</f>
        <v>1.0018443374156767</v>
      </c>
      <c r="W447" s="33">
        <f t="shared" si="38"/>
        <v>1.9642928361017298E-3</v>
      </c>
      <c r="X447" s="35">
        <f t="shared" si="39"/>
        <v>4.7021805757311842E-4</v>
      </c>
      <c r="Y447" s="33">
        <f t="shared" si="40"/>
        <v>1.8615645869882944E-3</v>
      </c>
      <c r="Z447" s="54"/>
    </row>
    <row r="448" spans="15:26" x14ac:dyDescent="0.25">
      <c r="O448" s="37" t="s">
        <v>31</v>
      </c>
      <c r="P448" s="31">
        <f>_xll.qlCalendarAdvance(Calendar,P447,O447,"f",,Trigger)</f>
        <v>43811</v>
      </c>
      <c r="Q448" s="31">
        <f>_xll.qlInterestRateIndexValueDate(Index,P448,Trigger)</f>
        <v>43815</v>
      </c>
      <c r="R448" s="31">
        <f>_xll.qlInterestRateIndexMaturity(Index,Q448,Trigger)</f>
        <v>43906</v>
      </c>
      <c r="S448" s="32">
        <f>_xll.qlDayCounterYearFraction(DayCounter,Q448,R448,,,Trigger)</f>
        <v>0.25277777777777777</v>
      </c>
      <c r="T448" s="33">
        <f>_xll.qlIndexFixing(Index,P448,,AllTriggers)</f>
        <v>3.8490887317795246E-3</v>
      </c>
      <c r="U448" s="34">
        <f>_xll.qlYieldTSDiscount(OisCurve,Q448,,AllTriggers)</f>
        <v>1.0023066051451304</v>
      </c>
      <c r="V448" s="34">
        <f>_xll.qlYieldTSDiscount(OisCurve,R448,,AllTriggers)</f>
        <v>1.001802396933938</v>
      </c>
      <c r="W448" s="33">
        <f t="shared" si="38"/>
        <v>1.9910811279546256E-3</v>
      </c>
      <c r="X448" s="35">
        <f t="shared" si="39"/>
        <v>4.6931662391933894E-4</v>
      </c>
      <c r="Y448" s="33">
        <f t="shared" si="40"/>
        <v>1.858007603824899E-3</v>
      </c>
      <c r="Z448" s="54"/>
    </row>
    <row r="449" spans="15:26" x14ac:dyDescent="0.25">
      <c r="O449" s="37" t="s">
        <v>31</v>
      </c>
      <c r="P449" s="31">
        <f>_xll.qlCalendarAdvance(Calendar,P448,O448,"f",,Trigger)</f>
        <v>43818</v>
      </c>
      <c r="Q449" s="31">
        <f>_xll.qlInterestRateIndexValueDate(Index,P449,Trigger)</f>
        <v>43822</v>
      </c>
      <c r="R449" s="31">
        <f>_xll.qlInterestRateIndexMaturity(Index,Q449,Trigger)</f>
        <v>43913</v>
      </c>
      <c r="S449" s="32">
        <f>_xll.qlDayCounterYearFraction(DayCounter,Q449,R449,,,Trigger)</f>
        <v>0.25277777777777777</v>
      </c>
      <c r="T449" s="33">
        <f>_xll.qlIndexFixing(Index,P449,,AllTriggers)</f>
        <v>3.872281673637555E-3</v>
      </c>
      <c r="U449" s="34">
        <f>_xll.qlYieldTSDiscount(OisCurve,Q449,,AllTriggers)</f>
        <v>1.0022709218549437</v>
      </c>
      <c r="V449" s="34">
        <f>_xll.qlYieldTSDiscount(OisCurve,R449,,AllTriggers)</f>
        <v>1.0017599192968401</v>
      </c>
      <c r="W449" s="33">
        <f t="shared" si="38"/>
        <v>2.017997069525131E-3</v>
      </c>
      <c r="X449" s="35">
        <f t="shared" si="39"/>
        <v>4.6837326229509315E-4</v>
      </c>
      <c r="Y449" s="33">
        <f t="shared" si="40"/>
        <v>1.854284604112424E-3</v>
      </c>
      <c r="Z449" s="54"/>
    </row>
    <row r="450" spans="15:26" x14ac:dyDescent="0.25">
      <c r="O450" s="37" t="s">
        <v>31</v>
      </c>
      <c r="P450" s="31">
        <f>_xll.qlCalendarAdvance(Calendar,P449,O449,"f",,Trigger)</f>
        <v>43826</v>
      </c>
      <c r="Q450" s="31">
        <f>_xll.qlInterestRateIndexValueDate(Index,P450,Trigger)</f>
        <v>43830</v>
      </c>
      <c r="R450" s="31">
        <f>_xll.qlInterestRateIndexMaturity(Index,Q450,Trigger)</f>
        <v>43921</v>
      </c>
      <c r="S450" s="32">
        <f>_xll.qlDayCounterYearFraction(DayCounter,Q450,R450,,,Trigger)</f>
        <v>0.25277777777777777</v>
      </c>
      <c r="T450" s="33">
        <f>_xll.qlIndexFixing(Index,P450,,AllTriggers)</f>
        <v>3.8987409122425046E-3</v>
      </c>
      <c r="U450" s="34">
        <f>_xll.qlYieldTSDiscount(OisCurve,Q450,,AllTriggers)</f>
        <v>1.002229518644256</v>
      </c>
      <c r="V450" s="34">
        <f>_xll.qlYieldTSDiscount(OisCurve,R450,,AllTriggers)</f>
        <v>1.0017107125891975</v>
      </c>
      <c r="W450" s="33">
        <f t="shared" si="38"/>
        <v>2.048914454721312E-3</v>
      </c>
      <c r="X450" s="35">
        <f t="shared" si="39"/>
        <v>4.672437943519089E-4</v>
      </c>
      <c r="Y450" s="33">
        <f t="shared" si="40"/>
        <v>1.8498264575211925E-3</v>
      </c>
      <c r="Z450" s="54"/>
    </row>
    <row r="451" spans="15:26" x14ac:dyDescent="0.25">
      <c r="O451" s="37" t="s">
        <v>31</v>
      </c>
      <c r="P451" s="31">
        <f>_xll.qlCalendarAdvance(Calendar,P450,O450,"f",,Trigger)</f>
        <v>43833</v>
      </c>
      <c r="Q451" s="31">
        <f>_xll.qlInterestRateIndexValueDate(Index,P451,Trigger)</f>
        <v>43837</v>
      </c>
      <c r="R451" s="31">
        <f>_xll.qlInterestRateIndexMaturity(Index,Q451,Trigger)</f>
        <v>43928</v>
      </c>
      <c r="S451" s="32">
        <f>_xll.qlDayCounterYearFraction(DayCounter,Q451,R451,,,Trigger)</f>
        <v>0.25277777777777777</v>
      </c>
      <c r="T451" s="33">
        <f>_xll.qlIndexFixing(Index,P451,,AllTriggers)</f>
        <v>3.9218516371859399E-3</v>
      </c>
      <c r="U451" s="34">
        <f>_xll.qlYieldTSDiscount(OisCurve,Q451,,AllTriggers)</f>
        <v>1.0021927435909734</v>
      </c>
      <c r="V451" s="34">
        <f>_xll.qlYieldTSDiscount(OisCurve,R451,,AllTriggers)</f>
        <v>1.0016670757809385</v>
      </c>
      <c r="W451" s="33">
        <f t="shared" si="38"/>
        <v>2.07610394017826E-3</v>
      </c>
      <c r="X451" s="35">
        <f t="shared" si="39"/>
        <v>4.6621058707537464E-4</v>
      </c>
      <c r="Y451" s="33">
        <f t="shared" si="40"/>
        <v>1.8457476970076799E-3</v>
      </c>
      <c r="Z451" s="54"/>
    </row>
    <row r="452" spans="15:26" x14ac:dyDescent="0.25">
      <c r="O452" s="37" t="s">
        <v>31</v>
      </c>
      <c r="P452" s="31">
        <f>_xll.qlCalendarAdvance(Calendar,P451,O451,"f",,Trigger)</f>
        <v>43840</v>
      </c>
      <c r="Q452" s="31">
        <f>_xll.qlInterestRateIndexValueDate(Index,P452,Trigger)</f>
        <v>43844</v>
      </c>
      <c r="R452" s="31">
        <f>_xll.qlInterestRateIndexMaturity(Index,Q452,Trigger)</f>
        <v>43935</v>
      </c>
      <c r="S452" s="32">
        <f>_xll.qlDayCounterYearFraction(DayCounter,Q452,R452,,,Trigger)</f>
        <v>0.25277777777777777</v>
      </c>
      <c r="T452" s="33">
        <f>_xll.qlIndexFixing(Index,P452,,AllTriggers)</f>
        <v>3.9449239931774035E-3</v>
      </c>
      <c r="U452" s="34">
        <f>_xll.qlYieldTSDiscount(OisCurve,Q452,,AllTriggers)</f>
        <v>1.0021554552348142</v>
      </c>
      <c r="V452" s="34">
        <f>_xll.qlYieldTSDiscount(OisCurve,R452,,AllTriggers)</f>
        <v>1.0016228942377834</v>
      </c>
      <c r="W452" s="33">
        <f t="shared" ref="W452:W515" si="41">(U452/V452-1)/S452</f>
        <v>2.1034210835721772E-3</v>
      </c>
      <c r="X452" s="35">
        <f t="shared" ref="X452:X515" si="42">LN((1+T452*S452)/(1+W452*S452))</f>
        <v>4.6513545182808144E-4</v>
      </c>
      <c r="Y452" s="33">
        <f t="shared" ref="Y452:Y515" si="43">T452-W452</f>
        <v>1.8415029096052263E-3</v>
      </c>
      <c r="Z452" s="54"/>
    </row>
    <row r="453" spans="15:26" x14ac:dyDescent="0.25">
      <c r="O453" s="37" t="s">
        <v>31</v>
      </c>
      <c r="P453" s="31">
        <f>_xll.qlCalendarAdvance(Calendar,P452,O452,"f",,Trigger)</f>
        <v>43847</v>
      </c>
      <c r="Q453" s="31">
        <f>_xll.qlInterestRateIndexValueDate(Index,P453,Trigger)</f>
        <v>43851</v>
      </c>
      <c r="R453" s="31">
        <f>_xll.qlInterestRateIndexMaturity(Index,Q453,Trigger)</f>
        <v>43942</v>
      </c>
      <c r="S453" s="32">
        <f>_xll.qlDayCounterYearFraction(DayCounter,Q453,R453,,,Trigger)</f>
        <v>0.25277777777777777</v>
      </c>
      <c r="T453" s="33">
        <f>_xll.qlIndexFixing(Index,P453,,AllTriggers)</f>
        <v>3.9679579795449046E-3</v>
      </c>
      <c r="U453" s="34">
        <f>_xll.qlYieldTSDiscount(OisCurve,Q453,,AllTriggers)</f>
        <v>1.0021176511506389</v>
      </c>
      <c r="V453" s="34">
        <f>_xll.qlYieldTSDiscount(OisCurve,R453,,AllTriggers)</f>
        <v>1.0015781655507843</v>
      </c>
      <c r="W453" s="33">
        <f t="shared" si="41"/>
        <v>2.1308658875409522E-3</v>
      </c>
      <c r="X453" s="35">
        <f t="shared" si="42"/>
        <v>4.6401838861017997E-4</v>
      </c>
      <c r="Y453" s="33">
        <f t="shared" si="43"/>
        <v>1.8370920920039524E-3</v>
      </c>
      <c r="Z453" s="54"/>
    </row>
    <row r="454" spans="15:26" x14ac:dyDescent="0.25">
      <c r="O454" s="37" t="s">
        <v>31</v>
      </c>
      <c r="P454" s="31">
        <f>_xll.qlCalendarAdvance(Calendar,P453,O453,"f",,Trigger)</f>
        <v>43854</v>
      </c>
      <c r="Q454" s="31">
        <f>_xll.qlInterestRateIndexValueDate(Index,P454,Trigger)</f>
        <v>43858</v>
      </c>
      <c r="R454" s="31">
        <f>_xll.qlInterestRateIndexMaturity(Index,Q454,Trigger)</f>
        <v>43949</v>
      </c>
      <c r="S454" s="32">
        <f>_xll.qlDayCounterYearFraction(DayCounter,Q454,R454,,,Trigger)</f>
        <v>0.25277777777777777</v>
      </c>
      <c r="T454" s="33">
        <f>_xll.qlIndexFixing(Index,P454,,AllTriggers)</f>
        <v>3.9909535956164557E-3</v>
      </c>
      <c r="U454" s="34">
        <f>_xll.qlYieldTSDiscount(OisCurve,Q454,,AllTriggers)</f>
        <v>1.0020793289144774</v>
      </c>
      <c r="V454" s="34">
        <f>_xll.qlYieldTSDiscount(OisCurve,R454,,AllTriggers)</f>
        <v>1.0015328873123297</v>
      </c>
      <c r="W454" s="33">
        <f t="shared" si="41"/>
        <v>2.1584383547391659E-3</v>
      </c>
      <c r="X454" s="35">
        <f t="shared" si="42"/>
        <v>4.6285939742143006E-4</v>
      </c>
      <c r="Y454" s="33">
        <f t="shared" si="43"/>
        <v>1.8325152408772897E-3</v>
      </c>
      <c r="Z454" s="54"/>
    </row>
    <row r="455" spans="15:26" x14ac:dyDescent="0.25">
      <c r="O455" s="37" t="s">
        <v>31</v>
      </c>
      <c r="P455" s="31">
        <f>_xll.qlCalendarAdvance(Calendar,P454,O454,"f",,Trigger)</f>
        <v>43861</v>
      </c>
      <c r="Q455" s="31">
        <f>_xll.qlInterestRateIndexValueDate(Index,P455,Trigger)</f>
        <v>43865</v>
      </c>
      <c r="R455" s="31">
        <f>_xll.qlInterestRateIndexMaturity(Index,Q455,Trigger)</f>
        <v>43955</v>
      </c>
      <c r="S455" s="32">
        <f>_xll.qlDayCounterYearFraction(DayCounter,Q455,R455,,,Trigger)</f>
        <v>0.25</v>
      </c>
      <c r="T455" s="33">
        <f>_xll.qlIndexFixing(Index,P455,,AllTriggers)</f>
        <v>4.012257044506029E-3</v>
      </c>
      <c r="U455" s="34">
        <f>_xll.qlYieldTSDiscount(OisCurve,Q455,,AllTriggers)</f>
        <v>1.0020404861035404</v>
      </c>
      <c r="V455" s="34">
        <f>_xll.qlYieldTSDiscount(OisCurve,R455,,AllTriggers)</f>
        <v>1.0014936382055692</v>
      </c>
      <c r="W455" s="33">
        <f t="shared" si="41"/>
        <v>2.184129292926329E-3</v>
      </c>
      <c r="X455" s="35">
        <f t="shared" si="42"/>
        <v>4.5667822649761994E-4</v>
      </c>
      <c r="Y455" s="33">
        <f t="shared" si="43"/>
        <v>1.8281277515797001E-3</v>
      </c>
      <c r="Z455" s="54"/>
    </row>
    <row r="456" spans="15:26" x14ac:dyDescent="0.25">
      <c r="O456" s="37" t="s">
        <v>31</v>
      </c>
      <c r="P456" s="31">
        <f>_xll.qlCalendarAdvance(Calendar,P455,O455,"f",,Trigger)</f>
        <v>43868</v>
      </c>
      <c r="Q456" s="31">
        <f>_xll.qlInterestRateIndexValueDate(Index,P456,Trigger)</f>
        <v>43872</v>
      </c>
      <c r="R456" s="31">
        <f>_xll.qlInterestRateIndexMaturity(Index,Q456,Trigger)</f>
        <v>43962</v>
      </c>
      <c r="S456" s="32">
        <f>_xll.qlDayCounterYearFraction(DayCounter,Q456,R456,,,Trigger)</f>
        <v>0.25</v>
      </c>
      <c r="T456" s="33">
        <f>_xll.qlIndexFixing(Index,P456,,AllTriggers)</f>
        <v>4.0351932712567873E-3</v>
      </c>
      <c r="U456" s="34">
        <f>_xll.qlYieldTSDiscount(OisCurve,Q456,,AllTriggers)</f>
        <v>1.0020011202962313</v>
      </c>
      <c r="V456" s="34">
        <f>_xll.qlYieldTSDiscount(OisCurve,R456,,AllTriggers)</f>
        <v>1.0014473334250913</v>
      </c>
      <c r="W456" s="33">
        <f t="shared" si="41"/>
        <v>2.2119460610916519E-3</v>
      </c>
      <c r="X456" s="35">
        <f t="shared" si="42"/>
        <v>4.5545614816862919E-4</v>
      </c>
      <c r="Y456" s="33">
        <f t="shared" si="43"/>
        <v>1.8232472101651354E-3</v>
      </c>
      <c r="Z456" s="54"/>
    </row>
    <row r="457" spans="15:26" x14ac:dyDescent="0.25">
      <c r="O457" s="37" t="s">
        <v>31</v>
      </c>
      <c r="P457" s="31">
        <f>_xll.qlCalendarAdvance(Calendar,P456,O456,"f",,Trigger)</f>
        <v>43875</v>
      </c>
      <c r="Q457" s="31">
        <f>_xll.qlInterestRateIndexValueDate(Index,P457,Trigger)</f>
        <v>43879</v>
      </c>
      <c r="R457" s="31">
        <f>_xll.qlInterestRateIndexMaturity(Index,Q457,Trigger)</f>
        <v>43969</v>
      </c>
      <c r="S457" s="32">
        <f>_xll.qlDayCounterYearFraction(DayCounter,Q457,R457,,,Trigger)</f>
        <v>0.25</v>
      </c>
      <c r="T457" s="33">
        <f>_xll.qlIndexFixing(Index,P457,,AllTriggers)</f>
        <v>4.058123848659001E-3</v>
      </c>
      <c r="U457" s="34">
        <f>_xll.qlYieldTSDiscount(OisCurve,Q457,,AllTriggers)</f>
        <v>1.0019612290721616</v>
      </c>
      <c r="V457" s="34">
        <f>_xll.qlYieldTSDiscount(OisCurve,R457,,AllTriggers)</f>
        <v>1.0014004731822652</v>
      </c>
      <c r="W457" s="33">
        <f t="shared" si="41"/>
        <v>2.2398866583888122E-3</v>
      </c>
      <c r="X457" s="35">
        <f t="shared" si="42"/>
        <v>4.5420173447007444E-4</v>
      </c>
      <c r="Y457" s="33">
        <f t="shared" si="43"/>
        <v>1.8182371902701888E-3</v>
      </c>
      <c r="Z457" s="54"/>
    </row>
    <row r="458" spans="15:26" x14ac:dyDescent="0.25">
      <c r="O458" s="37" t="s">
        <v>31</v>
      </c>
      <c r="P458" s="31">
        <f>_xll.qlCalendarAdvance(Calendar,P457,O457,"f",,Trigger)</f>
        <v>43882</v>
      </c>
      <c r="Q458" s="31">
        <f>_xll.qlInterestRateIndexValueDate(Index,P458,Trigger)</f>
        <v>43886</v>
      </c>
      <c r="R458" s="31">
        <f>_xll.qlInterestRateIndexMaturity(Index,Q458,Trigger)</f>
        <v>43976</v>
      </c>
      <c r="S458" s="32">
        <f>_xll.qlDayCounterYearFraction(DayCounter,Q458,R458,,,Trigger)</f>
        <v>0.25</v>
      </c>
      <c r="T458" s="33">
        <f>_xll.qlIndexFixing(Index,P458,,AllTriggers)</f>
        <v>4.0810678655827104E-3</v>
      </c>
      <c r="U458" s="34">
        <f>_xll.qlYieldTSDiscount(OisCurve,Q458,,AllTriggers)</f>
        <v>1.0019208100121606</v>
      </c>
      <c r="V458" s="34">
        <f>_xll.qlYieldTSDiscount(OisCurve,R458,,AllTriggers)</f>
        <v>1.0013530556349208</v>
      </c>
      <c r="W458" s="33">
        <f t="shared" si="41"/>
        <v>2.2679488479901977E-3</v>
      </c>
      <c r="X458" s="35">
        <f t="shared" si="42"/>
        <v>4.5292031231767443E-4</v>
      </c>
      <c r="Y458" s="33">
        <f t="shared" si="43"/>
        <v>1.8131190175925127E-3</v>
      </c>
      <c r="Z458" s="54"/>
    </row>
    <row r="459" spans="15:26" x14ac:dyDescent="0.25">
      <c r="O459" s="37" t="s">
        <v>31</v>
      </c>
      <c r="P459" s="31">
        <f>_xll.qlCalendarAdvance(Calendar,P458,O458,"f",,Trigger)</f>
        <v>43889</v>
      </c>
      <c r="Q459" s="31">
        <f>_xll.qlInterestRateIndexValueDate(Index,P459,Trigger)</f>
        <v>43893</v>
      </c>
      <c r="R459" s="31">
        <f>_xll.qlInterestRateIndexMaturity(Index,Q459,Trigger)</f>
        <v>43985</v>
      </c>
      <c r="S459" s="32">
        <f>_xll.qlDayCounterYearFraction(DayCounter,Q459,R459,,,Trigger)</f>
        <v>0.25555555555555554</v>
      </c>
      <c r="T459" s="33">
        <f>_xll.qlIndexFixing(Index,P459,,AllTriggers)</f>
        <v>4.107389949092587E-3</v>
      </c>
      <c r="U459" s="34">
        <f>_xll.qlYieldTSDiscount(OisCurve,Q459,,AllTriggers)</f>
        <v>1.0018798606982897</v>
      </c>
      <c r="V459" s="34">
        <f>_xll.qlYieldTSDiscount(OisCurve,R459,,AllTriggers)</f>
        <v>1.0012912683580402</v>
      </c>
      <c r="W459" s="33">
        <f t="shared" si="41"/>
        <v>2.3002172206539355E-3</v>
      </c>
      <c r="X459" s="35">
        <f t="shared" si="42"/>
        <v>4.6145522242276851E-4</v>
      </c>
      <c r="Y459" s="33">
        <f t="shared" si="43"/>
        <v>1.8071727284386515E-3</v>
      </c>
      <c r="Z459" s="54"/>
    </row>
    <row r="460" spans="15:26" x14ac:dyDescent="0.25">
      <c r="O460" s="37" t="s">
        <v>31</v>
      </c>
      <c r="P460" s="31">
        <f>_xll.qlCalendarAdvance(Calendar,P459,O459,"f",,Trigger)</f>
        <v>43896</v>
      </c>
      <c r="Q460" s="31">
        <f>_xll.qlInterestRateIndexValueDate(Index,P460,Trigger)</f>
        <v>43900</v>
      </c>
      <c r="R460" s="31">
        <f>_xll.qlInterestRateIndexMaturity(Index,Q460,Trigger)</f>
        <v>43992</v>
      </c>
      <c r="S460" s="32">
        <f>_xll.qlDayCounterYearFraction(DayCounter,Q460,R460,,,Trigger)</f>
        <v>0.25555555555555554</v>
      </c>
      <c r="T460" s="33">
        <f>_xll.qlIndexFixing(Index,P460,,AllTriggers)</f>
        <v>4.1304360829990507E-3</v>
      </c>
      <c r="U460" s="34">
        <f>_xll.qlYieldTSDiscount(OisCurve,Q460,,AllTriggers)</f>
        <v>1.0018383787138563</v>
      </c>
      <c r="V460" s="34">
        <f>_xll.qlYieldTSDiscount(OisCurve,R460,,AllTriggers)</f>
        <v>1.0012425700612055</v>
      </c>
      <c r="W460" s="33">
        <f t="shared" si="41"/>
        <v>2.3285317986466089E-3</v>
      </c>
      <c r="X460" s="35">
        <f t="shared" si="42"/>
        <v>4.6010692654261764E-4</v>
      </c>
      <c r="Y460" s="33">
        <f t="shared" si="43"/>
        <v>1.8019042843524418E-3</v>
      </c>
      <c r="Z460" s="54"/>
    </row>
    <row r="461" spans="15:26" x14ac:dyDescent="0.25">
      <c r="O461" s="37" t="s">
        <v>31</v>
      </c>
      <c r="P461" s="31">
        <f>_xll.qlCalendarAdvance(Calendar,P460,O460,"f",,Trigger)</f>
        <v>43903</v>
      </c>
      <c r="Q461" s="31">
        <f>_xll.qlInterestRateIndexValueDate(Index,P461,Trigger)</f>
        <v>43907</v>
      </c>
      <c r="R461" s="31">
        <f>_xll.qlInterestRateIndexMaturity(Index,Q461,Trigger)</f>
        <v>43999</v>
      </c>
      <c r="S461" s="32">
        <f>_xll.qlDayCounterYearFraction(DayCounter,Q461,R461,,,Trigger)</f>
        <v>0.25555555555555554</v>
      </c>
      <c r="T461" s="33">
        <f>_xll.qlIndexFixing(Index,P461,,AllTriggers)</f>
        <v>4.1535558947588969E-3</v>
      </c>
      <c r="U461" s="34">
        <f>_xll.qlYieldTSDiscount(OisCurve,Q461,,AllTriggers)</f>
        <v>1.0017963616434251</v>
      </c>
      <c r="V461" s="34">
        <f>_xll.qlYieldTSDiscount(OisCurve,R461,,AllTriggers)</f>
        <v>1.0011933084161588</v>
      </c>
      <c r="W461" s="33">
        <f t="shared" si="41"/>
        <v>2.3569609167001962E-3</v>
      </c>
      <c r="X461" s="35">
        <f t="shared" si="42"/>
        <v>4.5874820343653003E-4</v>
      </c>
      <c r="Y461" s="33">
        <f t="shared" si="43"/>
        <v>1.7965949780587008E-3</v>
      </c>
      <c r="Z461" s="54"/>
    </row>
    <row r="462" spans="15:26" x14ac:dyDescent="0.25">
      <c r="O462" s="37" t="s">
        <v>31</v>
      </c>
      <c r="P462" s="31">
        <f>_xll.qlCalendarAdvance(Calendar,P461,O461,"f",,Trigger)</f>
        <v>43910</v>
      </c>
      <c r="Q462" s="31">
        <f>_xll.qlInterestRateIndexValueDate(Index,P462,Trigger)</f>
        <v>43914</v>
      </c>
      <c r="R462" s="31">
        <f>_xll.qlInterestRateIndexMaturity(Index,Q462,Trigger)</f>
        <v>44006</v>
      </c>
      <c r="S462" s="32">
        <f>_xll.qlDayCounterYearFraction(DayCounter,Q462,R462,,,Trigger)</f>
        <v>0.25555555555555554</v>
      </c>
      <c r="T462" s="33">
        <f>_xll.qlIndexFixing(Index,P462,,AllTriggers)</f>
        <v>4.1767680605449102E-3</v>
      </c>
      <c r="U462" s="34">
        <f>_xll.qlYieldTSDiscount(OisCurve,Q462,,AllTriggers)</f>
        <v>1.001753807072832</v>
      </c>
      <c r="V462" s="34">
        <f>_xll.qlYieldTSDiscount(OisCurve,R462,,AllTriggers)</f>
        <v>1.0011434815863405</v>
      </c>
      <c r="W462" s="33">
        <f t="shared" si="41"/>
        <v>2.3855023864790986E-3</v>
      </c>
      <c r="X462" s="35">
        <f t="shared" si="42"/>
        <v>4.5738438001947593E-4</v>
      </c>
      <c r="Y462" s="33">
        <f t="shared" si="43"/>
        <v>1.7912656740658116E-3</v>
      </c>
      <c r="Z462" s="54"/>
    </row>
    <row r="463" spans="15:26" x14ac:dyDescent="0.25">
      <c r="O463" s="37" t="s">
        <v>31</v>
      </c>
      <c r="P463" s="31">
        <f>_xll.qlCalendarAdvance(Calendar,P462,O462,"f",,Trigger)</f>
        <v>43917</v>
      </c>
      <c r="Q463" s="31">
        <f>_xll.qlInterestRateIndexValueDate(Index,P463,Trigger)</f>
        <v>43921</v>
      </c>
      <c r="R463" s="31">
        <f>_xll.qlInterestRateIndexMaturity(Index,Q463,Trigger)</f>
        <v>44012</v>
      </c>
      <c r="S463" s="32">
        <f>_xll.qlDayCounterYearFraction(DayCounter,Q463,R463,,,Trigger)</f>
        <v>0.25277777777777777</v>
      </c>
      <c r="T463" s="33">
        <f>_xll.qlIndexFixing(Index,P463,,AllTriggers)</f>
        <v>4.198373773598392E-3</v>
      </c>
      <c r="U463" s="34">
        <f>_xll.qlYieldTSDiscount(OisCurve,Q463,,AllTriggers)</f>
        <v>1.0017107125891975</v>
      </c>
      <c r="V463" s="34">
        <f>_xll.qlYieldTSDiscount(OisCurve,R463,,AllTriggers)</f>
        <v>1.0011003216429595</v>
      </c>
      <c r="W463" s="33">
        <f t="shared" si="41"/>
        <v>2.4120793505746463E-3</v>
      </c>
      <c r="X463" s="35">
        <f t="shared" si="42"/>
        <v>4.5115860484602809E-4</v>
      </c>
      <c r="Y463" s="33">
        <f t="shared" si="43"/>
        <v>1.7862944230237457E-3</v>
      </c>
      <c r="Z463" s="54"/>
    </row>
    <row r="464" spans="15:26" x14ac:dyDescent="0.25">
      <c r="O464" s="37" t="s">
        <v>31</v>
      </c>
      <c r="P464" s="31">
        <f>_xll.qlCalendarAdvance(Calendar,P463,O463,"f",,Trigger)</f>
        <v>43924</v>
      </c>
      <c r="Q464" s="31">
        <f>_xll.qlInterestRateIndexValueDate(Index,P464,Trigger)</f>
        <v>43928</v>
      </c>
      <c r="R464" s="31">
        <f>_xll.qlInterestRateIndexMaturity(Index,Q464,Trigger)</f>
        <v>44019</v>
      </c>
      <c r="S464" s="32">
        <f>_xll.qlDayCounterYearFraction(DayCounter,Q464,R464,,,Trigger)</f>
        <v>0.25277777777777777</v>
      </c>
      <c r="T464" s="33">
        <f>_xll.qlIndexFixing(Index,P464,,AllTriggers)</f>
        <v>4.2218129826696376E-3</v>
      </c>
      <c r="U464" s="34">
        <f>_xll.qlYieldTSDiscount(OisCurve,Q464,,AllTriggers)</f>
        <v>1.0016670757809385</v>
      </c>
      <c r="V464" s="34">
        <f>_xll.qlYieldTSDiscount(OisCurve,R464,,AllTriggers)</f>
        <v>1.0010494403163432</v>
      </c>
      <c r="W464" s="33">
        <f t="shared" si="41"/>
        <v>2.4408315397272708E-3</v>
      </c>
      <c r="X464" s="35">
        <f t="shared" si="42"/>
        <v>4.4981375792547496E-4</v>
      </c>
      <c r="Y464" s="33">
        <f t="shared" si="43"/>
        <v>1.7809814429423669E-3</v>
      </c>
      <c r="Z464" s="54"/>
    </row>
    <row r="465" spans="15:26" x14ac:dyDescent="0.25">
      <c r="O465" s="37" t="s">
        <v>31</v>
      </c>
      <c r="P465" s="31">
        <f>_xll.qlCalendarAdvance(Calendar,P464,O464,"f",,Trigger)</f>
        <v>43935</v>
      </c>
      <c r="Q465" s="31">
        <f>_xll.qlInterestRateIndexValueDate(Index,P465,Trigger)</f>
        <v>43937</v>
      </c>
      <c r="R465" s="31">
        <f>_xll.qlInterestRateIndexMaturity(Index,Q465,Trigger)</f>
        <v>44028</v>
      </c>
      <c r="S465" s="32">
        <f>_xll.qlDayCounterYearFraction(DayCounter,Q465,R465,,,Trigger)</f>
        <v>0.25277777777777777</v>
      </c>
      <c r="T465" s="33">
        <f>_xll.qlIndexFixing(Index,P465,,AllTriggers)</f>
        <v>4.2521688337428818E-3</v>
      </c>
      <c r="U465" s="34">
        <f>_xll.qlYieldTSDiscount(OisCurve,Q465,,AllTriggers)</f>
        <v>1.0016101705492453</v>
      </c>
      <c r="V465" s="34">
        <f>_xll.qlYieldTSDiscount(OisCurve,R465,,AllTriggers)</f>
        <v>1.0009831830364808</v>
      </c>
      <c r="W465" s="33">
        <f t="shared" si="41"/>
        <v>2.477953878168293E-3</v>
      </c>
      <c r="X465" s="35">
        <f t="shared" si="42"/>
        <v>4.4810096089222299E-4</v>
      </c>
      <c r="Y465" s="33">
        <f t="shared" si="43"/>
        <v>1.7742149555745887E-3</v>
      </c>
      <c r="Z465" s="54"/>
    </row>
    <row r="466" spans="15:26" x14ac:dyDescent="0.25">
      <c r="O466" s="37" t="s">
        <v>31</v>
      </c>
      <c r="P466" s="31">
        <f>_xll.qlCalendarAdvance(Calendar,P465,O465,"f",,Trigger)</f>
        <v>43942</v>
      </c>
      <c r="Q466" s="31">
        <f>_xll.qlInterestRateIndexValueDate(Index,P466,Trigger)</f>
        <v>43944</v>
      </c>
      <c r="R466" s="31">
        <f>_xll.qlInterestRateIndexMaturity(Index,Q466,Trigger)</f>
        <v>44035</v>
      </c>
      <c r="S466" s="32">
        <f>_xll.qlDayCounterYearFraction(DayCounter,Q466,R466,,,Trigger)</f>
        <v>0.25277777777777777</v>
      </c>
      <c r="T466" s="33">
        <f>_xll.qlIndexFixing(Index,P466,,AllTriggers)</f>
        <v>4.2759734733368929E-3</v>
      </c>
      <c r="U466" s="34">
        <f>_xll.qlYieldTSDiscount(OisCurve,Q466,,AllTriggers)</f>
        <v>1.0015652850931605</v>
      </c>
      <c r="V466" s="34">
        <f>_xll.qlYieldTSDiscount(OisCurve,R466,,AllTriggers)</f>
        <v>1.0009309951912637</v>
      </c>
      <c r="W466" s="33">
        <f t="shared" si="41"/>
        <v>2.5069447792441133E-3</v>
      </c>
      <c r="X466" s="35">
        <f t="shared" si="42"/>
        <v>4.4678812457522106E-4</v>
      </c>
      <c r="Y466" s="33">
        <f t="shared" si="43"/>
        <v>1.7690286940927795E-3</v>
      </c>
      <c r="Z466" s="54"/>
    </row>
    <row r="467" spans="15:26" x14ac:dyDescent="0.25">
      <c r="O467" s="37" t="s">
        <v>31</v>
      </c>
      <c r="P467" s="31">
        <f>_xll.qlCalendarAdvance(Calendar,P466,O466,"f",,Trigger)</f>
        <v>43949</v>
      </c>
      <c r="Q467" s="31">
        <f>_xll.qlInterestRateIndexValueDate(Index,P467,Trigger)</f>
        <v>43951</v>
      </c>
      <c r="R467" s="31">
        <f>_xll.qlInterestRateIndexMaturity(Index,Q467,Trigger)</f>
        <v>44043</v>
      </c>
      <c r="S467" s="32">
        <f>_xll.qlDayCounterYearFraction(DayCounter,Q467,R467,,,Trigger)</f>
        <v>0.25555555555555554</v>
      </c>
      <c r="T467" s="33">
        <f>_xll.qlIndexFixing(Index,P467,,AllTriggers)</f>
        <v>4.3017486453497556E-3</v>
      </c>
      <c r="U467" s="34">
        <f>_xll.qlYieldTSDiscount(OisCurve,Q467,,AllTriggers)</f>
        <v>1.0015198493982509</v>
      </c>
      <c r="V467" s="34">
        <f>_xll.qlYieldTSDiscount(OisCurve,R467,,AllTriggers)</f>
        <v>1.0008706482306273</v>
      </c>
      <c r="W467" s="33">
        <f t="shared" si="41"/>
        <v>2.5381425657144481E-3</v>
      </c>
      <c r="X467" s="35">
        <f t="shared" si="42"/>
        <v>4.5030577808770865E-4</v>
      </c>
      <c r="Y467" s="33">
        <f t="shared" si="43"/>
        <v>1.7636060796353075E-3</v>
      </c>
      <c r="Z467" s="54"/>
    </row>
    <row r="468" spans="15:26" x14ac:dyDescent="0.25">
      <c r="O468" s="37" t="s">
        <v>31</v>
      </c>
      <c r="P468" s="31">
        <f>_xll.qlCalendarAdvance(Calendar,P467,O467,"f",,Trigger)</f>
        <v>43956</v>
      </c>
      <c r="Q468" s="31">
        <f>_xll.qlInterestRateIndexValueDate(Index,P468,Trigger)</f>
        <v>43958</v>
      </c>
      <c r="R468" s="31">
        <f>_xll.qlInterestRateIndexMaturity(Index,Q468,Trigger)</f>
        <v>44050</v>
      </c>
      <c r="S468" s="32">
        <f>_xll.qlDayCounterYearFraction(DayCounter,Q468,R468,,,Trigger)</f>
        <v>0.25555555555555554</v>
      </c>
      <c r="T468" s="33">
        <f>_xll.qlIndexFixing(Index,P468,,AllTriggers)</f>
        <v>4.3259643601318461E-3</v>
      </c>
      <c r="U468" s="34">
        <f>_xll.qlYieldTSDiscount(OisCurve,Q468,,AllTriggers)</f>
        <v>1.001473861197238</v>
      </c>
      <c r="V468" s="34">
        <f>_xll.qlYieldTSDiscount(OisCurve,R468,,AllTriggers)</f>
        <v>1.0008172268428071</v>
      </c>
      <c r="W468" s="33">
        <f t="shared" si="41"/>
        <v>2.567340678490718E-3</v>
      </c>
      <c r="X468" s="35">
        <f t="shared" si="42"/>
        <v>4.4903054839047729E-4</v>
      </c>
      <c r="Y468" s="33">
        <f t="shared" si="43"/>
        <v>1.758623681641128E-3</v>
      </c>
      <c r="Z468" s="54"/>
    </row>
    <row r="469" spans="15:26" x14ac:dyDescent="0.25">
      <c r="O469" s="37" t="s">
        <v>31</v>
      </c>
      <c r="P469" s="31">
        <f>_xll.qlCalendarAdvance(Calendar,P468,O468,"f",,Trigger)</f>
        <v>43963</v>
      </c>
      <c r="Q469" s="31">
        <f>_xll.qlInterestRateIndexValueDate(Index,P469,Trigger)</f>
        <v>43965</v>
      </c>
      <c r="R469" s="31">
        <f>_xll.qlInterestRateIndexMaturity(Index,Q469,Trigger)</f>
        <v>44057</v>
      </c>
      <c r="S469" s="32">
        <f>_xll.qlDayCounterYearFraction(DayCounter,Q469,R469,,,Trigger)</f>
        <v>0.25555555555555554</v>
      </c>
      <c r="T469" s="33">
        <f>_xll.qlIndexFixing(Index,P469,,AllTriggers)</f>
        <v>4.350387168412807E-3</v>
      </c>
      <c r="U469" s="34">
        <f>_xll.qlYieldTSDiscount(OisCurve,Q469,,AllTriggers)</f>
        <v>1.0014273185871225</v>
      </c>
      <c r="V469" s="34">
        <f>_xll.qlYieldTSDiscount(OisCurve,R469,,AllTriggers)</f>
        <v>1.0007632269306028</v>
      </c>
      <c r="W469" s="33">
        <f t="shared" si="41"/>
        <v>2.5966377016885802E-3</v>
      </c>
      <c r="X469" s="35">
        <f t="shared" si="42"/>
        <v>4.4778294086142537E-4</v>
      </c>
      <c r="Y469" s="33">
        <f t="shared" si="43"/>
        <v>1.7537494667242267E-3</v>
      </c>
      <c r="Z469" s="54"/>
    </row>
    <row r="470" spans="15:26" x14ac:dyDescent="0.25">
      <c r="O470" s="37" t="s">
        <v>31</v>
      </c>
      <c r="P470" s="31">
        <f>_xll.qlCalendarAdvance(Calendar,P469,O469,"f",,Trigger)</f>
        <v>43970</v>
      </c>
      <c r="Q470" s="31">
        <f>_xll.qlInterestRateIndexValueDate(Index,P470,Trigger)</f>
        <v>43972</v>
      </c>
      <c r="R470" s="31">
        <f>_xll.qlInterestRateIndexMaturity(Index,Q470,Trigger)</f>
        <v>44064</v>
      </c>
      <c r="S470" s="32">
        <f>_xll.qlDayCounterYearFraction(DayCounter,Q470,R470,,,Trigger)</f>
        <v>0.25555555555555554</v>
      </c>
      <c r="T470" s="33">
        <f>_xll.qlIndexFixing(Index,P470,,AllTriggers)</f>
        <v>4.3750170740634569E-3</v>
      </c>
      <c r="U470" s="34">
        <f>_xll.qlYieldTSDiscount(OisCurve,Q470,,AllTriggers)</f>
        <v>1.0013802197249997</v>
      </c>
      <c r="V470" s="34">
        <f>_xll.qlYieldTSDiscount(OisCurve,R470,,AllTriggers)</f>
        <v>1.0007086466688575</v>
      </c>
      <c r="W470" s="33">
        <f t="shared" si="41"/>
        <v>2.6260336375236535E-3</v>
      </c>
      <c r="X470" s="35">
        <f t="shared" si="42"/>
        <v>4.4656295550095723E-4</v>
      </c>
      <c r="Y470" s="33">
        <f t="shared" si="43"/>
        <v>1.7489834365398034E-3</v>
      </c>
      <c r="Z470" s="54"/>
    </row>
    <row r="471" spans="15:26" x14ac:dyDescent="0.25">
      <c r="O471" s="37" t="s">
        <v>31</v>
      </c>
      <c r="P471" s="31">
        <f>_xll.qlCalendarAdvance(Calendar,P470,O470,"f",,Trigger)</f>
        <v>43977</v>
      </c>
      <c r="Q471" s="31">
        <f>_xll.qlInterestRateIndexValueDate(Index,P471,Trigger)</f>
        <v>43979</v>
      </c>
      <c r="R471" s="31">
        <f>_xll.qlInterestRateIndexMaturity(Index,Q471,Trigger)</f>
        <v>44071</v>
      </c>
      <c r="S471" s="32">
        <f>_xll.qlDayCounterYearFraction(DayCounter,Q471,R471,,,Trigger)</f>
        <v>0.25555555555555554</v>
      </c>
      <c r="T471" s="33">
        <f>_xll.qlIndexFixing(Index,P471,,AllTriggers)</f>
        <v>4.3998540809884962E-3</v>
      </c>
      <c r="U471" s="34">
        <f>_xll.qlYieldTSDiscount(OisCurve,Q471,,AllTriggers)</f>
        <v>1.0013325627692515</v>
      </c>
      <c r="V471" s="34">
        <f>_xll.qlYieldTSDiscount(OisCurve,R471,,AllTriggers)</f>
        <v>1.0006534842338395</v>
      </c>
      <c r="W471" s="33">
        <f t="shared" si="41"/>
        <v>2.6555284882211149E-3</v>
      </c>
      <c r="X471" s="35">
        <f t="shared" si="42"/>
        <v>4.4537059230896359E-4</v>
      </c>
      <c r="Y471" s="33">
        <f t="shared" si="43"/>
        <v>1.7443255927673813E-3</v>
      </c>
      <c r="Z471" s="54"/>
    </row>
    <row r="472" spans="15:26" x14ac:dyDescent="0.25">
      <c r="O472" s="37" t="s">
        <v>31</v>
      </c>
      <c r="P472" s="31">
        <f>_xll.qlCalendarAdvance(Calendar,P471,O471,"f",,Trigger)</f>
        <v>43984</v>
      </c>
      <c r="Q472" s="31">
        <f>_xll.qlInterestRateIndexValueDate(Index,P472,Trigger)</f>
        <v>43986</v>
      </c>
      <c r="R472" s="31">
        <f>_xll.qlInterestRateIndexMaturity(Index,Q472,Trigger)</f>
        <v>44078</v>
      </c>
      <c r="S472" s="32">
        <f>_xll.qlDayCounterYearFraction(DayCounter,Q472,R472,,,Trigger)</f>
        <v>0.25555555555555554</v>
      </c>
      <c r="T472" s="33">
        <f>_xll.qlIndexFixing(Index,P472,,AllTriggers)</f>
        <v>4.4248981931247783E-3</v>
      </c>
      <c r="U472" s="34">
        <f>_xll.qlYieldTSDiscount(OisCurve,Q472,,AllTriggers)</f>
        <v>1.0012843458795562</v>
      </c>
      <c r="V472" s="34">
        <f>_xll.qlYieldTSDiscount(OisCurve,R472,,AllTriggers)</f>
        <v>1.0005977378032547</v>
      </c>
      <c r="W472" s="33">
        <f t="shared" si="41"/>
        <v>2.6851222560139603E-3</v>
      </c>
      <c r="X472" s="35">
        <f t="shared" si="42"/>
        <v>4.4420585128482148E-4</v>
      </c>
      <c r="Y472" s="33">
        <f t="shared" si="43"/>
        <v>1.739775937110818E-3</v>
      </c>
      <c r="Z472" s="54"/>
    </row>
    <row r="473" spans="15:26" x14ac:dyDescent="0.25">
      <c r="O473" s="37" t="s">
        <v>31</v>
      </c>
      <c r="P473" s="31">
        <f>_xll.qlCalendarAdvance(Calendar,P472,O472,"f",,Trigger)</f>
        <v>43991</v>
      </c>
      <c r="Q473" s="31">
        <f>_xll.qlInterestRateIndexValueDate(Index,P473,Trigger)</f>
        <v>43993</v>
      </c>
      <c r="R473" s="31">
        <f>_xll.qlInterestRateIndexMaturity(Index,Q473,Trigger)</f>
        <v>44085</v>
      </c>
      <c r="S473" s="32">
        <f>_xll.qlDayCounterYearFraction(DayCounter,Q473,R473,,,Trigger)</f>
        <v>0.25555555555555554</v>
      </c>
      <c r="T473" s="33">
        <f>_xll.qlIndexFixing(Index,P473,,AllTriggers)</f>
        <v>4.4501494144430376E-3</v>
      </c>
      <c r="U473" s="34">
        <f>_xll.qlYieldTSDiscount(OisCurve,Q473,,AllTriggers)</f>
        <v>1.0012355672168984</v>
      </c>
      <c r="V473" s="34">
        <f>_xll.qlYieldTSDiscount(OisCurve,R473,,AllTriggers)</f>
        <v>1.0005414055562563</v>
      </c>
      <c r="W473" s="33">
        <f t="shared" si="41"/>
        <v>2.7148149431403994E-3</v>
      </c>
      <c r="X473" s="35">
        <f t="shared" si="42"/>
        <v>4.430687324291698E-4</v>
      </c>
      <c r="Y473" s="33">
        <f t="shared" si="43"/>
        <v>1.7353344713026382E-3</v>
      </c>
      <c r="Z473" s="54"/>
    </row>
    <row r="474" spans="15:26" x14ac:dyDescent="0.25">
      <c r="O474" s="37" t="s">
        <v>31</v>
      </c>
      <c r="P474" s="31">
        <f>_xll.qlCalendarAdvance(Calendar,P473,O473,"f",,Trigger)</f>
        <v>43998</v>
      </c>
      <c r="Q474" s="31">
        <f>_xll.qlInterestRateIndexValueDate(Index,P474,Trigger)</f>
        <v>44000</v>
      </c>
      <c r="R474" s="31">
        <f>_xll.qlInterestRateIndexMaturity(Index,Q474,Trigger)</f>
        <v>44092</v>
      </c>
      <c r="S474" s="32">
        <f>_xll.qlDayCounterYearFraction(DayCounter,Q474,R474,,,Trigger)</f>
        <v>0.25555555555555554</v>
      </c>
      <c r="T474" s="33">
        <f>_xll.qlIndexFixing(Index,P474,,AllTriggers)</f>
        <v>4.4756077489452924E-3</v>
      </c>
      <c r="U474" s="34">
        <f>_xll.qlYieldTSDiscount(OisCurve,Q474,,AllTriggers)</f>
        <v>1.0011862249435812</v>
      </c>
      <c r="V474" s="34">
        <f>_xll.qlYieldTSDiscount(OisCurve,R474,,AllTriggers)</f>
        <v>1.0004844856734565</v>
      </c>
      <c r="W474" s="33">
        <f t="shared" si="41"/>
        <v>2.744606551847331E-3</v>
      </c>
      <c r="X474" s="35">
        <f t="shared" si="42"/>
        <v>4.4195923574191201E-4</v>
      </c>
      <c r="Y474" s="33">
        <f t="shared" si="43"/>
        <v>1.7310011970979615E-3</v>
      </c>
      <c r="Z474" s="54"/>
    </row>
    <row r="475" spans="15:26" x14ac:dyDescent="0.25">
      <c r="O475" s="37" t="s">
        <v>31</v>
      </c>
      <c r="P475" s="31">
        <f>_xll.qlCalendarAdvance(Calendar,P474,O474,"f",,Trigger)</f>
        <v>44005</v>
      </c>
      <c r="Q475" s="31">
        <f>_xll.qlInterestRateIndexValueDate(Index,P475,Trigger)</f>
        <v>44007</v>
      </c>
      <c r="R475" s="31">
        <f>_xll.qlInterestRateIndexMaturity(Index,Q475,Trigger)</f>
        <v>44099</v>
      </c>
      <c r="S475" s="32">
        <f>_xll.qlDayCounterYearFraction(DayCounter,Q475,R475,,,Trigger)</f>
        <v>0.25555555555555554</v>
      </c>
      <c r="T475" s="33">
        <f>_xll.qlIndexFixing(Index,P475,,AllTriggers)</f>
        <v>4.5012732006665746E-3</v>
      </c>
      <c r="U475" s="34">
        <f>_xll.qlYieldTSDiscount(OisCurve,Q475,,AllTriggers)</f>
        <v>1.0011363172232357</v>
      </c>
      <c r="V475" s="34">
        <f>_xll.qlYieldTSDiscount(OisCurve,R475,,AllTriggers)</f>
        <v>1.0004269763369378</v>
      </c>
      <c r="W475" s="33">
        <f t="shared" si="41"/>
        <v>2.7744970843903418E-3</v>
      </c>
      <c r="X475" s="35">
        <f t="shared" si="42"/>
        <v>4.4087736122243803E-4</v>
      </c>
      <c r="Y475" s="33">
        <f t="shared" si="43"/>
        <v>1.7267761162762327E-3</v>
      </c>
      <c r="Z475" s="54"/>
    </row>
    <row r="476" spans="15:26" x14ac:dyDescent="0.25">
      <c r="O476" s="37" t="s">
        <v>31</v>
      </c>
      <c r="P476" s="31">
        <f>_xll.qlCalendarAdvance(Calendar,P475,O475,"f",,Trigger)</f>
        <v>44012</v>
      </c>
      <c r="Q476" s="31">
        <f>_xll.qlInterestRateIndexValueDate(Index,P476,Trigger)</f>
        <v>44014</v>
      </c>
      <c r="R476" s="31">
        <f>_xll.qlInterestRateIndexMaturity(Index,Q476,Trigger)</f>
        <v>44106</v>
      </c>
      <c r="S476" s="32">
        <f>_xll.qlDayCounterYearFraction(DayCounter,Q476,R476,,,Trigger)</f>
        <v>0.25555555555555554</v>
      </c>
      <c r="T476" s="33">
        <f>_xll.qlIndexFixing(Index,P476,,AllTriggers)</f>
        <v>4.5271457736775411E-3</v>
      </c>
      <c r="U476" s="34">
        <f>_xll.qlYieldTSDiscount(OisCurve,Q476,,AllTriggers)</f>
        <v>1.0010858422208311</v>
      </c>
      <c r="V476" s="34">
        <f>_xll.qlYieldTSDiscount(OisCurve,R476,,AllTriggers)</f>
        <v>1.0003688757302622</v>
      </c>
      <c r="W476" s="33">
        <f t="shared" si="41"/>
        <v>2.804486543030232E-3</v>
      </c>
      <c r="X476" s="35">
        <f t="shared" si="42"/>
        <v>4.3982310887139963E-4</v>
      </c>
      <c r="Y476" s="33">
        <f t="shared" si="43"/>
        <v>1.7226592306473091E-3</v>
      </c>
      <c r="Z476" s="54"/>
    </row>
    <row r="477" spans="15:26" x14ac:dyDescent="0.25">
      <c r="O477" s="37" t="s">
        <v>31</v>
      </c>
      <c r="P477" s="31">
        <f>_xll.qlCalendarAdvance(Calendar,P476,O476,"f",,Trigger)</f>
        <v>44019</v>
      </c>
      <c r="Q477" s="31">
        <f>_xll.qlInterestRateIndexValueDate(Index,P477,Trigger)</f>
        <v>44021</v>
      </c>
      <c r="R477" s="31">
        <f>_xll.qlInterestRateIndexMaturity(Index,Q477,Trigger)</f>
        <v>44113</v>
      </c>
      <c r="S477" s="32">
        <f>_xll.qlDayCounterYearFraction(DayCounter,Q477,R477,,,Trigger)</f>
        <v>0.25555555555555554</v>
      </c>
      <c r="T477" s="33">
        <f>_xll.qlIndexFixing(Index,P477,,AllTriggers)</f>
        <v>4.5532254720783904E-3</v>
      </c>
      <c r="U477" s="34">
        <f>_xll.qlYieldTSDiscount(OisCurve,Q477,,AllTriggers)</f>
        <v>1.0010347981026864</v>
      </c>
      <c r="V477" s="34">
        <f>_xll.qlYieldTSDiscount(OisCurve,R477,,AllTriggers)</f>
        <v>1.0003101820384852</v>
      </c>
      <c r="W477" s="33">
        <f t="shared" si="41"/>
        <v>2.8345749300356217E-3</v>
      </c>
      <c r="X477" s="35">
        <f t="shared" si="42"/>
        <v>4.3879647868893509E-4</v>
      </c>
      <c r="Y477" s="33">
        <f t="shared" si="43"/>
        <v>1.7186505420427687E-3</v>
      </c>
      <c r="Z477" s="54"/>
    </row>
    <row r="478" spans="15:26" x14ac:dyDescent="0.25">
      <c r="O478" s="37" t="s">
        <v>31</v>
      </c>
      <c r="P478" s="31">
        <f>_xll.qlCalendarAdvance(Calendar,P477,O477,"f",,Trigger)</f>
        <v>44026</v>
      </c>
      <c r="Q478" s="31">
        <f>_xll.qlInterestRateIndexValueDate(Index,P478,Trigger)</f>
        <v>44028</v>
      </c>
      <c r="R478" s="31">
        <f>_xll.qlInterestRateIndexMaturity(Index,Q478,Trigger)</f>
        <v>44120</v>
      </c>
      <c r="S478" s="32">
        <f>_xll.qlDayCounterYearFraction(DayCounter,Q478,R478,,,Trigger)</f>
        <v>0.25555555555555554</v>
      </c>
      <c r="T478" s="33">
        <f>_xll.qlIndexFixing(Index,P478,,AllTriggers)</f>
        <v>4.5795123000032072E-3</v>
      </c>
      <c r="U478" s="34">
        <f>_xll.qlYieldTSDiscount(OisCurve,Q478,,AllTriggers)</f>
        <v>1.0009831830364808</v>
      </c>
      <c r="V478" s="34">
        <f>_xll.qlYieldTSDiscount(OisCurve,R478,,AllTriggers)</f>
        <v>1.0002508934481635</v>
      </c>
      <c r="W478" s="33">
        <f t="shared" si="41"/>
        <v>2.8647622476846882E-3</v>
      </c>
      <c r="X478" s="35">
        <f t="shared" si="42"/>
        <v>4.3779747067466918E-4</v>
      </c>
      <c r="Y478" s="33">
        <f t="shared" si="43"/>
        <v>1.714750052318519E-3</v>
      </c>
      <c r="Z478" s="54"/>
    </row>
    <row r="479" spans="15:26" x14ac:dyDescent="0.25">
      <c r="O479" s="37" t="s">
        <v>31</v>
      </c>
      <c r="P479" s="31">
        <f>_xll.qlCalendarAdvance(Calendar,P478,O478,"f",,Trigger)</f>
        <v>44033</v>
      </c>
      <c r="Q479" s="31">
        <f>_xll.qlInterestRateIndexValueDate(Index,P479,Trigger)</f>
        <v>44035</v>
      </c>
      <c r="R479" s="31">
        <f>_xll.qlInterestRateIndexMaturity(Index,Q479,Trigger)</f>
        <v>44127</v>
      </c>
      <c r="S479" s="32">
        <f>_xll.qlDayCounterYearFraction(DayCounter,Q479,R479,,,Trigger)</f>
        <v>0.25555555555555554</v>
      </c>
      <c r="T479" s="33">
        <f>_xll.qlIndexFixing(Index,P479,,AllTriggers)</f>
        <v>4.6060062616199611E-3</v>
      </c>
      <c r="U479" s="34">
        <f>_xll.qlYieldTSDiscount(OisCurve,Q479,,AllTriggers)</f>
        <v>1.0009309951912637</v>
      </c>
      <c r="V479" s="34">
        <f>_xll.qlYieldTSDiscount(OisCurve,R479,,AllTriggers)</f>
        <v>1.0001910081473684</v>
      </c>
      <c r="W479" s="33">
        <f t="shared" si="41"/>
        <v>2.8950484982616922E-3</v>
      </c>
      <c r="X479" s="35">
        <f t="shared" si="42"/>
        <v>4.368260848288227E-4</v>
      </c>
      <c r="Y479" s="33">
        <f t="shared" si="43"/>
        <v>1.7109577633582689E-3</v>
      </c>
      <c r="Z479" s="54"/>
    </row>
    <row r="480" spans="15:26" x14ac:dyDescent="0.25">
      <c r="O480" s="37" t="s">
        <v>31</v>
      </c>
      <c r="P480" s="31">
        <f>_xll.qlCalendarAdvance(Calendar,P479,O479,"f",,Trigger)</f>
        <v>44040</v>
      </c>
      <c r="Q480" s="31">
        <f>_xll.qlInterestRateIndexValueDate(Index,P480,Trigger)</f>
        <v>44042</v>
      </c>
      <c r="R480" s="31">
        <f>_xll.qlInterestRateIndexMaturity(Index,Q480,Trigger)</f>
        <v>44134</v>
      </c>
      <c r="S480" s="32">
        <f>_xll.qlDayCounterYearFraction(DayCounter,Q480,R480,,,Trigger)</f>
        <v>0.25555555555555554</v>
      </c>
      <c r="T480" s="33">
        <f>_xll.qlIndexFixing(Index,P480,,AllTriggers)</f>
        <v>4.6327073611279026E-3</v>
      </c>
      <c r="U480" s="34">
        <f>_xll.qlYieldTSDiscount(OisCurve,Q480,,AllTriggers)</f>
        <v>1.0008782327374663</v>
      </c>
      <c r="V480" s="34">
        <f>_xll.qlYieldTSDiscount(OisCurve,R480,,AllTriggers)</f>
        <v>1.0001305243256959</v>
      </c>
      <c r="W480" s="33">
        <f t="shared" si="41"/>
        <v>2.925433684059581E-3</v>
      </c>
      <c r="X480" s="35">
        <f t="shared" si="42"/>
        <v>4.3588232115065919E-4</v>
      </c>
      <c r="Y480" s="33">
        <f t="shared" si="43"/>
        <v>1.7072736770683216E-3</v>
      </c>
      <c r="Z480" s="54"/>
    </row>
    <row r="481" spans="15:26" x14ac:dyDescent="0.25">
      <c r="O481" s="37" t="s">
        <v>31</v>
      </c>
      <c r="P481" s="31">
        <f>_xll.qlCalendarAdvance(Calendar,P480,O480,"f",,Trigger)</f>
        <v>44047</v>
      </c>
      <c r="Q481" s="31">
        <f>_xll.qlInterestRateIndexValueDate(Index,P481,Trigger)</f>
        <v>44049</v>
      </c>
      <c r="R481" s="31">
        <f>_xll.qlInterestRateIndexMaturity(Index,Q481,Trigger)</f>
        <v>44141</v>
      </c>
      <c r="S481" s="32">
        <f>_xll.qlDayCounterYearFraction(DayCounter,Q481,R481,,,Trigger)</f>
        <v>0.25555555555555554</v>
      </c>
      <c r="T481" s="33">
        <f>_xll.qlIndexFixing(Index,P481,,AllTriggers)</f>
        <v>4.6596156027601671E-3</v>
      </c>
      <c r="U481" s="34">
        <f>_xll.qlYieldTSDiscount(OisCurve,Q481,,AllTriggers)</f>
        <v>1.0008248938469118</v>
      </c>
      <c r="V481" s="34">
        <f>_xll.qlYieldTSDiscount(OisCurve,R481,,AllTriggers)</f>
        <v>1.0000694401742789</v>
      </c>
      <c r="W481" s="33">
        <f t="shared" si="41"/>
        <v>2.9559178073765174E-3</v>
      </c>
      <c r="X481" s="35">
        <f t="shared" si="42"/>
        <v>4.3496617964092611E-4</v>
      </c>
      <c r="Y481" s="33">
        <f t="shared" si="43"/>
        <v>1.7036977953836497E-3</v>
      </c>
      <c r="Z481" s="54"/>
    </row>
    <row r="482" spans="15:26" x14ac:dyDescent="0.25">
      <c r="O482" s="37" t="s">
        <v>31</v>
      </c>
      <c r="P482" s="31">
        <f>_xll.qlCalendarAdvance(Calendar,P481,O481,"f",,Trigger)</f>
        <v>44054</v>
      </c>
      <c r="Q482" s="31">
        <f>_xll.qlInterestRateIndexValueDate(Index,P482,Trigger)</f>
        <v>44056</v>
      </c>
      <c r="R482" s="31">
        <f>_xll.qlInterestRateIndexMaturity(Index,Q482,Trigger)</f>
        <v>44148</v>
      </c>
      <c r="S482" s="32">
        <f>_xll.qlDayCounterYearFraction(DayCounter,Q482,R482,,,Trigger)</f>
        <v>0.25555555555555554</v>
      </c>
      <c r="T482" s="33">
        <f>_xll.qlIndexFixing(Index,P482,,AllTriggers)</f>
        <v>4.6867309907829063E-3</v>
      </c>
      <c r="U482" s="34">
        <f>_xll.qlYieldTSDiscount(OisCurve,Q482,,AllTriggers)</f>
        <v>1.0007709766928257</v>
      </c>
      <c r="V482" s="34">
        <f>_xll.qlYieldTSDiscount(OisCurve,R482,,AllTriggers)</f>
        <v>1.0000077538857965</v>
      </c>
      <c r="W482" s="33">
        <f t="shared" si="41"/>
        <v>2.986500870518482E-3</v>
      </c>
      <c r="X482" s="35">
        <f t="shared" si="42"/>
        <v>4.3407766029985743E-4</v>
      </c>
      <c r="Y482" s="33">
        <f t="shared" si="43"/>
        <v>1.7002301202644243E-3</v>
      </c>
      <c r="Z482" s="54"/>
    </row>
    <row r="483" spans="15:26" x14ac:dyDescent="0.25">
      <c r="O483" s="37" t="s">
        <v>31</v>
      </c>
      <c r="P483" s="31">
        <f>_xll.qlCalendarAdvance(Calendar,P482,O482,"f",,Trigger)</f>
        <v>44061</v>
      </c>
      <c r="Q483" s="31">
        <f>_xll.qlInterestRateIndexValueDate(Index,P483,Trigger)</f>
        <v>44063</v>
      </c>
      <c r="R483" s="31">
        <f>_xll.qlInterestRateIndexMaturity(Index,Q483,Trigger)</f>
        <v>44155</v>
      </c>
      <c r="S483" s="32">
        <f>_xll.qlDayCounterYearFraction(DayCounter,Q483,R483,,,Trigger)</f>
        <v>0.25555555555555554</v>
      </c>
      <c r="T483" s="33">
        <f>_xll.qlIndexFixing(Index,P483,,AllTriggers)</f>
        <v>4.7140535294935542E-3</v>
      </c>
      <c r="U483" s="34">
        <f>_xll.qlYieldTSDiscount(OisCurve,Q483,,AllTriggers)</f>
        <v>1.0007164794498478</v>
      </c>
      <c r="V483" s="34">
        <f>_xll.qlYieldTSDiscount(OisCurve,R483,,AllTriggers)</f>
        <v>0.99994546365448722</v>
      </c>
      <c r="W483" s="33">
        <f t="shared" si="41"/>
        <v>3.0171828757992762E-3</v>
      </c>
      <c r="X483" s="35">
        <f t="shared" si="42"/>
        <v>4.3321676312717364E-4</v>
      </c>
      <c r="Y483" s="33">
        <f t="shared" si="43"/>
        <v>1.696870653694278E-3</v>
      </c>
      <c r="Z483" s="54"/>
    </row>
    <row r="484" spans="15:26" x14ac:dyDescent="0.25">
      <c r="O484" s="37" t="s">
        <v>31</v>
      </c>
      <c r="P484" s="31">
        <f>_xll.qlCalendarAdvance(Calendar,P483,O483,"f",,Trigger)</f>
        <v>44068</v>
      </c>
      <c r="Q484" s="31">
        <f>_xll.qlInterestRateIndexValueDate(Index,P484,Trigger)</f>
        <v>44070</v>
      </c>
      <c r="R484" s="31">
        <f>_xll.qlInterestRateIndexMaturity(Index,Q484,Trigger)</f>
        <v>44162</v>
      </c>
      <c r="S484" s="32">
        <f>_xll.qlDayCounterYearFraction(DayCounter,Q484,R484,,,Trigger)</f>
        <v>0.25555555555555554</v>
      </c>
      <c r="T484" s="33">
        <f>_xll.qlIndexFixing(Index,P484,,AllTriggers)</f>
        <v>4.7415832232242956E-3</v>
      </c>
      <c r="U484" s="34">
        <f>_xll.qlYieldTSDiscount(OisCurve,Q484,,AllTriggers)</f>
        <v>1.000661400294043</v>
      </c>
      <c r="V484" s="34">
        <f>_xll.qlYieldTSDiscount(OisCurve,R484,,AllTriggers)</f>
        <v>0.99988256767615857</v>
      </c>
      <c r="W484" s="33">
        <f t="shared" si="41"/>
        <v>3.0479638255448659E-3</v>
      </c>
      <c r="X484" s="35">
        <f t="shared" si="42"/>
        <v>4.3238348812208165E-4</v>
      </c>
      <c r="Y484" s="33">
        <f t="shared" si="43"/>
        <v>1.6936193976794297E-3</v>
      </c>
      <c r="Z484" s="54"/>
    </row>
    <row r="485" spans="15:26" x14ac:dyDescent="0.25">
      <c r="O485" s="37" t="s">
        <v>31</v>
      </c>
      <c r="P485" s="31">
        <f>_xll.qlCalendarAdvance(Calendar,P484,O484,"f",,Trigger)</f>
        <v>44075</v>
      </c>
      <c r="Q485" s="31">
        <f>_xll.qlInterestRateIndexValueDate(Index,P485,Trigger)</f>
        <v>44077</v>
      </c>
      <c r="R485" s="31">
        <f>_xll.qlInterestRateIndexMaturity(Index,Q485,Trigger)</f>
        <v>44168</v>
      </c>
      <c r="S485" s="32">
        <f>_xll.qlDayCounterYearFraction(DayCounter,Q485,R485,,,Trigger)</f>
        <v>0.25277777777777777</v>
      </c>
      <c r="T485" s="33">
        <f>_xll.qlIndexFixing(Index,P485,,AllTriggers)</f>
        <v>4.7672682434199577E-3</v>
      </c>
      <c r="U485" s="34">
        <f>_xll.qlYieldTSDiscount(OisCurve,Q485,,AllTriggers)</f>
        <v>1.0006057374029105</v>
      </c>
      <c r="V485" s="34">
        <f>_xll.qlYieldTSDiscount(OisCurve,R485,,AllTriggers)</f>
        <v>0.99982817334595875</v>
      </c>
      <c r="W485" s="33">
        <f t="shared" si="41"/>
        <v>3.0766062308949351E-3</v>
      </c>
      <c r="X485" s="35">
        <f t="shared" si="42"/>
        <v>4.2693853527234492E-4</v>
      </c>
      <c r="Y485" s="33">
        <f t="shared" si="43"/>
        <v>1.6906620125250226E-3</v>
      </c>
      <c r="Z485" s="54"/>
    </row>
    <row r="486" spans="15:26" x14ac:dyDescent="0.25">
      <c r="O486" s="37" t="s">
        <v>31</v>
      </c>
      <c r="P486" s="31">
        <f>_xll.qlCalendarAdvance(Calendar,P485,O485,"f",,Trigger)</f>
        <v>44082</v>
      </c>
      <c r="Q486" s="31">
        <f>_xll.qlInterestRateIndexValueDate(Index,P486,Trigger)</f>
        <v>44084</v>
      </c>
      <c r="R486" s="31">
        <f>_xll.qlInterestRateIndexMaturity(Index,Q486,Trigger)</f>
        <v>44175</v>
      </c>
      <c r="S486" s="32">
        <f>_xll.qlDayCounterYearFraction(DayCounter,Q486,R486,,,Trigger)</f>
        <v>0.25277777777777777</v>
      </c>
      <c r="T486" s="33">
        <f>_xll.qlIndexFixing(Index,P486,,AllTriggers)</f>
        <v>4.7951970918205218E-3</v>
      </c>
      <c r="U486" s="34">
        <f>_xll.qlYieldTSDiscount(OisCurve,Q486,,AllTriggers)</f>
        <v>1.0005494889553963</v>
      </c>
      <c r="V486" s="34">
        <f>_xll.qlYieldTSDiscount(OisCurve,R486,,AllTriggers)</f>
        <v>0.99976414762764887</v>
      </c>
      <c r="W486" s="33">
        <f t="shared" si="41"/>
        <v>3.1075777426492969E-3</v>
      </c>
      <c r="X486" s="35">
        <f t="shared" si="42"/>
        <v>4.2616700989299959E-4</v>
      </c>
      <c r="Y486" s="33">
        <f t="shared" si="43"/>
        <v>1.6876193491712249E-3</v>
      </c>
      <c r="Z486" s="54"/>
    </row>
    <row r="487" spans="15:26" x14ac:dyDescent="0.25">
      <c r="O487" s="37" t="s">
        <v>31</v>
      </c>
      <c r="P487" s="31">
        <f>_xll.qlCalendarAdvance(Calendar,P486,O486,"f",,Trigger)</f>
        <v>44089</v>
      </c>
      <c r="Q487" s="31">
        <f>_xll.qlInterestRateIndexValueDate(Index,P487,Trigger)</f>
        <v>44091</v>
      </c>
      <c r="R487" s="31">
        <f>_xll.qlInterestRateIndexMaturity(Index,Q487,Trigger)</f>
        <v>44182</v>
      </c>
      <c r="S487" s="32">
        <f>_xll.qlDayCounterYearFraction(DayCounter,Q487,R487,,,Trigger)</f>
        <v>0.25277777777777777</v>
      </c>
      <c r="T487" s="33">
        <f>_xll.qlIndexFixing(Index,P487,,AllTriggers)</f>
        <v>4.8233331031751307E-3</v>
      </c>
      <c r="U487" s="34">
        <f>_xll.qlYieldTSDiscount(OisCurve,Q487,,AllTriggers)</f>
        <v>1.0004926531319038</v>
      </c>
      <c r="V487" s="34">
        <f>_xll.qlYieldTSDiscount(OisCurve,R487,,AllTriggers)</f>
        <v>0.99969951101623489</v>
      </c>
      <c r="W487" s="33">
        <f t="shared" si="41"/>
        <v>3.1386482021846162E-3</v>
      </c>
      <c r="X487" s="35">
        <f t="shared" si="42"/>
        <v>4.2542280644073494E-4</v>
      </c>
      <c r="Y487" s="33">
        <f t="shared" si="43"/>
        <v>1.6846849009905145E-3</v>
      </c>
      <c r="Z487" s="54"/>
    </row>
    <row r="488" spans="15:26" x14ac:dyDescent="0.25">
      <c r="O488" s="37" t="s">
        <v>31</v>
      </c>
      <c r="P488" s="31">
        <f>_xll.qlCalendarAdvance(Calendar,P487,O487,"f",,Trigger)</f>
        <v>44096</v>
      </c>
      <c r="Q488" s="31">
        <f>_xll.qlInterestRateIndexValueDate(Index,P488,Trigger)</f>
        <v>44098</v>
      </c>
      <c r="R488" s="31">
        <f>_xll.qlInterestRateIndexMaturity(Index,Q488,Trigger)</f>
        <v>44189</v>
      </c>
      <c r="S488" s="32">
        <f>_xll.qlDayCounterYearFraction(DayCounter,Q488,R488,,,Trigger)</f>
        <v>0.25277777777777777</v>
      </c>
      <c r="T488" s="33">
        <f>_xll.qlIndexFixing(Index,P488,,AllTriggers)</f>
        <v>4.8516762818960786E-3</v>
      </c>
      <c r="U488" s="34">
        <f>_xll.qlYieldTSDiscount(OisCurve,Q488,,AllTriggers)</f>
        <v>1.0004352281143043</v>
      </c>
      <c r="V488" s="34">
        <f>_xll.qlYieldTSDiscount(OisCurve,R488,,AllTriggers)</f>
        <v>0.9996342617136853</v>
      </c>
      <c r="W488" s="33">
        <f t="shared" si="41"/>
        <v>3.1698176118243097E-3</v>
      </c>
      <c r="X488" s="35">
        <f t="shared" si="42"/>
        <v>4.2470592491618021E-4</v>
      </c>
      <c r="Y488" s="33">
        <f t="shared" si="43"/>
        <v>1.681858670071769E-3</v>
      </c>
      <c r="Z488" s="54"/>
    </row>
    <row r="489" spans="15:26" x14ac:dyDescent="0.25">
      <c r="O489" s="37" t="s">
        <v>31</v>
      </c>
      <c r="P489" s="31">
        <f>_xll.qlCalendarAdvance(Calendar,P488,O488,"f",,Trigger)</f>
        <v>44103</v>
      </c>
      <c r="Q489" s="31">
        <f>_xll.qlInterestRateIndexValueDate(Index,P489,Trigger)</f>
        <v>44105</v>
      </c>
      <c r="R489" s="31">
        <f>_xll.qlInterestRateIndexMaturity(Index,Q489,Trigger)</f>
        <v>44200</v>
      </c>
      <c r="S489" s="32">
        <f>_xll.qlDayCounterYearFraction(DayCounter,Q489,R489,,,Trigger)</f>
        <v>0.2638888888888889</v>
      </c>
      <c r="T489" s="33">
        <f>_xll.qlIndexFixing(Index,P489,,AllTriggers)</f>
        <v>4.8886855820026685E-3</v>
      </c>
      <c r="U489" s="34">
        <f>_xll.qlYieldTSDiscount(OisCurve,Q489,,AllTriggers)</f>
        <v>1.0003772120859482</v>
      </c>
      <c r="V489" s="34">
        <f>_xll.qlYieldTSDiscount(OisCurve,R489,,AllTriggers)</f>
        <v>0.99953048488897767</v>
      </c>
      <c r="W489" s="33">
        <f t="shared" si="41"/>
        <v>3.2101576481498961E-3</v>
      </c>
      <c r="X489" s="35">
        <f t="shared" si="42"/>
        <v>4.4247205418635686E-4</v>
      </c>
      <c r="Y489" s="33">
        <f t="shared" si="43"/>
        <v>1.6785279338527724E-3</v>
      </c>
      <c r="Z489" s="54"/>
    </row>
    <row r="490" spans="15:26" x14ac:dyDescent="0.25">
      <c r="O490" s="37" t="s">
        <v>31</v>
      </c>
      <c r="P490" s="31">
        <f>_xll.qlCalendarAdvance(Calendar,P489,O489,"f",,Trigger)</f>
        <v>44110</v>
      </c>
      <c r="Q490" s="31">
        <f>_xll.qlInterestRateIndexValueDate(Index,P490,Trigger)</f>
        <v>44112</v>
      </c>
      <c r="R490" s="31">
        <f>_xll.qlInterestRateIndexMaturity(Index,Q490,Trigger)</f>
        <v>44204</v>
      </c>
      <c r="S490" s="32">
        <f>_xll.qlDayCounterYearFraction(DayCounter,Q490,R490,,,Trigger)</f>
        <v>0.25555555555555554</v>
      </c>
      <c r="T490" s="33">
        <f>_xll.qlIndexFixing(Index,P490,,AllTriggers)</f>
        <v>4.9111118877299062E-3</v>
      </c>
      <c r="U490" s="34">
        <f>_xll.qlYieldTSDiscount(OisCurve,Q490,,AllTriggers)</f>
        <v>1.0003186032316764</v>
      </c>
      <c r="V490" s="34">
        <f>_xll.qlYieldTSDiscount(OisCurve,R490,,AllTriggers)</f>
        <v>0.9994923702846481</v>
      </c>
      <c r="W490" s="33">
        <f t="shared" si="41"/>
        <v>3.234727488687434E-3</v>
      </c>
      <c r="X490" s="35">
        <f t="shared" si="42"/>
        <v>4.279639036272517E-4</v>
      </c>
      <c r="Y490" s="33">
        <f t="shared" si="43"/>
        <v>1.6763843990424722E-3</v>
      </c>
      <c r="Z490" s="54"/>
    </row>
    <row r="491" spans="15:26" x14ac:dyDescent="0.25">
      <c r="O491" s="37" t="s">
        <v>31</v>
      </c>
      <c r="P491" s="31">
        <f>_xll.qlCalendarAdvance(Calendar,P490,O490,"f",,Trigger)</f>
        <v>44117</v>
      </c>
      <c r="Q491" s="31">
        <f>_xll.qlInterestRateIndexValueDate(Index,P491,Trigger)</f>
        <v>44119</v>
      </c>
      <c r="R491" s="31">
        <f>_xll.qlInterestRateIndexMaturity(Index,Q491,Trigger)</f>
        <v>44211</v>
      </c>
      <c r="S491" s="32">
        <f>_xll.qlDayCounterYearFraction(DayCounter,Q491,R491,,,Trigger)</f>
        <v>0.25555555555555554</v>
      </c>
      <c r="T491" s="33">
        <f>_xll.qlIndexFixing(Index,P491,,AllTriggers)</f>
        <v>4.9400917906412163E-3</v>
      </c>
      <c r="U491" s="34">
        <f>_xll.qlYieldTSDiscount(OisCurve,Q491,,AllTriggers)</f>
        <v>1.0002593997378311</v>
      </c>
      <c r="V491" s="34">
        <f>_xll.qlYieldTSDiscount(OisCurve,R491,,AllTriggers)</f>
        <v>0.99942518369403133</v>
      </c>
      <c r="W491" s="33">
        <f t="shared" si="41"/>
        <v>3.266201115310619E-3</v>
      </c>
      <c r="X491" s="35">
        <f t="shared" si="42"/>
        <v>4.2732398380032383E-4</v>
      </c>
      <c r="Y491" s="33">
        <f t="shared" si="43"/>
        <v>1.6738906753305974E-3</v>
      </c>
      <c r="Z491" s="54"/>
    </row>
    <row r="492" spans="15:26" x14ac:dyDescent="0.25">
      <c r="O492" s="37" t="s">
        <v>31</v>
      </c>
      <c r="P492" s="31">
        <f>_xll.qlCalendarAdvance(Calendar,P491,O491,"f",,Trigger)</f>
        <v>44124</v>
      </c>
      <c r="Q492" s="31">
        <f>_xll.qlInterestRateIndexValueDate(Index,P492,Trigger)</f>
        <v>44126</v>
      </c>
      <c r="R492" s="31">
        <f>_xll.qlInterestRateIndexMaturity(Index,Q492,Trigger)</f>
        <v>44218</v>
      </c>
      <c r="S492" s="32">
        <f>_xll.qlDayCounterYearFraction(DayCounter,Q492,R492,,,Trigger)</f>
        <v>0.25555555555555554</v>
      </c>
      <c r="T492" s="33">
        <f>_xll.qlIndexFixing(Index,P492,,AllTriggers)</f>
        <v>4.9692788844065651E-3</v>
      </c>
      <c r="U492" s="34">
        <f>_xll.qlYieldTSDiscount(OisCurve,Q492,,AllTriggers)</f>
        <v>1.0001995997922657</v>
      </c>
      <c r="V492" s="34">
        <f>_xll.qlYieldTSDiscount(OisCurve,R492,,AllTriggers)</f>
        <v>0.99935737698072458</v>
      </c>
      <c r="W492" s="33">
        <f t="shared" si="41"/>
        <v>3.2977737052391804E-3</v>
      </c>
      <c r="X492" s="35">
        <f t="shared" si="42"/>
        <v>4.2671168614190493E-4</v>
      </c>
      <c r="Y492" s="33">
        <f t="shared" si="43"/>
        <v>1.6715051791673847E-3</v>
      </c>
      <c r="Z492" s="54"/>
    </row>
    <row r="493" spans="15:26" x14ac:dyDescent="0.25">
      <c r="O493" s="37" t="s">
        <v>31</v>
      </c>
      <c r="P493" s="31">
        <f>_xll.qlCalendarAdvance(Calendar,P492,O492,"f",,Trigger)</f>
        <v>44131</v>
      </c>
      <c r="Q493" s="31">
        <f>_xll.qlInterestRateIndexValueDate(Index,P493,Trigger)</f>
        <v>44133</v>
      </c>
      <c r="R493" s="31">
        <f>_xll.qlInterestRateIndexMaturity(Index,Q493,Trigger)</f>
        <v>44225</v>
      </c>
      <c r="S493" s="32">
        <f>_xll.qlDayCounterYearFraction(DayCounter,Q493,R493,,,Trigger)</f>
        <v>0.25555555555555554</v>
      </c>
      <c r="T493" s="33">
        <f>_xll.qlIndexFixing(Index,P493,,AllTriggers)</f>
        <v>4.9986731736544237E-3</v>
      </c>
      <c r="U493" s="34">
        <f>_xll.qlYieldTSDiscount(OisCurve,Q493,,AllTriggers)</f>
        <v>1.0001392015843591</v>
      </c>
      <c r="V493" s="34">
        <f>_xll.qlYieldTSDiscount(OisCurve,R493,,AllTriggers)</f>
        <v>0.99928894835517279</v>
      </c>
      <c r="W493" s="33">
        <f t="shared" si="41"/>
        <v>3.3294452608668558E-3</v>
      </c>
      <c r="X493" s="35">
        <f t="shared" si="42"/>
        <v>4.2612701065124182E-4</v>
      </c>
      <c r="Y493" s="33">
        <f t="shared" si="43"/>
        <v>1.6692279127875679E-3</v>
      </c>
      <c r="Z493" s="54"/>
    </row>
    <row r="494" spans="15:26" x14ac:dyDescent="0.25">
      <c r="O494" s="37" t="s">
        <v>31</v>
      </c>
      <c r="P494" s="31">
        <f>_xll.qlCalendarAdvance(Calendar,P493,O493,"f",,Trigger)</f>
        <v>44138</v>
      </c>
      <c r="Q494" s="31">
        <f>_xll.qlInterestRateIndexValueDate(Index,P494,Trigger)</f>
        <v>44140</v>
      </c>
      <c r="R494" s="31">
        <f>_xll.qlInterestRateIndexMaturity(Index,Q494,Trigger)</f>
        <v>44232</v>
      </c>
      <c r="S494" s="32">
        <f>_xll.qlDayCounterYearFraction(DayCounter,Q494,R494,,,Trigger)</f>
        <v>0.25555555555555554</v>
      </c>
      <c r="T494" s="33">
        <f>_xll.qlIndexFixing(Index,P494,,AllTriggers)</f>
        <v>5.0282746630436748E-3</v>
      </c>
      <c r="U494" s="34">
        <f>_xll.qlYieldTSDiscount(OisCurve,Q494,,AllTriggers)</f>
        <v>1.0000782033050224</v>
      </c>
      <c r="V494" s="34">
        <f>_xll.qlYieldTSDiscount(OisCurve,R494,,AllTriggers)</f>
        <v>0.99921989602950512</v>
      </c>
      <c r="W494" s="33">
        <f t="shared" si="41"/>
        <v>3.361215784585645E-3</v>
      </c>
      <c r="X494" s="35">
        <f t="shared" si="42"/>
        <v>4.2556995732950938E-4</v>
      </c>
      <c r="Y494" s="33">
        <f t="shared" si="43"/>
        <v>1.6670588784580298E-3</v>
      </c>
      <c r="Z494" s="54"/>
    </row>
    <row r="495" spans="15:26" x14ac:dyDescent="0.25">
      <c r="O495" s="37" t="s">
        <v>31</v>
      </c>
      <c r="P495" s="31">
        <f>_xll.qlCalendarAdvance(Calendar,P494,O494,"f",,Trigger)</f>
        <v>44145</v>
      </c>
      <c r="Q495" s="31">
        <f>_xll.qlInterestRateIndexValueDate(Index,P495,Trigger)</f>
        <v>44147</v>
      </c>
      <c r="R495" s="31">
        <f>_xll.qlInterestRateIndexMaturity(Index,Q495,Trigger)</f>
        <v>44239</v>
      </c>
      <c r="S495" s="32">
        <f>_xll.qlDayCounterYearFraction(DayCounter,Q495,R495,,,Trigger)</f>
        <v>0.25555555555555554</v>
      </c>
      <c r="T495" s="33">
        <f>_xll.qlIndexFixing(Index,P495,,AllTriggers)</f>
        <v>5.0580833572670863E-3</v>
      </c>
      <c r="U495" s="34">
        <f>_xll.qlYieldTSDiscount(OisCurve,Q495,,AllTriggers)</f>
        <v>1.0000166031467141</v>
      </c>
      <c r="V495" s="34">
        <f>_xll.qlYieldTSDiscount(OisCurve,R495,,AllTriggers)</f>
        <v>0.99915021821754546</v>
      </c>
      <c r="W495" s="33">
        <f t="shared" si="41"/>
        <v>3.3930852788031872E-3</v>
      </c>
      <c r="X495" s="35">
        <f t="shared" si="42"/>
        <v>4.2504052617581538E-4</v>
      </c>
      <c r="Y495" s="33">
        <f t="shared" si="43"/>
        <v>1.664998078463899E-3</v>
      </c>
      <c r="Z495" s="54"/>
    </row>
    <row r="496" spans="15:26" x14ac:dyDescent="0.25">
      <c r="O496" s="37" t="s">
        <v>31</v>
      </c>
      <c r="P496" s="31">
        <f>_xll.qlCalendarAdvance(Calendar,P495,O495,"f",,Trigger)</f>
        <v>44152</v>
      </c>
      <c r="Q496" s="31">
        <f>_xll.qlInterestRateIndexValueDate(Index,P496,Trigger)</f>
        <v>44154</v>
      </c>
      <c r="R496" s="31">
        <f>_xll.qlInterestRateIndexMaturity(Index,Q496,Trigger)</f>
        <v>44246</v>
      </c>
      <c r="S496" s="32">
        <f>_xll.qlDayCounterYearFraction(DayCounter,Q496,R496,,,Trigger)</f>
        <v>0.25555555555555554</v>
      </c>
      <c r="T496" s="33">
        <f>_xll.qlIndexFixing(Index,P496,,AllTriggers)</f>
        <v>5.0880992610521812E-3</v>
      </c>
      <c r="U496" s="34">
        <f>_xll.qlYieldTSDiscount(OisCurve,Q496,,AllTriggers)</f>
        <v>0.99995439930344898</v>
      </c>
      <c r="V496" s="34">
        <f>_xll.qlYieldTSDiscount(OisCurve,R496,,AllTriggers)</f>
        <v>0.99907991313482414</v>
      </c>
      <c r="W496" s="33">
        <f t="shared" si="41"/>
        <v>3.4250537459305968E-3</v>
      </c>
      <c r="X496" s="35">
        <f t="shared" si="42"/>
        <v>4.2453871719030798E-4</v>
      </c>
      <c r="Y496" s="33">
        <f t="shared" si="43"/>
        <v>1.6630455151215844E-3</v>
      </c>
      <c r="Z496" s="54"/>
    </row>
    <row r="497" spans="15:26" x14ac:dyDescent="0.25">
      <c r="O497" s="37" t="s">
        <v>31</v>
      </c>
      <c r="P497" s="31">
        <f>_xll.qlCalendarAdvance(Calendar,P496,O496,"f",,Trigger)</f>
        <v>44159</v>
      </c>
      <c r="Q497" s="31">
        <f>_xll.qlInterestRateIndexValueDate(Index,P497,Trigger)</f>
        <v>44161</v>
      </c>
      <c r="R497" s="31">
        <f>_xll.qlInterestRateIndexMaturity(Index,Q497,Trigger)</f>
        <v>44253</v>
      </c>
      <c r="S497" s="32">
        <f>_xll.qlDayCounterYearFraction(DayCounter,Q497,R497,,,Trigger)</f>
        <v>0.25555555555555554</v>
      </c>
      <c r="T497" s="33">
        <f>_xll.qlIndexFixing(Index,P497,,AllTriggers)</f>
        <v>5.1183223791560224E-3</v>
      </c>
      <c r="U497" s="34">
        <f>_xll.qlYieldTSDiscount(OisCurve,Q497,,AllTriggers)</f>
        <v>0.99989158997080974</v>
      </c>
      <c r="V497" s="34">
        <f>_xll.qlYieldTSDiscount(OisCurve,R497,,AllTriggers)</f>
        <v>0.99900897899858998</v>
      </c>
      <c r="W497" s="33">
        <f t="shared" si="41"/>
        <v>3.4571211883876779E-3</v>
      </c>
      <c r="X497" s="35">
        <f t="shared" si="42"/>
        <v>4.2406453037306565E-4</v>
      </c>
      <c r="Y497" s="33">
        <f t="shared" si="43"/>
        <v>1.6612011907683444E-3</v>
      </c>
      <c r="Z497" s="54"/>
    </row>
    <row r="498" spans="15:26" x14ac:dyDescent="0.25">
      <c r="O498" s="37" t="s">
        <v>31</v>
      </c>
      <c r="P498" s="31">
        <f>_xll.qlCalendarAdvance(Calendar,P497,O497,"f",,Trigger)</f>
        <v>44166</v>
      </c>
      <c r="Q498" s="31">
        <f>_xll.qlInterestRateIndexValueDate(Index,P498,Trigger)</f>
        <v>44168</v>
      </c>
      <c r="R498" s="31">
        <f>_xll.qlInterestRateIndexMaturity(Index,Q498,Trigger)</f>
        <v>44258</v>
      </c>
      <c r="S498" s="32">
        <f>_xll.qlDayCounterYearFraction(DayCounter,Q498,R498,,,Trigger)</f>
        <v>0.25</v>
      </c>
      <c r="T498" s="33">
        <f>_xll.qlIndexFixing(Index,P498,,AllTriggers)</f>
        <v>5.1442552927065677E-3</v>
      </c>
      <c r="U498" s="34">
        <f>_xll.qlYieldTSDiscount(OisCurve,Q498,,AllTriggers)</f>
        <v>0.99982817334595875</v>
      </c>
      <c r="V498" s="34">
        <f>_xll.qlYieldTSDiscount(OisCurve,R498,,AllTriggers)</f>
        <v>0.99895792563697872</v>
      </c>
      <c r="W498" s="33">
        <f t="shared" si="41"/>
        <v>3.4846220712454468E-3</v>
      </c>
      <c r="X498" s="35">
        <f t="shared" si="42"/>
        <v>4.1446126937149877E-4</v>
      </c>
      <c r="Y498" s="33">
        <f t="shared" si="43"/>
        <v>1.6596332214611209E-3</v>
      </c>
      <c r="Z498" s="54"/>
    </row>
    <row r="499" spans="15:26" x14ac:dyDescent="0.25">
      <c r="O499" s="37" t="s">
        <v>31</v>
      </c>
      <c r="P499" s="31">
        <f>_xll.qlCalendarAdvance(Calendar,P498,O498,"f",,Trigger)</f>
        <v>44173</v>
      </c>
      <c r="Q499" s="31">
        <f>_xll.qlInterestRateIndexValueDate(Index,P499,Trigger)</f>
        <v>44175</v>
      </c>
      <c r="R499" s="31">
        <f>_xll.qlInterestRateIndexMaturity(Index,Q499,Trigger)</f>
        <v>44265</v>
      </c>
      <c r="S499" s="32">
        <f>_xll.qlDayCounterYearFraction(DayCounter,Q499,R499,,,Trigger)</f>
        <v>0.25</v>
      </c>
      <c r="T499" s="33">
        <f>_xll.qlIndexFixing(Index,P499,,AllTriggers)</f>
        <v>5.1748623728640197E-3</v>
      </c>
      <c r="U499" s="34">
        <f>_xll.qlYieldTSDiscount(OisCurve,Q499,,AllTriggers)</f>
        <v>0.99976414762764887</v>
      </c>
      <c r="V499" s="34">
        <f>_xll.qlYieldTSDiscount(OisCurve,R499,,AllTriggers)</f>
        <v>0.9988859089806581</v>
      </c>
      <c r="W499" s="33">
        <f t="shared" si="41"/>
        <v>3.5168727042593773E-3</v>
      </c>
      <c r="X499" s="35">
        <f t="shared" si="42"/>
        <v>4.1404757409495426E-4</v>
      </c>
      <c r="Y499" s="33">
        <f t="shared" si="43"/>
        <v>1.6579896686046425E-3</v>
      </c>
      <c r="Z499" s="54"/>
    </row>
    <row r="500" spans="15:26" x14ac:dyDescent="0.25">
      <c r="O500" s="37" t="s">
        <v>31</v>
      </c>
      <c r="P500" s="31">
        <f>_xll.qlCalendarAdvance(Calendar,P499,O499,"f",,Trigger)</f>
        <v>44180</v>
      </c>
      <c r="Q500" s="31">
        <f>_xll.qlInterestRateIndexValueDate(Index,P500,Trigger)</f>
        <v>44182</v>
      </c>
      <c r="R500" s="31">
        <f>_xll.qlInterestRateIndexMaturity(Index,Q500,Trigger)</f>
        <v>44272</v>
      </c>
      <c r="S500" s="32">
        <f>_xll.qlDayCounterYearFraction(DayCounter,Q500,R500,,,Trigger)</f>
        <v>0.25</v>
      </c>
      <c r="T500" s="33">
        <f>_xll.qlIndexFixing(Index,P500,,AllTriggers)</f>
        <v>5.2056766699291046E-3</v>
      </c>
      <c r="U500" s="34">
        <f>_xll.qlYieldTSDiscount(OisCurve,Q500,,AllTriggers)</f>
        <v>0.99969951101623489</v>
      </c>
      <c r="V500" s="34">
        <f>_xll.qlYieldTSDiscount(OisCurve,R500,,AllTriggers)</f>
        <v>0.99881325844068225</v>
      </c>
      <c r="W500" s="33">
        <f t="shared" si="41"/>
        <v>3.5492223118316346E-3</v>
      </c>
      <c r="X500" s="35">
        <f t="shared" si="42"/>
        <v>4.1366090050479719E-4</v>
      </c>
      <c r="Y500" s="33">
        <f t="shared" si="43"/>
        <v>1.65645435809747E-3</v>
      </c>
      <c r="Z500" s="54"/>
    </row>
    <row r="501" spans="15:26" x14ac:dyDescent="0.25">
      <c r="O501" s="37" t="s">
        <v>31</v>
      </c>
      <c r="P501" s="31">
        <f>_xll.qlCalendarAdvance(Calendar,P500,O500,"f",,Trigger)</f>
        <v>44187</v>
      </c>
      <c r="Q501" s="31">
        <f>_xll.qlInterestRateIndexValueDate(Index,P501,Trigger)</f>
        <v>44189</v>
      </c>
      <c r="R501" s="31">
        <f>_xll.qlInterestRateIndexMaturity(Index,Q501,Trigger)</f>
        <v>44279</v>
      </c>
      <c r="S501" s="32">
        <f>_xll.qlDayCounterYearFraction(DayCounter,Q501,R501,,,Trigger)</f>
        <v>0.25</v>
      </c>
      <c r="T501" s="33">
        <f>_xll.qlIndexFixing(Index,P501,,AllTriggers)</f>
        <v>5.2366981886802222E-3</v>
      </c>
      <c r="U501" s="34">
        <f>_xll.qlYieldTSDiscount(OisCurve,Q501,,AllTriggers)</f>
        <v>0.9996342617136853</v>
      </c>
      <c r="V501" s="34">
        <f>_xll.qlYieldTSDiscount(OisCurve,R501,,AllTriggers)</f>
        <v>0.99873997224078437</v>
      </c>
      <c r="W501" s="33">
        <f t="shared" si="41"/>
        <v>3.581670896357636E-3</v>
      </c>
      <c r="X501" s="35">
        <f t="shared" si="42"/>
        <v>4.1330124860129995E-4</v>
      </c>
      <c r="Y501" s="33">
        <f t="shared" si="43"/>
        <v>1.6550272923225862E-3</v>
      </c>
      <c r="Z501" s="54"/>
    </row>
    <row r="502" spans="15:26" x14ac:dyDescent="0.25">
      <c r="O502" s="37" t="s">
        <v>31</v>
      </c>
      <c r="P502" s="31">
        <f>_xll.qlCalendarAdvance(Calendar,P501,O501,"f",,Trigger)</f>
        <v>44194</v>
      </c>
      <c r="Q502" s="31">
        <f>_xll.qlInterestRateIndexValueDate(Index,P502,Trigger)</f>
        <v>44196</v>
      </c>
      <c r="R502" s="31">
        <f>_xll.qlInterestRateIndexMaturity(Index,Q502,Trigger)</f>
        <v>44286</v>
      </c>
      <c r="S502" s="32">
        <f>_xll.qlDayCounterYearFraction(DayCounter,Q502,R502,,,Trigger)</f>
        <v>0.25</v>
      </c>
      <c r="T502" s="33">
        <f>_xll.qlIndexFixing(Index,P502,,AllTriggers)</f>
        <v>5.2679269339277468E-3</v>
      </c>
      <c r="U502" s="34">
        <f>_xll.qlYieldTSDiscount(OisCurve,Q502,,AllTriggers)</f>
        <v>0.99956839792359242</v>
      </c>
      <c r="V502" s="34">
        <f>_xll.qlYieldTSDiscount(OisCurve,R502,,AllTriggers)</f>
        <v>0.99866604860647079</v>
      </c>
      <c r="W502" s="33">
        <f t="shared" si="41"/>
        <v>3.6142184602381278E-3</v>
      </c>
      <c r="X502" s="35">
        <f t="shared" si="42"/>
        <v>4.1296861838409799E-4</v>
      </c>
      <c r="Y502" s="33">
        <f t="shared" si="43"/>
        <v>1.653708473689619E-3</v>
      </c>
      <c r="Z502" s="54"/>
    </row>
    <row r="503" spans="15:26" x14ac:dyDescent="0.25">
      <c r="O503" s="37" t="s">
        <v>31</v>
      </c>
      <c r="P503" s="31">
        <f>_xll.qlCalendarAdvance(Calendar,P502,O502,"f",,Trigger)</f>
        <v>44201</v>
      </c>
      <c r="Q503" s="31">
        <f>_xll.qlInterestRateIndexValueDate(Index,P503,Trigger)</f>
        <v>44203</v>
      </c>
      <c r="R503" s="31">
        <f>_xll.qlInterestRateIndexMaturity(Index,Q503,Trigger)</f>
        <v>44293</v>
      </c>
      <c r="S503" s="32">
        <f>_xll.qlDayCounterYearFraction(DayCounter,Q503,R503,,,Trigger)</f>
        <v>0.25</v>
      </c>
      <c r="T503" s="33">
        <f>_xll.qlIndexFixing(Index,P503,,AllTriggers)</f>
        <v>5.2993629105166917E-3</v>
      </c>
      <c r="U503" s="34">
        <f>_xll.qlYieldTSDiscount(OisCurve,Q503,,AllTriggers)</f>
        <v>0.99950191785118547</v>
      </c>
      <c r="V503" s="34">
        <f>_xll.qlYieldTSDiscount(OisCurve,R503,,AllTriggers)</f>
        <v>0.99859148576503276</v>
      </c>
      <c r="W503" s="33">
        <f t="shared" si="41"/>
        <v>3.6468650058845142E-3</v>
      </c>
      <c r="X503" s="35">
        <f t="shared" si="42"/>
        <v>4.1266300985329978E-4</v>
      </c>
      <c r="Y503" s="33">
        <f t="shared" si="43"/>
        <v>1.6524979046321775E-3</v>
      </c>
      <c r="Z503" s="54"/>
    </row>
    <row r="504" spans="15:26" x14ac:dyDescent="0.25">
      <c r="O504" s="37" t="s">
        <v>31</v>
      </c>
      <c r="P504" s="31">
        <f>_xll.qlCalendarAdvance(Calendar,P503,O503,"f",,Trigger)</f>
        <v>44208</v>
      </c>
      <c r="Q504" s="31">
        <f>_xll.qlInterestRateIndexValueDate(Index,P504,Trigger)</f>
        <v>44210</v>
      </c>
      <c r="R504" s="31">
        <f>_xll.qlInterestRateIndexMaturity(Index,Q504,Trigger)</f>
        <v>44300</v>
      </c>
      <c r="S504" s="32">
        <f>_xll.qlDayCounterYearFraction(DayCounter,Q504,R504,,,Trigger)</f>
        <v>0.25</v>
      </c>
      <c r="T504" s="33">
        <f>_xll.qlIndexFixing(Index,P504,,AllTriggers)</f>
        <v>5.331006123320492E-3</v>
      </c>
      <c r="U504" s="34">
        <f>_xll.qlYieldTSDiscount(OisCurve,Q504,,AllTriggers)</f>
        <v>0.99943481970334069</v>
      </c>
      <c r="V504" s="34">
        <f>_xll.qlYieldTSDiscount(OisCurve,R504,,AllTriggers)</f>
        <v>0.99851628194555841</v>
      </c>
      <c r="W504" s="33">
        <f t="shared" si="41"/>
        <v>3.6796105357144171E-3</v>
      </c>
      <c r="X504" s="35">
        <f t="shared" si="42"/>
        <v>4.1238442300837688E-4</v>
      </c>
      <c r="Y504" s="33">
        <f t="shared" si="43"/>
        <v>1.6513955876060749E-3</v>
      </c>
      <c r="Z504" s="54"/>
    </row>
    <row r="505" spans="15:26" x14ac:dyDescent="0.25">
      <c r="O505" s="37" t="s">
        <v>31</v>
      </c>
      <c r="P505" s="31">
        <f>_xll.qlCalendarAdvance(Calendar,P504,O504,"f",,Trigger)</f>
        <v>44215</v>
      </c>
      <c r="Q505" s="31">
        <f>_xll.qlInterestRateIndexValueDate(Index,P505,Trigger)</f>
        <v>44217</v>
      </c>
      <c r="R505" s="31">
        <f>_xll.qlInterestRateIndexMaturity(Index,Q505,Trigger)</f>
        <v>44307</v>
      </c>
      <c r="S505" s="32">
        <f>_xll.qlDayCounterYearFraction(DayCounter,Q505,R505,,,Trigger)</f>
        <v>0.25</v>
      </c>
      <c r="T505" s="33">
        <f>_xll.qlIndexFixing(Index,P505,,AllTriggers)</f>
        <v>5.3628565772489978E-3</v>
      </c>
      <c r="U505" s="34">
        <f>_xll.qlYieldTSDiscount(OisCurve,Q505,,AllTriggers)</f>
        <v>0.99936710168859322</v>
      </c>
      <c r="V505" s="34">
        <f>_xll.qlYieldTSDiscount(OisCurve,R505,,AllTriggers)</f>
        <v>0.99844043537894489</v>
      </c>
      <c r="W505" s="33">
        <f t="shared" si="41"/>
        <v>3.7124550521498989E-3</v>
      </c>
      <c r="X505" s="35">
        <f t="shared" si="42"/>
        <v>4.1213285785016157E-4</v>
      </c>
      <c r="Y505" s="33">
        <f t="shared" si="43"/>
        <v>1.6504015250990989E-3</v>
      </c>
      <c r="Z505" s="54"/>
    </row>
    <row r="506" spans="15:26" x14ac:dyDescent="0.25">
      <c r="O506" s="37" t="s">
        <v>31</v>
      </c>
      <c r="P506" s="31">
        <f>_xll.qlCalendarAdvance(Calendar,P505,O505,"f",,Trigger)</f>
        <v>44222</v>
      </c>
      <c r="Q506" s="31">
        <f>_xll.qlInterestRateIndexValueDate(Index,P506,Trigger)</f>
        <v>44224</v>
      </c>
      <c r="R506" s="31">
        <f>_xll.qlInterestRateIndexMaturity(Index,Q506,Trigger)</f>
        <v>44314</v>
      </c>
      <c r="S506" s="32">
        <f>_xll.qlDayCounterYearFraction(DayCounter,Q506,R506,,,Trigger)</f>
        <v>0.25</v>
      </c>
      <c r="T506" s="33">
        <f>_xll.qlIndexFixing(Index,P506,,AllTriggers)</f>
        <v>5.3949142772413694E-3</v>
      </c>
      <c r="U506" s="34">
        <f>_xll.qlYieldTSDiscount(OisCurve,Q506,,AllTriggers)</f>
        <v>0.99929876201714896</v>
      </c>
      <c r="V506" s="34">
        <f>_xll.qlYieldTSDiscount(OisCurve,R506,,AllTriggers)</f>
        <v>0.99836394429790953</v>
      </c>
      <c r="W506" s="33">
        <f t="shared" si="41"/>
        <v>3.7453985576245685E-3</v>
      </c>
      <c r="X506" s="35">
        <f t="shared" si="42"/>
        <v>4.1190831437818343E-4</v>
      </c>
      <c r="Y506" s="33">
        <f t="shared" si="43"/>
        <v>1.6495157196168009E-3</v>
      </c>
      <c r="Z506" s="54"/>
    </row>
    <row r="507" spans="15:26" x14ac:dyDescent="0.25">
      <c r="O507" s="37" t="s">
        <v>31</v>
      </c>
      <c r="P507" s="31">
        <f>_xll.qlCalendarAdvance(Calendar,P506,O506,"f",,Trigger)</f>
        <v>44229</v>
      </c>
      <c r="Q507" s="31">
        <f>_xll.qlInterestRateIndexValueDate(Index,P507,Trigger)</f>
        <v>44231</v>
      </c>
      <c r="R507" s="31">
        <f>_xll.qlInterestRateIndexMaturity(Index,Q507,Trigger)</f>
        <v>44320</v>
      </c>
      <c r="S507" s="32">
        <f>_xll.qlDayCounterYearFraction(DayCounter,Q507,R507,,,Trigger)</f>
        <v>0.24722222222222223</v>
      </c>
      <c r="T507" s="33">
        <f>_xll.qlIndexFixing(Index,P507,,AllTriggers)</f>
        <v>5.4247929788585969E-3</v>
      </c>
      <c r="U507" s="34">
        <f>_xll.qlYieldTSDiscount(OisCurve,Q507,,AllTriggers)</f>
        <v>0.99922979890089514</v>
      </c>
      <c r="V507" s="34">
        <f>_xll.qlYieldTSDiscount(OisCurve,R507,,AllTriggers)</f>
        <v>0.99829786666088594</v>
      </c>
      <c r="W507" s="33">
        <f t="shared" si="41"/>
        <v>3.7760408801655737E-3</v>
      </c>
      <c r="X507" s="35">
        <f t="shared" si="42"/>
        <v>4.0714510693367164E-4</v>
      </c>
      <c r="Y507" s="33">
        <f t="shared" si="43"/>
        <v>1.6487520986930232E-3</v>
      </c>
      <c r="Z507" s="54"/>
    </row>
    <row r="508" spans="15:26" x14ac:dyDescent="0.25">
      <c r="O508" s="37" t="s">
        <v>31</v>
      </c>
      <c r="P508" s="31">
        <f>_xll.qlCalendarAdvance(Calendar,P507,O507,"f",,Trigger)</f>
        <v>44236</v>
      </c>
      <c r="Q508" s="31">
        <f>_xll.qlInterestRateIndexValueDate(Index,P508,Trigger)</f>
        <v>44238</v>
      </c>
      <c r="R508" s="31">
        <f>_xll.qlInterestRateIndexMaturity(Index,Q508,Trigger)</f>
        <v>44327</v>
      </c>
      <c r="S508" s="32">
        <f>_xll.qlDayCounterYearFraction(DayCounter,Q508,R508,,,Trigger)</f>
        <v>0.24722222222222223</v>
      </c>
      <c r="T508" s="33">
        <f>_xll.qlIndexFixing(Index,P508,,AllTriggers)</f>
        <v>5.4572194301184427E-3</v>
      </c>
      <c r="U508" s="34">
        <f>_xll.qlYieldTSDiscount(OisCurve,Q508,,AllTriggers)</f>
        <v>0.99916021055341309</v>
      </c>
      <c r="V508" s="34">
        <f>_xll.qlYieldTSDiscount(OisCurve,R508,,AllTriggers)</f>
        <v>0.99822017991598166</v>
      </c>
      <c r="W508" s="33">
        <f t="shared" si="41"/>
        <v>3.8091507206555676E-3</v>
      </c>
      <c r="X508" s="35">
        <f t="shared" si="42"/>
        <v>4.0697305670517163E-4</v>
      </c>
      <c r="Y508" s="33">
        <f t="shared" si="43"/>
        <v>1.6480687094628751E-3</v>
      </c>
      <c r="Z508" s="54"/>
    </row>
    <row r="509" spans="15:26" x14ac:dyDescent="0.25">
      <c r="O509" s="37" t="s">
        <v>31</v>
      </c>
      <c r="P509" s="31">
        <f>_xll.qlCalendarAdvance(Calendar,P508,O508,"f",,Trigger)</f>
        <v>44243</v>
      </c>
      <c r="Q509" s="31">
        <f>_xll.qlInterestRateIndexValueDate(Index,P509,Trigger)</f>
        <v>44245</v>
      </c>
      <c r="R509" s="31">
        <f>_xll.qlInterestRateIndexMaturity(Index,Q509,Trigger)</f>
        <v>44334</v>
      </c>
      <c r="S509" s="32">
        <f>_xll.qlDayCounterYearFraction(DayCounter,Q509,R509,,,Trigger)</f>
        <v>0.24722222222222223</v>
      </c>
      <c r="T509" s="33">
        <f>_xll.qlIndexFixing(Index,P509,,AllTriggers)</f>
        <v>5.4897860938742833E-3</v>
      </c>
      <c r="U509" s="34">
        <f>_xll.qlYieldTSDiscount(OisCurve,Q509,,AllTriggers)</f>
        <v>0.99908999518998887</v>
      </c>
      <c r="V509" s="34">
        <f>_xll.qlYieldTSDiscount(OisCurve,R509,,AllTriggers)</f>
        <v>0.99814185676340117</v>
      </c>
      <c r="W509" s="33">
        <f t="shared" si="41"/>
        <v>3.8423062246679632E-3</v>
      </c>
      <c r="X509" s="35">
        <f t="shared" si="42"/>
        <v>4.0682434760062978E-4</v>
      </c>
      <c r="Y509" s="33">
        <f t="shared" si="43"/>
        <v>1.6474798692063201E-3</v>
      </c>
      <c r="Z509" s="54"/>
    </row>
    <row r="510" spans="15:26" x14ac:dyDescent="0.25">
      <c r="O510" s="37" t="s">
        <v>31</v>
      </c>
      <c r="P510" s="31">
        <f>_xll.qlCalendarAdvance(Calendar,P509,O509,"f",,Trigger)</f>
        <v>44250</v>
      </c>
      <c r="Q510" s="31">
        <f>_xll.qlInterestRateIndexValueDate(Index,P510,Trigger)</f>
        <v>44252</v>
      </c>
      <c r="R510" s="31">
        <f>_xll.qlInterestRateIndexMaturity(Index,Q510,Trigger)</f>
        <v>44341</v>
      </c>
      <c r="S510" s="32">
        <f>_xll.qlDayCounterYearFraction(DayCounter,Q510,R510,,,Trigger)</f>
        <v>0.24722222222222223</v>
      </c>
      <c r="T510" s="33">
        <f>_xll.qlIndexFixing(Index,P510,,AllTriggers)</f>
        <v>5.5224538655611411E-3</v>
      </c>
      <c r="U510" s="34">
        <f>_xll.qlYieldTSDiscount(OisCurve,Q510,,AllTriggers)</f>
        <v>0.99901915102762484</v>
      </c>
      <c r="V510" s="34">
        <f>_xll.qlYieldTSDiscount(OisCurve,R510,,AllTriggers)</f>
        <v>0.9980629031082956</v>
      </c>
      <c r="W510" s="33">
        <f t="shared" si="41"/>
        <v>3.8754762849592377E-3</v>
      </c>
      <c r="X510" s="35">
        <f t="shared" si="42"/>
        <v>4.0669700776610105E-4</v>
      </c>
      <c r="Y510" s="33">
        <f t="shared" si="43"/>
        <v>1.6469775806019034E-3</v>
      </c>
      <c r="Z510" s="54"/>
    </row>
    <row r="511" spans="15:26" x14ac:dyDescent="0.25">
      <c r="O511" s="37" t="s">
        <v>31</v>
      </c>
      <c r="P511" s="31">
        <f>_xll.qlCalendarAdvance(Calendar,P510,O510,"f",,Trigger)</f>
        <v>44257</v>
      </c>
      <c r="Q511" s="31">
        <f>_xll.qlInterestRateIndexValueDate(Index,P511,Trigger)</f>
        <v>44259</v>
      </c>
      <c r="R511" s="31">
        <f>_xll.qlInterestRateIndexMaturity(Index,Q511,Trigger)</f>
        <v>44351</v>
      </c>
      <c r="S511" s="32">
        <f>_xll.qlDayCounterYearFraction(DayCounter,Q511,R511,,,Trigger)</f>
        <v>0.25555555555555554</v>
      </c>
      <c r="T511" s="33">
        <f>_xll.qlIndexFixing(Index,P511,,AllTriggers)</f>
        <v>5.5623485431252982E-3</v>
      </c>
      <c r="U511" s="34">
        <f>_xll.qlYieldTSDiscount(OisCurve,Q511,,AllTriggers)</f>
        <v>0.99894767628505221</v>
      </c>
      <c r="V511" s="34">
        <f>_xll.qlYieldTSDiscount(OisCurve,R511,,AllTriggers)</f>
        <v>0.99794903014920078</v>
      </c>
      <c r="W511" s="33">
        <f t="shared" si="41"/>
        <v>3.9157768893266264E-3</v>
      </c>
      <c r="X511" s="35">
        <f t="shared" si="42"/>
        <v>4.2028153957345926E-4</v>
      </c>
      <c r="Y511" s="33">
        <f t="shared" si="43"/>
        <v>1.6465716537986718E-3</v>
      </c>
      <c r="Z511" s="54"/>
    </row>
    <row r="512" spans="15:26" x14ac:dyDescent="0.25">
      <c r="O512" s="37" t="s">
        <v>31</v>
      </c>
      <c r="P512" s="31">
        <f>_xll.qlCalendarAdvance(Calendar,P511,O511,"f",,Trigger)</f>
        <v>44264</v>
      </c>
      <c r="Q512" s="31">
        <f>_xll.qlInterestRateIndexValueDate(Index,P512,Trigger)</f>
        <v>44266</v>
      </c>
      <c r="R512" s="31">
        <f>_xll.qlInterestRateIndexMaturity(Index,Q512,Trigger)</f>
        <v>44358</v>
      </c>
      <c r="S512" s="32">
        <f>_xll.qlDayCounterYearFraction(DayCounter,Q512,R512,,,Trigger)</f>
        <v>0.25555555555555554</v>
      </c>
      <c r="T512" s="33">
        <f>_xll.qlIndexFixing(Index,P512,,AllTriggers)</f>
        <v>5.5950765157068887E-3</v>
      </c>
      <c r="U512" s="34">
        <f>_xll.qlYieldTSDiscount(OisCurve,Q512,,AllTriggers)</f>
        <v>0.99887556918274156</v>
      </c>
      <c r="V512" s="34">
        <f>_xll.qlYieldTSDiscount(OisCurve,R512,,AllTriggers)</f>
        <v>0.99786856985450545</v>
      </c>
      <c r="W512" s="33">
        <f t="shared" si="41"/>
        <v>3.9488488494449324E-3</v>
      </c>
      <c r="X512" s="35">
        <f t="shared" si="42"/>
        <v>4.2019020939059061E-4</v>
      </c>
      <c r="Y512" s="33">
        <f t="shared" si="43"/>
        <v>1.6462276662619563E-3</v>
      </c>
      <c r="Z512" s="54"/>
    </row>
    <row r="513" spans="15:26" x14ac:dyDescent="0.25">
      <c r="O513" s="37" t="s">
        <v>31</v>
      </c>
      <c r="P513" s="31">
        <f>_xll.qlCalendarAdvance(Calendar,P512,O512,"f",,Trigger)</f>
        <v>44271</v>
      </c>
      <c r="Q513" s="31">
        <f>_xll.qlInterestRateIndexValueDate(Index,P513,Trigger)</f>
        <v>44273</v>
      </c>
      <c r="R513" s="31">
        <f>_xll.qlInterestRateIndexMaturity(Index,Q513,Trigger)</f>
        <v>44365</v>
      </c>
      <c r="S513" s="32">
        <f>_xll.qlDayCounterYearFraction(DayCounter,Q513,R513,,,Trigger)</f>
        <v>0.25555555555555554</v>
      </c>
      <c r="T513" s="33">
        <f>_xll.qlIndexFixing(Index,P513,,AllTriggers)</f>
        <v>5.6277793552241542E-3</v>
      </c>
      <c r="U513" s="34">
        <f>_xll.qlYieldTSDiscount(OisCurve,Q513,,AllTriggers)</f>
        <v>0.99880282794291531</v>
      </c>
      <c r="V513" s="34">
        <f>_xll.qlYieldTSDiscount(OisCurve,R513,,AllTriggers)</f>
        <v>0.997787499298596</v>
      </c>
      <c r="W513" s="33">
        <f t="shared" si="41"/>
        <v>3.9818349425480015E-3</v>
      </c>
      <c r="X513" s="35">
        <f t="shared" si="42"/>
        <v>4.2011438855723497E-4</v>
      </c>
      <c r="Y513" s="33">
        <f t="shared" si="43"/>
        <v>1.6459444126761527E-3</v>
      </c>
      <c r="Z513" s="54"/>
    </row>
    <row r="514" spans="15:26" x14ac:dyDescent="0.25">
      <c r="O514" s="37" t="s">
        <v>31</v>
      </c>
      <c r="P514" s="31">
        <f>_xll.qlCalendarAdvance(Calendar,P513,O513,"f",,Trigger)</f>
        <v>44278</v>
      </c>
      <c r="Q514" s="31">
        <f>_xll.qlInterestRateIndexValueDate(Index,P514,Trigger)</f>
        <v>44280</v>
      </c>
      <c r="R514" s="31">
        <f>_xll.qlInterestRateIndexMaturity(Index,Q514,Trigger)</f>
        <v>44372</v>
      </c>
      <c r="S514" s="32">
        <f>_xll.qlDayCounterYearFraction(DayCounter,Q514,R514,,,Trigger)</f>
        <v>0.25555555555555554</v>
      </c>
      <c r="T514" s="33">
        <f>_xll.qlIndexFixing(Index,P514,,AllTriggers)</f>
        <v>5.6604192252891587E-3</v>
      </c>
      <c r="U514" s="34">
        <f>_xll.qlYieldTSDiscount(OisCurve,Q514,,AllTriggers)</f>
        <v>0.99872945078955899</v>
      </c>
      <c r="V514" s="34">
        <f>_xll.qlYieldTSDiscount(OisCurve,R514,,AllTriggers)</f>
        <v>0.997705824383607</v>
      </c>
      <c r="W514" s="33">
        <f t="shared" si="41"/>
        <v>4.0147050704657907E-3</v>
      </c>
      <c r="X514" s="35">
        <f t="shared" si="42"/>
        <v>4.2005210521892062E-4</v>
      </c>
      <c r="Y514" s="33">
        <f t="shared" si="43"/>
        <v>1.645714154823368E-3</v>
      </c>
      <c r="Z514" s="54"/>
    </row>
    <row r="515" spans="15:26" x14ac:dyDescent="0.25">
      <c r="O515" s="37" t="s">
        <v>31</v>
      </c>
      <c r="P515" s="31">
        <f>_xll.qlCalendarAdvance(Calendar,P514,O514,"f",,Trigger)</f>
        <v>44285</v>
      </c>
      <c r="Q515" s="31">
        <f>_xll.qlInterestRateIndexValueDate(Index,P515,Trigger)</f>
        <v>44287</v>
      </c>
      <c r="R515" s="31">
        <f>_xll.qlInterestRateIndexMaturity(Index,Q515,Trigger)</f>
        <v>44378</v>
      </c>
      <c r="S515" s="32">
        <f>_xll.qlDayCounterYearFraction(DayCounter,Q515,R515,,,Trigger)</f>
        <v>0.25277777777777777</v>
      </c>
      <c r="T515" s="33">
        <f>_xll.qlIndexFixing(Index,P515,,AllTriggers)</f>
        <v>5.6906208578425752E-3</v>
      </c>
      <c r="U515" s="34">
        <f>_xll.qlYieldTSDiscount(OisCurve,Q515,,AllTriggers)</f>
        <v>0.99865543594843331</v>
      </c>
      <c r="V515" s="34">
        <f>_xll.qlYieldTSDiscount(OisCurve,R515,,AllTriggers)</f>
        <v>0.99763534076647797</v>
      </c>
      <c r="W515" s="33">
        <f t="shared" si="41"/>
        <v>4.0451066780206966E-3</v>
      </c>
      <c r="X515" s="35">
        <f t="shared" si="42"/>
        <v>4.1543823198944254E-4</v>
      </c>
      <c r="Y515" s="33">
        <f t="shared" si="43"/>
        <v>1.6455141798218786E-3</v>
      </c>
      <c r="Z515" s="54"/>
    </row>
    <row r="516" spans="15:26" x14ac:dyDescent="0.25">
      <c r="O516" s="37" t="s">
        <v>31</v>
      </c>
      <c r="P516" s="31">
        <f>_xll.qlCalendarAdvance(Calendar,P515,O515,"f",,Trigger)</f>
        <v>44292</v>
      </c>
      <c r="Q516" s="31">
        <f>_xll.qlInterestRateIndexValueDate(Index,P516,Trigger)</f>
        <v>44294</v>
      </c>
      <c r="R516" s="31">
        <f>_xll.qlInterestRateIndexMaturity(Index,Q516,Trigger)</f>
        <v>44385</v>
      </c>
      <c r="S516" s="32">
        <f>_xll.qlDayCounterYearFraction(DayCounter,Q516,R516,,,Trigger)</f>
        <v>0.25277777777777777</v>
      </c>
      <c r="T516" s="33">
        <f>_xll.qlIndexFixing(Index,P516,,AllTriggers)</f>
        <v>5.7230389112895201E-3</v>
      </c>
      <c r="U516" s="34">
        <f>_xll.qlYieldTSDiscount(OisCurve,Q516,,AllTriggers)</f>
        <v>0.99858078164708541</v>
      </c>
      <c r="V516" s="34">
        <f>_xll.qlYieldTSDiscount(OisCurve,R516,,AllTriggers)</f>
        <v>0.9975525591263853</v>
      </c>
      <c r="W516" s="33">
        <f t="shared" ref="W516:W579" si="44">(U516/V516-1)/S516</f>
        <v>4.0776733529168541E-3</v>
      </c>
      <c r="X516" s="35">
        <f t="shared" ref="X516:X579" si="45">LN((1+T516*S516)/(1+W516*S516))</f>
        <v>4.1539730234891258E-4</v>
      </c>
      <c r="Y516" s="33">
        <f t="shared" ref="Y516:Y579" si="46">T516-W516</f>
        <v>1.645365558372666E-3</v>
      </c>
      <c r="Z516" s="54"/>
    </row>
    <row r="517" spans="15:26" x14ac:dyDescent="0.25">
      <c r="O517" s="37" t="s">
        <v>31</v>
      </c>
      <c r="P517" s="31">
        <f>_xll.qlCalendarAdvance(Calendar,P516,O516,"f",,Trigger)</f>
        <v>44299</v>
      </c>
      <c r="Q517" s="31">
        <f>_xll.qlInterestRateIndexValueDate(Index,P517,Trigger)</f>
        <v>44301</v>
      </c>
      <c r="R517" s="31">
        <f>_xll.qlInterestRateIndexMaturity(Index,Q517,Trigger)</f>
        <v>44392</v>
      </c>
      <c r="S517" s="32">
        <f>_xll.qlDayCounterYearFraction(DayCounter,Q517,R517,,,Trigger)</f>
        <v>0.25277777777777777</v>
      </c>
      <c r="T517" s="33">
        <f>_xll.qlIndexFixing(Index,P517,,AllTriggers)</f>
        <v>5.755281726255156E-3</v>
      </c>
      <c r="U517" s="34">
        <f>_xll.qlYieldTSDiscount(OisCurve,Q517,,AllTriggers)</f>
        <v>0.99850548611486145</v>
      </c>
      <c r="V517" s="34">
        <f>_xll.qlYieldTSDiscount(OisCurve,R517,,AllTriggers)</f>
        <v>0.99746918998604628</v>
      </c>
      <c r="W517" s="33">
        <f t="shared" si="44"/>
        <v>4.1100347541845874E-3</v>
      </c>
      <c r="X517" s="35">
        <f t="shared" si="45"/>
        <v>4.1536397609396686E-4</v>
      </c>
      <c r="Y517" s="33">
        <f t="shared" si="46"/>
        <v>1.6452469720705685E-3</v>
      </c>
      <c r="Z517" s="54"/>
    </row>
    <row r="518" spans="15:26" x14ac:dyDescent="0.25">
      <c r="O518" s="37" t="s">
        <v>31</v>
      </c>
      <c r="P518" s="31">
        <f>_xll.qlCalendarAdvance(Calendar,P517,O517,"f",,Trigger)</f>
        <v>44306</v>
      </c>
      <c r="Q518" s="31">
        <f>_xll.qlInterestRateIndexValueDate(Index,P518,Trigger)</f>
        <v>44308</v>
      </c>
      <c r="R518" s="31">
        <f>_xll.qlInterestRateIndexMaturity(Index,Q518,Trigger)</f>
        <v>44399</v>
      </c>
      <c r="S518" s="32">
        <f>_xll.qlDayCounterYearFraction(DayCounter,Q518,R518,,,Trigger)</f>
        <v>0.25277777777777777</v>
      </c>
      <c r="T518" s="33">
        <f>_xll.qlIndexFixing(Index,P518,,AllTriggers)</f>
        <v>5.7873110462997096E-3</v>
      </c>
      <c r="U518" s="34">
        <f>_xll.qlYieldTSDiscount(OisCurve,Q518,,AllTriggers)</f>
        <v>0.99842954758291746</v>
      </c>
      <c r="V518" s="34">
        <f>_xll.qlYieldTSDiscount(OisCurve,R518,,AllTriggers)</f>
        <v>0.99738523924440037</v>
      </c>
      <c r="W518" s="33">
        <f t="shared" si="44"/>
        <v>4.1421604494235589E-3</v>
      </c>
      <c r="X518" s="35">
        <f t="shared" si="45"/>
        <v>4.1533628137071826E-4</v>
      </c>
      <c r="Y518" s="33">
        <f t="shared" si="46"/>
        <v>1.6451505968761507E-3</v>
      </c>
      <c r="Z518" s="54"/>
    </row>
    <row r="519" spans="15:26" x14ac:dyDescent="0.25">
      <c r="O519" s="37" t="s">
        <v>31</v>
      </c>
      <c r="P519" s="31">
        <f>_xll.qlCalendarAdvance(Calendar,P518,O518,"f",,Trigger)</f>
        <v>44313</v>
      </c>
      <c r="Q519" s="31">
        <f>_xll.qlInterestRateIndexValueDate(Index,P519,Trigger)</f>
        <v>44315</v>
      </c>
      <c r="R519" s="31">
        <f>_xll.qlInterestRateIndexMaturity(Index,Q519,Trigger)</f>
        <v>44406</v>
      </c>
      <c r="S519" s="32">
        <f>_xll.qlDayCounterYearFraction(DayCounter,Q519,R519,,,Trigger)</f>
        <v>0.25277777777777777</v>
      </c>
      <c r="T519" s="33">
        <f>_xll.qlIndexFixing(Index,P519,,AllTriggers)</f>
        <v>5.819088613777338E-3</v>
      </c>
      <c r="U519" s="34">
        <f>_xll.qlYieldTSDiscount(OisCurve,Q519,,AllTriggers)</f>
        <v>0.99835296428423193</v>
      </c>
      <c r="V519" s="34">
        <f>_xll.qlYieldTSDiscount(OisCurve,R519,,AllTriggers)</f>
        <v>0.99730071279947508</v>
      </c>
      <c r="W519" s="33">
        <f t="shared" si="44"/>
        <v>4.1740200052856214E-3</v>
      </c>
      <c r="X519" s="35">
        <f t="shared" si="45"/>
        <v>4.1531224632449616E-4</v>
      </c>
      <c r="Y519" s="33">
        <f t="shared" si="46"/>
        <v>1.6450686084917166E-3</v>
      </c>
      <c r="Z519" s="54"/>
    </row>
    <row r="520" spans="15:26" x14ac:dyDescent="0.25">
      <c r="O520" s="37" t="s">
        <v>31</v>
      </c>
      <c r="P520" s="31">
        <f>_xll.qlCalendarAdvance(Calendar,P519,O519,"f",,Trigger)</f>
        <v>44320</v>
      </c>
      <c r="Q520" s="31">
        <f>_xll.qlInterestRateIndexValueDate(Index,P520,Trigger)</f>
        <v>44322</v>
      </c>
      <c r="R520" s="31">
        <f>_xll.qlInterestRateIndexMaturity(Index,Q520,Trigger)</f>
        <v>44414</v>
      </c>
      <c r="S520" s="32">
        <f>_xll.qlDayCounterYearFraction(DayCounter,Q520,R520,,,Trigger)</f>
        <v>0.25555555555555554</v>
      </c>
      <c r="T520" s="33">
        <f>_xll.qlIndexFixing(Index,P520,,AllTriggers)</f>
        <v>5.8528233984742415E-3</v>
      </c>
      <c r="U520" s="34">
        <f>_xll.qlYieldTSDiscount(OisCurve,Q520,,AllTriggers)</f>
        <v>0.99827573573196204</v>
      </c>
      <c r="V520" s="34">
        <f>_xll.qlYieldTSDiscount(OisCurve,R520,,AllTriggers)</f>
        <v>0.99720341377006561</v>
      </c>
      <c r="W520" s="33">
        <f t="shared" si="44"/>
        <v>4.2078099629951618E-3</v>
      </c>
      <c r="X520" s="35">
        <f t="shared" si="45"/>
        <v>4.198525974083852E-4</v>
      </c>
      <c r="Y520" s="33">
        <f t="shared" si="46"/>
        <v>1.6450134354790797E-3</v>
      </c>
      <c r="Z520" s="54"/>
    </row>
    <row r="521" spans="15:26" x14ac:dyDescent="0.25">
      <c r="O521" s="37" t="s">
        <v>31</v>
      </c>
      <c r="P521" s="31">
        <f>_xll.qlCalendarAdvance(Calendar,P520,O520,"f",,Trigger)</f>
        <v>44327</v>
      </c>
      <c r="Q521" s="31">
        <f>_xll.qlInterestRateIndexValueDate(Index,P521,Trigger)</f>
        <v>44329</v>
      </c>
      <c r="R521" s="31">
        <f>_xll.qlInterestRateIndexMaturity(Index,Q521,Trigger)</f>
        <v>44421</v>
      </c>
      <c r="S521" s="32">
        <f>_xll.qlDayCounterYearFraction(DayCounter,Q521,R521,,,Trigger)</f>
        <v>0.25555555555555554</v>
      </c>
      <c r="T521" s="33">
        <f>_xll.qlIndexFixing(Index,P521,,AllTriggers)</f>
        <v>5.8840071035428368E-3</v>
      </c>
      <c r="U521" s="34">
        <f>_xll.qlYieldTSDiscount(OisCurve,Q521,,AllTriggers)</f>
        <v>0.99819786655369214</v>
      </c>
      <c r="V521" s="34">
        <f>_xll.qlYieldTSDiscount(OisCurve,R521,,AllTriggers)</f>
        <v>0.99711767353151792</v>
      </c>
      <c r="W521" s="33">
        <f t="shared" si="44"/>
        <v>4.2390606173003465E-3</v>
      </c>
      <c r="X521" s="35">
        <f t="shared" si="45"/>
        <v>4.1983216511930763E-4</v>
      </c>
      <c r="Y521" s="33">
        <f t="shared" si="46"/>
        <v>1.6449464862424903E-3</v>
      </c>
      <c r="Z521" s="54"/>
    </row>
    <row r="522" spans="15:26" x14ac:dyDescent="0.25">
      <c r="O522" s="37" t="s">
        <v>31</v>
      </c>
      <c r="P522" s="31">
        <f>_xll.qlCalendarAdvance(Calendar,P521,O521,"f",,Trigger)</f>
        <v>44334</v>
      </c>
      <c r="Q522" s="31">
        <f>_xll.qlInterestRateIndexValueDate(Index,P522,Trigger)</f>
        <v>44336</v>
      </c>
      <c r="R522" s="31">
        <f>_xll.qlInterestRateIndexMaturity(Index,Q522,Trigger)</f>
        <v>44428</v>
      </c>
      <c r="S522" s="32">
        <f>_xll.qlDayCounterYearFraction(DayCounter,Q522,R522,,,Trigger)</f>
        <v>0.25555555555555554</v>
      </c>
      <c r="T522" s="33">
        <f>_xll.qlIndexFixing(Index,P522,,AllTriggers)</f>
        <v>5.9149007809912507E-3</v>
      </c>
      <c r="U522" s="34">
        <f>_xll.qlYieldTSDiscount(OisCurve,Q522,,AllTriggers)</f>
        <v>0.9981193626549929</v>
      </c>
      <c r="V522" s="34">
        <f>_xll.qlYieldTSDiscount(OisCurve,R522,,AllTriggers)</f>
        <v>0.99703137612003556</v>
      </c>
      <c r="W522" s="33">
        <f t="shared" si="44"/>
        <v>4.2700146826052153E-3</v>
      </c>
      <c r="X522" s="35">
        <f t="shared" si="45"/>
        <v>4.1981343920066661E-4</v>
      </c>
      <c r="Y522" s="33">
        <f t="shared" si="46"/>
        <v>1.6448860983860353E-3</v>
      </c>
      <c r="Z522" s="54"/>
    </row>
    <row r="523" spans="15:26" x14ac:dyDescent="0.25">
      <c r="O523" s="37" t="s">
        <v>31</v>
      </c>
      <c r="P523" s="31">
        <f>_xll.qlCalendarAdvance(Calendar,P522,O522,"f",,Trigger)</f>
        <v>44341</v>
      </c>
      <c r="Q523" s="31">
        <f>_xll.qlInterestRateIndexValueDate(Index,P523,Trigger)</f>
        <v>44343</v>
      </c>
      <c r="R523" s="31">
        <f>_xll.qlInterestRateIndexMaturity(Index,Q523,Trigger)</f>
        <v>44435</v>
      </c>
      <c r="S523" s="32">
        <f>_xll.qlDayCounterYearFraction(DayCounter,Q523,R523,,,Trigger)</f>
        <v>0.25555555555555554</v>
      </c>
      <c r="T523" s="33">
        <f>_xll.qlIndexFixing(Index,P523,,AllTriggers)</f>
        <v>5.9455044239580162E-3</v>
      </c>
      <c r="U523" s="34">
        <f>_xll.qlYieldTSDiscount(OisCurve,Q523,,AllTriggers)</f>
        <v>0.99804022994084263</v>
      </c>
      <c r="V523" s="34">
        <f>_xll.qlYieldTSDiscount(OisCurve,R523,,AllTriggers)</f>
        <v>0.99694452742951134</v>
      </c>
      <c r="W523" s="33">
        <f t="shared" si="44"/>
        <v>4.3006721518736571E-3</v>
      </c>
      <c r="X523" s="35">
        <f t="shared" si="45"/>
        <v>4.1979641965255799E-4</v>
      </c>
      <c r="Y523" s="33">
        <f t="shared" si="46"/>
        <v>1.6448322720843591E-3</v>
      </c>
      <c r="Z523" s="54"/>
    </row>
    <row r="524" spans="15:26" x14ac:dyDescent="0.25">
      <c r="O524" s="37" t="s">
        <v>31</v>
      </c>
      <c r="P524" s="31">
        <f>_xll.qlCalendarAdvance(Calendar,P523,O523,"f",,Trigger)</f>
        <v>44348</v>
      </c>
      <c r="Q524" s="31">
        <f>_xll.qlInterestRateIndexValueDate(Index,P524,Trigger)</f>
        <v>44350</v>
      </c>
      <c r="R524" s="31">
        <f>_xll.qlInterestRateIndexMaturity(Index,Q524,Trigger)</f>
        <v>44442</v>
      </c>
      <c r="S524" s="32">
        <f>_xll.qlDayCounterYearFraction(DayCounter,Q524,R524,,,Trigger)</f>
        <v>0.25555555555555554</v>
      </c>
      <c r="T524" s="33">
        <f>_xll.qlIndexFixing(Index,P524,,AllTriggers)</f>
        <v>5.9758180256433546E-3</v>
      </c>
      <c r="U524" s="34">
        <f>_xll.qlYieldTSDiscount(OisCurve,Q524,,AllTriggers)</f>
        <v>0.99796047431559032</v>
      </c>
      <c r="V524" s="34">
        <f>_xll.qlYieldTSDiscount(OisCurve,R524,,AllTriggers)</f>
        <v>0.99685713335275561</v>
      </c>
      <c r="W524" s="33">
        <f t="shared" si="44"/>
        <v>4.3310330181390716E-3</v>
      </c>
      <c r="X524" s="35">
        <f t="shared" si="45"/>
        <v>4.1978110647506887E-4</v>
      </c>
      <c r="Y524" s="33">
        <f t="shared" si="46"/>
        <v>1.644785007504283E-3</v>
      </c>
      <c r="Z524" s="54"/>
    </row>
    <row r="525" spans="15:26" x14ac:dyDescent="0.25">
      <c r="O525" s="37" t="s">
        <v>31</v>
      </c>
      <c r="P525" s="31">
        <f>_xll.qlCalendarAdvance(Calendar,P524,O524,"f",,Trigger)</f>
        <v>44355</v>
      </c>
      <c r="Q525" s="31">
        <f>_xll.qlInterestRateIndexValueDate(Index,P525,Trigger)</f>
        <v>44357</v>
      </c>
      <c r="R525" s="31">
        <f>_xll.qlInterestRateIndexMaturity(Index,Q525,Trigger)</f>
        <v>44449</v>
      </c>
      <c r="S525" s="32">
        <f>_xll.qlDayCounterYearFraction(DayCounter,Q525,R525,,,Trigger)</f>
        <v>0.25555555555555554</v>
      </c>
      <c r="T525" s="33">
        <f>_xll.qlIndexFixing(Index,P525,,AllTriggers)</f>
        <v>6.0058415793135221E-3</v>
      </c>
      <c r="U525" s="34">
        <f>_xll.qlYieldTSDiscount(OisCurve,Q525,,AllTriggers)</f>
        <v>0.99788010168291919</v>
      </c>
      <c r="V525" s="34">
        <f>_xll.qlYieldTSDiscount(OisCurve,R525,,AllTriggers)</f>
        <v>0.99676919978146483</v>
      </c>
      <c r="W525" s="33">
        <f t="shared" si="44"/>
        <v>4.3610972745008903E-3</v>
      </c>
      <c r="X525" s="35">
        <f t="shared" si="45"/>
        <v>4.1976749966827765E-4</v>
      </c>
      <c r="Y525" s="33">
        <f t="shared" si="46"/>
        <v>1.6447443048126318E-3</v>
      </c>
      <c r="Z525" s="54"/>
    </row>
    <row r="526" spans="15:26" x14ac:dyDescent="0.25">
      <c r="O526" s="37" t="s">
        <v>31</v>
      </c>
      <c r="P526" s="31">
        <f>_xll.qlCalendarAdvance(Calendar,P525,O525,"f",,Trigger)</f>
        <v>44362</v>
      </c>
      <c r="Q526" s="31">
        <f>_xll.qlInterestRateIndexValueDate(Index,P526,Trigger)</f>
        <v>44364</v>
      </c>
      <c r="R526" s="31">
        <f>_xll.qlInterestRateIndexMaturity(Index,Q526,Trigger)</f>
        <v>44456</v>
      </c>
      <c r="S526" s="32">
        <f>_xll.qlDayCounterYearFraction(DayCounter,Q526,R526,,,Trigger)</f>
        <v>0.25555555555555554</v>
      </c>
      <c r="T526" s="33">
        <f>_xll.qlIndexFixing(Index,P526,,AllTriggers)</f>
        <v>6.0355750782990717E-3</v>
      </c>
      <c r="U526" s="34">
        <f>_xll.qlYieldTSDiscount(OisCurve,Q526,,AllTriggers)</f>
        <v>0.99779911794581011</v>
      </c>
      <c r="V526" s="34">
        <f>_xll.qlYieldTSDiscount(OisCurve,R526,,AllTriggers)</f>
        <v>0.99668073260618906</v>
      </c>
      <c r="W526" s="33">
        <f t="shared" si="44"/>
        <v>4.3908649141271893E-3</v>
      </c>
      <c r="X526" s="35">
        <f t="shared" si="45"/>
        <v>4.1975559923181007E-4</v>
      </c>
      <c r="Y526" s="33">
        <f t="shared" si="46"/>
        <v>1.6447101641718824E-3</v>
      </c>
      <c r="Z526" s="54"/>
    </row>
    <row r="527" spans="15:26" x14ac:dyDescent="0.25">
      <c r="O527" s="37" t="s">
        <v>31</v>
      </c>
      <c r="P527" s="31">
        <f>_xll.qlCalendarAdvance(Calendar,P526,O526,"f",,Trigger)</f>
        <v>44369</v>
      </c>
      <c r="Q527" s="31">
        <f>_xll.qlInterestRateIndexValueDate(Index,P527,Trigger)</f>
        <v>44371</v>
      </c>
      <c r="R527" s="31">
        <f>_xll.qlInterestRateIndexMaturity(Index,Q527,Trigger)</f>
        <v>44463</v>
      </c>
      <c r="S527" s="32">
        <f>_xll.qlDayCounterYearFraction(DayCounter,Q527,R527,,,Trigger)</f>
        <v>0.25555555555555554</v>
      </c>
      <c r="T527" s="33">
        <f>_xll.qlIndexFixing(Index,P527,,AllTriggers)</f>
        <v>6.0650185159939812E-3</v>
      </c>
      <c r="U527" s="34">
        <f>_xll.qlYieldTSDiscount(OisCurve,Q527,,AllTriggers)</f>
        <v>0.99771752900650656</v>
      </c>
      <c r="V527" s="34">
        <f>_xll.qlYieldTSDiscount(OisCurve,R527,,AllTriggers)</f>
        <v>0.99659173771630161</v>
      </c>
      <c r="W527" s="33">
        <f t="shared" si="44"/>
        <v>4.4203359302520734E-3</v>
      </c>
      <c r="X527" s="35">
        <f t="shared" si="45"/>
        <v>4.1974540516594904E-4</v>
      </c>
      <c r="Y527" s="33">
        <f t="shared" si="46"/>
        <v>1.6446825857419078E-3</v>
      </c>
      <c r="Z527" s="54"/>
    </row>
    <row r="528" spans="15:26" x14ac:dyDescent="0.25">
      <c r="O528" s="37" t="s">
        <v>31</v>
      </c>
      <c r="P528" s="31">
        <f>_xll.qlCalendarAdvance(Calendar,P527,O527,"f",,Trigger)</f>
        <v>44376</v>
      </c>
      <c r="Q528" s="31">
        <f>_xll.qlInterestRateIndexValueDate(Index,P528,Trigger)</f>
        <v>44378</v>
      </c>
      <c r="R528" s="31">
        <f>_xll.qlInterestRateIndexMaturity(Index,Q528,Trigger)</f>
        <v>44470</v>
      </c>
      <c r="S528" s="32">
        <f>_xll.qlDayCounterYearFraction(DayCounter,Q528,R528,,,Trigger)</f>
        <v>0.25555555555555554</v>
      </c>
      <c r="T528" s="33">
        <f>_xll.qlIndexFixing(Index,P528,,AllTriggers)</f>
        <v>6.0941718858582676E-3</v>
      </c>
      <c r="U528" s="34">
        <f>_xll.qlYieldTSDiscount(OisCurve,Q528,,AllTriggers)</f>
        <v>0.99763534076647797</v>
      </c>
      <c r="V528" s="34">
        <f>_xll.qlYieldTSDiscount(OisCurve,R528,,AllTriggers)</f>
        <v>0.9965022209999671</v>
      </c>
      <c r="W528" s="33">
        <f t="shared" si="44"/>
        <v>4.4495103161782939E-3</v>
      </c>
      <c r="X528" s="35">
        <f t="shared" si="45"/>
        <v>4.1973691747052477E-4</v>
      </c>
      <c r="Y528" s="33">
        <f t="shared" si="46"/>
        <v>1.6446615696799737E-3</v>
      </c>
      <c r="Z528" s="54"/>
    </row>
    <row r="529" spans="15:26" x14ac:dyDescent="0.25">
      <c r="O529" s="37" t="s">
        <v>31</v>
      </c>
      <c r="P529" s="31">
        <f>_xll.qlCalendarAdvance(Calendar,P528,O528,"f",,Trigger)</f>
        <v>44383</v>
      </c>
      <c r="Q529" s="31">
        <f>_xll.qlInterestRateIndexValueDate(Index,P529,Trigger)</f>
        <v>44385</v>
      </c>
      <c r="R529" s="31">
        <f>_xll.qlInterestRateIndexMaturity(Index,Q529,Trigger)</f>
        <v>44477</v>
      </c>
      <c r="S529" s="32">
        <f>_xll.qlDayCounterYearFraction(DayCounter,Q529,R529,,,Trigger)</f>
        <v>0.25555555555555554</v>
      </c>
      <c r="T529" s="33">
        <f>_xll.qlIndexFixing(Index,P529,,AllTriggers)</f>
        <v>6.1230351814145012E-3</v>
      </c>
      <c r="U529" s="34">
        <f>_xll.qlYieldTSDiscount(OisCurve,Q529,,AllTriggers)</f>
        <v>0.9975525591263853</v>
      </c>
      <c r="V529" s="34">
        <f>_xll.qlYieldTSDiscount(OisCurve,R529,,AllTriggers)</f>
        <v>0.99641218834411205</v>
      </c>
      <c r="W529" s="33">
        <f t="shared" si="44"/>
        <v>4.4783880652737628E-3</v>
      </c>
      <c r="X529" s="35">
        <f t="shared" si="45"/>
        <v>4.1973013614580269E-4</v>
      </c>
      <c r="Y529" s="33">
        <f t="shared" si="46"/>
        <v>1.6446471161407385E-3</v>
      </c>
      <c r="Z529" s="54"/>
    </row>
    <row r="530" spans="15:26" x14ac:dyDescent="0.25">
      <c r="O530" s="37" t="s">
        <v>31</v>
      </c>
      <c r="P530" s="31">
        <f>_xll.qlCalendarAdvance(Calendar,P529,O529,"f",,Trigger)</f>
        <v>44390</v>
      </c>
      <c r="Q530" s="31">
        <f>_xll.qlInterestRateIndexValueDate(Index,P530,Trigger)</f>
        <v>44392</v>
      </c>
      <c r="R530" s="31">
        <f>_xll.qlInterestRateIndexMaturity(Index,Q530,Trigger)</f>
        <v>44484</v>
      </c>
      <c r="S530" s="32">
        <f>_xll.qlDayCounterYearFraction(DayCounter,Q530,R530,,,Trigger)</f>
        <v>0.25555555555555554</v>
      </c>
      <c r="T530" s="33">
        <f>_xll.qlIndexFixing(Index,P530,,AllTriggers)</f>
        <v>6.1516083962512898E-3</v>
      </c>
      <c r="U530" s="34">
        <f>_xll.qlYieldTSDiscount(OisCurve,Q530,,AllTriggers)</f>
        <v>0.99746918998604628</v>
      </c>
      <c r="V530" s="34">
        <f>_xll.qlYieldTSDiscount(OisCurve,R530,,AllTriggers)</f>
        <v>0.99632164563439307</v>
      </c>
      <c r="W530" s="33">
        <f t="shared" si="44"/>
        <v>4.5069691709776413E-3</v>
      </c>
      <c r="X530" s="35">
        <f t="shared" si="45"/>
        <v>4.1972506119137355E-4</v>
      </c>
      <c r="Y530" s="33">
        <f t="shared" si="46"/>
        <v>1.6446392252736485E-3</v>
      </c>
      <c r="Z530" s="54"/>
    </row>
    <row r="531" spans="15:26" x14ac:dyDescent="0.25">
      <c r="O531" s="37" t="s">
        <v>31</v>
      </c>
      <c r="P531" s="31">
        <f>_xll.qlCalendarAdvance(Calendar,P530,O530,"f",,Trigger)</f>
        <v>44397</v>
      </c>
      <c r="Q531" s="31">
        <f>_xll.qlInterestRateIndexValueDate(Index,P531,Trigger)</f>
        <v>44399</v>
      </c>
      <c r="R531" s="31">
        <f>_xll.qlInterestRateIndexMaturity(Index,Q531,Trigger)</f>
        <v>44491</v>
      </c>
      <c r="S531" s="32">
        <f>_xll.qlDayCounterYearFraction(DayCounter,Q531,R531,,,Trigger)</f>
        <v>0.25555555555555554</v>
      </c>
      <c r="T531" s="33">
        <f>_xll.qlIndexFixing(Index,P531,,AllTriggers)</f>
        <v>6.1798915240206679E-3</v>
      </c>
      <c r="U531" s="34">
        <f>_xll.qlYieldTSDiscount(OisCurve,Q531,,AllTriggers)</f>
        <v>0.99738523924440037</v>
      </c>
      <c r="V531" s="34">
        <f>_xll.qlYieldTSDiscount(OisCurve,R531,,AllTriggers)</f>
        <v>0.99623059875516828</v>
      </c>
      <c r="W531" s="33">
        <f t="shared" si="44"/>
        <v>4.5352536267916502E-3</v>
      </c>
      <c r="X531" s="35">
        <f t="shared" si="45"/>
        <v>4.1972169260770731E-4</v>
      </c>
      <c r="Y531" s="33">
        <f t="shared" si="46"/>
        <v>1.6446378972290177E-3</v>
      </c>
      <c r="Z531" s="54"/>
    </row>
    <row r="532" spans="15:26" x14ac:dyDescent="0.25">
      <c r="O532" s="37" t="s">
        <v>31</v>
      </c>
      <c r="P532" s="31">
        <f>_xll.qlCalendarAdvance(Calendar,P531,O531,"f",,Trigger)</f>
        <v>44404</v>
      </c>
      <c r="Q532" s="31">
        <f>_xll.qlInterestRateIndexValueDate(Index,P532,Trigger)</f>
        <v>44406</v>
      </c>
      <c r="R532" s="31">
        <f>_xll.qlInterestRateIndexMaturity(Index,Q532,Trigger)</f>
        <v>44498</v>
      </c>
      <c r="S532" s="32">
        <f>_xll.qlDayCounterYearFraction(DayCounter,Q532,R532,,,Trigger)</f>
        <v>0.25555555555555554</v>
      </c>
      <c r="T532" s="33">
        <f>_xll.qlIndexFixing(Index,P532,,AllTriggers)</f>
        <v>6.2078845584389664E-3</v>
      </c>
      <c r="U532" s="34">
        <f>_xll.qlYieldTSDiscount(OisCurve,Q532,,AllTriggers)</f>
        <v>0.99730071279947508</v>
      </c>
      <c r="V532" s="34">
        <f>_xll.qlYieldTSDiscount(OisCurve,R532,,AllTriggers)</f>
        <v>0.99613905358946686</v>
      </c>
      <c r="W532" s="33">
        <f t="shared" si="44"/>
        <v>4.5632414262896251E-3</v>
      </c>
      <c r="X532" s="35">
        <f t="shared" si="45"/>
        <v>4.1972003039437723E-4</v>
      </c>
      <c r="Y532" s="33">
        <f t="shared" si="46"/>
        <v>1.6446431321493413E-3</v>
      </c>
      <c r="Z532" s="54"/>
    </row>
    <row r="533" spans="15:26" x14ac:dyDescent="0.25">
      <c r="O533" s="37" t="s">
        <v>31</v>
      </c>
      <c r="P533" s="31">
        <f>_xll.qlCalendarAdvance(Calendar,P532,O532,"f",,Trigger)</f>
        <v>44411</v>
      </c>
      <c r="Q533" s="31">
        <f>_xll.qlInterestRateIndexValueDate(Index,P533,Trigger)</f>
        <v>44413</v>
      </c>
      <c r="R533" s="31">
        <f>_xll.qlInterestRateIndexMaturity(Index,Q533,Trigger)</f>
        <v>44505</v>
      </c>
      <c r="S533" s="32">
        <f>_xll.qlDayCounterYearFraction(DayCounter,Q533,R533,,,Trigger)</f>
        <v>0.25555555555555554</v>
      </c>
      <c r="T533" s="33">
        <f>_xll.qlIndexFixing(Index,P533,,AllTriggers)</f>
        <v>6.2355874932876806E-3</v>
      </c>
      <c r="U533" s="34">
        <f>_xll.qlYieldTSDiscount(OisCurve,Q533,,AllTriggers)</f>
        <v>0.99721561654835211</v>
      </c>
      <c r="V533" s="34">
        <f>_xll.qlYieldTSDiscount(OisCurve,R533,,AllTriggers)</f>
        <v>0.99604701601896006</v>
      </c>
      <c r="W533" s="33">
        <f t="shared" si="44"/>
        <v>4.5909325631096985E-3</v>
      </c>
      <c r="X533" s="35">
        <f t="shared" si="45"/>
        <v>4.197200745516138E-4</v>
      </c>
      <c r="Y533" s="33">
        <f t="shared" si="46"/>
        <v>1.6446549301779821E-3</v>
      </c>
      <c r="Z533" s="54"/>
    </row>
    <row r="534" spans="15:26" x14ac:dyDescent="0.25">
      <c r="O534" s="37" t="s">
        <v>31</v>
      </c>
      <c r="P534" s="31">
        <f>_xll.qlCalendarAdvance(Calendar,P533,O533,"f",,Trigger)</f>
        <v>44418</v>
      </c>
      <c r="Q534" s="31">
        <f>_xll.qlInterestRateIndexValueDate(Index,P534,Trigger)</f>
        <v>44420</v>
      </c>
      <c r="R534" s="31">
        <f>_xll.qlInterestRateIndexMaturity(Index,Q534,Trigger)</f>
        <v>44512</v>
      </c>
      <c r="S534" s="32">
        <f>_xll.qlDayCounterYearFraction(DayCounter,Q534,R534,,,Trigger)</f>
        <v>0.25555555555555554</v>
      </c>
      <c r="T534" s="33">
        <f>_xll.qlIndexFixing(Index,P534,,AllTriggers)</f>
        <v>6.2630003224126039E-3</v>
      </c>
      <c r="U534" s="34">
        <f>_xll.qlYieldTSDiscount(OisCurve,Q534,,AllTriggers)</f>
        <v>0.99712995638713353</v>
      </c>
      <c r="V534" s="34">
        <f>_xll.qlYieldTSDiscount(OisCurve,R534,,AllTriggers)</f>
        <v>0.99595449192393237</v>
      </c>
      <c r="W534" s="33">
        <f t="shared" si="44"/>
        <v>4.6183270309586438E-3</v>
      </c>
      <c r="X534" s="35">
        <f t="shared" si="45"/>
        <v>4.197218250794168E-4</v>
      </c>
      <c r="Y534" s="33">
        <f t="shared" si="46"/>
        <v>1.6446732914539601E-3</v>
      </c>
      <c r="Z534" s="54"/>
    </row>
    <row r="535" spans="15:26" x14ac:dyDescent="0.25">
      <c r="O535" s="37" t="s">
        <v>31</v>
      </c>
      <c r="P535" s="31">
        <f>_xll.qlCalendarAdvance(Calendar,P534,O534,"f",,Trigger)</f>
        <v>44425</v>
      </c>
      <c r="Q535" s="31">
        <f>_xll.qlInterestRateIndexValueDate(Index,P535,Trigger)</f>
        <v>44427</v>
      </c>
      <c r="R535" s="31">
        <f>_xll.qlInterestRateIndexMaturity(Index,Q535,Trigger)</f>
        <v>44519</v>
      </c>
      <c r="S535" s="32">
        <f>_xll.qlDayCounterYearFraction(DayCounter,Q535,R535,,,Trigger)</f>
        <v>0.25555555555555554</v>
      </c>
      <c r="T535" s="33">
        <f>_xll.qlIndexFixing(Index,P535,,AllTriggers)</f>
        <v>6.2901230397229549E-3</v>
      </c>
      <c r="U535" s="34">
        <f>_xll.qlYieldTSDiscount(OisCurve,Q535,,AllTriggers)</f>
        <v>0.9970437382109093</v>
      </c>
      <c r="V535" s="34">
        <f>_xll.qlYieldTSDiscount(OisCurve,R535,,AllTriggers)</f>
        <v>0.99586148718325318</v>
      </c>
      <c r="W535" s="33">
        <f t="shared" si="44"/>
        <v>4.6454248236083989E-3</v>
      </c>
      <c r="X535" s="35">
        <f t="shared" si="45"/>
        <v>4.1972528197777731E-4</v>
      </c>
      <c r="Y535" s="33">
        <f t="shared" si="46"/>
        <v>1.6446982161145559E-3</v>
      </c>
      <c r="Z535" s="54"/>
    </row>
    <row r="536" spans="15:26" x14ac:dyDescent="0.25">
      <c r="O536" s="37" t="s">
        <v>31</v>
      </c>
      <c r="P536" s="31">
        <f>_xll.qlCalendarAdvance(Calendar,P535,O535,"f",,Trigger)</f>
        <v>44432</v>
      </c>
      <c r="Q536" s="31">
        <f>_xll.qlInterestRateIndexValueDate(Index,P536,Trigger)</f>
        <v>44434</v>
      </c>
      <c r="R536" s="31">
        <f>_xll.qlInterestRateIndexMaturity(Index,Q536,Trigger)</f>
        <v>44526</v>
      </c>
      <c r="S536" s="32">
        <f>_xll.qlDayCounterYearFraction(DayCounter,Q536,R536,,,Trigger)</f>
        <v>0.25555555555555554</v>
      </c>
      <c r="T536" s="33">
        <f>_xll.qlIndexFixing(Index,P536,,AllTriggers)</f>
        <v>6.3169556391931203E-3</v>
      </c>
      <c r="U536" s="34">
        <f>_xll.qlYieldTSDiscount(OisCurve,Q536,,AllTriggers)</f>
        <v>0.99695696791372401</v>
      </c>
      <c r="V536" s="34">
        <f>_xll.qlYieldTSDiscount(OisCurve,R536,,AllTriggers)</f>
        <v>0.99576800767434781</v>
      </c>
      <c r="W536" s="33">
        <f t="shared" si="44"/>
        <v>4.6722259349030182E-3</v>
      </c>
      <c r="X536" s="35">
        <f t="shared" si="45"/>
        <v>4.1973044524645558E-4</v>
      </c>
      <c r="Y536" s="33">
        <f t="shared" si="46"/>
        <v>1.6447297042901021E-3</v>
      </c>
      <c r="Z536" s="54"/>
    </row>
    <row r="537" spans="15:26" x14ac:dyDescent="0.25">
      <c r="O537" s="37" t="s">
        <v>31</v>
      </c>
      <c r="P537" s="31">
        <f>_xll.qlCalendarAdvance(Calendar,P536,O536,"f",,Trigger)</f>
        <v>44439</v>
      </c>
      <c r="Q537" s="31">
        <f>_xll.qlInterestRateIndexValueDate(Index,P537,Trigger)</f>
        <v>44441</v>
      </c>
      <c r="R537" s="31">
        <f>_xll.qlInterestRateIndexMaturity(Index,Q537,Trigger)</f>
        <v>44532</v>
      </c>
      <c r="S537" s="32">
        <f>_xll.qlDayCounterYearFraction(DayCounter,Q537,R537,,,Trigger)</f>
        <v>0.25277777777777777</v>
      </c>
      <c r="T537" s="33">
        <f>_xll.qlIndexFixing(Index,P537,,AllTriggers)</f>
        <v>6.3416011947716585E-3</v>
      </c>
      <c r="U537" s="34">
        <f>_xll.qlYieldTSDiscount(OisCurve,Q537,,AllTriggers)</f>
        <v>0.99686965138854466</v>
      </c>
      <c r="V537" s="34">
        <f>_xll.qlYieldTSDiscount(OisCurve,R537,,AllTriggers)</f>
        <v>0.99568750895836522</v>
      </c>
      <c r="W537" s="33">
        <f t="shared" si="44"/>
        <v>4.6968625939547547E-3</v>
      </c>
      <c r="X537" s="35">
        <f t="shared" si="45"/>
        <v>4.1517414879293412E-4</v>
      </c>
      <c r="Y537" s="33">
        <f t="shared" si="46"/>
        <v>1.6447386008169038E-3</v>
      </c>
      <c r="Z537" s="54"/>
    </row>
    <row r="538" spans="15:26" x14ac:dyDescent="0.25">
      <c r="O538" s="37" t="s">
        <v>31</v>
      </c>
      <c r="P538" s="31">
        <f>_xll.qlCalendarAdvance(Calendar,P537,O537,"f",,Trigger)</f>
        <v>44446</v>
      </c>
      <c r="Q538" s="31">
        <f>_xll.qlInterestRateIndexValueDate(Index,P538,Trigger)</f>
        <v>44448</v>
      </c>
      <c r="R538" s="31">
        <f>_xll.qlInterestRateIndexMaturity(Index,Q538,Trigger)</f>
        <v>44539</v>
      </c>
      <c r="S538" s="32">
        <f>_xll.qlDayCounterYearFraction(DayCounter,Q538,R538,,,Trigger)</f>
        <v>0.25277777777777777</v>
      </c>
      <c r="T538" s="33">
        <f>_xll.qlIndexFixing(Index,P538,,AllTriggers)</f>
        <v>6.367873801393773E-3</v>
      </c>
      <c r="U538" s="34">
        <f>_xll.qlYieldTSDiscount(OisCurve,Q538,,AllTriggers)</f>
        <v>0.9967817945272287</v>
      </c>
      <c r="V538" s="34">
        <f>_xll.qlYieldTSDiscount(OisCurve,R538,,AllTriggers)</f>
        <v>0.99559316332517034</v>
      </c>
      <c r="W538" s="33">
        <f t="shared" si="44"/>
        <v>4.7230911742733878E-3</v>
      </c>
      <c r="X538" s="35">
        <f t="shared" si="45"/>
        <v>4.1518251102696689E-4</v>
      </c>
      <c r="Y538" s="33">
        <f t="shared" si="46"/>
        <v>1.6447826271203852E-3</v>
      </c>
      <c r="Z538" s="54"/>
    </row>
    <row r="539" spans="15:26" x14ac:dyDescent="0.25">
      <c r="O539" s="37" t="s">
        <v>31</v>
      </c>
      <c r="P539" s="31">
        <f>_xll.qlCalendarAdvance(Calendar,P538,O538,"f",,Trigger)</f>
        <v>44453</v>
      </c>
      <c r="Q539" s="31">
        <f>_xll.qlInterestRateIndexValueDate(Index,P539,Trigger)</f>
        <v>44455</v>
      </c>
      <c r="R539" s="31">
        <f>_xll.qlInterestRateIndexMaturity(Index,Q539,Trigger)</f>
        <v>44546</v>
      </c>
      <c r="S539" s="32">
        <f>_xll.qlDayCounterYearFraction(DayCounter,Q539,R539,,,Trigger)</f>
        <v>0.25277777777777777</v>
      </c>
      <c r="T539" s="33">
        <f>_xll.qlIndexFixing(Index,P539,,AllTriggers)</f>
        <v>6.3938562761307778E-3</v>
      </c>
      <c r="U539" s="34">
        <f>_xll.qlYieldTSDiscount(OisCurve,Q539,,AllTriggers)</f>
        <v>0.99669340322049194</v>
      </c>
      <c r="V539" s="34">
        <f>_xll.qlYieldTSDiscount(OisCurve,R539,,AllTriggers)</f>
        <v>0.99549835970819189</v>
      </c>
      <c r="W539" s="33">
        <f t="shared" si="44"/>
        <v>4.7490230575865941E-3</v>
      </c>
      <c r="X539" s="35">
        <f t="shared" si="45"/>
        <v>4.1519256108355743E-4</v>
      </c>
      <c r="Y539" s="33">
        <f t="shared" si="46"/>
        <v>1.6448332185441837E-3</v>
      </c>
      <c r="Z539" s="54"/>
    </row>
    <row r="540" spans="15:26" x14ac:dyDescent="0.25">
      <c r="O540" s="37" t="s">
        <v>31</v>
      </c>
      <c r="P540" s="31">
        <f>_xll.qlCalendarAdvance(Calendar,P539,O539,"f",,Trigger)</f>
        <v>44460</v>
      </c>
      <c r="Q540" s="31">
        <f>_xll.qlInterestRateIndexValueDate(Index,P540,Trigger)</f>
        <v>44462</v>
      </c>
      <c r="R540" s="31">
        <f>_xll.qlInterestRateIndexMaturity(Index,Q540,Trigger)</f>
        <v>44553</v>
      </c>
      <c r="S540" s="32">
        <f>_xll.qlDayCounterYearFraction(DayCounter,Q540,R540,,,Trigger)</f>
        <v>0.25277777777777777</v>
      </c>
      <c r="T540" s="33">
        <f>_xll.qlIndexFixing(Index,P540,,AllTriggers)</f>
        <v>6.4195486132738316E-3</v>
      </c>
      <c r="U540" s="34">
        <f>_xll.qlYieldTSDiscount(OisCurve,Q540,,AllTriggers)</f>
        <v>0.99660448335787777</v>
      </c>
      <c r="V540" s="34">
        <f>_xll.qlYieldTSDiscount(OisCurve,R540,,AllTriggers)</f>
        <v>0.99540310397902931</v>
      </c>
      <c r="W540" s="33">
        <f t="shared" si="44"/>
        <v>4.7746582380651919E-3</v>
      </c>
      <c r="X540" s="35">
        <f t="shared" si="45"/>
        <v>4.1520429896287688E-4</v>
      </c>
      <c r="Y540" s="33">
        <f t="shared" si="46"/>
        <v>1.6448903752086397E-3</v>
      </c>
      <c r="Z540" s="54"/>
    </row>
    <row r="541" spans="15:26" x14ac:dyDescent="0.25">
      <c r="O541" s="37" t="s">
        <v>31</v>
      </c>
      <c r="P541" s="31">
        <f>_xll.qlCalendarAdvance(Calendar,P540,O540,"f",,Trigger)</f>
        <v>44467</v>
      </c>
      <c r="Q541" s="31">
        <f>_xll.qlInterestRateIndexValueDate(Index,P541,Trigger)</f>
        <v>44469</v>
      </c>
      <c r="R541" s="31">
        <f>_xll.qlInterestRateIndexMaturity(Index,Q541,Trigger)</f>
        <v>44561</v>
      </c>
      <c r="S541" s="32">
        <f>_xll.qlDayCounterYearFraction(DayCounter,Q541,R541,,,Trigger)</f>
        <v>0.25555555555555554</v>
      </c>
      <c r="T541" s="33">
        <f>_xll.qlIndexFixing(Index,P541,,AllTriggers)</f>
        <v>6.446766662565365E-3</v>
      </c>
      <c r="U541" s="34">
        <f>_xll.qlYieldTSDiscount(OisCurve,Q541,,AllTriggers)</f>
        <v>0.99651504082772535</v>
      </c>
      <c r="V541" s="34">
        <f>_xll.qlYieldTSDiscount(OisCurve,R541,,AllTriggers)</f>
        <v>0.99529369421178815</v>
      </c>
      <c r="W541" s="33">
        <f t="shared" si="44"/>
        <v>4.801781060186458E-3</v>
      </c>
      <c r="X541" s="35">
        <f t="shared" si="45"/>
        <v>4.1978185714893244E-4</v>
      </c>
      <c r="Y541" s="33">
        <f t="shared" si="46"/>
        <v>1.644985602378907E-3</v>
      </c>
      <c r="Z541" s="54"/>
    </row>
    <row r="542" spans="15:26" x14ac:dyDescent="0.25">
      <c r="O542" s="37" t="s">
        <v>31</v>
      </c>
      <c r="P542" s="31">
        <f>_xll.qlCalendarAdvance(Calendar,P541,O541,"f",,Trigger)</f>
        <v>44474</v>
      </c>
      <c r="Q542" s="31">
        <f>_xll.qlInterestRateIndexValueDate(Index,P542,Trigger)</f>
        <v>44476</v>
      </c>
      <c r="R542" s="31">
        <f>_xll.qlInterestRateIndexMaturity(Index,Q542,Trigger)</f>
        <v>44568</v>
      </c>
      <c r="S542" s="32">
        <f>_xll.qlDayCounterYearFraction(DayCounter,Q542,R542,,,Trigger)</f>
        <v>0.25555555555555554</v>
      </c>
      <c r="T542" s="33">
        <f>_xll.qlIndexFixing(Index,P542,,AllTriggers)</f>
        <v>6.4718584320683954E-3</v>
      </c>
      <c r="U542" s="34">
        <f>_xll.qlYieldTSDiscount(OisCurve,Q542,,AllTriggers)</f>
        <v>0.99642508151713982</v>
      </c>
      <c r="V542" s="34">
        <f>_xll.qlYieldTSDiscount(OisCurve,R542,,AllTriggers)</f>
        <v>0.99519748943515252</v>
      </c>
      <c r="W542" s="33">
        <f t="shared" si="44"/>
        <v>4.8268019577820146E-3</v>
      </c>
      <c r="X542" s="35">
        <f t="shared" si="45"/>
        <v>4.1979725864087642E-4</v>
      </c>
      <c r="Y542" s="33">
        <f t="shared" si="46"/>
        <v>1.6450564742863808E-3</v>
      </c>
      <c r="Z542" s="54"/>
    </row>
    <row r="543" spans="15:26" x14ac:dyDescent="0.25">
      <c r="O543" s="37" t="s">
        <v>31</v>
      </c>
      <c r="P543" s="31">
        <f>_xll.qlCalendarAdvance(Calendar,P542,O542,"f",,Trigger)</f>
        <v>44481</v>
      </c>
      <c r="Q543" s="31">
        <f>_xll.qlInterestRateIndexValueDate(Index,P543,Trigger)</f>
        <v>44483</v>
      </c>
      <c r="R543" s="31">
        <f>_xll.qlInterestRateIndexMaturity(Index,Q543,Trigger)</f>
        <v>44575</v>
      </c>
      <c r="S543" s="32">
        <f>_xll.qlDayCounterYearFraction(DayCounter,Q543,R543,,,Trigger)</f>
        <v>0.25555555555555554</v>
      </c>
      <c r="T543" s="33">
        <f>_xll.qlIndexFixing(Index,P543,,AllTriggers)</f>
        <v>6.4966600433557101E-3</v>
      </c>
      <c r="U543" s="34">
        <f>_xll.qlYieldTSDiscount(OisCurve,Q543,,AllTriggers)</f>
        <v>0.9963346113119611</v>
      </c>
      <c r="V543" s="34">
        <f>_xll.qlYieldTSDiscount(OisCurve,R543,,AllTriggers)</f>
        <v>0.99510085098955114</v>
      </c>
      <c r="W543" s="33">
        <f t="shared" si="44"/>
        <v>4.8515261327962836E-3</v>
      </c>
      <c r="X543" s="35">
        <f t="shared" si="45"/>
        <v>4.1981436650343564E-4</v>
      </c>
      <c r="Y543" s="33">
        <f t="shared" si="46"/>
        <v>1.6451339105594265E-3</v>
      </c>
      <c r="Z543" s="54"/>
    </row>
    <row r="544" spans="15:26" x14ac:dyDescent="0.25">
      <c r="O544" s="37" t="s">
        <v>31</v>
      </c>
      <c r="P544" s="31">
        <f>_xll.qlCalendarAdvance(Calendar,P543,O543,"f",,Trigger)</f>
        <v>44488</v>
      </c>
      <c r="Q544" s="31">
        <f>_xll.qlInterestRateIndexValueDate(Index,P544,Trigger)</f>
        <v>44490</v>
      </c>
      <c r="R544" s="31">
        <f>_xll.qlInterestRateIndexMaturity(Index,Q544,Trigger)</f>
        <v>44582</v>
      </c>
      <c r="S544" s="32">
        <f>_xll.qlDayCounterYearFraction(DayCounter,Q544,R544,,,Trigger)</f>
        <v>0.25555555555555554</v>
      </c>
      <c r="T544" s="33">
        <f>_xll.qlIndexFixing(Index,P544,,AllTriggers)</f>
        <v>6.521171490918673E-3</v>
      </c>
      <c r="U544" s="34">
        <f>_xll.qlYieldTSDiscount(OisCurve,Q544,,AllTriggers)</f>
        <v>0.99624363609673461</v>
      </c>
      <c r="V544" s="34">
        <f>_xll.qlYieldTSDiscount(OisCurve,R544,,AllTriggers)</f>
        <v>0.99500378473988627</v>
      </c>
      <c r="W544" s="33">
        <f t="shared" si="44"/>
        <v>4.8759535796102814E-3</v>
      </c>
      <c r="X544" s="35">
        <f t="shared" si="45"/>
        <v>4.1983318073674441E-4</v>
      </c>
      <c r="Y544" s="33">
        <f t="shared" si="46"/>
        <v>1.6452179113083916E-3</v>
      </c>
      <c r="Z544" s="54"/>
    </row>
    <row r="545" spans="15:26" x14ac:dyDescent="0.25">
      <c r="O545" s="37" t="s">
        <v>31</v>
      </c>
      <c r="P545" s="31">
        <f>_xll.qlCalendarAdvance(Calendar,P544,O544,"f",,Trigger)</f>
        <v>44495</v>
      </c>
      <c r="Q545" s="31">
        <f>_xll.qlInterestRateIndexValueDate(Index,P545,Trigger)</f>
        <v>44497</v>
      </c>
      <c r="R545" s="31">
        <f>_xll.qlInterestRateIndexMaturity(Index,Q545,Trigger)</f>
        <v>44589</v>
      </c>
      <c r="S545" s="32">
        <f>_xll.qlDayCounterYearFraction(DayCounter,Q545,R545,,,Trigger)</f>
        <v>0.25555555555555554</v>
      </c>
      <c r="T545" s="33">
        <f>_xll.qlIndexFixing(Index,P545,,AllTriggers)</f>
        <v>6.5453927693103356E-3</v>
      </c>
      <c r="U545" s="34">
        <f>_xll.qlYieldTSDiscount(OisCurve,Q545,,AllTriggers)</f>
        <v>0.99615216175468124</v>
      </c>
      <c r="V545" s="34">
        <f>_xll.qlYieldTSDiscount(OisCurve,R545,,AllTriggers)</f>
        <v>0.99490629654937834</v>
      </c>
      <c r="W545" s="33">
        <f t="shared" si="44"/>
        <v>4.9000842926727947E-3</v>
      </c>
      <c r="X545" s="35">
        <f t="shared" si="45"/>
        <v>4.198537013400406E-4</v>
      </c>
      <c r="Y545" s="33">
        <f t="shared" si="46"/>
        <v>1.6453084766375409E-3</v>
      </c>
      <c r="Z545" s="54"/>
    </row>
    <row r="546" spans="15:26" x14ac:dyDescent="0.25">
      <c r="O546" s="37" t="s">
        <v>31</v>
      </c>
      <c r="P546" s="31">
        <f>_xll.qlCalendarAdvance(Calendar,P545,O545,"f",,Trigger)</f>
        <v>44502</v>
      </c>
      <c r="Q546" s="31">
        <f>_xll.qlInterestRateIndexValueDate(Index,P546,Trigger)</f>
        <v>44504</v>
      </c>
      <c r="R546" s="31">
        <f>_xll.qlInterestRateIndexMaturity(Index,Q546,Trigger)</f>
        <v>44596</v>
      </c>
      <c r="S546" s="32">
        <f>_xll.qlDayCounterYearFraction(DayCounter,Q546,R546,,,Trigger)</f>
        <v>0.25555555555555554</v>
      </c>
      <c r="T546" s="33">
        <f>_xll.qlIndexFixing(Index,P546,,AllTriggers)</f>
        <v>6.5693238731497862E-3</v>
      </c>
      <c r="U546" s="34">
        <f>_xll.qlYieldTSDiscount(OisCurve,Q546,,AllTriggers)</f>
        <v>0.996060194167668</v>
      </c>
      <c r="V546" s="34">
        <f>_xll.qlYieldTSDiscount(OisCurve,R546,,AllTriggers)</f>
        <v>0.99480839227954088</v>
      </c>
      <c r="W546" s="33">
        <f t="shared" si="44"/>
        <v>4.9239182664977789E-3</v>
      </c>
      <c r="X546" s="35">
        <f t="shared" si="45"/>
        <v>4.19875928314329E-4</v>
      </c>
      <c r="Y546" s="33">
        <f t="shared" si="46"/>
        <v>1.6454056066520072E-3</v>
      </c>
      <c r="Z546" s="54"/>
    </row>
    <row r="547" spans="15:26" x14ac:dyDescent="0.25">
      <c r="O547" s="37" t="s">
        <v>31</v>
      </c>
      <c r="P547" s="31">
        <f>_xll.qlCalendarAdvance(Calendar,P546,O546,"f",,Trigger)</f>
        <v>44509</v>
      </c>
      <c r="Q547" s="31">
        <f>_xll.qlInterestRateIndexValueDate(Index,P547,Trigger)</f>
        <v>44511</v>
      </c>
      <c r="R547" s="31">
        <f>_xll.qlInterestRateIndexMaturity(Index,Q547,Trigger)</f>
        <v>44603</v>
      </c>
      <c r="S547" s="32">
        <f>_xll.qlDayCounterYearFraction(DayCounter,Q547,R547,,,Trigger)</f>
        <v>0.25555555555555554</v>
      </c>
      <c r="T547" s="33">
        <f>_xll.qlIndexFixing(Index,P547,,AllTriggers)</f>
        <v>6.5929647971204068E-3</v>
      </c>
      <c r="U547" s="34">
        <f>_xll.qlYieldTSDiscount(OisCurve,Q547,,AllTriggers)</f>
        <v>0.99596773921617932</v>
      </c>
      <c r="V547" s="34">
        <f>_xll.qlYieldTSDiscount(OisCurve,R547,,AllTriggers)</f>
        <v>0.9947100777901563</v>
      </c>
      <c r="W547" s="33">
        <f t="shared" si="44"/>
        <v>4.9474554956686961E-3</v>
      </c>
      <c r="X547" s="35">
        <f t="shared" si="45"/>
        <v>4.1989986165882984E-4</v>
      </c>
      <c r="Y547" s="33">
        <f t="shared" si="46"/>
        <v>1.6455093014517107E-3</v>
      </c>
      <c r="Z547" s="54"/>
    </row>
    <row r="548" spans="15:26" x14ac:dyDescent="0.25">
      <c r="O548" s="37" t="s">
        <v>31</v>
      </c>
      <c r="P548" s="31">
        <f>_xll.qlCalendarAdvance(Calendar,P547,O547,"f",,Trigger)</f>
        <v>44516</v>
      </c>
      <c r="Q548" s="31">
        <f>_xll.qlInterestRateIndexValueDate(Index,P548,Trigger)</f>
        <v>44518</v>
      </c>
      <c r="R548" s="31">
        <f>_xll.qlInterestRateIndexMaturity(Index,Q548,Trigger)</f>
        <v>44610</v>
      </c>
      <c r="S548" s="32">
        <f>_xll.qlDayCounterYearFraction(DayCounter,Q548,R548,,,Trigger)</f>
        <v>0.25555555555555554</v>
      </c>
      <c r="T548" s="33">
        <f>_xll.qlIndexFixing(Index,P548,,AllTriggers)</f>
        <v>6.6163155359707472E-3</v>
      </c>
      <c r="U548" s="34">
        <f>_xll.qlYieldTSDiscount(OisCurve,Q548,,AllTriggers)</f>
        <v>0.99587480277928819</v>
      </c>
      <c r="V548" s="34">
        <f>_xll.qlYieldTSDiscount(OisCurve,R548,,AllTriggers)</f>
        <v>0.99461135893925134</v>
      </c>
      <c r="W548" s="33">
        <f t="shared" si="44"/>
        <v>4.970695974835914E-3</v>
      </c>
      <c r="X548" s="35">
        <f t="shared" si="45"/>
        <v>4.1992550137430847E-4</v>
      </c>
      <c r="Y548" s="33">
        <f t="shared" si="46"/>
        <v>1.6456195611348331E-3</v>
      </c>
      <c r="Z548" s="54"/>
    </row>
    <row r="549" spans="15:26" x14ac:dyDescent="0.25">
      <c r="O549" s="37" t="s">
        <v>31</v>
      </c>
      <c r="P549" s="31">
        <f>_xll.qlCalendarAdvance(Calendar,P548,O548,"f",,Trigger)</f>
        <v>44523</v>
      </c>
      <c r="Q549" s="31">
        <f>_xll.qlInterestRateIndexValueDate(Index,P549,Trigger)</f>
        <v>44525</v>
      </c>
      <c r="R549" s="31">
        <f>_xll.qlInterestRateIndexMaturity(Index,Q549,Trigger)</f>
        <v>44617</v>
      </c>
      <c r="S549" s="32">
        <f>_xll.qlDayCounterYearFraction(DayCounter,Q549,R549,,,Trigger)</f>
        <v>0.25555555555555554</v>
      </c>
      <c r="T549" s="33">
        <f>_xll.qlIndexFixing(Index,P549,,AllTriggers)</f>
        <v>6.6393760845119137E-3</v>
      </c>
      <c r="U549" s="34">
        <f>_xll.qlYieldTSDiscount(OisCurve,Q549,,AllTriggers)</f>
        <v>0.99578139073462824</v>
      </c>
      <c r="V549" s="34">
        <f>_xll.qlYieldTSDiscount(OisCurve,R549,,AllTriggers)</f>
        <v>0.99451224158307427</v>
      </c>
      <c r="W549" s="33">
        <f t="shared" si="44"/>
        <v>4.9936396987167002E-3</v>
      </c>
      <c r="X549" s="35">
        <f t="shared" si="45"/>
        <v>4.1995284746018977E-4</v>
      </c>
      <c r="Y549" s="33">
        <f t="shared" si="46"/>
        <v>1.6457363857952136E-3</v>
      </c>
      <c r="Z549" s="54"/>
    </row>
    <row r="550" spans="15:26" x14ac:dyDescent="0.25">
      <c r="O550" s="37" t="s">
        <v>31</v>
      </c>
      <c r="P550" s="31">
        <f>_xll.qlCalendarAdvance(Calendar,P549,O549,"f",,Trigger)</f>
        <v>44530</v>
      </c>
      <c r="Q550" s="31">
        <f>_xll.qlInterestRateIndexValueDate(Index,P550,Trigger)</f>
        <v>44532</v>
      </c>
      <c r="R550" s="31">
        <f>_xll.qlInterestRateIndexMaturity(Index,Q550,Trigger)</f>
        <v>44622</v>
      </c>
      <c r="S550" s="32">
        <f>_xll.qlDayCounterYearFraction(DayCounter,Q550,R550,,,Trigger)</f>
        <v>0.25</v>
      </c>
      <c r="T550" s="33">
        <f>_xll.qlIndexFixing(Index,P550,,AllTriggers)</f>
        <v>6.6588780598868524E-3</v>
      </c>
      <c r="U550" s="34">
        <f>_xll.qlYieldTSDiscount(OisCurve,Q550,,AllTriggers)</f>
        <v>0.99568750895836522</v>
      </c>
      <c r="V550" s="34">
        <f>_xll.qlYieldTSDiscount(OisCurve,R550,,AllTriggers)</f>
        <v>0.99444120273175884</v>
      </c>
      <c r="W550" s="33">
        <f t="shared" si="44"/>
        <v>5.0130916666875081E-3</v>
      </c>
      <c r="X550" s="35">
        <f t="shared" si="45"/>
        <v>4.1084717960708804E-4</v>
      </c>
      <c r="Y550" s="33">
        <f t="shared" si="46"/>
        <v>1.6457863931993444E-3</v>
      </c>
      <c r="Z550" s="54"/>
    </row>
    <row r="551" spans="15:26" x14ac:dyDescent="0.25">
      <c r="O551" s="37" t="s">
        <v>31</v>
      </c>
      <c r="P551" s="31">
        <f>_xll.qlCalendarAdvance(Calendar,P550,O550,"f",,Trigger)</f>
        <v>44537</v>
      </c>
      <c r="Q551" s="31">
        <f>_xll.qlInterestRateIndexValueDate(Index,P551,Trigger)</f>
        <v>44539</v>
      </c>
      <c r="R551" s="31">
        <f>_xll.qlInterestRateIndexMaturity(Index,Q551,Trigger)</f>
        <v>44629</v>
      </c>
      <c r="S551" s="32">
        <f>_xll.qlDayCounterYearFraction(DayCounter,Q551,R551,,,Trigger)</f>
        <v>0.25</v>
      </c>
      <c r="T551" s="33">
        <f>_xll.qlIndexFixing(Index,P551,,AllTriggers)</f>
        <v>6.6813988366822841E-3</v>
      </c>
      <c r="U551" s="34">
        <f>_xll.qlYieldTSDiscount(OisCurve,Q551,,AllTriggers)</f>
        <v>0.99559316332517034</v>
      </c>
      <c r="V551" s="34">
        <f>_xll.qlYieldTSDiscount(OisCurve,R551,,AllTriggers)</f>
        <v>0.99434141584322311</v>
      </c>
      <c r="W551" s="33">
        <f t="shared" si="44"/>
        <v>5.0354836357113797E-3</v>
      </c>
      <c r="X551" s="35">
        <f t="shared" si="45"/>
        <v>4.1087703129583726E-4</v>
      </c>
      <c r="Y551" s="33">
        <f t="shared" si="46"/>
        <v>1.6459152009709044E-3</v>
      </c>
      <c r="Z551" s="54"/>
    </row>
    <row r="552" spans="15:26" x14ac:dyDescent="0.25">
      <c r="O552" s="37" t="s">
        <v>31</v>
      </c>
      <c r="P552" s="31">
        <f>_xll.qlCalendarAdvance(Calendar,P551,O551,"f",,Trigger)</f>
        <v>44544</v>
      </c>
      <c r="Q552" s="31">
        <f>_xll.qlInterestRateIndexValueDate(Index,P552,Trigger)</f>
        <v>44546</v>
      </c>
      <c r="R552" s="31">
        <f>_xll.qlInterestRateIndexMaturity(Index,Q552,Trigger)</f>
        <v>44636</v>
      </c>
      <c r="S552" s="32">
        <f>_xll.qlDayCounterYearFraction(DayCounter,Q552,R552,,,Trigger)</f>
        <v>0.25</v>
      </c>
      <c r="T552" s="33">
        <f>_xll.qlIndexFixing(Index,P552,,AllTriggers)</f>
        <v>6.7036294166804566E-3</v>
      </c>
      <c r="U552" s="34">
        <f>_xll.qlYieldTSDiscount(OisCurve,Q552,,AllTriggers)</f>
        <v>0.99549835970819189</v>
      </c>
      <c r="V552" s="34">
        <f>_xll.qlYieldTSDiscount(OisCurve,R552,,AllTriggers)</f>
        <v>0.99424124633579336</v>
      </c>
      <c r="W552" s="33">
        <f t="shared" si="44"/>
        <v>5.0575788402724697E-3</v>
      </c>
      <c r="X552" s="35">
        <f t="shared" si="45"/>
        <v>4.1090855226002648E-4</v>
      </c>
      <c r="Y552" s="33">
        <f t="shared" si="46"/>
        <v>1.6460505764079869E-3</v>
      </c>
      <c r="Z552" s="54"/>
    </row>
    <row r="553" spans="15:26" x14ac:dyDescent="0.25">
      <c r="O553" s="37" t="s">
        <v>31</v>
      </c>
      <c r="P553" s="31">
        <f>_xll.qlCalendarAdvance(Calendar,P552,O552,"f",,Trigger)</f>
        <v>44551</v>
      </c>
      <c r="Q553" s="31">
        <f>_xll.qlInterestRateIndexValueDate(Index,P553,Trigger)</f>
        <v>44553</v>
      </c>
      <c r="R553" s="31">
        <f>_xll.qlInterestRateIndexMaturity(Index,Q553,Trigger)</f>
        <v>44643</v>
      </c>
      <c r="S553" s="32">
        <f>_xll.qlDayCounterYearFraction(DayCounter,Q553,R553,,,Trigger)</f>
        <v>0.25</v>
      </c>
      <c r="T553" s="33">
        <f>_xll.qlIndexFixing(Index,P553,,AllTriggers)</f>
        <v>6.7255697950496796E-3</v>
      </c>
      <c r="U553" s="34">
        <f>_xll.qlYieldTSDiscount(OisCurve,Q553,,AllTriggers)</f>
        <v>0.99540310397902931</v>
      </c>
      <c r="V553" s="34">
        <f>_xll.qlYieldTSDiscount(OisCurve,R553,,AllTriggers)</f>
        <v>0.99414070005890764</v>
      </c>
      <c r="W553" s="33">
        <f t="shared" si="44"/>
        <v>5.0793772754573752E-3</v>
      </c>
      <c r="X553" s="35">
        <f t="shared" si="45"/>
        <v>4.1094174249971981E-4</v>
      </c>
      <c r="Y553" s="33">
        <f t="shared" si="46"/>
        <v>1.6461925195923044E-3</v>
      </c>
      <c r="Z553" s="54"/>
    </row>
    <row r="554" spans="15:26" x14ac:dyDescent="0.25">
      <c r="O554" s="37" t="s">
        <v>31</v>
      </c>
      <c r="P554" s="31">
        <f>_xll.qlCalendarAdvance(Calendar,P553,O553,"f",,Trigger)</f>
        <v>44558</v>
      </c>
      <c r="Q554" s="31">
        <f>_xll.qlInterestRateIndexValueDate(Index,P554,Trigger)</f>
        <v>44560</v>
      </c>
      <c r="R554" s="31">
        <f>_xll.qlInterestRateIndexMaturity(Index,Q554,Trigger)</f>
        <v>44650</v>
      </c>
      <c r="S554" s="32">
        <f>_xll.qlDayCounterYearFraction(DayCounter,Q554,R554,,,Trigger)</f>
        <v>0.25</v>
      </c>
      <c r="T554" s="33">
        <f>_xll.qlIndexFixing(Index,P554,,AllTriggers)</f>
        <v>6.7472199670204347E-3</v>
      </c>
      <c r="U554" s="34">
        <f>_xll.qlYieldTSDiscount(OisCurve,Q554,,AllTriggers)</f>
        <v>0.9953074020077064</v>
      </c>
      <c r="V554" s="34">
        <f>_xll.qlYieldTSDiscount(OisCurve,R554,,AllTriggers)</f>
        <v>0.99403978286011785</v>
      </c>
      <c r="W554" s="33">
        <f t="shared" si="44"/>
        <v>5.1008789364193063E-3</v>
      </c>
      <c r="X554" s="35">
        <f t="shared" si="45"/>
        <v>4.1097660201497299E-4</v>
      </c>
      <c r="Y554" s="33">
        <f t="shared" si="46"/>
        <v>1.6463410306011284E-3</v>
      </c>
      <c r="Z554" s="54"/>
    </row>
    <row r="555" spans="15:26" x14ac:dyDescent="0.25">
      <c r="O555" s="37" t="s">
        <v>31</v>
      </c>
      <c r="P555" s="31">
        <f>_xll.qlCalendarAdvance(Calendar,P554,O554,"f",,Trigger)</f>
        <v>44565</v>
      </c>
      <c r="Q555" s="31">
        <f>_xll.qlInterestRateIndexValueDate(Index,P555,Trigger)</f>
        <v>44567</v>
      </c>
      <c r="R555" s="31">
        <f>_xll.qlInterestRateIndexMaturity(Index,Q555,Trigger)</f>
        <v>44657</v>
      </c>
      <c r="S555" s="32">
        <f>_xll.qlDayCounterYearFraction(DayCounter,Q555,R555,,,Trigger)</f>
        <v>0.25</v>
      </c>
      <c r="T555" s="33">
        <f>_xll.qlIndexFixing(Index,P555,,AllTriggers)</f>
        <v>6.768579927888041E-3</v>
      </c>
      <c r="U555" s="34">
        <f>_xll.qlYieldTSDiscount(OisCurve,Q555,,AllTriggers)</f>
        <v>0.99521125966264457</v>
      </c>
      <c r="V555" s="34">
        <f>_xll.qlYieldTSDiscount(OisCurve,R555,,AllTriggers)</f>
        <v>0.99393850058506739</v>
      </c>
      <c r="W555" s="33">
        <f t="shared" si="44"/>
        <v>5.1220838183771988E-3</v>
      </c>
      <c r="X555" s="35">
        <f t="shared" si="45"/>
        <v>4.1101313080561146E-4</v>
      </c>
      <c r="Y555" s="33">
        <f t="shared" si="46"/>
        <v>1.6464961095108421E-3</v>
      </c>
      <c r="Z555" s="54"/>
    </row>
    <row r="556" spans="15:26" x14ac:dyDescent="0.25">
      <c r="O556" s="37" t="s">
        <v>31</v>
      </c>
      <c r="P556" s="31">
        <f>_xll.qlCalendarAdvance(Calendar,P555,O555,"f",,Trigger)</f>
        <v>44572</v>
      </c>
      <c r="Q556" s="31">
        <f>_xll.qlInterestRateIndexValueDate(Index,P556,Trigger)</f>
        <v>44574</v>
      </c>
      <c r="R556" s="31">
        <f>_xll.qlInterestRateIndexMaturity(Index,Q556,Trigger)</f>
        <v>44664</v>
      </c>
      <c r="S556" s="32">
        <f>_xll.qlDayCounterYearFraction(DayCounter,Q556,R556,,,Trigger)</f>
        <v>0.25</v>
      </c>
      <c r="T556" s="33">
        <f>_xll.qlIndexFixing(Index,P556,,AllTriggers)</f>
        <v>6.7896496730099898E-3</v>
      </c>
      <c r="U556" s="34">
        <f>_xll.qlYieldTSDiscount(OisCurve,Q556,,AllTriggers)</f>
        <v>0.99511468281063808</v>
      </c>
      <c r="V556" s="34">
        <f>_xll.qlYieldTSDiscount(OisCurve,R556,,AllTriggers)</f>
        <v>0.99383685907747055</v>
      </c>
      <c r="W556" s="33">
        <f t="shared" si="44"/>
        <v>5.1429919166157134E-3</v>
      </c>
      <c r="X556" s="35">
        <f t="shared" si="45"/>
        <v>4.1105132887211807E-4</v>
      </c>
      <c r="Y556" s="33">
        <f t="shared" si="46"/>
        <v>1.6466577563942764E-3</v>
      </c>
      <c r="Z556" s="54"/>
    </row>
    <row r="557" spans="15:26" x14ac:dyDescent="0.25">
      <c r="O557" s="37" t="s">
        <v>31</v>
      </c>
      <c r="P557" s="31">
        <f>_xll.qlCalendarAdvance(Calendar,P556,O556,"f",,Trigger)</f>
        <v>44579</v>
      </c>
      <c r="Q557" s="31">
        <f>_xll.qlInterestRateIndexValueDate(Index,P557,Trigger)</f>
        <v>44581</v>
      </c>
      <c r="R557" s="31">
        <f>_xll.qlInterestRateIndexMaturity(Index,Q557,Trigger)</f>
        <v>44671</v>
      </c>
      <c r="S557" s="32">
        <f>_xll.qlDayCounterYearFraction(DayCounter,Q557,R557,,,Trigger)</f>
        <v>0.25</v>
      </c>
      <c r="T557" s="33">
        <f>_xll.qlIndexFixing(Index,P557,,AllTriggers)</f>
        <v>6.810429197805945E-3</v>
      </c>
      <c r="U557" s="34">
        <f>_xll.qlYieldTSDiscount(OisCurve,Q557,,AllTriggers)</f>
        <v>0.99501767731682733</v>
      </c>
      <c r="V557" s="34">
        <f>_xll.qlYieldTSDiscount(OisCurve,R557,,AllTriggers)</f>
        <v>0.99373486417909052</v>
      </c>
      <c r="W557" s="33">
        <f t="shared" si="44"/>
        <v>5.1636032264861242E-3</v>
      </c>
      <c r="X557" s="35">
        <f t="shared" si="45"/>
        <v>4.1109119621385775E-4</v>
      </c>
      <c r="Y557" s="33">
        <f t="shared" si="46"/>
        <v>1.6468259713198208E-3</v>
      </c>
      <c r="Z557" s="54"/>
    </row>
    <row r="558" spans="15:26" x14ac:dyDescent="0.25">
      <c r="O558" s="37" t="s">
        <v>31</v>
      </c>
      <c r="P558" s="31">
        <f>_xll.qlCalendarAdvance(Calendar,P557,O557,"f",,Trigger)</f>
        <v>44586</v>
      </c>
      <c r="Q558" s="31">
        <f>_xll.qlInterestRateIndexValueDate(Index,P558,Trigger)</f>
        <v>44588</v>
      </c>
      <c r="R558" s="31">
        <f>_xll.qlInterestRateIndexMaturity(Index,Q558,Trigger)</f>
        <v>44678</v>
      </c>
      <c r="S558" s="32">
        <f>_xll.qlDayCounterYearFraction(DayCounter,Q558,R558,,,Trigger)</f>
        <v>0.25</v>
      </c>
      <c r="T558" s="33">
        <f>_xll.qlIndexFixing(Index,P558,,AllTriggers)</f>
        <v>6.8309184977604076E-3</v>
      </c>
      <c r="U558" s="34">
        <f>_xll.qlYieldTSDiscount(OisCurve,Q558,,AllTriggers)</f>
        <v>0.99492024904467435</v>
      </c>
      <c r="V558" s="34">
        <f>_xll.qlYieldTSDiscount(OisCurve,R558,,AllTriggers)</f>
        <v>0.99363252172971961</v>
      </c>
      <c r="W558" s="33">
        <f t="shared" si="44"/>
        <v>5.1839177434054307E-3</v>
      </c>
      <c r="X558" s="35">
        <f t="shared" si="45"/>
        <v>4.1113273283129666E-4</v>
      </c>
      <c r="Y558" s="33">
        <f t="shared" si="46"/>
        <v>1.6470007543549769E-3</v>
      </c>
      <c r="Z558" s="54"/>
    </row>
    <row r="559" spans="15:26" x14ac:dyDescent="0.25">
      <c r="O559" s="37" t="s">
        <v>31</v>
      </c>
      <c r="P559" s="31">
        <f>_xll.qlCalendarAdvance(Calendar,P558,O558,"f",,Trigger)</f>
        <v>44593</v>
      </c>
      <c r="Q559" s="31">
        <f>_xll.qlInterestRateIndexValueDate(Index,P559,Trigger)</f>
        <v>44595</v>
      </c>
      <c r="R559" s="31">
        <f>_xll.qlInterestRateIndexMaturity(Index,Q559,Trigger)</f>
        <v>44684</v>
      </c>
      <c r="S559" s="32">
        <f>_xll.qlDayCounterYearFraction(DayCounter,Q559,R559,,,Trigger)</f>
        <v>0.24722222222222223</v>
      </c>
      <c r="T559" s="33">
        <f>_xll.qlIndexFixing(Index,P559,,AllTriggers)</f>
        <v>6.849664428957329E-3</v>
      </c>
      <c r="U559" s="34">
        <f>_xll.qlYieldTSDiscount(OisCurve,Q559,,AllTriggers)</f>
        <v>0.99482240385593834</v>
      </c>
      <c r="V559" s="34">
        <f>_xll.qlYieldTSDiscount(OisCurve,R559,,AllTriggers)</f>
        <v>0.99354452718735309</v>
      </c>
      <c r="W559" s="33">
        <f t="shared" si="44"/>
        <v>5.2025240864005005E-3</v>
      </c>
      <c r="X559" s="35">
        <f t="shared" si="45"/>
        <v>4.066039491828847E-4</v>
      </c>
      <c r="Y559" s="33">
        <f t="shared" si="46"/>
        <v>1.6471403425568285E-3</v>
      </c>
      <c r="Z559" s="54"/>
    </row>
    <row r="560" spans="15:26" x14ac:dyDescent="0.25">
      <c r="O560" s="37" t="s">
        <v>31</v>
      </c>
      <c r="P560" s="31">
        <f>_xll.qlCalendarAdvance(Calendar,P559,O559,"f",,Trigger)</f>
        <v>44600</v>
      </c>
      <c r="Q560" s="31">
        <f>_xll.qlInterestRateIndexValueDate(Index,P560,Trigger)</f>
        <v>44602</v>
      </c>
      <c r="R560" s="31">
        <f>_xll.qlInterestRateIndexMaturity(Index,Q560,Trigger)</f>
        <v>44691</v>
      </c>
      <c r="S560" s="32">
        <f>_xll.qlDayCounterYearFraction(DayCounter,Q560,R560,,,Trigger)</f>
        <v>0.24722222222222223</v>
      </c>
      <c r="T560" s="33">
        <f>_xll.qlIndexFixing(Index,P560,,AllTriggers)</f>
        <v>6.8696126558703387E-3</v>
      </c>
      <c r="U560" s="34">
        <f>_xll.qlYieldTSDiscount(OisCurve,Q560,,AllTriggers)</f>
        <v>0.99472414761065009</v>
      </c>
      <c r="V560" s="34">
        <f>_xll.qlYieldTSDiscount(OisCurve,R560,,AllTriggers)</f>
        <v>0.99344154990518618</v>
      </c>
      <c r="W560" s="33">
        <f t="shared" si="44"/>
        <v>5.2222857631090136E-3</v>
      </c>
      <c r="X560" s="35">
        <f t="shared" si="45"/>
        <v>4.0664800683811207E-4</v>
      </c>
      <c r="Y560" s="33">
        <f t="shared" si="46"/>
        <v>1.6473268927613251E-3</v>
      </c>
      <c r="Z560" s="54"/>
    </row>
    <row r="561" spans="15:26" x14ac:dyDescent="0.25">
      <c r="O561" s="37" t="s">
        <v>31</v>
      </c>
      <c r="P561" s="31">
        <f>_xll.qlCalendarAdvance(Calendar,P560,O560,"f",,Trigger)</f>
        <v>44607</v>
      </c>
      <c r="Q561" s="31">
        <f>_xll.qlInterestRateIndexValueDate(Index,P561,Trigger)</f>
        <v>44609</v>
      </c>
      <c r="R561" s="31">
        <f>_xll.qlInterestRateIndexMaturity(Index,Q561,Trigger)</f>
        <v>44698</v>
      </c>
      <c r="S561" s="32">
        <f>_xll.qlDayCounterYearFraction(DayCounter,Q561,R561,,,Trigger)</f>
        <v>0.24722222222222223</v>
      </c>
      <c r="T561" s="33">
        <f>_xll.qlIndexFixing(Index,P561,,AllTriggers)</f>
        <v>6.8893192442207067E-3</v>
      </c>
      <c r="U561" s="34">
        <f>_xll.qlYieldTSDiscount(OisCurve,Q561,,AllTriggers)</f>
        <v>0.99462548616708923</v>
      </c>
      <c r="V561" s="34">
        <f>_xll.qlYieldTSDiscount(OisCurve,R561,,AllTriggers)</f>
        <v>0.99333822932418769</v>
      </c>
      <c r="W561" s="33">
        <f t="shared" si="44"/>
        <v>5.2418012898577853E-3</v>
      </c>
      <c r="X561" s="35">
        <f t="shared" si="45"/>
        <v>4.0669320219417066E-4</v>
      </c>
      <c r="Y561" s="33">
        <f t="shared" si="46"/>
        <v>1.6475179543629214E-3</v>
      </c>
      <c r="Z561" s="54"/>
    </row>
    <row r="562" spans="15:26" x14ac:dyDescent="0.25">
      <c r="O562" s="37" t="s">
        <v>31</v>
      </c>
      <c r="P562" s="31">
        <f>_xll.qlCalendarAdvance(Calendar,P561,O561,"f",,Trigger)</f>
        <v>44614</v>
      </c>
      <c r="Q562" s="31">
        <f>_xll.qlInterestRateIndexValueDate(Index,P562,Trigger)</f>
        <v>44616</v>
      </c>
      <c r="R562" s="31">
        <f>_xll.qlInterestRateIndexMaturity(Index,Q562,Trigger)</f>
        <v>44705</v>
      </c>
      <c r="S562" s="32">
        <f>_xll.qlDayCounterYearFraction(DayCounter,Q562,R562,,,Trigger)</f>
        <v>0.24722222222222223</v>
      </c>
      <c r="T562" s="33">
        <f>_xll.qlIndexFixing(Index,P562,,AllTriggers)</f>
        <v>6.9088151144090547E-3</v>
      </c>
      <c r="U562" s="34">
        <f>_xll.qlYieldTSDiscount(OisCurve,Q562,,AllTriggers)</f>
        <v>0.99452642538175906</v>
      </c>
      <c r="V562" s="34">
        <f>_xll.qlYieldTSDiscount(OisCurve,R562,,AllTriggers)</f>
        <v>0.99323456337557547</v>
      </c>
      <c r="W562" s="33">
        <f t="shared" si="44"/>
        <v>5.2611028967180125E-3</v>
      </c>
      <c r="X562" s="35">
        <f t="shared" si="45"/>
        <v>4.0673920877942299E-4</v>
      </c>
      <c r="Y562" s="33">
        <f t="shared" si="46"/>
        <v>1.6477122176910422E-3</v>
      </c>
      <c r="Z562" s="54"/>
    </row>
    <row r="563" spans="15:26" x14ac:dyDescent="0.25">
      <c r="O563" s="37" t="s">
        <v>31</v>
      </c>
      <c r="P563" s="31">
        <f>_xll.qlCalendarAdvance(Calendar,P562,O562,"f",,Trigger)</f>
        <v>44621</v>
      </c>
      <c r="Q563" s="31">
        <f>_xll.qlInterestRateIndexValueDate(Index,P563,Trigger)</f>
        <v>44623</v>
      </c>
      <c r="R563" s="31">
        <f>_xll.qlInterestRateIndexMaturity(Index,Q563,Trigger)</f>
        <v>44715</v>
      </c>
      <c r="S563" s="32">
        <f>_xll.qlDayCounterYearFraction(DayCounter,Q563,R563,,,Trigger)</f>
        <v>0.25555555555555554</v>
      </c>
      <c r="T563" s="33">
        <f>_xll.qlIndexFixing(Index,P563,,AllTriggers)</f>
        <v>6.9323743097452059E-3</v>
      </c>
      <c r="U563" s="34">
        <f>_xll.qlYieldTSDiscount(OisCurve,Q563,,AllTriggers)</f>
        <v>0.99442697110936396</v>
      </c>
      <c r="V563" s="34">
        <f>_xll.qlYieldTSDiscount(OisCurve,R563,,AllTriggers)</f>
        <v>0.99308586595759507</v>
      </c>
      <c r="W563" s="33">
        <f t="shared" si="44"/>
        <v>5.2843393987198426E-3</v>
      </c>
      <c r="X563" s="35">
        <f t="shared" si="45"/>
        <v>4.2050806007156864E-4</v>
      </c>
      <c r="Y563" s="33">
        <f t="shared" si="46"/>
        <v>1.6480349110253633E-3</v>
      </c>
      <c r="Z563" s="54"/>
    </row>
    <row r="564" spans="15:26" x14ac:dyDescent="0.25">
      <c r="O564" s="37" t="s">
        <v>31</v>
      </c>
      <c r="P564" s="31">
        <f>_xll.qlCalendarAdvance(Calendar,P563,O563,"f",,Trigger)</f>
        <v>44628</v>
      </c>
      <c r="Q564" s="31">
        <f>_xll.qlInterestRateIndexValueDate(Index,P564,Trigger)</f>
        <v>44630</v>
      </c>
      <c r="R564" s="31">
        <f>_xll.qlInterestRateIndexMaturity(Index,Q564,Trigger)</f>
        <v>44722</v>
      </c>
      <c r="S564" s="32">
        <f>_xll.qlDayCounterYearFraction(DayCounter,Q564,R564,,,Trigger)</f>
        <v>0.25555555555555554</v>
      </c>
      <c r="T564" s="33">
        <f>_xll.qlIndexFixing(Index,P564,,AllTriggers)</f>
        <v>6.9515351779355595E-3</v>
      </c>
      <c r="U564" s="34">
        <f>_xll.qlYieldTSDiscount(OisCurve,Q564,,AllTriggers)</f>
        <v>0.99432712920278654</v>
      </c>
      <c r="V564" s="34">
        <f>_xll.qlYieldTSDiscount(OisCurve,R564,,AllTriggers)</f>
        <v>0.99298135265398191</v>
      </c>
      <c r="W564" s="33">
        <f t="shared" si="44"/>
        <v>5.3033041692286259E-3</v>
      </c>
      <c r="X564" s="35">
        <f t="shared" si="45"/>
        <v>4.2055605022696201E-4</v>
      </c>
      <c r="Y564" s="33">
        <f t="shared" si="46"/>
        <v>1.6482310087069336E-3</v>
      </c>
      <c r="Z564" s="54"/>
    </row>
    <row r="565" spans="15:26" x14ac:dyDescent="0.25">
      <c r="O565" s="37" t="s">
        <v>31</v>
      </c>
      <c r="P565" s="31">
        <f>_xll.qlCalendarAdvance(Calendar,P564,O564,"f",,Trigger)</f>
        <v>44635</v>
      </c>
      <c r="Q565" s="31">
        <f>_xll.qlInterestRateIndexValueDate(Index,P565,Trigger)</f>
        <v>44637</v>
      </c>
      <c r="R565" s="31">
        <f>_xll.qlInterestRateIndexMaturity(Index,Q565,Trigger)</f>
        <v>44729</v>
      </c>
      <c r="S565" s="32">
        <f>_xll.qlDayCounterYearFraction(DayCounter,Q565,R565,,,Trigger)</f>
        <v>0.25555555555555554</v>
      </c>
      <c r="T565" s="33">
        <f>_xll.qlIndexFixing(Index,P565,,AllTriggers)</f>
        <v>6.9705852922320316E-3</v>
      </c>
      <c r="U565" s="34">
        <f>_xll.qlYieldTSDiscount(OisCurve,Q565,,AllTriggers)</f>
        <v>0.99422690551306359</v>
      </c>
      <c r="V565" s="34">
        <f>_xll.qlYieldTSDiscount(OisCurve,R565,,AllTriggers)</f>
        <v>0.99287648689945751</v>
      </c>
      <c r="W565" s="33">
        <f t="shared" si="44"/>
        <v>5.3221592198190405E-3</v>
      </c>
      <c r="X565" s="35">
        <f t="shared" si="45"/>
        <v>4.2060378792251155E-4</v>
      </c>
      <c r="Y565" s="33">
        <f t="shared" si="46"/>
        <v>1.6484260724129911E-3</v>
      </c>
      <c r="Z565" s="54"/>
    </row>
    <row r="566" spans="15:26" x14ac:dyDescent="0.25">
      <c r="O566" s="37" t="s">
        <v>31</v>
      </c>
      <c r="P566" s="31">
        <f>_xll.qlCalendarAdvance(Calendar,P565,O565,"f",,Trigger)</f>
        <v>44642</v>
      </c>
      <c r="Q566" s="31">
        <f>_xll.qlInterestRateIndexValueDate(Index,P566,Trigger)</f>
        <v>44644</v>
      </c>
      <c r="R566" s="31">
        <f>_xll.qlInterestRateIndexMaturity(Index,Q566,Trigger)</f>
        <v>44736</v>
      </c>
      <c r="S566" s="32">
        <f>_xll.qlDayCounterYearFraction(DayCounter,Q566,R566,,,Trigger)</f>
        <v>0.25555555555555554</v>
      </c>
      <c r="T566" s="33">
        <f>_xll.qlIndexFixing(Index,P566,,AllTriggers)</f>
        <v>6.9895545688953946E-3</v>
      </c>
      <c r="U566" s="34">
        <f>_xll.qlYieldTSDiscount(OisCurve,Q566,,AllTriggers)</f>
        <v>0.99412630588936546</v>
      </c>
      <c r="V566" s="34">
        <f>_xll.qlYieldTSDiscount(OisCurve,R566,,AllTriggers)</f>
        <v>0.99277126663091098</v>
      </c>
      <c r="W566" s="33">
        <f t="shared" si="44"/>
        <v>5.3409357334412216E-3</v>
      </c>
      <c r="X566" s="35">
        <f t="shared" si="45"/>
        <v>4.2065094668620703E-4</v>
      </c>
      <c r="Y566" s="33">
        <f t="shared" si="46"/>
        <v>1.648618835454173E-3</v>
      </c>
      <c r="Z566" s="54"/>
    </row>
    <row r="567" spans="15:26" x14ac:dyDescent="0.25">
      <c r="O567" s="37" t="s">
        <v>31</v>
      </c>
      <c r="P567" s="31">
        <f>_xll.qlCalendarAdvance(Calendar,P566,O566,"f",,Trigger)</f>
        <v>44649</v>
      </c>
      <c r="Q567" s="31">
        <f>_xll.qlInterestRateIndexValueDate(Index,P567,Trigger)</f>
        <v>44651</v>
      </c>
      <c r="R567" s="31">
        <f>_xll.qlInterestRateIndexMaturity(Index,Q567,Trigger)</f>
        <v>44742</v>
      </c>
      <c r="S567" s="32">
        <f>_xll.qlDayCounterYearFraction(DayCounter,Q567,R567,,,Trigger)</f>
        <v>0.25277777777777777</v>
      </c>
      <c r="T567" s="33">
        <f>_xll.qlIndexFixing(Index,P567,,AllTriggers)</f>
        <v>7.0070532673576049E-3</v>
      </c>
      <c r="U567" s="34">
        <f>_xll.qlYieldTSDiscount(OisCurve,Q567,,AllTriggers)</f>
        <v>0.99402533617897237</v>
      </c>
      <c r="V567" s="34">
        <f>_xll.qlYieldTSDiscount(OisCurve,R567,,AllTriggers)</f>
        <v>0.99268079410215426</v>
      </c>
      <c r="W567" s="33">
        <f t="shared" si="44"/>
        <v>5.3582859548054959E-3</v>
      </c>
      <c r="X567" s="35">
        <f t="shared" si="45"/>
        <v>4.1612141154865511E-4</v>
      </c>
      <c r="Y567" s="33">
        <f t="shared" si="46"/>
        <v>1.648767312552109E-3</v>
      </c>
      <c r="Z567" s="54"/>
    </row>
    <row r="568" spans="15:26" x14ac:dyDescent="0.25">
      <c r="O568" s="37" t="s">
        <v>31</v>
      </c>
      <c r="P568" s="31">
        <f>_xll.qlCalendarAdvance(Calendar,P567,O567,"f",,Trigger)</f>
        <v>44656</v>
      </c>
      <c r="Q568" s="31">
        <f>_xll.qlInterestRateIndexValueDate(Index,P568,Trigger)</f>
        <v>44658</v>
      </c>
      <c r="R568" s="31">
        <f>_xll.qlInterestRateIndexMaturity(Index,Q568,Trigger)</f>
        <v>44749</v>
      </c>
      <c r="S568" s="32">
        <f>_xll.qlDayCounterYearFraction(DayCounter,Q568,R568,,,Trigger)</f>
        <v>0.25277777777777777</v>
      </c>
      <c r="T568" s="33">
        <f>_xll.qlIndexFixing(Index,P568,,AllTriggers)</f>
        <v>7.0259450940645621E-3</v>
      </c>
      <c r="U568" s="34">
        <f>_xll.qlYieldTSDiscount(OisCurve,Q568,,AllTriggers)</f>
        <v>0.99392400222725352</v>
      </c>
      <c r="V568" s="34">
        <f>_xll.qlYieldTSDiscount(OisCurve,R568,,AllTriggers)</f>
        <v>0.99257490998130626</v>
      </c>
      <c r="W568" s="33">
        <f t="shared" si="44"/>
        <v>5.3769928819038621E-3</v>
      </c>
      <c r="X568" s="35">
        <f t="shared" si="45"/>
        <v>4.1616610256956627E-4</v>
      </c>
      <c r="Y568" s="33">
        <f t="shared" si="46"/>
        <v>1.6489522121607E-3</v>
      </c>
      <c r="Z568" s="54"/>
    </row>
    <row r="569" spans="15:26" x14ac:dyDescent="0.25">
      <c r="O569" s="37" t="s">
        <v>31</v>
      </c>
      <c r="P569" s="31">
        <f>_xll.qlCalendarAdvance(Calendar,P568,O568,"f",,Trigger)</f>
        <v>44663</v>
      </c>
      <c r="Q569" s="31">
        <f>_xll.qlInterestRateIndexValueDate(Index,P569,Trigger)</f>
        <v>44665</v>
      </c>
      <c r="R569" s="31">
        <f>_xll.qlInterestRateIndexMaturity(Index,Q569,Trigger)</f>
        <v>44756</v>
      </c>
      <c r="S569" s="32">
        <f>_xll.qlDayCounterYearFraction(DayCounter,Q569,R569,,,Trigger)</f>
        <v>0.25277777777777777</v>
      </c>
      <c r="T569" s="33">
        <f>_xll.qlIndexFixing(Index,P569,,AllTriggers)</f>
        <v>7.044844800933976E-3</v>
      </c>
      <c r="U569" s="34">
        <f>_xll.qlYieldTSDiscount(OisCurve,Q569,,AllTriggers)</f>
        <v>0.99382230987764575</v>
      </c>
      <c r="V569" s="34">
        <f>_xll.qlYieldTSDiscount(OisCurve,R569,,AllTriggers)</f>
        <v>0.9924686654590269</v>
      </c>
      <c r="W569" s="33">
        <f t="shared" si="44"/>
        <v>5.3957137462202018E-3</v>
      </c>
      <c r="X569" s="35">
        <f t="shared" si="45"/>
        <v>4.1620926333499418E-4</v>
      </c>
      <c r="Y569" s="33">
        <f t="shared" si="46"/>
        <v>1.6491310547137742E-3</v>
      </c>
      <c r="Z569" s="54"/>
    </row>
    <row r="570" spans="15:26" x14ac:dyDescent="0.25">
      <c r="O570" s="37" t="s">
        <v>31</v>
      </c>
      <c r="P570" s="31">
        <f>_xll.qlCalendarAdvance(Calendar,P569,O569,"f",,Trigger)</f>
        <v>44670</v>
      </c>
      <c r="Q570" s="31">
        <f>_xll.qlInterestRateIndexValueDate(Index,P570,Trigger)</f>
        <v>44672</v>
      </c>
      <c r="R570" s="31">
        <f>_xll.qlInterestRateIndexMaturity(Index,Q570,Trigger)</f>
        <v>44763</v>
      </c>
      <c r="S570" s="32">
        <f>_xll.qlDayCounterYearFraction(DayCounter,Q570,R570,,,Trigger)</f>
        <v>0.25277777777777777</v>
      </c>
      <c r="T570" s="33">
        <f>_xll.qlIndexFixing(Index,P570,,AllTriggers)</f>
        <v>7.0637826347019518E-3</v>
      </c>
      <c r="U570" s="34">
        <f>_xll.qlYieldTSDiscount(OisCurve,Q570,,AllTriggers)</f>
        <v>0.99372026497163224</v>
      </c>
      <c r="V570" s="34">
        <f>_xll.qlYieldTSDiscount(OisCurve,R570,,AllTriggers)</f>
        <v>0.99236205847726477</v>
      </c>
      <c r="W570" s="33">
        <f t="shared" si="44"/>
        <v>5.4144800752928971E-3</v>
      </c>
      <c r="X570" s="35">
        <f t="shared" si="45"/>
        <v>4.162505673732074E-4</v>
      </c>
      <c r="Y570" s="33">
        <f t="shared" si="46"/>
        <v>1.6493025594090547E-3</v>
      </c>
      <c r="Z570" s="54"/>
    </row>
    <row r="571" spans="15:26" x14ac:dyDescent="0.25">
      <c r="O571" s="37" t="s">
        <v>31</v>
      </c>
      <c r="P571" s="31">
        <f>_xll.qlCalendarAdvance(Calendar,P570,O570,"f",,Trigger)</f>
        <v>44677</v>
      </c>
      <c r="Q571" s="31">
        <f>_xll.qlInterestRateIndexValueDate(Index,P571,Trigger)</f>
        <v>44679</v>
      </c>
      <c r="R571" s="31">
        <f>_xll.qlInterestRateIndexMaturity(Index,Q571,Trigger)</f>
        <v>44770</v>
      </c>
      <c r="S571" s="32">
        <f>_xll.qlDayCounterYearFraction(DayCounter,Q571,R571,,,Trigger)</f>
        <v>0.25277777777777777</v>
      </c>
      <c r="T571" s="33">
        <f>_xll.qlIndexFixing(Index,P571,,AllTriggers)</f>
        <v>7.0827888426834712E-3</v>
      </c>
      <c r="U571" s="34">
        <f>_xll.qlYieldTSDiscount(OisCurve,Q571,,AllTriggers)</f>
        <v>0.99361787334872154</v>
      </c>
      <c r="V571" s="34">
        <f>_xll.qlYieldTSDiscount(OisCurve,R571,,AllTriggers)</f>
        <v>0.99225508697929887</v>
      </c>
      <c r="W571" s="33">
        <f t="shared" si="44"/>
        <v>5.4333233972585328E-3</v>
      </c>
      <c r="X571" s="35">
        <f t="shared" si="45"/>
        <v>4.1628968821207557E-4</v>
      </c>
      <c r="Y571" s="33">
        <f t="shared" si="46"/>
        <v>1.6494654454249384E-3</v>
      </c>
      <c r="Z571" s="54"/>
    </row>
    <row r="572" spans="15:26" x14ac:dyDescent="0.25">
      <c r="O572" s="37" t="s">
        <v>31</v>
      </c>
      <c r="P572" s="31">
        <f>_xll.qlCalendarAdvance(Calendar,P571,O571,"f",,Trigger)</f>
        <v>44684</v>
      </c>
      <c r="Q572" s="31">
        <f>_xll.qlInterestRateIndexValueDate(Index,P572,Trigger)</f>
        <v>44686</v>
      </c>
      <c r="R572" s="31">
        <f>_xll.qlInterestRateIndexMaturity(Index,Q572,Trigger)</f>
        <v>44778</v>
      </c>
      <c r="S572" s="32">
        <f>_xll.qlDayCounterYearFraction(DayCounter,Q572,R572,,,Trigger)</f>
        <v>0.25555555555555554</v>
      </c>
      <c r="T572" s="33">
        <f>_xll.qlIndexFixing(Index,P572,,AllTriggers)</f>
        <v>7.1033448823472171E-3</v>
      </c>
      <c r="U572" s="34">
        <f>_xll.qlYieldTSDiscount(OisCurve,Q572,,AllTriggers)</f>
        <v>0.99351514001654828</v>
      </c>
      <c r="V572" s="34">
        <f>_xll.qlYieldTSDiscount(OisCurve,R572,,AllTriggers)</f>
        <v>0.99213238485581323</v>
      </c>
      <c r="W572" s="33">
        <f t="shared" si="44"/>
        <v>5.4536885866622769E-3</v>
      </c>
      <c r="X572" s="35">
        <f t="shared" si="45"/>
        <v>4.2090349354961289E-4</v>
      </c>
      <c r="Y572" s="33">
        <f t="shared" si="46"/>
        <v>1.6496562956849403E-3</v>
      </c>
      <c r="Z572" s="54"/>
    </row>
    <row r="573" spans="15:26" x14ac:dyDescent="0.25">
      <c r="O573" s="37" t="s">
        <v>31</v>
      </c>
      <c r="P573" s="31">
        <f>_xll.qlCalendarAdvance(Calendar,P572,O572,"f",,Trigger)</f>
        <v>44691</v>
      </c>
      <c r="Q573" s="31">
        <f>_xll.qlInterestRateIndexValueDate(Index,P573,Trigger)</f>
        <v>44693</v>
      </c>
      <c r="R573" s="31">
        <f>_xll.qlInterestRateIndexMaturity(Index,Q573,Trigger)</f>
        <v>44785</v>
      </c>
      <c r="S573" s="32">
        <f>_xll.qlDayCounterYearFraction(DayCounter,Q573,R573,,,Trigger)</f>
        <v>0.25555555555555554</v>
      </c>
      <c r="T573" s="33">
        <f>_xll.qlIndexFixing(Index,P573,,AllTriggers)</f>
        <v>7.1225572002220836E-3</v>
      </c>
      <c r="U573" s="34">
        <f>_xll.qlYieldTSDiscount(OisCurve,Q573,,AllTriggers)</f>
        <v>0.99341206486017486</v>
      </c>
      <c r="V573" s="34">
        <f>_xll.qlYieldTSDiscount(OisCurve,R573,,AllTriggers)</f>
        <v>0.99202462533223601</v>
      </c>
      <c r="W573" s="33">
        <f t="shared" si="44"/>
        <v>5.4727584957523796E-3</v>
      </c>
      <c r="X573" s="35">
        <f t="shared" si="45"/>
        <v>4.209377728391337E-4</v>
      </c>
      <c r="Y573" s="33">
        <f t="shared" si="46"/>
        <v>1.649798704469704E-3</v>
      </c>
      <c r="Z573" s="54"/>
    </row>
    <row r="574" spans="15:26" x14ac:dyDescent="0.25">
      <c r="O574" s="37" t="s">
        <v>31</v>
      </c>
      <c r="P574" s="31">
        <f>_xll.qlCalendarAdvance(Calendar,P573,O573,"f",,Trigger)</f>
        <v>44698</v>
      </c>
      <c r="Q574" s="31">
        <f>_xll.qlInterestRateIndexValueDate(Index,P574,Trigger)</f>
        <v>44700</v>
      </c>
      <c r="R574" s="31">
        <f>_xll.qlInterestRateIndexMaturity(Index,Q574,Trigger)</f>
        <v>44792</v>
      </c>
      <c r="S574" s="32">
        <f>_xll.qlDayCounterYearFraction(DayCounter,Q574,R574,,,Trigger)</f>
        <v>0.25555555555555554</v>
      </c>
      <c r="T574" s="33">
        <f>_xll.qlIndexFixing(Index,P574,,AllTriggers)</f>
        <v>7.1418724672791733E-3</v>
      </c>
      <c r="U574" s="34">
        <f>_xll.qlYieldTSDiscount(OisCurve,Q574,,AllTriggers)</f>
        <v>0.99330864581376022</v>
      </c>
      <c r="V574" s="34">
        <f>_xll.qlYieldTSDiscount(OisCurve,R574,,AllTriggers)</f>
        <v>0.99191649483722244</v>
      </c>
      <c r="W574" s="33">
        <f t="shared" si="44"/>
        <v>5.4919414364509025E-3</v>
      </c>
      <c r="X574" s="35">
        <f t="shared" si="45"/>
        <v>4.2096946772717539E-4</v>
      </c>
      <c r="Y574" s="33">
        <f t="shared" si="46"/>
        <v>1.6499310308282708E-3</v>
      </c>
      <c r="Z574" s="54"/>
    </row>
    <row r="575" spans="15:26" x14ac:dyDescent="0.25">
      <c r="O575" s="37" t="s">
        <v>31</v>
      </c>
      <c r="P575" s="31">
        <f>_xll.qlCalendarAdvance(Calendar,P574,O574,"f",,Trigger)</f>
        <v>44705</v>
      </c>
      <c r="Q575" s="31">
        <f>_xll.qlInterestRateIndexValueDate(Index,P575,Trigger)</f>
        <v>44707</v>
      </c>
      <c r="R575" s="31">
        <f>_xll.qlInterestRateIndexMaturity(Index,Q575,Trigger)</f>
        <v>44799</v>
      </c>
      <c r="S575" s="32">
        <f>_xll.qlDayCounterYearFraction(DayCounter,Q575,R575,,,Trigger)</f>
        <v>0.25555555555555554</v>
      </c>
      <c r="T575" s="33">
        <f>_xll.qlIndexFixing(Index,P575,,AllTriggers)</f>
        <v>7.1612906850398771E-3</v>
      </c>
      <c r="U575" s="34">
        <f>_xll.qlYieldTSDiscount(OisCurve,Q575,,AllTriggers)</f>
        <v>0.99320488080888369</v>
      </c>
      <c r="V575" s="34">
        <f>_xll.qlYieldTSDiscount(OisCurve,R575,,AllTriggers)</f>
        <v>0.9918079913196467</v>
      </c>
      <c r="W575" s="33">
        <f t="shared" si="44"/>
        <v>5.5112374104156507E-3</v>
      </c>
      <c r="X575" s="35">
        <f t="shared" si="45"/>
        <v>4.2099857821464967E-4</v>
      </c>
      <c r="Y575" s="33">
        <f t="shared" si="46"/>
        <v>1.6500532746242264E-3</v>
      </c>
      <c r="Z575" s="54"/>
    </row>
    <row r="576" spans="15:26" x14ac:dyDescent="0.25">
      <c r="O576" s="37" t="s">
        <v>31</v>
      </c>
      <c r="P576" s="31">
        <f>_xll.qlCalendarAdvance(Calendar,P575,O575,"f",,Trigger)</f>
        <v>44712</v>
      </c>
      <c r="Q576" s="31">
        <f>_xll.qlInterestRateIndexValueDate(Index,P576,Trigger)</f>
        <v>44714</v>
      </c>
      <c r="R576" s="31">
        <f>_xll.qlInterestRateIndexMaturity(Index,Q576,Trigger)</f>
        <v>44806</v>
      </c>
      <c r="S576" s="32">
        <f>_xll.qlDayCounterYearFraction(DayCounter,Q576,R576,,,Trigger)</f>
        <v>0.25555555555555554</v>
      </c>
      <c r="T576" s="33">
        <f>_xll.qlIndexFixing(Index,P576,,AllTriggers)</f>
        <v>7.1808118550316683E-3</v>
      </c>
      <c r="U576" s="34">
        <f>_xll.qlYieldTSDiscount(OisCurve,Q576,,AllTriggers)</f>
        <v>0.99310076777839418</v>
      </c>
      <c r="V576" s="34">
        <f>_xll.qlYieldTSDiscount(OisCurve,R576,,AllTriggers)</f>
        <v>0.99169911272975264</v>
      </c>
      <c r="W576" s="33">
        <f t="shared" si="44"/>
        <v>5.5306464193165929E-3</v>
      </c>
      <c r="X576" s="35">
        <f t="shared" si="45"/>
        <v>4.2102510430067248E-4</v>
      </c>
      <c r="Y576" s="33">
        <f t="shared" si="46"/>
        <v>1.6501654357150754E-3</v>
      </c>
      <c r="Z576" s="54"/>
    </row>
    <row r="577" spans="15:26" x14ac:dyDescent="0.25">
      <c r="O577" s="37" t="s">
        <v>31</v>
      </c>
      <c r="P577" s="31">
        <f>_xll.qlCalendarAdvance(Calendar,P576,O576,"f",,Trigger)</f>
        <v>44719</v>
      </c>
      <c r="Q577" s="31">
        <f>_xll.qlInterestRateIndexValueDate(Index,P577,Trigger)</f>
        <v>44721</v>
      </c>
      <c r="R577" s="31">
        <f>_xll.qlInterestRateIndexMaturity(Index,Q577,Trigger)</f>
        <v>44813</v>
      </c>
      <c r="S577" s="32">
        <f>_xll.qlDayCounterYearFraction(DayCounter,Q577,R577,,,Trigger)</f>
        <v>0.25555555555555554</v>
      </c>
      <c r="T577" s="33">
        <f>_xll.qlIndexFixing(Index,P577,,AllTriggers)</f>
        <v>7.2004359787941861E-3</v>
      </c>
      <c r="U577" s="34">
        <f>_xll.qlYieldTSDiscount(OisCurve,Q577,,AllTriggers)</f>
        <v>0.9929963046564183</v>
      </c>
      <c r="V577" s="34">
        <f>_xll.qlYieldTSDiscount(OisCurve,R577,,AllTriggers)</f>
        <v>0.99158985701916369</v>
      </c>
      <c r="W577" s="33">
        <f t="shared" si="44"/>
        <v>5.5501684648315173E-3</v>
      </c>
      <c r="X577" s="35">
        <f t="shared" si="45"/>
        <v>4.2104904598633719E-4</v>
      </c>
      <c r="Y577" s="33">
        <f t="shared" si="46"/>
        <v>1.6502675139626688E-3</v>
      </c>
      <c r="Z577" s="54"/>
    </row>
    <row r="578" spans="15:26" x14ac:dyDescent="0.25">
      <c r="O578" s="37" t="s">
        <v>31</v>
      </c>
      <c r="P578" s="31">
        <f>_xll.qlCalendarAdvance(Calendar,P577,O577,"f",,Trigger)</f>
        <v>44726</v>
      </c>
      <c r="Q578" s="31">
        <f>_xll.qlInterestRateIndexValueDate(Index,P578,Trigger)</f>
        <v>44728</v>
      </c>
      <c r="R578" s="31">
        <f>_xll.qlInterestRateIndexMaturity(Index,Q578,Trigger)</f>
        <v>44820</v>
      </c>
      <c r="S578" s="32">
        <f>_xll.qlDayCounterYearFraction(DayCounter,Q578,R578,,,Trigger)</f>
        <v>0.25555555555555554</v>
      </c>
      <c r="T578" s="33">
        <f>_xll.qlIndexFixing(Index,P578,,AllTriggers)</f>
        <v>7.2201630578696751E-3</v>
      </c>
      <c r="U578" s="34">
        <f>_xll.qlYieldTSDiscount(OisCurve,Q578,,AllTriggers)</f>
        <v>0.99289148937836735</v>
      </c>
      <c r="V578" s="34">
        <f>_xll.qlYieldTSDiscount(OisCurve,R578,,AllTriggers)</f>
        <v>0.99148022214088938</v>
      </c>
      <c r="W578" s="33">
        <f t="shared" si="44"/>
        <v>5.5698035486495068E-3</v>
      </c>
      <c r="X578" s="35">
        <f t="shared" si="45"/>
        <v>4.2107040327027579E-4</v>
      </c>
      <c r="Y578" s="33">
        <f t="shared" si="46"/>
        <v>1.6503595092201683E-3</v>
      </c>
      <c r="Z578" s="54"/>
    </row>
    <row r="579" spans="15:26" x14ac:dyDescent="0.25">
      <c r="O579" s="37" t="s">
        <v>31</v>
      </c>
      <c r="P579" s="31">
        <f>_xll.qlCalendarAdvance(Calendar,P578,O578,"f",,Trigger)</f>
        <v>44733</v>
      </c>
      <c r="Q579" s="31">
        <f>_xll.qlInterestRateIndexValueDate(Index,P579,Trigger)</f>
        <v>44735</v>
      </c>
      <c r="R579" s="31">
        <f>_xll.qlInterestRateIndexMaturity(Index,Q579,Trigger)</f>
        <v>44827</v>
      </c>
      <c r="S579" s="32">
        <f>_xll.qlDayCounterYearFraction(DayCounter,Q579,R579,,,Trigger)</f>
        <v>0.25555555555555554</v>
      </c>
      <c r="T579" s="33">
        <f>_xll.qlIndexFixing(Index,P579,,AllTriggers)</f>
        <v>7.2399930938125429E-3</v>
      </c>
      <c r="U579" s="34">
        <f>_xll.qlYieldTSDiscount(OisCurve,Q579,,AllTriggers)</f>
        <v>0.9927863198809449</v>
      </c>
      <c r="V579" s="34">
        <f>_xll.qlYieldTSDiscount(OisCurve,R579,,AllTriggers)</f>
        <v>0.99137020604933412</v>
      </c>
      <c r="W579" s="33">
        <f t="shared" si="44"/>
        <v>5.5895516724692035E-3</v>
      </c>
      <c r="X579" s="35">
        <f t="shared" si="45"/>
        <v>4.2108917615331983E-4</v>
      </c>
      <c r="Y579" s="33">
        <f t="shared" si="46"/>
        <v>1.6504414213433394E-3</v>
      </c>
      <c r="Z579" s="54"/>
    </row>
    <row r="580" spans="15:26" x14ac:dyDescent="0.25">
      <c r="O580" s="37" t="s">
        <v>31</v>
      </c>
      <c r="P580" s="31">
        <f>_xll.qlCalendarAdvance(Calendar,P579,O579,"f",,Trigger)</f>
        <v>44740</v>
      </c>
      <c r="Q580" s="31">
        <f>_xll.qlInterestRateIndexValueDate(Index,P580,Trigger)</f>
        <v>44742</v>
      </c>
      <c r="R580" s="31">
        <f>_xll.qlInterestRateIndexMaturity(Index,Q580,Trigger)</f>
        <v>44834</v>
      </c>
      <c r="S580" s="32">
        <f>_xll.qlDayCounterYearFraction(DayCounter,Q580,R580,,,Trigger)</f>
        <v>0.25555555555555554</v>
      </c>
      <c r="T580" s="33">
        <f>_xll.qlIndexFixing(Index,P580,,AllTriggers)</f>
        <v>7.2599260881850191E-3</v>
      </c>
      <c r="U580" s="34">
        <f>_xll.qlYieldTSDiscount(OisCurve,Q580,,AllTriggers)</f>
        <v>0.99268079410215426</v>
      </c>
      <c r="V580" s="34">
        <f>_xll.qlYieldTSDiscount(OisCurve,R580,,AllTriggers)</f>
        <v>0.99125980670030522</v>
      </c>
      <c r="W580" s="33">
        <f t="shared" ref="W580:W643" si="47">(U580/V580-1)/S580</f>
        <v>5.6094128379979369E-3</v>
      </c>
      <c r="X580" s="35">
        <f t="shared" ref="X580:X643" si="48">LN((1+T580*S580)/(1+W580*S580))</f>
        <v>4.2110536463539275E-4</v>
      </c>
      <c r="Y580" s="33">
        <f t="shared" ref="Y580:Y643" si="49">T580-W580</f>
        <v>1.6505132501870821E-3</v>
      </c>
      <c r="Z580" s="54"/>
    </row>
    <row r="581" spans="15:26" x14ac:dyDescent="0.25">
      <c r="O581" s="37" t="s">
        <v>31</v>
      </c>
      <c r="P581" s="31">
        <f>_xll.qlCalendarAdvance(Calendar,P580,O580,"f",,Trigger)</f>
        <v>44747</v>
      </c>
      <c r="Q581" s="31">
        <f>_xll.qlInterestRateIndexValueDate(Index,P581,Trigger)</f>
        <v>44749</v>
      </c>
      <c r="R581" s="31">
        <f>_xll.qlInterestRateIndexMaturity(Index,Q581,Trigger)</f>
        <v>44841</v>
      </c>
      <c r="S581" s="32">
        <f>_xll.qlDayCounterYearFraction(DayCounter,Q581,R581,,,Trigger)</f>
        <v>0.25555555555555554</v>
      </c>
      <c r="T581" s="33">
        <f>_xll.qlIndexFixing(Index,P581,,AllTriggers)</f>
        <v>7.279962042554545E-3</v>
      </c>
      <c r="U581" s="34">
        <f>_xll.qlYieldTSDiscount(OisCurve,Q581,,AllTriggers)</f>
        <v>0.99257490998130626</v>
      </c>
      <c r="V581" s="34">
        <f>_xll.qlYieldTSDiscount(OisCurve,R581,,AllTriggers)</f>
        <v>0.99114902205102084</v>
      </c>
      <c r="W581" s="33">
        <f t="shared" si="47"/>
        <v>5.6293870469534633E-3</v>
      </c>
      <c r="X581" s="35">
        <f t="shared" si="48"/>
        <v>4.2111896871595435E-4</v>
      </c>
      <c r="Y581" s="33">
        <f t="shared" si="49"/>
        <v>1.6505749956010818E-3</v>
      </c>
      <c r="Z581" s="54"/>
    </row>
    <row r="582" spans="15:26" x14ac:dyDescent="0.25">
      <c r="O582" s="37" t="s">
        <v>31</v>
      </c>
      <c r="P582" s="31">
        <f>_xll.qlCalendarAdvance(Calendar,P581,O581,"f",,Trigger)</f>
        <v>44754</v>
      </c>
      <c r="Q582" s="31">
        <f>_xll.qlInterestRateIndexValueDate(Index,P582,Trigger)</f>
        <v>44756</v>
      </c>
      <c r="R582" s="31">
        <f>_xll.qlInterestRateIndexMaturity(Index,Q582,Trigger)</f>
        <v>44848</v>
      </c>
      <c r="S582" s="32">
        <f>_xll.qlDayCounterYearFraction(DayCounter,Q582,R582,,,Trigger)</f>
        <v>0.25555555555555554</v>
      </c>
      <c r="T582" s="33">
        <f>_xll.qlIndexFixing(Index,P582,,AllTriggers)</f>
        <v>7.3001009585007262E-3</v>
      </c>
      <c r="U582" s="34">
        <f>_xll.qlYieldTSDiscount(OisCurve,Q582,,AllTriggers)</f>
        <v>0.9924686654590269</v>
      </c>
      <c r="V582" s="34">
        <f>_xll.qlYieldTSDiscount(OisCurve,R582,,AllTriggers)</f>
        <v>0.99103785006011802</v>
      </c>
      <c r="W582" s="33">
        <f t="shared" si="47"/>
        <v>5.649474301063097E-3</v>
      </c>
      <c r="X582" s="35">
        <f t="shared" si="48"/>
        <v>4.2112998839599782E-4</v>
      </c>
      <c r="Y582" s="33">
        <f t="shared" si="49"/>
        <v>1.6506266574376292E-3</v>
      </c>
      <c r="Z582" s="54"/>
    </row>
    <row r="583" spans="15:26" x14ac:dyDescent="0.25">
      <c r="O583" s="37" t="s">
        <v>31</v>
      </c>
      <c r="P583" s="31">
        <f>_xll.qlCalendarAdvance(Calendar,P582,O582,"f",,Trigger)</f>
        <v>44761</v>
      </c>
      <c r="Q583" s="31">
        <f>_xll.qlInterestRateIndexValueDate(Index,P583,Trigger)</f>
        <v>44763</v>
      </c>
      <c r="R583" s="31">
        <f>_xll.qlInterestRateIndexMaturity(Index,Q583,Trigger)</f>
        <v>44855</v>
      </c>
      <c r="S583" s="32">
        <f>_xll.qlDayCounterYearFraction(DayCounter,Q583,R583,,,Trigger)</f>
        <v>0.25555555555555554</v>
      </c>
      <c r="T583" s="33">
        <f>_xll.qlIndexFixing(Index,P583,,AllTriggers)</f>
        <v>7.3203428376092524E-3</v>
      </c>
      <c r="U583" s="34">
        <f>_xll.qlYieldTSDiscount(OisCurve,Q583,,AllTriggers)</f>
        <v>0.99236205847726477</v>
      </c>
      <c r="V583" s="34">
        <f>_xll.qlYieldTSDiscount(OisCurve,R583,,AllTriggers)</f>
        <v>0.99092628868766142</v>
      </c>
      <c r="W583" s="33">
        <f t="shared" si="47"/>
        <v>5.6696746020654474E-3</v>
      </c>
      <c r="X583" s="35">
        <f t="shared" si="48"/>
        <v>4.2113842367494278E-4</v>
      </c>
      <c r="Y583" s="33">
        <f t="shared" si="49"/>
        <v>1.650668235543805E-3</v>
      </c>
      <c r="Z583" s="54"/>
    </row>
    <row r="584" spans="15:26" x14ac:dyDescent="0.25">
      <c r="O584" s="37" t="s">
        <v>31</v>
      </c>
      <c r="P584" s="31">
        <f>_xll.qlCalendarAdvance(Calendar,P583,O583,"f",,Trigger)</f>
        <v>44768</v>
      </c>
      <c r="Q584" s="31">
        <f>_xll.qlInterestRateIndexValueDate(Index,P584,Trigger)</f>
        <v>44770</v>
      </c>
      <c r="R584" s="31">
        <f>_xll.qlInterestRateIndexMaturity(Index,Q584,Trigger)</f>
        <v>44862</v>
      </c>
      <c r="S584" s="32">
        <f>_xll.qlDayCounterYearFraction(DayCounter,Q584,R584,,,Trigger)</f>
        <v>0.25555555555555554</v>
      </c>
      <c r="T584" s="33">
        <f>_xll.qlIndexFixing(Index,P584,,AllTriggers)</f>
        <v>7.3406876814718922E-3</v>
      </c>
      <c r="U584" s="34">
        <f>_xll.qlYieldTSDiscount(OisCurve,Q584,,AllTriggers)</f>
        <v>0.99225508697929887</v>
      </c>
      <c r="V584" s="34">
        <f>_xll.qlYieldTSDiscount(OisCurve,R584,,AllTriggers)</f>
        <v>0.990814335895151</v>
      </c>
      <c r="W584" s="33">
        <f t="shared" si="47"/>
        <v>5.6899879517069438E-3</v>
      </c>
      <c r="X584" s="35">
        <f t="shared" si="48"/>
        <v>4.2114427455241068E-4</v>
      </c>
      <c r="Y584" s="33">
        <f t="shared" si="49"/>
        <v>1.6506997297649484E-3</v>
      </c>
      <c r="Z584" s="54"/>
    </row>
    <row r="585" spans="15:26" x14ac:dyDescent="0.25">
      <c r="O585" s="37" t="s">
        <v>31</v>
      </c>
      <c r="P585" s="31">
        <f>_xll.qlCalendarAdvance(Calendar,P584,O584,"f",,Trigger)</f>
        <v>44775</v>
      </c>
      <c r="Q585" s="31">
        <f>_xll.qlInterestRateIndexValueDate(Index,P585,Trigger)</f>
        <v>44777</v>
      </c>
      <c r="R585" s="31">
        <f>_xll.qlInterestRateIndexMaturity(Index,Q585,Trigger)</f>
        <v>44869</v>
      </c>
      <c r="S585" s="32">
        <f>_xll.qlDayCounterYearFraction(DayCounter,Q585,R585,,,Trigger)</f>
        <v>0.25555555555555554</v>
      </c>
      <c r="T585" s="33">
        <f>_xll.qlIndexFixing(Index,P585,,AllTriggers)</f>
        <v>7.3611354916934494E-3</v>
      </c>
      <c r="U585" s="34">
        <f>_xll.qlYieldTSDiscount(OisCurve,Q585,,AllTriggers)</f>
        <v>0.99214774890974622</v>
      </c>
      <c r="V585" s="34">
        <f>_xll.qlYieldTSDiscount(OisCurve,R585,,AllTriggers)</f>
        <v>0.9907019896455308</v>
      </c>
      <c r="W585" s="33">
        <f t="shared" si="47"/>
        <v>5.7104143517444405E-3</v>
      </c>
      <c r="X585" s="35">
        <f t="shared" si="48"/>
        <v>4.2114754102933475E-4</v>
      </c>
      <c r="Y585" s="33">
        <f t="shared" si="49"/>
        <v>1.6507211399490089E-3</v>
      </c>
      <c r="Z585" s="54"/>
    </row>
    <row r="586" spans="15:26" x14ac:dyDescent="0.25">
      <c r="O586" s="37" t="s">
        <v>31</v>
      </c>
      <c r="P586" s="31">
        <f>_xll.qlCalendarAdvance(Calendar,P585,O585,"f",,Trigger)</f>
        <v>44782</v>
      </c>
      <c r="Q586" s="31">
        <f>_xll.qlInterestRateIndexValueDate(Index,P586,Trigger)</f>
        <v>44784</v>
      </c>
      <c r="R586" s="31">
        <f>_xll.qlInterestRateIndexMaturity(Index,Q586,Trigger)</f>
        <v>44876</v>
      </c>
      <c r="S586" s="32">
        <f>_xll.qlDayCounterYearFraction(DayCounter,Q586,R586,,,Trigger)</f>
        <v>0.25555555555555554</v>
      </c>
      <c r="T586" s="33">
        <f>_xll.qlIndexFixing(Index,P586,,AllTriggers)</f>
        <v>7.3816862698804645E-3</v>
      </c>
      <c r="U586" s="34">
        <f>_xll.qlYieldTSDiscount(OisCurve,Q586,,AllTriggers)</f>
        <v>0.99204004221456998</v>
      </c>
      <c r="V586" s="34">
        <f>_xll.qlYieldTSDiscount(OisCurve,R586,,AllTriggers)</f>
        <v>0.99058924790319669</v>
      </c>
      <c r="W586" s="33">
        <f t="shared" si="47"/>
        <v>5.7309538039443508E-3</v>
      </c>
      <c r="X586" s="35">
        <f t="shared" si="48"/>
        <v>4.2114822310463057E-4</v>
      </c>
      <c r="Y586" s="33">
        <f t="shared" si="49"/>
        <v>1.6507324659361137E-3</v>
      </c>
      <c r="Z586" s="54"/>
    </row>
    <row r="587" spans="15:26" x14ac:dyDescent="0.25">
      <c r="O587" s="37" t="s">
        <v>31</v>
      </c>
      <c r="P587" s="31">
        <f>_xll.qlCalendarAdvance(Calendar,P586,O586,"f",,Trigger)</f>
        <v>44789</v>
      </c>
      <c r="Q587" s="31">
        <f>_xll.qlInterestRateIndexValueDate(Index,P587,Trigger)</f>
        <v>44791</v>
      </c>
      <c r="R587" s="31">
        <f>_xll.qlInterestRateIndexMaturity(Index,Q587,Trigger)</f>
        <v>44883</v>
      </c>
      <c r="S587" s="32">
        <f>_xll.qlDayCounterYearFraction(DayCounter,Q587,R587,,,Trigger)</f>
        <v>0.25555555555555554</v>
      </c>
      <c r="T587" s="33">
        <f>_xll.qlIndexFixing(Index,P587,,AllTriggers)</f>
        <v>7.4023400176542508E-3</v>
      </c>
      <c r="U587" s="34">
        <f>_xll.qlYieldTSDiscount(OisCurve,Q587,,AllTriggers)</f>
        <v>0.99193196484108703</v>
      </c>
      <c r="V587" s="34">
        <f>_xll.qlYieldTSDiscount(OisCurve,R587,,AllTriggers)</f>
        <v>0.99047610863400537</v>
      </c>
      <c r="W587" s="33">
        <f t="shared" si="47"/>
        <v>5.7516063100835155E-3</v>
      </c>
      <c r="X587" s="35">
        <f t="shared" si="48"/>
        <v>4.2114632077941313E-4</v>
      </c>
      <c r="Y587" s="33">
        <f t="shared" si="49"/>
        <v>1.6507337075707352E-3</v>
      </c>
      <c r="Z587" s="54"/>
    </row>
    <row r="588" spans="15:26" x14ac:dyDescent="0.25">
      <c r="O588" s="37" t="s">
        <v>31</v>
      </c>
      <c r="P588" s="31">
        <f>_xll.qlCalendarAdvance(Calendar,P587,O587,"f",,Trigger)</f>
        <v>44796</v>
      </c>
      <c r="Q588" s="31">
        <f>_xll.qlInterestRateIndexValueDate(Index,P588,Trigger)</f>
        <v>44798</v>
      </c>
      <c r="R588" s="31">
        <f>_xll.qlInterestRateIndexMaturity(Index,Q588,Trigger)</f>
        <v>44890</v>
      </c>
      <c r="S588" s="32">
        <f>_xll.qlDayCounterYearFraction(DayCounter,Q588,R588,,,Trigger)</f>
        <v>0.25555555555555554</v>
      </c>
      <c r="T588" s="33">
        <f>_xll.qlIndexFixing(Index,P588,,AllTriggers)</f>
        <v>7.4230967366404627E-3</v>
      </c>
      <c r="U588" s="34">
        <f>_xll.qlYieldTSDiscount(OisCurve,Q588,,AllTriggers)</f>
        <v>0.99182351473797603</v>
      </c>
      <c r="V588" s="34">
        <f>_xll.qlYieldTSDiscount(OisCurve,R588,,AllTriggers)</f>
        <v>0.99036256980528237</v>
      </c>
      <c r="W588" s="33">
        <f t="shared" si="47"/>
        <v>5.7723718719492004E-3</v>
      </c>
      <c r="X588" s="35">
        <f t="shared" si="48"/>
        <v>4.2114183405300183E-4</v>
      </c>
      <c r="Y588" s="33">
        <f t="shared" si="49"/>
        <v>1.6507248646912623E-3</v>
      </c>
      <c r="Z588" s="54"/>
    </row>
    <row r="589" spans="15:26" x14ac:dyDescent="0.25">
      <c r="O589" s="37" t="s">
        <v>31</v>
      </c>
      <c r="P589" s="31">
        <f>_xll.qlCalendarAdvance(Calendar,P588,O588,"f",,Trigger)</f>
        <v>44803</v>
      </c>
      <c r="Q589" s="31">
        <f>_xll.qlInterestRateIndexValueDate(Index,P589,Trigger)</f>
        <v>44805</v>
      </c>
      <c r="R589" s="31">
        <f>_xll.qlInterestRateIndexMaturity(Index,Q589,Trigger)</f>
        <v>44896</v>
      </c>
      <c r="S589" s="32">
        <f>_xll.qlDayCounterYearFraction(DayCounter,Q589,R589,,,Trigger)</f>
        <v>0.25277777777777777</v>
      </c>
      <c r="T589" s="33">
        <f>_xll.qlIndexFixing(Index,P589,,AllTriggers)</f>
        <v>7.4423701474795002E-3</v>
      </c>
      <c r="U589" s="34">
        <f>_xll.qlYieldTSDiscount(OisCurve,Q589,,AllTriggers)</f>
        <v>0.99171468985528477</v>
      </c>
      <c r="V589" s="34">
        <f>_xll.qlYieldTSDiscount(OisCurve,R589,,AllTriggers)</f>
        <v>0.99026493125274095</v>
      </c>
      <c r="W589" s="33">
        <f t="shared" si="47"/>
        <v>5.791691269992039E-3</v>
      </c>
      <c r="X589" s="35">
        <f t="shared" si="48"/>
        <v>4.1655819331375517E-4</v>
      </c>
      <c r="Y589" s="33">
        <f t="shared" si="49"/>
        <v>1.6506788774874612E-3</v>
      </c>
      <c r="Z589" s="54"/>
    </row>
    <row r="590" spans="15:26" x14ac:dyDescent="0.25">
      <c r="O590" s="37" t="s">
        <v>31</v>
      </c>
      <c r="P590" s="31">
        <f>_xll.qlCalendarAdvance(Calendar,P589,O589,"f",,Trigger)</f>
        <v>44810</v>
      </c>
      <c r="Q590" s="31">
        <f>_xll.qlInterestRateIndexValueDate(Index,P590,Trigger)</f>
        <v>44812</v>
      </c>
      <c r="R590" s="31">
        <f>_xll.qlInterestRateIndexMaturity(Index,Q590,Trigger)</f>
        <v>44903</v>
      </c>
      <c r="S590" s="32">
        <f>_xll.qlDayCounterYearFraction(DayCounter,Q590,R590,,,Trigger)</f>
        <v>0.25277777777777777</v>
      </c>
      <c r="T590" s="33">
        <f>_xll.qlIndexFixing(Index,P590,,AllTriggers)</f>
        <v>7.4633250249276873E-3</v>
      </c>
      <c r="U590" s="34">
        <f>_xll.qlYieldTSDiscount(OisCurve,Q590,,AllTriggers)</f>
        <v>0.99160548814443927</v>
      </c>
      <c r="V590" s="34">
        <f>_xll.qlYieldTSDiscount(OisCurve,R590,,AllTriggers)</f>
        <v>0.99015064499712357</v>
      </c>
      <c r="W590" s="33">
        <f t="shared" si="47"/>
        <v>5.8126745349409278E-3</v>
      </c>
      <c r="X590" s="35">
        <f t="shared" si="48"/>
        <v>4.1654882532979039E-4</v>
      </c>
      <c r="Y590" s="33">
        <f t="shared" si="49"/>
        <v>1.6506504899867595E-3</v>
      </c>
      <c r="Z590" s="54"/>
    </row>
    <row r="591" spans="15:26" x14ac:dyDescent="0.25">
      <c r="O591" s="37" t="s">
        <v>31</v>
      </c>
      <c r="P591" s="31">
        <f>_xll.qlCalendarAdvance(Calendar,P590,O590,"f",,Trigger)</f>
        <v>44817</v>
      </c>
      <c r="Q591" s="31">
        <f>_xll.qlInterestRateIndexValueDate(Index,P591,Trigger)</f>
        <v>44819</v>
      </c>
      <c r="R591" s="31">
        <f>_xll.qlInterestRateIndexMaturity(Index,Q591,Trigger)</f>
        <v>44910</v>
      </c>
      <c r="S591" s="32">
        <f>_xll.qlDayCounterYearFraction(DayCounter,Q591,R591,,,Trigger)</f>
        <v>0.25277777777777777</v>
      </c>
      <c r="T591" s="33">
        <f>_xll.qlIndexFixing(Index,P591,,AllTriggers)</f>
        <v>7.4843828750401171E-3</v>
      </c>
      <c r="U591" s="34">
        <f>_xll.qlYieldTSDiscount(OisCurve,Q591,,AllTriggers)</f>
        <v>0.99149590755825023</v>
      </c>
      <c r="V591" s="34">
        <f>_xll.qlYieldTSDiscount(OisCurve,R591,,AllTriggers)</f>
        <v>0.99003595338250305</v>
      </c>
      <c r="W591" s="33">
        <f t="shared" si="47"/>
        <v>5.8337708578492953E-3</v>
      </c>
      <c r="X591" s="35">
        <f t="shared" si="48"/>
        <v>4.1653690103644783E-4</v>
      </c>
      <c r="Y591" s="33">
        <f t="shared" si="49"/>
        <v>1.6506120171908218E-3</v>
      </c>
      <c r="Z591" s="54"/>
    </row>
    <row r="592" spans="15:26" x14ac:dyDescent="0.25">
      <c r="O592" s="37" t="s">
        <v>31</v>
      </c>
      <c r="P592" s="31">
        <f>_xll.qlCalendarAdvance(Calendar,P591,O591,"f",,Trigger)</f>
        <v>44824</v>
      </c>
      <c r="Q592" s="31">
        <f>_xll.qlInterestRateIndexValueDate(Index,P592,Trigger)</f>
        <v>44826</v>
      </c>
      <c r="R592" s="31">
        <f>_xll.qlInterestRateIndexMaturity(Index,Q592,Trigger)</f>
        <v>44917</v>
      </c>
      <c r="S592" s="32">
        <f>_xll.qlDayCounterYearFraction(DayCounter,Q592,R592,,,Trigger)</f>
        <v>0.25277777777777777</v>
      </c>
      <c r="T592" s="33">
        <f>_xll.qlIndexFixing(Index,P592,,AllTriggers)</f>
        <v>7.5055436994567945E-3</v>
      </c>
      <c r="U592" s="34">
        <f>_xll.qlYieldTSDiscount(OisCurve,Q592,,AllTriggers)</f>
        <v>0.99138594605092267</v>
      </c>
      <c r="V592" s="34">
        <f>_xll.qlYieldTSDiscount(OisCurve,R592,,AllTriggers)</f>
        <v>0.98992085438195032</v>
      </c>
      <c r="W592" s="33">
        <f t="shared" si="47"/>
        <v>5.8549802405231683E-3</v>
      </c>
      <c r="X592" s="35">
        <f t="shared" si="48"/>
        <v>4.1652242043319201E-4</v>
      </c>
      <c r="Y592" s="33">
        <f t="shared" si="49"/>
        <v>1.6505634589336262E-3</v>
      </c>
      <c r="Z592" s="54"/>
    </row>
    <row r="593" spans="15:26" x14ac:dyDescent="0.25">
      <c r="O593" s="37" t="s">
        <v>31</v>
      </c>
      <c r="P593" s="31">
        <f>_xll.qlCalendarAdvance(Calendar,P592,O592,"f",,Trigger)</f>
        <v>44831</v>
      </c>
      <c r="Q593" s="31">
        <f>_xll.qlInterestRateIndexValueDate(Index,P593,Trigger)</f>
        <v>44833</v>
      </c>
      <c r="R593" s="31">
        <f>_xll.qlInterestRateIndexMaturity(Index,Q593,Trigger)</f>
        <v>44924</v>
      </c>
      <c r="S593" s="32">
        <f>_xll.qlDayCounterYearFraction(DayCounter,Q593,R593,,,Trigger)</f>
        <v>0.25277777777777777</v>
      </c>
      <c r="T593" s="33">
        <f>_xll.qlIndexFixing(Index,P593,,AllTriggers)</f>
        <v>7.5268074998265117E-3</v>
      </c>
      <c r="U593" s="34">
        <f>_xll.qlYieldTSDiscount(OisCurve,Q593,,AllTriggers)</f>
        <v>0.99127560157806272</v>
      </c>
      <c r="V593" s="34">
        <f>_xll.qlYieldTSDiscount(OisCurve,R593,,AllTriggers)</f>
        <v>0.98980534597004688</v>
      </c>
      <c r="W593" s="33">
        <f t="shared" si="47"/>
        <v>5.8763026847773597E-3</v>
      </c>
      <c r="X593" s="35">
        <f t="shared" si="48"/>
        <v>4.1650538352035584E-4</v>
      </c>
      <c r="Y593" s="33">
        <f t="shared" si="49"/>
        <v>1.650504815049152E-3</v>
      </c>
      <c r="Z593" s="54"/>
    </row>
    <row r="594" spans="15:26" x14ac:dyDescent="0.25">
      <c r="O594" s="37" t="s">
        <v>31</v>
      </c>
      <c r="P594" s="31">
        <f>_xll.qlCalendarAdvance(Calendar,P593,O593,"f",,Trigger)</f>
        <v>44838</v>
      </c>
      <c r="Q594" s="31">
        <f>_xll.qlInterestRateIndexValueDate(Index,P594,Trigger)</f>
        <v>44840</v>
      </c>
      <c r="R594" s="31">
        <f>_xll.qlInterestRateIndexMaturity(Index,Q594,Trigger)</f>
        <v>44932</v>
      </c>
      <c r="S594" s="32">
        <f>_xll.qlDayCounterYearFraction(DayCounter,Q594,R594,,,Trigger)</f>
        <v>0.25555555555555554</v>
      </c>
      <c r="T594" s="33">
        <f>_xll.qlIndexFixing(Index,P594,,AllTriggers)</f>
        <v>7.5497995380937313E-3</v>
      </c>
      <c r="U594" s="34">
        <f>_xll.qlYieldTSDiscount(OisCurve,Q594,,AllTriggers)</f>
        <v>0.99116487209668647</v>
      </c>
      <c r="V594" s="34">
        <f>_xll.qlYieldTSDiscount(OisCurve,R594,,AllTriggers)</f>
        <v>0.98967283244023552</v>
      </c>
      <c r="W594" s="33">
        <f t="shared" si="47"/>
        <v>5.899339514641843E-3</v>
      </c>
      <c r="X594" s="35">
        <f t="shared" si="48"/>
        <v>4.2106064127143966E-4</v>
      </c>
      <c r="Y594" s="33">
        <f t="shared" si="49"/>
        <v>1.6504600234518883E-3</v>
      </c>
      <c r="Z594" s="54"/>
    </row>
    <row r="595" spans="15:26" x14ac:dyDescent="0.25">
      <c r="O595" s="37" t="s">
        <v>31</v>
      </c>
      <c r="P595" s="31">
        <f>_xll.qlCalendarAdvance(Calendar,P594,O594,"f",,Trigger)</f>
        <v>44845</v>
      </c>
      <c r="Q595" s="31">
        <f>_xll.qlInterestRateIndexValueDate(Index,P595,Trigger)</f>
        <v>44847</v>
      </c>
      <c r="R595" s="31">
        <f>_xll.qlInterestRateIndexMaturity(Index,Q595,Trigger)</f>
        <v>44939</v>
      </c>
      <c r="S595" s="32">
        <f>_xll.qlDayCounterYearFraction(DayCounter,Q595,R595,,,Trigger)</f>
        <v>0.25555555555555554</v>
      </c>
      <c r="T595" s="33">
        <f>_xll.qlIndexFixing(Index,P595,,AllTriggers)</f>
        <v>7.571277101779527E-3</v>
      </c>
      <c r="U595" s="34">
        <f>_xll.qlYieldTSDiscount(OisCurve,Q595,,AllTriggers)</f>
        <v>0.9910537555652279</v>
      </c>
      <c r="V595" s="34">
        <f>_xll.qlYieldTSDiscount(OisCurve,R595,,AllTriggers)</f>
        <v>0.98955643990508291</v>
      </c>
      <c r="W595" s="33">
        <f t="shared" si="47"/>
        <v>5.9208965174238088E-3</v>
      </c>
      <c r="X595" s="35">
        <f t="shared" si="48"/>
        <v>4.2103806373768266E-4</v>
      </c>
      <c r="Y595" s="33">
        <f t="shared" si="49"/>
        <v>1.6503805843557182E-3</v>
      </c>
      <c r="Z595" s="54"/>
    </row>
    <row r="596" spans="15:26" x14ac:dyDescent="0.25">
      <c r="O596" s="37" t="s">
        <v>31</v>
      </c>
      <c r="P596" s="31">
        <f>_xll.qlCalendarAdvance(Calendar,P595,O595,"f",,Trigger)</f>
        <v>44852</v>
      </c>
      <c r="Q596" s="31">
        <f>_xll.qlInterestRateIndexValueDate(Index,P596,Trigger)</f>
        <v>44854</v>
      </c>
      <c r="R596" s="31">
        <f>_xll.qlInterestRateIndexMaturity(Index,Q596,Trigger)</f>
        <v>44946</v>
      </c>
      <c r="S596" s="32">
        <f>_xll.qlDayCounterYearFraction(DayCounter,Q596,R596,,,Trigger)</f>
        <v>0.25555555555555554</v>
      </c>
      <c r="T596" s="33">
        <f>_xll.qlIndexFixing(Index,P596,,AllTriggers)</f>
        <v>7.5928576499784137E-3</v>
      </c>
      <c r="U596" s="34">
        <f>_xll.qlYieldTSDiscount(OisCurve,Q596,,AllTriggers)</f>
        <v>0.99094224994354729</v>
      </c>
      <c r="V596" s="34">
        <f>_xll.qlYieldTSDiscount(OisCurve,R596,,AllTriggers)</f>
        <v>0.98943963160290804</v>
      </c>
      <c r="W596" s="33">
        <f t="shared" si="47"/>
        <v>5.9425665905744945E-3</v>
      </c>
      <c r="X596" s="35">
        <f t="shared" si="48"/>
        <v>4.2101290180255837E-4</v>
      </c>
      <c r="Y596" s="33">
        <f t="shared" si="49"/>
        <v>1.6502910594039192E-3</v>
      </c>
      <c r="Z596" s="54"/>
    </row>
    <row r="597" spans="15:26" x14ac:dyDescent="0.25">
      <c r="O597" s="37" t="s">
        <v>31</v>
      </c>
      <c r="P597" s="31">
        <f>_xll.qlCalendarAdvance(Calendar,P596,O596,"f",,Trigger)</f>
        <v>44859</v>
      </c>
      <c r="Q597" s="31">
        <f>_xll.qlInterestRateIndexValueDate(Index,P597,Trigger)</f>
        <v>44861</v>
      </c>
      <c r="R597" s="31">
        <f>_xll.qlInterestRateIndexMaturity(Index,Q597,Trigger)</f>
        <v>44953</v>
      </c>
      <c r="S597" s="32">
        <f>_xll.qlDayCounterYearFraction(DayCounter,Q597,R597,,,Trigger)</f>
        <v>0.25555555555555554</v>
      </c>
      <c r="T597" s="33">
        <f>_xll.qlIndexFixing(Index,P597,,AllTriggers)</f>
        <v>7.6145411843907699E-3</v>
      </c>
      <c r="U597" s="34">
        <f>_xll.qlYieldTSDiscount(OisCurve,Q597,,AllTriggers)</f>
        <v>0.99083035319293888</v>
      </c>
      <c r="V597" s="34">
        <f>_xll.qlYieldTSDiscount(OisCurve,R597,,AllTriggers)</f>
        <v>0.98932240551464201</v>
      </c>
      <c r="W597" s="33">
        <f t="shared" si="47"/>
        <v>5.9643497359680546E-3</v>
      </c>
      <c r="X597" s="35">
        <f t="shared" si="48"/>
        <v>4.2098515546631557E-4</v>
      </c>
      <c r="Y597" s="33">
        <f t="shared" si="49"/>
        <v>1.6501914484227153E-3</v>
      </c>
      <c r="Z597" s="54"/>
    </row>
    <row r="598" spans="15:26" x14ac:dyDescent="0.25">
      <c r="O598" s="37" t="s">
        <v>31</v>
      </c>
      <c r="P598" s="31">
        <f>_xll.qlCalendarAdvance(Calendar,P597,O597,"f",,Trigger)</f>
        <v>44866</v>
      </c>
      <c r="Q598" s="31">
        <f>_xll.qlInterestRateIndexValueDate(Index,P598,Trigger)</f>
        <v>44868</v>
      </c>
      <c r="R598" s="31">
        <f>_xll.qlInterestRateIndexMaturity(Index,Q598,Trigger)</f>
        <v>44960</v>
      </c>
      <c r="S598" s="32">
        <f>_xll.qlDayCounterYearFraction(DayCounter,Q598,R598,,,Trigger)</f>
        <v>0.25555555555555554</v>
      </c>
      <c r="T598" s="33">
        <f>_xll.qlIndexFixing(Index,P598,,AllTriggers)</f>
        <v>7.6363277067247959E-3</v>
      </c>
      <c r="U598" s="34">
        <f>_xll.qlYieldTSDiscount(OisCurve,Q598,,AllTriggers)</f>
        <v>0.99071806327613998</v>
      </c>
      <c r="V598" s="34">
        <f>_xll.qlYieldTSDiscount(OisCurve,R598,,AllTriggers)</f>
        <v>0.98920475962277188</v>
      </c>
      <c r="W598" s="33">
        <f t="shared" si="47"/>
        <v>5.9862459554873284E-3</v>
      </c>
      <c r="X598" s="35">
        <f t="shared" si="48"/>
        <v>4.2095482472940502E-4</v>
      </c>
      <c r="Y598" s="33">
        <f t="shared" si="49"/>
        <v>1.6500817512374675E-3</v>
      </c>
      <c r="Z598" s="54"/>
    </row>
    <row r="599" spans="15:26" x14ac:dyDescent="0.25">
      <c r="O599" s="37" t="s">
        <v>31</v>
      </c>
      <c r="P599" s="31">
        <f>_xll.qlCalendarAdvance(Calendar,P598,O598,"f",,Trigger)</f>
        <v>44873</v>
      </c>
      <c r="Q599" s="31">
        <f>_xll.qlInterestRateIndexValueDate(Index,P599,Trigger)</f>
        <v>44875</v>
      </c>
      <c r="R599" s="31">
        <f>_xll.qlInterestRateIndexMaturity(Index,Q599,Trigger)</f>
        <v>44967</v>
      </c>
      <c r="S599" s="32">
        <f>_xll.qlDayCounterYearFraction(DayCounter,Q599,R599,,,Trigger)</f>
        <v>0.25555555555555554</v>
      </c>
      <c r="T599" s="33">
        <f>_xll.qlIndexFixing(Index,P599,,AllTriggers)</f>
        <v>7.6582172186947716E-3</v>
      </c>
      <c r="U599" s="34">
        <f>_xll.qlYieldTSDiscount(OisCurve,Q599,,AllTriggers)</f>
        <v>0.99060537815733862</v>
      </c>
      <c r="V599" s="34">
        <f>_xll.qlYieldTSDiscount(OisCurve,R599,,AllTriggers)</f>
        <v>0.9890866919113479</v>
      </c>
      <c r="W599" s="33">
        <f t="shared" si="47"/>
        <v>6.0082552510281927E-3</v>
      </c>
      <c r="X599" s="35">
        <f t="shared" si="48"/>
        <v>4.2092190959114756E-4</v>
      </c>
      <c r="Y599" s="33">
        <f t="shared" si="49"/>
        <v>1.6499619676665789E-3</v>
      </c>
      <c r="Z599" s="54"/>
    </row>
    <row r="600" spans="15:26" x14ac:dyDescent="0.25">
      <c r="O600" s="37" t="s">
        <v>31</v>
      </c>
      <c r="P600" s="31">
        <f>_xll.qlCalendarAdvance(Calendar,P599,O599,"f",,Trigger)</f>
        <v>44880</v>
      </c>
      <c r="Q600" s="31">
        <f>_xll.qlInterestRateIndexValueDate(Index,P600,Trigger)</f>
        <v>44882</v>
      </c>
      <c r="R600" s="31">
        <f>_xll.qlInterestRateIndexMaturity(Index,Q600,Trigger)</f>
        <v>44974</v>
      </c>
      <c r="S600" s="32">
        <f>_xll.qlDayCounterYearFraction(DayCounter,Q600,R600,,,Trigger)</f>
        <v>0.25555555555555554</v>
      </c>
      <c r="T600" s="33">
        <f>_xll.qlIndexFixing(Index,P600,,AllTriggers)</f>
        <v>7.680209722024536E-3</v>
      </c>
      <c r="U600" s="34">
        <f>_xll.qlYieldTSDiscount(OisCurve,Q600,,AllTriggers)</f>
        <v>0.99049229580218212</v>
      </c>
      <c r="V600" s="34">
        <f>_xll.qlYieldTSDiscount(OisCurve,R600,,AllTriggers)</f>
        <v>0.9889682003659942</v>
      </c>
      <c r="W600" s="33">
        <f t="shared" si="47"/>
        <v>6.0303776244934717E-3</v>
      </c>
      <c r="X600" s="35">
        <f t="shared" si="48"/>
        <v>4.2088641005195396E-4</v>
      </c>
      <c r="Y600" s="33">
        <f t="shared" si="49"/>
        <v>1.6498320975310643E-3</v>
      </c>
      <c r="Z600" s="54"/>
    </row>
    <row r="601" spans="15:26" x14ac:dyDescent="0.25">
      <c r="O601" s="37" t="s">
        <v>31</v>
      </c>
      <c r="P601" s="31">
        <f>_xll.qlCalendarAdvance(Calendar,P600,O600,"f",,Trigger)</f>
        <v>44887</v>
      </c>
      <c r="Q601" s="31">
        <f>_xll.qlInterestRateIndexValueDate(Index,P601,Trigger)</f>
        <v>44889</v>
      </c>
      <c r="R601" s="31">
        <f>_xll.qlInterestRateIndexMaturity(Index,Q601,Trigger)</f>
        <v>44981</v>
      </c>
      <c r="S601" s="32">
        <f>_xll.qlDayCounterYearFraction(DayCounter,Q601,R601,,,Trigger)</f>
        <v>0.25555555555555554</v>
      </c>
      <c r="T601" s="33">
        <f>_xll.qlIndexFixing(Index,P601,,AllTriggers)</f>
        <v>7.7023052184457463E-3</v>
      </c>
      <c r="U601" s="34">
        <f>_xll.qlYieldTSDiscount(OisCurve,Q601,,AllTriggers)</f>
        <v>0.99037881417778573</v>
      </c>
      <c r="V601" s="34">
        <f>_xll.qlYieldTSDiscount(OisCurve,R601,,AllTriggers)</f>
        <v>0.9888492829739165</v>
      </c>
      <c r="W601" s="33">
        <f t="shared" si="47"/>
        <v>6.0526130777955496E-3</v>
      </c>
      <c r="X601" s="35">
        <f t="shared" si="48"/>
        <v>4.2084832611177087E-4</v>
      </c>
      <c r="Y601" s="33">
        <f t="shared" si="49"/>
        <v>1.6496921406501967E-3</v>
      </c>
      <c r="Z601" s="54"/>
    </row>
    <row r="602" spans="15:26" x14ac:dyDescent="0.25">
      <c r="O602" s="37" t="s">
        <v>31</v>
      </c>
      <c r="P602" s="31">
        <f>_xll.qlCalendarAdvance(Calendar,P601,O601,"f",,Trigger)</f>
        <v>44894</v>
      </c>
      <c r="Q602" s="31">
        <f>_xll.qlInterestRateIndexValueDate(Index,P602,Trigger)</f>
        <v>44896</v>
      </c>
      <c r="R602" s="31">
        <f>_xll.qlInterestRateIndexMaturity(Index,Q602,Trigger)</f>
        <v>44986</v>
      </c>
      <c r="S602" s="32">
        <f>_xll.qlDayCounterYearFraction(DayCounter,Q602,R602,,,Trigger)</f>
        <v>0.25</v>
      </c>
      <c r="T602" s="33">
        <f>_xll.qlIndexFixing(Index,P602,,AllTriggers)</f>
        <v>7.7211288545599999E-3</v>
      </c>
      <c r="U602" s="34">
        <f>_xll.qlYieldTSDiscount(OisCurve,Q602,,AllTriggers)</f>
        <v>0.99026493125274095</v>
      </c>
      <c r="V602" s="34">
        <f>_xll.qlYieldTSDiscount(OisCurve,R602,,AllTriggers)</f>
        <v>0.98876408014295036</v>
      </c>
      <c r="W602" s="33">
        <f t="shared" si="47"/>
        <v>6.0716247280083735E-3</v>
      </c>
      <c r="X602" s="35">
        <f t="shared" si="48"/>
        <v>4.1166628600642274E-4</v>
      </c>
      <c r="Y602" s="33">
        <f t="shared" si="49"/>
        <v>1.6495041265516264E-3</v>
      </c>
      <c r="Z602" s="54"/>
    </row>
    <row r="603" spans="15:26" x14ac:dyDescent="0.25">
      <c r="O603" s="37" t="s">
        <v>31</v>
      </c>
      <c r="P603" s="31">
        <f>_xll.qlCalendarAdvance(Calendar,P602,O602,"f",,Trigger)</f>
        <v>44901</v>
      </c>
      <c r="Q603" s="31">
        <f>_xll.qlInterestRateIndexValueDate(Index,P603,Trigger)</f>
        <v>44903</v>
      </c>
      <c r="R603" s="31">
        <f>_xll.qlInterestRateIndexMaturity(Index,Q603,Trigger)</f>
        <v>44993</v>
      </c>
      <c r="S603" s="32">
        <f>_xll.qlDayCounterYearFraction(DayCounter,Q603,R603,,,Trigger)</f>
        <v>0.25</v>
      </c>
      <c r="T603" s="33">
        <f>_xll.qlIndexFixing(Index,P603,,AllTriggers)</f>
        <v>7.7434146718768915E-3</v>
      </c>
      <c r="U603" s="34">
        <f>_xll.qlYieldTSDiscount(OisCurve,Q603,,AllTriggers)</f>
        <v>0.99015064499712357</v>
      </c>
      <c r="V603" s="34">
        <f>_xll.qlYieldTSDiscount(OisCurve,R603,,AllTriggers)</f>
        <v>0.98864442804967734</v>
      </c>
      <c r="W603" s="33">
        <f t="shared" si="47"/>
        <v>6.0940694337094925E-3</v>
      </c>
      <c r="X603" s="35">
        <f t="shared" si="48"/>
        <v>4.1162433471529446E-4</v>
      </c>
      <c r="Y603" s="33">
        <f t="shared" si="49"/>
        <v>1.649345238167399E-3</v>
      </c>
      <c r="Z603" s="54"/>
    </row>
    <row r="604" spans="15:26" x14ac:dyDescent="0.25">
      <c r="O604" s="37" t="s">
        <v>31</v>
      </c>
      <c r="P604" s="31">
        <f>_xll.qlCalendarAdvance(Calendar,P603,O603,"f",,Trigger)</f>
        <v>44908</v>
      </c>
      <c r="Q604" s="31">
        <f>_xll.qlInterestRateIndexValueDate(Index,P604,Trigger)</f>
        <v>44910</v>
      </c>
      <c r="R604" s="31">
        <f>_xll.qlInterestRateIndexMaturity(Index,Q604,Trigger)</f>
        <v>45000</v>
      </c>
      <c r="S604" s="32">
        <f>_xll.qlDayCounterYearFraction(DayCounter,Q604,R604,,,Trigger)</f>
        <v>0.25</v>
      </c>
      <c r="T604" s="33">
        <f>_xll.qlIndexFixing(Index,P604,,AllTriggers)</f>
        <v>7.7658034800851539E-3</v>
      </c>
      <c r="U604" s="34">
        <f>_xll.qlYieldTSDiscount(OisCurve,Q604,,AllTriggers)</f>
        <v>0.99003595338250305</v>
      </c>
      <c r="V604" s="34">
        <f>_xll.qlYieldTSDiscount(OisCurve,R604,,AllTriggers)</f>
        <v>0.98852434465442729</v>
      </c>
      <c r="W604" s="33">
        <f t="shared" si="47"/>
        <v>6.1166272181356618E-3</v>
      </c>
      <c r="X604" s="35">
        <f t="shared" si="48"/>
        <v>4.1157985520549461E-4</v>
      </c>
      <c r="Y604" s="33">
        <f t="shared" si="49"/>
        <v>1.6491762619494921E-3</v>
      </c>
      <c r="Z604" s="54"/>
    </row>
    <row r="605" spans="15:26" x14ac:dyDescent="0.25">
      <c r="O605" s="37" t="s">
        <v>31</v>
      </c>
      <c r="P605" s="31">
        <f>_xll.qlCalendarAdvance(Calendar,P604,O604,"f",,Trigger)</f>
        <v>44915</v>
      </c>
      <c r="Q605" s="31">
        <f>_xll.qlInterestRateIndexValueDate(Index,P605,Trigger)</f>
        <v>44917</v>
      </c>
      <c r="R605" s="31">
        <f>_xll.qlInterestRateIndexMaturity(Index,Q605,Trigger)</f>
        <v>45007</v>
      </c>
      <c r="S605" s="32">
        <f>_xll.qlDayCounterYearFraction(DayCounter,Q605,R605,,,Trigger)</f>
        <v>0.25</v>
      </c>
      <c r="T605" s="33">
        <f>_xll.qlIndexFixing(Index,P605,,AllTriggers)</f>
        <v>7.7882952809087413E-3</v>
      </c>
      <c r="U605" s="34">
        <f>_xll.qlYieldTSDiscount(OisCurve,Q605,,AllTriggers)</f>
        <v>0.98992085438195032</v>
      </c>
      <c r="V605" s="34">
        <f>_xll.qlYieldTSDiscount(OisCurve,R605,,AllTriggers)</f>
        <v>0.98840382795036086</v>
      </c>
      <c r="W605" s="33">
        <f t="shared" si="47"/>
        <v>6.1392980831946886E-3</v>
      </c>
      <c r="X605" s="35">
        <f t="shared" si="48"/>
        <v>4.1153284747735163E-4</v>
      </c>
      <c r="Y605" s="33">
        <f t="shared" si="49"/>
        <v>1.6489971977140527E-3</v>
      </c>
      <c r="Z605" s="54"/>
    </row>
    <row r="606" spans="15:26" x14ac:dyDescent="0.25">
      <c r="O606" s="37" t="s">
        <v>31</v>
      </c>
      <c r="P606" s="31">
        <f>_xll.qlCalendarAdvance(Calendar,P605,O605,"f",,Trigger)</f>
        <v>44922</v>
      </c>
      <c r="Q606" s="31">
        <f>_xll.qlInterestRateIndexValueDate(Index,P606,Trigger)</f>
        <v>44924</v>
      </c>
      <c r="R606" s="31">
        <f>_xll.qlInterestRateIndexMaturity(Index,Q606,Trigger)</f>
        <v>45014</v>
      </c>
      <c r="S606" s="32">
        <f>_xll.qlDayCounterYearFraction(DayCounter,Q606,R606,,,Trigger)</f>
        <v>0.25</v>
      </c>
      <c r="T606" s="33">
        <f>_xll.qlIndexFixing(Index,P606,,AllTriggers)</f>
        <v>7.8108900760787137E-3</v>
      </c>
      <c r="U606" s="34">
        <f>_xll.qlYieldTSDiscount(OisCurve,Q606,,AllTriggers)</f>
        <v>0.98980534597004688</v>
      </c>
      <c r="V606" s="34">
        <f>_xll.qlYieldTSDiscount(OisCurve,R606,,AllTriggers)</f>
        <v>0.98828287593226349</v>
      </c>
      <c r="W606" s="33">
        <f t="shared" si="47"/>
        <v>6.1620820308041502E-3</v>
      </c>
      <c r="X606" s="35">
        <f t="shared" si="48"/>
        <v>4.114833115305091E-4</v>
      </c>
      <c r="Y606" s="33">
        <f t="shared" si="49"/>
        <v>1.6488080452745635E-3</v>
      </c>
      <c r="Z606" s="54"/>
    </row>
    <row r="607" spans="15:26" x14ac:dyDescent="0.25">
      <c r="O607" s="37" t="s">
        <v>31</v>
      </c>
      <c r="P607" s="31">
        <f>_xll.qlCalendarAdvance(Calendar,P606,O606,"f",,Trigger)</f>
        <v>44929</v>
      </c>
      <c r="Q607" s="31">
        <f>_xll.qlInterestRateIndexValueDate(Index,P607,Trigger)</f>
        <v>44931</v>
      </c>
      <c r="R607" s="31">
        <f>_xll.qlInterestRateIndexMaturity(Index,Q607,Trigger)</f>
        <v>45021</v>
      </c>
      <c r="S607" s="32">
        <f>_xll.qlDayCounterYearFraction(DayCounter,Q607,R607,,,Trigger)</f>
        <v>0.25</v>
      </c>
      <c r="T607" s="33">
        <f>_xll.qlIndexFixing(Index,P607,,AllTriggers)</f>
        <v>7.8335878673376769E-3</v>
      </c>
      <c r="U607" s="34">
        <f>_xll.qlYieldTSDiscount(OisCurve,Q607,,AllTriggers)</f>
        <v>0.98968942612289301</v>
      </c>
      <c r="V607" s="34">
        <f>_xll.qlYieldTSDiscount(OisCurve,R607,,AllTriggers)</f>
        <v>0.98816148659655401</v>
      </c>
      <c r="W607" s="33">
        <f t="shared" si="47"/>
        <v>6.1849790628922818E-3</v>
      </c>
      <c r="X607" s="35">
        <f t="shared" si="48"/>
        <v>4.1143124736547909E-4</v>
      </c>
      <c r="Y607" s="33">
        <f t="shared" si="49"/>
        <v>1.648608804445395E-3</v>
      </c>
      <c r="Z607" s="54"/>
    </row>
    <row r="608" spans="15:26" x14ac:dyDescent="0.25">
      <c r="O608" s="37" t="s">
        <v>31</v>
      </c>
      <c r="P608" s="31">
        <f>_xll.qlCalendarAdvance(Calendar,P607,O607,"f",,Trigger)</f>
        <v>44936</v>
      </c>
      <c r="Q608" s="31">
        <f>_xll.qlInterestRateIndexValueDate(Index,P608,Trigger)</f>
        <v>44938</v>
      </c>
      <c r="R608" s="31">
        <f>_xll.qlInterestRateIndexMaturity(Index,Q608,Trigger)</f>
        <v>45028</v>
      </c>
      <c r="S608" s="32">
        <f>_xll.qlDayCounterYearFraction(DayCounter,Q608,R608,,,Trigger)</f>
        <v>0.25</v>
      </c>
      <c r="T608" s="33">
        <f>_xll.qlIndexFixing(Index,P608,,AllTriggers)</f>
        <v>7.8563886564326779E-3</v>
      </c>
      <c r="U608" s="34">
        <f>_xll.qlYieldTSDiscount(OisCurve,Q608,,AllTriggers)</f>
        <v>0.98957309281811723</v>
      </c>
      <c r="V608" s="34">
        <f>_xll.qlYieldTSDiscount(OisCurve,R608,,AllTriggers)</f>
        <v>0.98803965794129434</v>
      </c>
      <c r="W608" s="33">
        <f t="shared" si="47"/>
        <v>6.2079891813979771E-3</v>
      </c>
      <c r="X608" s="35">
        <f t="shared" si="48"/>
        <v>4.1137665498164469E-4</v>
      </c>
      <c r="Y608" s="33">
        <f t="shared" si="49"/>
        <v>1.6483994750347009E-3</v>
      </c>
      <c r="Z608" s="54"/>
    </row>
    <row r="609" spans="15:26" x14ac:dyDescent="0.25">
      <c r="O609" s="37" t="s">
        <v>31</v>
      </c>
      <c r="P609" s="31">
        <f>_xll.qlCalendarAdvance(Calendar,P608,O608,"f",,Trigger)</f>
        <v>44943</v>
      </c>
      <c r="Q609" s="31">
        <f>_xll.qlInterestRateIndexValueDate(Index,P609,Trigger)</f>
        <v>44945</v>
      </c>
      <c r="R609" s="31">
        <f>_xll.qlInterestRateIndexMaturity(Index,Q609,Trigger)</f>
        <v>45035</v>
      </c>
      <c r="S609" s="32">
        <f>_xll.qlDayCounterYearFraction(DayCounter,Q609,R609,,,Trigger)</f>
        <v>0.25</v>
      </c>
      <c r="T609" s="33">
        <f>_xll.qlIndexFixing(Index,P609,,AllTriggers)</f>
        <v>7.8792924451214219E-3</v>
      </c>
      <c r="U609" s="34">
        <f>_xll.qlYieldTSDiscount(OisCurve,Q609,,AllTriggers)</f>
        <v>0.98945634403488381</v>
      </c>
      <c r="V609" s="34">
        <f>_xll.qlYieldTSDiscount(OisCurve,R609,,AllTriggers)</f>
        <v>0.98791738796619899</v>
      </c>
      <c r="W609" s="33">
        <f t="shared" si="47"/>
        <v>6.2311123882654584E-3</v>
      </c>
      <c r="X609" s="35">
        <f t="shared" si="48"/>
        <v>4.1131953437992355E-4</v>
      </c>
      <c r="Y609" s="33">
        <f t="shared" si="49"/>
        <v>1.6481800568559635E-3</v>
      </c>
      <c r="Z609" s="54"/>
    </row>
    <row r="610" spans="15:26" x14ac:dyDescent="0.25">
      <c r="O610" s="37" t="s">
        <v>31</v>
      </c>
      <c r="P610" s="31">
        <f>_xll.qlCalendarAdvance(Calendar,P609,O609,"f",,Trigger)</f>
        <v>44950</v>
      </c>
      <c r="Q610" s="31">
        <f>_xll.qlInterestRateIndexValueDate(Index,P610,Trigger)</f>
        <v>44952</v>
      </c>
      <c r="R610" s="31">
        <f>_xll.qlInterestRateIndexMaturity(Index,Q610,Trigger)</f>
        <v>45042</v>
      </c>
      <c r="S610" s="32">
        <f>_xll.qlDayCounterYearFraction(DayCounter,Q610,R610,,,Trigger)</f>
        <v>0.25</v>
      </c>
      <c r="T610" s="33">
        <f>_xll.qlIndexFixing(Index,P610,,AllTriggers)</f>
        <v>7.9022992351678312E-3</v>
      </c>
      <c r="U610" s="34">
        <f>_xll.qlYieldTSDiscount(OisCurve,Q610,,AllTriggers)</f>
        <v>0.98933917775390279</v>
      </c>
      <c r="V610" s="34">
        <f>_xll.qlYieldTSDiscount(OisCurve,R610,,AllTriggers)</f>
        <v>0.98779467467264337</v>
      </c>
      <c r="W610" s="33">
        <f t="shared" si="47"/>
        <v>6.2543486854540475E-3</v>
      </c>
      <c r="X610" s="35">
        <f t="shared" si="48"/>
        <v>4.1125988555966057E-4</v>
      </c>
      <c r="Y610" s="33">
        <f t="shared" si="49"/>
        <v>1.6479505497137836E-3</v>
      </c>
      <c r="Z610" s="54"/>
    </row>
    <row r="611" spans="15:26" x14ac:dyDescent="0.25">
      <c r="O611" s="37" t="s">
        <v>31</v>
      </c>
      <c r="P611" s="31">
        <f>_xll.qlCalendarAdvance(Calendar,P610,O610,"f",,Trigger)</f>
        <v>44957</v>
      </c>
      <c r="Q611" s="31">
        <f>_xll.qlInterestRateIndexValueDate(Index,P611,Trigger)</f>
        <v>44959</v>
      </c>
      <c r="R611" s="31">
        <f>_xll.qlInterestRateIndexMaturity(Index,Q611,Trigger)</f>
        <v>45048</v>
      </c>
      <c r="S611" s="32">
        <f>_xll.qlDayCounterYearFraction(DayCounter,Q611,R611,,,Trigger)</f>
        <v>0.24722222222222223</v>
      </c>
      <c r="T611" s="33">
        <f>_xll.qlIndexFixing(Index,P611,,AllTriggers)</f>
        <v>7.9236509406092216E-3</v>
      </c>
      <c r="U611" s="34">
        <f>_xll.qlYieldTSDiscount(OisCurve,Q611,,AllTriggers)</f>
        <v>0.98922159195743797</v>
      </c>
      <c r="V611" s="34">
        <f>_xll.qlYieldTSDiscount(OisCurve,R611,,AllTriggers)</f>
        <v>0.98768913778989997</v>
      </c>
      <c r="W611" s="33">
        <f t="shared" si="47"/>
        <v>6.2759534124585507E-3</v>
      </c>
      <c r="X611" s="35">
        <f t="shared" si="48"/>
        <v>4.0663371483607385E-4</v>
      </c>
      <c r="Y611" s="33">
        <f t="shared" si="49"/>
        <v>1.6476975281506708E-3</v>
      </c>
      <c r="Z611" s="54"/>
    </row>
    <row r="612" spans="15:26" x14ac:dyDescent="0.25">
      <c r="O612" s="37" t="s">
        <v>31</v>
      </c>
      <c r="P612" s="31">
        <f>_xll.qlCalendarAdvance(Calendar,P611,O611,"f",,Trigger)</f>
        <v>44964</v>
      </c>
      <c r="Q612" s="31">
        <f>_xll.qlInterestRateIndexValueDate(Index,P612,Trigger)</f>
        <v>44966</v>
      </c>
      <c r="R612" s="31">
        <f>_xll.qlInterestRateIndexMaturity(Index,Q612,Trigger)</f>
        <v>45055</v>
      </c>
      <c r="S612" s="32">
        <f>_xll.qlDayCounterYearFraction(DayCounter,Q612,R612,,,Trigger)</f>
        <v>0.24722222222222223</v>
      </c>
      <c r="T612" s="33">
        <f>_xll.qlIndexFixing(Index,P612,,AllTriggers)</f>
        <v>7.946832706515649E-3</v>
      </c>
      <c r="U612" s="34">
        <f>_xll.qlYieldTSDiscount(OisCurve,Q612,,AllTriggers)</f>
        <v>0.98910358462931625</v>
      </c>
      <c r="V612" s="34">
        <f>_xll.qlYieldTSDiscount(OisCurve,R612,,AllTriggers)</f>
        <v>0.98756560181988118</v>
      </c>
      <c r="W612" s="33">
        <f t="shared" si="47"/>
        <v>6.2993830983704016E-3</v>
      </c>
      <c r="X612" s="35">
        <f t="shared" si="48"/>
        <v>4.0657019246228377E-4</v>
      </c>
      <c r="Y612" s="33">
        <f t="shared" si="49"/>
        <v>1.6474496081452473E-3</v>
      </c>
      <c r="Z612" s="54"/>
    </row>
    <row r="613" spans="15:26" x14ac:dyDescent="0.25">
      <c r="O613" s="37" t="s">
        <v>31</v>
      </c>
      <c r="P613" s="31">
        <f>_xll.qlCalendarAdvance(Calendar,P612,O612,"f",,Trigger)</f>
        <v>44971</v>
      </c>
      <c r="Q613" s="31">
        <f>_xll.qlInterestRateIndexValueDate(Index,P613,Trigger)</f>
        <v>44973</v>
      </c>
      <c r="R613" s="31">
        <f>_xll.qlInterestRateIndexMaturity(Index,Q613,Trigger)</f>
        <v>45062</v>
      </c>
      <c r="S613" s="32">
        <f>_xll.qlDayCounterYearFraction(DayCounter,Q613,R613,,,Trigger)</f>
        <v>0.24722222222222223</v>
      </c>
      <c r="T613" s="33">
        <f>_xll.qlIndexFixing(Index,P613,,AllTriggers)</f>
        <v>7.9700583500175674E-3</v>
      </c>
      <c r="U613" s="34">
        <f>_xll.qlYieldTSDiscount(OisCurve,Q613,,AllTriggers)</f>
        <v>0.98898515375493623</v>
      </c>
      <c r="V613" s="34">
        <f>_xll.qlYieldTSDiscount(OisCurve,R613,,AllTriggers)</f>
        <v>0.98744163195306545</v>
      </c>
      <c r="W613" s="33">
        <f t="shared" si="47"/>
        <v>6.3228638248832127E-3</v>
      </c>
      <c r="X613" s="35">
        <f t="shared" si="48"/>
        <v>4.0650489832711449E-4</v>
      </c>
      <c r="Y613" s="33">
        <f t="shared" si="49"/>
        <v>1.6471945251343547E-3</v>
      </c>
      <c r="Z613" s="54"/>
    </row>
    <row r="614" spans="15:26" x14ac:dyDescent="0.25">
      <c r="O614" s="37" t="s">
        <v>31</v>
      </c>
      <c r="P614" s="31">
        <f>_xll.qlCalendarAdvance(Calendar,P613,O613,"f",,Trigger)</f>
        <v>44978</v>
      </c>
      <c r="Q614" s="31">
        <f>_xll.qlInterestRateIndexValueDate(Index,P614,Trigger)</f>
        <v>44980</v>
      </c>
      <c r="R614" s="31">
        <f>_xll.qlInterestRateIndexMaturity(Index,Q614,Trigger)</f>
        <v>45069</v>
      </c>
      <c r="S614" s="32">
        <f>_xll.qlDayCounterYearFraction(DayCounter,Q614,R614,,,Trigger)</f>
        <v>0.24722222222222223</v>
      </c>
      <c r="T614" s="33">
        <f>_xll.qlIndexFixing(Index,P614,,AllTriggers)</f>
        <v>7.9932902466918459E-3</v>
      </c>
      <c r="U614" s="34">
        <f>_xll.qlYieldTSDiscount(OisCurve,Q614,,AllTriggers)</f>
        <v>0.98886629732127684</v>
      </c>
      <c r="V614" s="34">
        <f>_xll.qlYieldTSDiscount(OisCurve,R614,,AllTriggers)</f>
        <v>0.98731723581492126</v>
      </c>
      <c r="W614" s="33">
        <f t="shared" si="47"/>
        <v>6.3463561051975348E-3</v>
      </c>
      <c r="X614" s="35">
        <f t="shared" si="48"/>
        <v>4.064382959368762E-4</v>
      </c>
      <c r="Y614" s="33">
        <f t="shared" si="49"/>
        <v>1.6469341414943111E-3</v>
      </c>
      <c r="Z614" s="54"/>
    </row>
    <row r="615" spans="15:26" x14ac:dyDescent="0.25">
      <c r="O615" s="37" t="s">
        <v>31</v>
      </c>
      <c r="P615" s="31">
        <f>_xll.qlCalendarAdvance(Calendar,P614,O614,"f",,Trigger)</f>
        <v>44985</v>
      </c>
      <c r="Q615" s="31">
        <f>_xll.qlInterestRateIndexValueDate(Index,P615,Trigger)</f>
        <v>44987</v>
      </c>
      <c r="R615" s="31">
        <f>_xll.qlInterestRateIndexMaturity(Index,Q615,Trigger)</f>
        <v>45079</v>
      </c>
      <c r="S615" s="32">
        <f>_xll.qlDayCounterYearFraction(DayCounter,Q615,R615,,,Trigger)</f>
        <v>0.25555555555555554</v>
      </c>
      <c r="T615" s="33">
        <f>_xll.qlIndexFixing(Index,P615,,AllTriggers)</f>
        <v>8.0216990788679228E-3</v>
      </c>
      <c r="U615" s="34">
        <f>_xll.qlYieldTSDiscount(OisCurve,Q615,,AllTriggers)</f>
        <v>0.9887470133169074</v>
      </c>
      <c r="V615" s="34">
        <f>_xll.qlYieldTSDiscount(OisCurve,R615,,AllTriggers)</f>
        <v>0.98713880270639587</v>
      </c>
      <c r="W615" s="33">
        <f t="shared" si="47"/>
        <v>6.3749880197993139E-3</v>
      </c>
      <c r="X615" s="35">
        <f t="shared" si="48"/>
        <v>4.20053445203389E-4</v>
      </c>
      <c r="Y615" s="33">
        <f t="shared" si="49"/>
        <v>1.6467110590686089E-3</v>
      </c>
      <c r="Z615" s="54"/>
    </row>
    <row r="616" spans="15:26" x14ac:dyDescent="0.25">
      <c r="O616" s="37" t="s">
        <v>31</v>
      </c>
      <c r="P616" s="31">
        <f>_xll.qlCalendarAdvance(Calendar,P615,O615,"f",,Trigger)</f>
        <v>44992</v>
      </c>
      <c r="Q616" s="31">
        <f>_xll.qlInterestRateIndexValueDate(Index,P616,Trigger)</f>
        <v>44994</v>
      </c>
      <c r="R616" s="31">
        <f>_xll.qlInterestRateIndexMaturity(Index,Q616,Trigger)</f>
        <v>45086</v>
      </c>
      <c r="S616" s="32">
        <f>_xll.qlDayCounterYearFraction(DayCounter,Q616,R616,,,Trigger)</f>
        <v>0.25555555555555554</v>
      </c>
      <c r="T616" s="33">
        <f>_xll.qlIndexFixing(Index,P616,,AllTriggers)</f>
        <v>8.0447875960460609E-3</v>
      </c>
      <c r="U616" s="34">
        <f>_xll.qlYieldTSDiscount(OisCurve,Q616,,AllTriggers)</f>
        <v>0.98862729973199515</v>
      </c>
      <c r="V616" s="34">
        <f>_xll.qlYieldTSDiscount(OisCurve,R616,,AllTriggers)</f>
        <v>0.98701340306498953</v>
      </c>
      <c r="W616" s="33">
        <f t="shared" si="47"/>
        <v>6.3983404964943046E-3</v>
      </c>
      <c r="X616" s="35">
        <f t="shared" si="48"/>
        <v>4.1998362508262712E-4</v>
      </c>
      <c r="Y616" s="33">
        <f t="shared" si="49"/>
        <v>1.6464470995517563E-3</v>
      </c>
      <c r="Z616" s="54"/>
    </row>
    <row r="617" spans="15:26" x14ac:dyDescent="0.25">
      <c r="O617" s="37" t="s">
        <v>31</v>
      </c>
      <c r="P617" s="31">
        <f>_xll.qlCalendarAdvance(Calendar,P616,O616,"f",,Trigger)</f>
        <v>44999</v>
      </c>
      <c r="Q617" s="31">
        <f>_xll.qlInterestRateIndexValueDate(Index,P617,Trigger)</f>
        <v>45001</v>
      </c>
      <c r="R617" s="31">
        <f>_xll.qlInterestRateIndexMaturity(Index,Q617,Trigger)</f>
        <v>45093</v>
      </c>
      <c r="S617" s="32">
        <f>_xll.qlDayCounterYearFraction(DayCounter,Q617,R617,,,Trigger)</f>
        <v>0.25555555555555554</v>
      </c>
      <c r="T617" s="33">
        <f>_xll.qlIndexFixing(Index,P617,,AllTriggers)</f>
        <v>8.067760720223827E-3</v>
      </c>
      <c r="U617" s="34">
        <f>_xll.qlYieldTSDiscount(OisCurve,Q617,,AllTriggers)</f>
        <v>0.9885071545583155</v>
      </c>
      <c r="V617" s="34">
        <f>_xll.qlYieldTSDiscount(OisCurve,R617,,AllTriggers)</f>
        <v>0.98688760327222202</v>
      </c>
      <c r="W617" s="33">
        <f t="shared" si="47"/>
        <v>6.4215768611788548E-3</v>
      </c>
      <c r="X617" s="35">
        <f t="shared" si="48"/>
        <v>4.1991400159504172E-4</v>
      </c>
      <c r="Y617" s="33">
        <f t="shared" si="49"/>
        <v>1.6461838590449722E-3</v>
      </c>
      <c r="Z617" s="54"/>
    </row>
    <row r="618" spans="15:26" x14ac:dyDescent="0.25">
      <c r="O618" s="37" t="s">
        <v>31</v>
      </c>
      <c r="P618" s="31">
        <f>_xll.qlCalendarAdvance(Calendar,P617,O617,"f",,Trigger)</f>
        <v>45006</v>
      </c>
      <c r="Q618" s="31">
        <f>_xll.qlInterestRateIndexValueDate(Index,P618,Trigger)</f>
        <v>45008</v>
      </c>
      <c r="R618" s="31">
        <f>_xll.qlInterestRateIndexMaturity(Index,Q618,Trigger)</f>
        <v>45100</v>
      </c>
      <c r="S618" s="32">
        <f>_xll.qlDayCounterYearFraction(DayCounter,Q618,R618,,,Trigger)</f>
        <v>0.25555555555555554</v>
      </c>
      <c r="T618" s="33">
        <f>_xll.qlIndexFixing(Index,P618,,AllTriggers)</f>
        <v>8.0905820477793645E-3</v>
      </c>
      <c r="U618" s="34">
        <f>_xll.qlYieldTSDiscount(OisCurve,Q618,,AllTriggers)</f>
        <v>0.98838657578926059</v>
      </c>
      <c r="V618" s="34">
        <f>_xll.qlYieldTSDiscount(OisCurve,R618,,AllTriggers)</f>
        <v>0.98676141093914582</v>
      </c>
      <c r="W618" s="33">
        <f t="shared" si="47"/>
        <v>6.444658908771256E-3</v>
      </c>
      <c r="X618" s="35">
        <f t="shared" si="48"/>
        <v>4.1984503824577814E-4</v>
      </c>
      <c r="Y618" s="33">
        <f t="shared" si="49"/>
        <v>1.6459231390081085E-3</v>
      </c>
      <c r="Z618" s="54"/>
    </row>
    <row r="619" spans="15:26" x14ac:dyDescent="0.25">
      <c r="O619" s="37" t="s">
        <v>31</v>
      </c>
      <c r="P619" s="31">
        <f>_xll.qlCalendarAdvance(Calendar,P618,O618,"f",,Trigger)</f>
        <v>45013</v>
      </c>
      <c r="Q619" s="31">
        <f>_xll.qlInterestRateIndexValueDate(Index,P619,Trigger)</f>
        <v>45015</v>
      </c>
      <c r="R619" s="31">
        <f>_xll.qlInterestRateIndexMaturity(Index,Q619,Trigger)</f>
        <v>45107</v>
      </c>
      <c r="S619" s="32">
        <f>_xll.qlDayCounterYearFraction(DayCounter,Q619,R619,,,Trigger)</f>
        <v>0.25555555555555554</v>
      </c>
      <c r="T619" s="33">
        <f>_xll.qlIndexFixing(Index,P619,,AllTriggers)</f>
        <v>8.1132151742619139E-3</v>
      </c>
      <c r="U619" s="34">
        <f>_xll.qlYieldTSDiscount(OisCurve,Q619,,AllTriggers)</f>
        <v>0.98826556141984867</v>
      </c>
      <c r="V619" s="34">
        <f>_xll.qlYieldTSDiscount(OisCurve,R619,,AllTriggers)</f>
        <v>0.98663483367347427</v>
      </c>
      <c r="W619" s="33">
        <f t="shared" si="47"/>
        <v>6.4675484333052927E-3</v>
      </c>
      <c r="X619" s="35">
        <f t="shared" si="48"/>
        <v>4.1977719854077445E-4</v>
      </c>
      <c r="Y619" s="33">
        <f t="shared" si="49"/>
        <v>1.6456667409566212E-3</v>
      </c>
      <c r="Z619" s="54"/>
    </row>
    <row r="620" spans="15:26" x14ac:dyDescent="0.25">
      <c r="O620" s="37" t="s">
        <v>31</v>
      </c>
      <c r="P620" s="31">
        <f>_xll.qlCalendarAdvance(Calendar,P619,O619,"f",,Trigger)</f>
        <v>45020</v>
      </c>
      <c r="Q620" s="31">
        <f>_xll.qlInterestRateIndexValueDate(Index,P620,Trigger)</f>
        <v>45022</v>
      </c>
      <c r="R620" s="31">
        <f>_xll.qlInterestRateIndexMaturity(Index,Q620,Trigger)</f>
        <v>45113</v>
      </c>
      <c r="S620" s="32">
        <f>_xll.qlDayCounterYearFraction(DayCounter,Q620,R620,,,Trigger)</f>
        <v>0.25277777777777777</v>
      </c>
      <c r="T620" s="33">
        <f>_xll.qlIndexFixing(Index,P620,,AllTriggers)</f>
        <v>8.1339868550936965E-3</v>
      </c>
      <c r="U620" s="34">
        <f>_xll.qlYieldTSDiscount(OisCurve,Q620,,AllTriggers)</f>
        <v>0.98814410944673259</v>
      </c>
      <c r="V620" s="34">
        <f>_xll.qlYieldTSDiscount(OisCurve,R620,,AllTriggers)</f>
        <v>0.98652603826372265</v>
      </c>
      <c r="W620" s="33">
        <f t="shared" si="47"/>
        <v>6.4885877064748418E-3</v>
      </c>
      <c r="X620" s="35">
        <f t="shared" si="48"/>
        <v>4.1515308904548412E-4</v>
      </c>
      <c r="Y620" s="33">
        <f t="shared" si="49"/>
        <v>1.6453991486188547E-3</v>
      </c>
      <c r="Z620" s="54"/>
    </row>
    <row r="621" spans="15:26" x14ac:dyDescent="0.25">
      <c r="O621" s="37" t="s">
        <v>31</v>
      </c>
      <c r="P621" s="31">
        <f>_xll.qlCalendarAdvance(Calendar,P620,O620,"f",,Trigger)</f>
        <v>45027</v>
      </c>
      <c r="Q621" s="31">
        <f>_xll.qlInterestRateIndexValueDate(Index,P621,Trigger)</f>
        <v>45029</v>
      </c>
      <c r="R621" s="31">
        <f>_xll.qlInterestRateIndexMaturity(Index,Q621,Trigger)</f>
        <v>45120</v>
      </c>
      <c r="S621" s="32">
        <f>_xll.qlDayCounterYearFraction(DayCounter,Q621,R621,,,Trigger)</f>
        <v>0.25277777777777777</v>
      </c>
      <c r="T621" s="33">
        <f>_xll.qlIndexFixing(Index,P621,,AllTriggers)</f>
        <v>8.1561592640645181E-3</v>
      </c>
      <c r="U621" s="34">
        <f>_xll.qlYieldTSDiscount(OisCurve,Q621,,AllTriggers)</f>
        <v>0.98802221786820998</v>
      </c>
      <c r="V621" s="34">
        <f>_xll.qlYieldTSDiscount(OisCurve,R621,,AllTriggers)</f>
        <v>0.98639876629544843</v>
      </c>
      <c r="W621" s="33">
        <f t="shared" si="47"/>
        <v>6.5110034620922339E-3</v>
      </c>
      <c r="X621" s="35">
        <f t="shared" si="48"/>
        <v>4.1508935499235631E-4</v>
      </c>
      <c r="Y621" s="33">
        <f t="shared" si="49"/>
        <v>1.6451558019722843E-3</v>
      </c>
      <c r="Z621" s="54"/>
    </row>
    <row r="622" spans="15:26" x14ac:dyDescent="0.25">
      <c r="O622" s="37" t="s">
        <v>31</v>
      </c>
      <c r="P622" s="31">
        <f>_xll.qlCalendarAdvance(Calendar,P621,O621,"f",,Trigger)</f>
        <v>45034</v>
      </c>
      <c r="Q622" s="31">
        <f>_xll.qlInterestRateIndexValueDate(Index,P622,Trigger)</f>
        <v>45036</v>
      </c>
      <c r="R622" s="31">
        <f>_xll.qlInterestRateIndexMaturity(Index,Q622,Trigger)</f>
        <v>45127</v>
      </c>
      <c r="S622" s="32">
        <f>_xll.qlDayCounterYearFraction(DayCounter,Q622,R622,,,Trigger)</f>
        <v>0.25277777777777777</v>
      </c>
      <c r="T622" s="33">
        <f>_xll.qlIndexFixing(Index,P622,,AllTriggers)</f>
        <v>8.1780351167516346E-3</v>
      </c>
      <c r="U622" s="34">
        <f>_xll.qlYieldTSDiscount(OisCurve,Q622,,AllTriggers)</f>
        <v>0.98789988468423184</v>
      </c>
      <c r="V622" s="34">
        <f>_xll.qlYieldTSDiscount(OisCurve,R622,,AllTriggers)</f>
        <v>0.98627113111224152</v>
      </c>
      <c r="W622" s="33">
        <f t="shared" si="47"/>
        <v>6.5331129758311761E-3</v>
      </c>
      <c r="X622" s="35">
        <f t="shared" si="48"/>
        <v>4.1502809697676783E-4</v>
      </c>
      <c r="Y622" s="33">
        <f t="shared" si="49"/>
        <v>1.6449221409204585E-3</v>
      </c>
      <c r="Z622" s="54"/>
    </row>
    <row r="623" spans="15:26" x14ac:dyDescent="0.25">
      <c r="O623" s="37" t="s">
        <v>31</v>
      </c>
      <c r="P623" s="31">
        <f>_xll.qlCalendarAdvance(Calendar,P622,O622,"f",,Trigger)</f>
        <v>45041</v>
      </c>
      <c r="Q623" s="31">
        <f>_xll.qlInterestRateIndexValueDate(Index,P623,Trigger)</f>
        <v>45043</v>
      </c>
      <c r="R623" s="31">
        <f>_xll.qlInterestRateIndexMaturity(Index,Q623,Trigger)</f>
        <v>45134</v>
      </c>
      <c r="S623" s="32">
        <f>_xll.qlDayCounterYearFraction(DayCounter,Q623,R623,,,Trigger)</f>
        <v>0.25277777777777777</v>
      </c>
      <c r="T623" s="33">
        <f>_xll.qlIndexFixing(Index,P623,,AllTriggers)</f>
        <v>8.1995776064496713E-3</v>
      </c>
      <c r="U623" s="34">
        <f>_xll.qlYieldTSDiscount(OisCurve,Q623,,AllTriggers)</f>
        <v>0.98777710789641204</v>
      </c>
      <c r="V623" s="34">
        <f>_xll.qlYieldTSDiscount(OisCurve,R623,,AllTriggers)</f>
        <v>0.98614314030866279</v>
      </c>
      <c r="W623" s="33">
        <f t="shared" si="47"/>
        <v>6.5548776193524606E-3</v>
      </c>
      <c r="X623" s="35">
        <f t="shared" si="48"/>
        <v>4.1496977850365234E-4</v>
      </c>
      <c r="Y623" s="33">
        <f t="shared" si="49"/>
        <v>1.6446999870972107E-3</v>
      </c>
      <c r="Z623" s="54"/>
    </row>
    <row r="624" spans="15:26" x14ac:dyDescent="0.25">
      <c r="O624" s="37" t="s">
        <v>31</v>
      </c>
      <c r="P624" s="31">
        <f>_xll.qlCalendarAdvance(Calendar,P623,O623,"f",,Trigger)</f>
        <v>45048</v>
      </c>
      <c r="Q624" s="31">
        <f>_xll.qlInterestRateIndexValueDate(Index,P624,Trigger)</f>
        <v>45050</v>
      </c>
      <c r="R624" s="31">
        <f>_xll.qlInterestRateIndexMaturity(Index,Q624,Trigger)</f>
        <v>45142</v>
      </c>
      <c r="S624" s="32">
        <f>_xll.qlDayCounterYearFraction(DayCounter,Q624,R624,,,Trigger)</f>
        <v>0.25555555555555554</v>
      </c>
      <c r="T624" s="33">
        <f>_xll.qlIndexFixing(Index,P624,,AllTriggers)</f>
        <v>8.2222873994301972E-3</v>
      </c>
      <c r="U624" s="34">
        <f>_xll.qlYieldTSDiscount(OisCurve,Q624,,AllTriggers)</f>
        <v>0.98765388651840869</v>
      </c>
      <c r="V624" s="34">
        <f>_xll.qlYieldTSDiscount(OisCurve,R624,,AllTriggers)</f>
        <v>0.98599643938872905</v>
      </c>
      <c r="W624" s="33">
        <f t="shared" si="47"/>
        <v>6.5777749515764147E-3</v>
      </c>
      <c r="X624" s="35">
        <f t="shared" si="48"/>
        <v>4.1947102872637277E-4</v>
      </c>
      <c r="Y624" s="33">
        <f t="shared" si="49"/>
        <v>1.6445124478537826E-3</v>
      </c>
      <c r="Z624" s="54"/>
    </row>
    <row r="625" spans="15:26" x14ac:dyDescent="0.25">
      <c r="O625" s="37" t="s">
        <v>31</v>
      </c>
      <c r="P625" s="31">
        <f>_xll.qlCalendarAdvance(Calendar,P624,O624,"f",,Trigger)</f>
        <v>45055</v>
      </c>
      <c r="Q625" s="31">
        <f>_xll.qlInterestRateIndexValueDate(Index,P625,Trigger)</f>
        <v>45057</v>
      </c>
      <c r="R625" s="31">
        <f>_xll.qlInterestRateIndexMaturity(Index,Q625,Trigger)</f>
        <v>45149</v>
      </c>
      <c r="S625" s="32">
        <f>_xll.qlDayCounterYearFraction(DayCounter,Q625,R625,,,Trigger)</f>
        <v>0.25555555555555554</v>
      </c>
      <c r="T625" s="33">
        <f>_xll.qlIndexFixing(Index,P625,,AllTriggers)</f>
        <v>8.2430618227761262E-3</v>
      </c>
      <c r="U625" s="34">
        <f>_xll.qlYieldTSDiscount(OisCurve,Q625,,AllTriggers)</f>
        <v>0.98753022579958216</v>
      </c>
      <c r="V625" s="34">
        <f>_xll.qlYieldTSDiscount(OisCurve,R625,,AllTriggers)</f>
        <v>0.98586771209881086</v>
      </c>
      <c r="W625" s="33">
        <f t="shared" si="47"/>
        <v>6.5987437406519424E-3</v>
      </c>
      <c r="X625" s="35">
        <f t="shared" si="48"/>
        <v>4.1941921834061683E-4</v>
      </c>
      <c r="Y625" s="33">
        <f t="shared" si="49"/>
        <v>1.6443180821241838E-3</v>
      </c>
      <c r="Z625" s="54"/>
    </row>
    <row r="626" spans="15:26" x14ac:dyDescent="0.25">
      <c r="O626" s="37" t="s">
        <v>31</v>
      </c>
      <c r="P626" s="31">
        <f>_xll.qlCalendarAdvance(Calendar,P625,O625,"f",,Trigger)</f>
        <v>45062</v>
      </c>
      <c r="Q626" s="31">
        <f>_xll.qlInterestRateIndexValueDate(Index,P626,Trigger)</f>
        <v>45064</v>
      </c>
      <c r="R626" s="31">
        <f>_xll.qlInterestRateIndexMaturity(Index,Q626,Trigger)</f>
        <v>45156</v>
      </c>
      <c r="S626" s="32">
        <f>_xll.qlDayCounterYearFraction(DayCounter,Q626,R626,,,Trigger)</f>
        <v>0.25555555555555554</v>
      </c>
      <c r="T626" s="33">
        <f>_xll.qlIndexFixing(Index,P626,,AllTriggers)</f>
        <v>8.2634607986228781E-3</v>
      </c>
      <c r="U626" s="34">
        <f>_xll.qlYieldTSDiscount(OisCurve,Q626,,AllTriggers)</f>
        <v>0.98740613336298877</v>
      </c>
      <c r="V626" s="34">
        <f>_xll.qlYieldTSDiscount(OisCurve,R626,,AllTriggers)</f>
        <v>0.98573865303437647</v>
      </c>
      <c r="W626" s="33">
        <f t="shared" si="47"/>
        <v>6.6193234940307693E-3</v>
      </c>
      <c r="X626" s="35">
        <f t="shared" si="48"/>
        <v>4.1937091534240047E-4</v>
      </c>
      <c r="Y626" s="33">
        <f t="shared" si="49"/>
        <v>1.6441373045921089E-3</v>
      </c>
      <c r="Z626" s="54"/>
    </row>
    <row r="627" spans="15:26" x14ac:dyDescent="0.25">
      <c r="O627" s="37" t="s">
        <v>31</v>
      </c>
      <c r="P627" s="31">
        <f>_xll.qlCalendarAdvance(Calendar,P626,O626,"f",,Trigger)</f>
        <v>45069</v>
      </c>
      <c r="Q627" s="31">
        <f>_xll.qlInterestRateIndexValueDate(Index,P627,Trigger)</f>
        <v>45071</v>
      </c>
      <c r="R627" s="31">
        <f>_xll.qlInterestRateIndexMaturity(Index,Q627,Trigger)</f>
        <v>45163</v>
      </c>
      <c r="S627" s="32">
        <f>_xll.qlDayCounterYearFraction(DayCounter,Q627,R627,,,Trigger)</f>
        <v>0.25555555555555554</v>
      </c>
      <c r="T627" s="33">
        <f>_xll.qlIndexFixing(Index,P627,,AllTriggers)</f>
        <v>8.2834843211107931E-3</v>
      </c>
      <c r="U627" s="34">
        <f>_xll.qlYieldTSDiscount(OisCurve,Q627,,AllTriggers)</f>
        <v>0.9872816168331856</v>
      </c>
      <c r="V627" s="34">
        <f>_xll.qlYieldTSDiscount(OisCurve,R627,,AllTriggers)</f>
        <v>0.98560926977540675</v>
      </c>
      <c r="W627" s="33">
        <f t="shared" si="47"/>
        <v>6.6395142055856223E-3</v>
      </c>
      <c r="X627" s="35">
        <f t="shared" si="48"/>
        <v>4.1932611973178805E-4</v>
      </c>
      <c r="Y627" s="33">
        <f t="shared" si="49"/>
        <v>1.6439701155251708E-3</v>
      </c>
      <c r="Z627" s="54"/>
    </row>
    <row r="628" spans="15:26" x14ac:dyDescent="0.25">
      <c r="O628" s="37" t="s">
        <v>31</v>
      </c>
      <c r="P628" s="31">
        <f>_xll.qlCalendarAdvance(Calendar,P627,O627,"f",,Trigger)</f>
        <v>45076</v>
      </c>
      <c r="Q628" s="31">
        <f>_xll.qlInterestRateIndexValueDate(Index,P628,Trigger)</f>
        <v>45078</v>
      </c>
      <c r="R628" s="31">
        <f>_xll.qlInterestRateIndexMaturity(Index,Q628,Trigger)</f>
        <v>45170</v>
      </c>
      <c r="S628" s="32">
        <f>_xll.qlDayCounterYearFraction(DayCounter,Q628,R628,,,Trigger)</f>
        <v>0.25555555555555554</v>
      </c>
      <c r="T628" s="33">
        <f>_xll.qlIndexFixing(Index,P628,,AllTriggers)</f>
        <v>8.3031323844870806E-3</v>
      </c>
      <c r="U628" s="34">
        <f>_xll.qlYieldTSDiscount(OisCurve,Q628,,AllTriggers)</f>
        <v>0.98715668383152033</v>
      </c>
      <c r="V628" s="34">
        <f>_xll.qlYieldTSDiscount(OisCurve,R628,,AllTriggers)</f>
        <v>0.98547956989829755</v>
      </c>
      <c r="W628" s="33">
        <f t="shared" si="47"/>
        <v>6.6593158693030521E-3</v>
      </c>
      <c r="X628" s="35">
        <f t="shared" si="48"/>
        <v>4.1928483150858493E-4</v>
      </c>
      <c r="Y628" s="33">
        <f t="shared" si="49"/>
        <v>1.6438165151840285E-3</v>
      </c>
      <c r="Z628" s="54"/>
    </row>
    <row r="629" spans="15:26" x14ac:dyDescent="0.25">
      <c r="O629" s="37" t="s">
        <v>31</v>
      </c>
      <c r="P629" s="31">
        <f>_xll.qlCalendarAdvance(Calendar,P628,O628,"f",,Trigger)</f>
        <v>45083</v>
      </c>
      <c r="Q629" s="31">
        <f>_xll.qlInterestRateIndexValueDate(Index,P629,Trigger)</f>
        <v>45085</v>
      </c>
      <c r="R629" s="31">
        <f>_xll.qlInterestRateIndexMaturity(Index,Q629,Trigger)</f>
        <v>45177</v>
      </c>
      <c r="S629" s="32">
        <f>_xll.qlDayCounterYearFraction(DayCounter,Q629,R629,,,Trigger)</f>
        <v>0.25555555555555554</v>
      </c>
      <c r="T629" s="33">
        <f>_xll.qlIndexFixing(Index,P629,,AllTriggers)</f>
        <v>8.3224049831049536E-3</v>
      </c>
      <c r="U629" s="34">
        <f>_xll.qlYieldTSDiscount(OisCurve,Q629,,AllTriggers)</f>
        <v>0.98703134197609788</v>
      </c>
      <c r="V629" s="34">
        <f>_xll.qlYieldTSDiscount(OisCurve,R629,,AllTriggers)</f>
        <v>0.98534956097583537</v>
      </c>
      <c r="W629" s="33">
        <f t="shared" si="47"/>
        <v>6.6787284792851663E-3</v>
      </c>
      <c r="X629" s="35">
        <f t="shared" si="48"/>
        <v>4.1924705067278181E-4</v>
      </c>
      <c r="Y629" s="33">
        <f t="shared" si="49"/>
        <v>1.6436765038197873E-3</v>
      </c>
      <c r="Z629" s="54"/>
    </row>
    <row r="630" spans="15:26" x14ac:dyDescent="0.25">
      <c r="O630" s="37" t="s">
        <v>31</v>
      </c>
      <c r="P630" s="31">
        <f>_xll.qlCalendarAdvance(Calendar,P629,O629,"f",,Trigger)</f>
        <v>45090</v>
      </c>
      <c r="Q630" s="31">
        <f>_xll.qlInterestRateIndexValueDate(Index,P630,Trigger)</f>
        <v>45092</v>
      </c>
      <c r="R630" s="31">
        <f>_xll.qlInterestRateIndexMaturity(Index,Q630,Trigger)</f>
        <v>45184</v>
      </c>
      <c r="S630" s="32">
        <f>_xll.qlDayCounterYearFraction(DayCounter,Q630,R630,,,Trigger)</f>
        <v>0.25555555555555554</v>
      </c>
      <c r="T630" s="33">
        <f>_xll.qlIndexFixing(Index,P630,,AllTriggers)</f>
        <v>8.3413021114305784E-3</v>
      </c>
      <c r="U630" s="34">
        <f>_xll.qlYieldTSDiscount(OisCurve,Q630,,AllTriggers)</f>
        <v>0.98690559888175011</v>
      </c>
      <c r="V630" s="34">
        <f>_xll.qlYieldTSDiscount(OisCurve,R630,,AllTriggers)</f>
        <v>0.98521925057717252</v>
      </c>
      <c r="W630" s="33">
        <f t="shared" si="47"/>
        <v>6.6977520297513719E-3</v>
      </c>
      <c r="X630" s="35">
        <f t="shared" si="48"/>
        <v>4.1921277722455422E-4</v>
      </c>
      <c r="Y630" s="33">
        <f t="shared" si="49"/>
        <v>1.6435500816792065E-3</v>
      </c>
      <c r="Z630" s="54"/>
    </row>
    <row r="631" spans="15:26" x14ac:dyDescent="0.25">
      <c r="O631" s="37" t="s">
        <v>31</v>
      </c>
      <c r="P631" s="31">
        <f>_xll.qlCalendarAdvance(Calendar,P630,O630,"f",,Trigger)</f>
        <v>45097</v>
      </c>
      <c r="Q631" s="31">
        <f>_xll.qlInterestRateIndexValueDate(Index,P631,Trigger)</f>
        <v>45099</v>
      </c>
      <c r="R631" s="31">
        <f>_xll.qlInterestRateIndexMaturity(Index,Q631,Trigger)</f>
        <v>45191</v>
      </c>
      <c r="S631" s="32">
        <f>_xll.qlDayCounterYearFraction(DayCounter,Q631,R631,,,Trigger)</f>
        <v>0.25555555555555554</v>
      </c>
      <c r="T631" s="33">
        <f>_xll.qlIndexFixing(Index,P631,,AllTriggers)</f>
        <v>8.359823764032645E-3</v>
      </c>
      <c r="U631" s="34">
        <f>_xll.qlYieldTSDiscount(OisCurve,Q631,,AllTriggers)</f>
        <v>0.98677946216000434</v>
      </c>
      <c r="V631" s="34">
        <f>_xll.qlYieldTSDiscount(OisCurve,R631,,AllTriggers)</f>
        <v>0.98508864626780546</v>
      </c>
      <c r="W631" s="33">
        <f t="shared" si="47"/>
        <v>6.7163865150366361E-3</v>
      </c>
      <c r="X631" s="35">
        <f t="shared" si="48"/>
        <v>4.1918201116359694E-4</v>
      </c>
      <c r="Y631" s="33">
        <f t="shared" si="49"/>
        <v>1.6434372489960089E-3</v>
      </c>
      <c r="Z631" s="54"/>
    </row>
    <row r="632" spans="15:26" x14ac:dyDescent="0.25">
      <c r="O632" s="37" t="s">
        <v>31</v>
      </c>
      <c r="P632" s="31">
        <f>_xll.qlCalendarAdvance(Calendar,P631,O631,"f",,Trigger)</f>
        <v>45104</v>
      </c>
      <c r="Q632" s="31">
        <f>_xll.qlInterestRateIndexValueDate(Index,P632,Trigger)</f>
        <v>45106</v>
      </c>
      <c r="R632" s="31">
        <f>_xll.qlInterestRateIndexMaturity(Index,Q632,Trigger)</f>
        <v>45198</v>
      </c>
      <c r="S632" s="32">
        <f>_xll.qlDayCounterYearFraction(DayCounter,Q632,R632,,,Trigger)</f>
        <v>0.25555555555555554</v>
      </c>
      <c r="T632" s="33">
        <f>_xll.qlIndexFixing(Index,P632,,AllTriggers)</f>
        <v>8.3779699355893255E-3</v>
      </c>
      <c r="U632" s="34">
        <f>_xll.qlYieldTSDiscount(OisCurve,Q632,,AllTriggers)</f>
        <v>0.98665293941905263</v>
      </c>
      <c r="V632" s="34">
        <f>_xll.qlYieldTSDiscount(OisCurve,R632,,AllTriggers)</f>
        <v>0.98495775560955068</v>
      </c>
      <c r="W632" s="33">
        <f t="shared" si="47"/>
        <v>6.7346319295897468E-3</v>
      </c>
      <c r="X632" s="35">
        <f t="shared" si="48"/>
        <v>4.1915475248978975E-4</v>
      </c>
      <c r="Y632" s="33">
        <f t="shared" si="49"/>
        <v>1.6433380059995787E-3</v>
      </c>
      <c r="Z632" s="54"/>
    </row>
    <row r="633" spans="15:26" x14ac:dyDescent="0.25">
      <c r="O633" s="37" t="s">
        <v>31</v>
      </c>
      <c r="P633" s="31">
        <f>_xll.qlCalendarAdvance(Calendar,P632,O632,"f",,Trigger)</f>
        <v>45111</v>
      </c>
      <c r="Q633" s="31">
        <f>_xll.qlInterestRateIndexValueDate(Index,P633,Trigger)</f>
        <v>45113</v>
      </c>
      <c r="R633" s="31">
        <f>_xll.qlInterestRateIndexMaturity(Index,Q633,Trigger)</f>
        <v>45205</v>
      </c>
      <c r="S633" s="32">
        <f>_xll.qlDayCounterYearFraction(DayCounter,Q633,R633,,,Trigger)</f>
        <v>0.25555555555555554</v>
      </c>
      <c r="T633" s="33">
        <f>_xll.qlIndexFixing(Index,P633,,AllTriggers)</f>
        <v>8.3957406208900066E-3</v>
      </c>
      <c r="U633" s="34">
        <f>_xll.qlYieldTSDiscount(OisCurve,Q633,,AllTriggers)</f>
        <v>0.98652603826372265</v>
      </c>
      <c r="V633" s="34">
        <f>_xll.qlYieldTSDiscount(OisCurve,R633,,AllTriggers)</f>
        <v>0.98482658616052321</v>
      </c>
      <c r="W633" s="33">
        <f t="shared" si="47"/>
        <v>6.7524882679776584E-3</v>
      </c>
      <c r="X633" s="35">
        <f t="shared" si="48"/>
        <v>4.1913100120386345E-4</v>
      </c>
      <c r="Y633" s="33">
        <f t="shared" si="49"/>
        <v>1.6432523529123482E-3</v>
      </c>
      <c r="Z633" s="54"/>
    </row>
    <row r="634" spans="15:26" x14ac:dyDescent="0.25">
      <c r="O634" s="37" t="s">
        <v>31</v>
      </c>
      <c r="P634" s="31">
        <f>_xll.qlCalendarAdvance(Calendar,P633,O633,"f",,Trigger)</f>
        <v>45118</v>
      </c>
      <c r="Q634" s="31">
        <f>_xll.qlInterestRateIndexValueDate(Index,P634,Trigger)</f>
        <v>45120</v>
      </c>
      <c r="R634" s="31">
        <f>_xll.qlInterestRateIndexMaturity(Index,Q634,Trigger)</f>
        <v>45212</v>
      </c>
      <c r="S634" s="32">
        <f>_xll.qlDayCounterYearFraction(DayCounter,Q634,R634,,,Trigger)</f>
        <v>0.25555555555555554</v>
      </c>
      <c r="T634" s="33">
        <f>_xll.qlIndexFixing(Index,P634,,AllTriggers)</f>
        <v>8.4131358148274663E-3</v>
      </c>
      <c r="U634" s="34">
        <f>_xll.qlYieldTSDiscount(OisCurve,Q634,,AllTriggers)</f>
        <v>0.98639876629544843</v>
      </c>
      <c r="V634" s="34">
        <f>_xll.qlYieldTSDiscount(OisCurve,R634,,AllTriggers)</f>
        <v>0.98469514547511539</v>
      </c>
      <c r="W634" s="33">
        <f t="shared" si="47"/>
        <v>6.7699555248820166E-3</v>
      </c>
      <c r="X634" s="35">
        <f t="shared" si="48"/>
        <v>4.1911075730540203E-4</v>
      </c>
      <c r="Y634" s="33">
        <f t="shared" si="49"/>
        <v>1.6431802899454498E-3</v>
      </c>
      <c r="Z634" s="54"/>
    </row>
    <row r="635" spans="15:26" x14ac:dyDescent="0.25">
      <c r="O635" s="37" t="s">
        <v>31</v>
      </c>
      <c r="P635" s="31">
        <f>_xll.qlCalendarAdvance(Calendar,P634,O634,"f",,Trigger)</f>
        <v>45125</v>
      </c>
      <c r="Q635" s="31">
        <f>_xll.qlInterestRateIndexValueDate(Index,P635,Trigger)</f>
        <v>45127</v>
      </c>
      <c r="R635" s="31">
        <f>_xll.qlInterestRateIndexMaturity(Index,Q635,Trigger)</f>
        <v>45219</v>
      </c>
      <c r="S635" s="32">
        <f>_xll.qlDayCounterYearFraction(DayCounter,Q635,R635,,,Trigger)</f>
        <v>0.25555555555555554</v>
      </c>
      <c r="T635" s="33">
        <f>_xll.qlIndexFixing(Index,P635,,AllTriggers)</f>
        <v>8.4301555124030956E-3</v>
      </c>
      <c r="U635" s="34">
        <f>_xll.qlYieldTSDiscount(OisCurve,Q635,,AllTriggers)</f>
        <v>0.98627113111224152</v>
      </c>
      <c r="V635" s="34">
        <f>_xll.qlYieldTSDiscount(OisCurve,R635,,AllTriggers)</f>
        <v>0.98456344110397531</v>
      </c>
      <c r="W635" s="33">
        <f t="shared" si="47"/>
        <v>6.7870336951008957E-3</v>
      </c>
      <c r="X635" s="35">
        <f t="shared" si="48"/>
        <v>4.1909402079417461E-4</v>
      </c>
      <c r="Y635" s="33">
        <f t="shared" si="49"/>
        <v>1.6431218173021999E-3</v>
      </c>
      <c r="Z635" s="54"/>
    </row>
    <row r="636" spans="15:26" x14ac:dyDescent="0.25">
      <c r="O636" s="37" t="s">
        <v>31</v>
      </c>
      <c r="P636" s="31">
        <f>_xll.qlCalendarAdvance(Calendar,P635,O635,"f",,Trigger)</f>
        <v>45132</v>
      </c>
      <c r="Q636" s="31">
        <f>_xll.qlInterestRateIndexValueDate(Index,P636,Trigger)</f>
        <v>45134</v>
      </c>
      <c r="R636" s="31">
        <f>_xll.qlInterestRateIndexMaturity(Index,Q636,Trigger)</f>
        <v>45226</v>
      </c>
      <c r="S636" s="32">
        <f>_xll.qlDayCounterYearFraction(DayCounter,Q636,R636,,,Trigger)</f>
        <v>0.25555555555555554</v>
      </c>
      <c r="T636" s="33">
        <f>_xll.qlIndexFixing(Index,P636,,AllTriggers)</f>
        <v>8.4467997087295001E-3</v>
      </c>
      <c r="U636" s="34">
        <f>_xll.qlYieldTSDiscount(OisCurve,Q636,,AllTriggers)</f>
        <v>0.98614314030866279</v>
      </c>
      <c r="V636" s="34">
        <f>_xll.qlYieldTSDiscount(OisCurve,R636,,AllTriggers)</f>
        <v>0.98443148059398666</v>
      </c>
      <c r="W636" s="33">
        <f t="shared" si="47"/>
        <v>6.8037227735487978E-3</v>
      </c>
      <c r="X636" s="35">
        <f t="shared" si="48"/>
        <v>4.1908079167057925E-4</v>
      </c>
      <c r="Y636" s="33">
        <f t="shared" si="49"/>
        <v>1.6430769351807022E-3</v>
      </c>
      <c r="Z636" s="54"/>
    </row>
    <row r="637" spans="15:26" x14ac:dyDescent="0.25">
      <c r="O637" s="37" t="s">
        <v>31</v>
      </c>
      <c r="P637" s="31">
        <f>_xll.qlCalendarAdvance(Calendar,P636,O636,"f",,Trigger)</f>
        <v>45139</v>
      </c>
      <c r="Q637" s="31">
        <f>_xll.qlInterestRateIndexValueDate(Index,P637,Trigger)</f>
        <v>45141</v>
      </c>
      <c r="R637" s="31">
        <f>_xll.qlInterestRateIndexMaturity(Index,Q637,Trigger)</f>
        <v>45233</v>
      </c>
      <c r="S637" s="32">
        <f>_xll.qlDayCounterYearFraction(DayCounter,Q637,R637,,,Trigger)</f>
        <v>0.25555555555555554</v>
      </c>
      <c r="T637" s="33">
        <f>_xll.qlIndexFixing(Index,P637,,AllTriggers)</f>
        <v>8.4630683990226819E-3</v>
      </c>
      <c r="U637" s="34">
        <f>_xll.qlYieldTSDiscount(OisCurve,Q637,,AllTriggers)</f>
        <v>0.98601480147579568</v>
      </c>
      <c r="V637" s="34">
        <f>_xll.qlYieldTSDiscount(OisCurve,R637,,AllTriggers)</f>
        <v>0.98429927148824947</v>
      </c>
      <c r="W637" s="33">
        <f t="shared" si="47"/>
        <v>6.8200227552531797E-3</v>
      </c>
      <c r="X637" s="35">
        <f t="shared" si="48"/>
        <v>4.190710699343113E-4</v>
      </c>
      <c r="Y637" s="33">
        <f t="shared" si="49"/>
        <v>1.6430456437695022E-3</v>
      </c>
      <c r="Z637" s="54"/>
    </row>
    <row r="638" spans="15:26" x14ac:dyDescent="0.25">
      <c r="O638" s="37" t="s">
        <v>31</v>
      </c>
      <c r="P638" s="31">
        <f>_xll.qlCalendarAdvance(Calendar,P637,O637,"f",,Trigger)</f>
        <v>45146</v>
      </c>
      <c r="Q638" s="31">
        <f>_xll.qlInterestRateIndexValueDate(Index,P638,Trigger)</f>
        <v>45148</v>
      </c>
      <c r="R638" s="31">
        <f>_xll.qlInterestRateIndexMaturity(Index,Q638,Trigger)</f>
        <v>45240</v>
      </c>
      <c r="S638" s="32">
        <f>_xll.qlDayCounterYearFraction(DayCounter,Q638,R638,,,Trigger)</f>
        <v>0.25555555555555554</v>
      </c>
      <c r="T638" s="33">
        <f>_xll.qlIndexFixing(Index,P638,,AllTriggers)</f>
        <v>8.4789615786089855E-3</v>
      </c>
      <c r="U638" s="34">
        <f>_xll.qlYieldTSDiscount(OisCurve,Q638,,AllTriggers)</f>
        <v>0.98588612220121896</v>
      </c>
      <c r="V638" s="34">
        <f>_xll.qlYieldTSDiscount(OisCurve,R638,,AllTriggers)</f>
        <v>0.98416682132605982</v>
      </c>
      <c r="W638" s="33">
        <f t="shared" si="47"/>
        <v>6.8359336353614013E-3</v>
      </c>
      <c r="X638" s="35">
        <f t="shared" si="48"/>
        <v>4.1906485558547299E-4</v>
      </c>
      <c r="Y638" s="33">
        <f t="shared" si="49"/>
        <v>1.6430279432475842E-3</v>
      </c>
      <c r="Z638" s="54"/>
    </row>
    <row r="639" spans="15:26" x14ac:dyDescent="0.25">
      <c r="O639" s="37" t="s">
        <v>31</v>
      </c>
      <c r="P639" s="31">
        <f>_xll.qlCalendarAdvance(Calendar,P638,O638,"f",,Trigger)</f>
        <v>45153</v>
      </c>
      <c r="Q639" s="31">
        <f>_xll.qlInterestRateIndexValueDate(Index,P639,Trigger)</f>
        <v>45155</v>
      </c>
      <c r="R639" s="31">
        <f>_xll.qlInterestRateIndexMaturity(Index,Q639,Trigger)</f>
        <v>45247</v>
      </c>
      <c r="S639" s="32">
        <f>_xll.qlDayCounterYearFraction(DayCounter,Q639,R639,,,Trigger)</f>
        <v>0.25555555555555554</v>
      </c>
      <c r="T639" s="33">
        <f>_xll.qlIndexFixing(Index,P639,,AllTriggers)</f>
        <v>8.4944792429233681E-3</v>
      </c>
      <c r="U639" s="34">
        <f>_xll.qlYieldTSDiscount(OisCurve,Q639,,AllTriggers)</f>
        <v>0.98575711006898026</v>
      </c>
      <c r="V639" s="34">
        <f>_xll.qlYieldTSDiscount(OisCurve,R639,,AllTriggers)</f>
        <v>0.98403413764289238</v>
      </c>
      <c r="W639" s="33">
        <f t="shared" si="47"/>
        <v>6.8514554091346439E-3</v>
      </c>
      <c r="X639" s="35">
        <f t="shared" si="48"/>
        <v>4.1906214862412971E-4</v>
      </c>
      <c r="Y639" s="33">
        <f t="shared" si="49"/>
        <v>1.6430238337887242E-3</v>
      </c>
      <c r="Z639" s="54"/>
    </row>
    <row r="640" spans="15:26" x14ac:dyDescent="0.25">
      <c r="O640" s="37" t="s">
        <v>31</v>
      </c>
      <c r="P640" s="31">
        <f>_xll.qlCalendarAdvance(Calendar,P639,O639,"f",,Trigger)</f>
        <v>45160</v>
      </c>
      <c r="Q640" s="31">
        <f>_xll.qlInterestRateIndexValueDate(Index,P640,Trigger)</f>
        <v>45162</v>
      </c>
      <c r="R640" s="31">
        <f>_xll.qlInterestRateIndexMaturity(Index,Q640,Trigger)</f>
        <v>45254</v>
      </c>
      <c r="S640" s="32">
        <f>_xll.qlDayCounterYearFraction(DayCounter,Q640,R640,,,Trigger)</f>
        <v>0.25555555555555554</v>
      </c>
      <c r="T640" s="33">
        <f>_xll.qlIndexFixing(Index,P640,,AllTriggers)</f>
        <v>8.5096213875059182E-3</v>
      </c>
      <c r="U640" s="34">
        <f>_xll.qlYieldTSDiscount(OisCurve,Q640,,AllTriggers)</f>
        <v>0.98562777265957069</v>
      </c>
      <c r="V640" s="34">
        <f>_xll.qlYieldTSDiscount(OisCurve,R640,,AllTriggers)</f>
        <v>0.98390122797038149</v>
      </c>
      <c r="W640" s="33">
        <f t="shared" si="47"/>
        <v>6.8665880719496492E-3</v>
      </c>
      <c r="X640" s="35">
        <f t="shared" si="48"/>
        <v>4.1906294904986609E-4</v>
      </c>
      <c r="Y640" s="33">
        <f t="shared" si="49"/>
        <v>1.643033315556269E-3</v>
      </c>
      <c r="Z640" s="54"/>
    </row>
    <row r="641" spans="15:26" x14ac:dyDescent="0.25">
      <c r="O641" s="37" t="s">
        <v>31</v>
      </c>
      <c r="P641" s="31">
        <f>_xll.qlCalendarAdvance(Calendar,P640,O640,"f",,Trigger)</f>
        <v>45167</v>
      </c>
      <c r="Q641" s="31">
        <f>_xll.qlInterestRateIndexValueDate(Index,P641,Trigger)</f>
        <v>45169</v>
      </c>
      <c r="R641" s="31">
        <f>_xll.qlInterestRateIndexMaturity(Index,Q641,Trigger)</f>
        <v>45260</v>
      </c>
      <c r="S641" s="32">
        <f>_xll.qlDayCounterYearFraction(DayCounter,Q641,R641,,,Trigger)</f>
        <v>0.25277777777777777</v>
      </c>
      <c r="T641" s="33">
        <f>_xll.qlIndexFixing(Index,P641,,AllTriggers)</f>
        <v>8.5233033217170361E-3</v>
      </c>
      <c r="U641" s="34">
        <f>_xll.qlYieldTSDiscount(OisCurve,Q641,,AllTriggers)</f>
        <v>0.98549811754989991</v>
      </c>
      <c r="V641" s="34">
        <f>_xll.qlYieldTSDiscount(OisCurve,R641,,AllTriggers)</f>
        <v>0.98378713123116601</v>
      </c>
      <c r="W641" s="33">
        <f t="shared" si="47"/>
        <v>6.8802862633814488E-3</v>
      </c>
      <c r="X641" s="35">
        <f t="shared" si="48"/>
        <v>4.1451121871620948E-4</v>
      </c>
      <c r="Y641" s="33">
        <f t="shared" si="49"/>
        <v>1.6430170583355873E-3</v>
      </c>
      <c r="Z641" s="54"/>
    </row>
    <row r="642" spans="15:26" x14ac:dyDescent="0.25">
      <c r="O642" s="37" t="s">
        <v>31</v>
      </c>
      <c r="P642" s="31">
        <f>_xll.qlCalendarAdvance(Calendar,P641,O641,"f",,Trigger)</f>
        <v>45174</v>
      </c>
      <c r="Q642" s="31">
        <f>_xll.qlInterestRateIndexValueDate(Index,P642,Trigger)</f>
        <v>45176</v>
      </c>
      <c r="R642" s="31">
        <f>_xll.qlInterestRateIndexMaturity(Index,Q642,Trigger)</f>
        <v>45267</v>
      </c>
      <c r="S642" s="32">
        <f>_xll.qlDayCounterYearFraction(DayCounter,Q642,R642,,,Trigger)</f>
        <v>0.25277777777777777</v>
      </c>
      <c r="T642" s="33">
        <f>_xll.qlIndexFixing(Index,P642,,AllTriggers)</f>
        <v>8.5377208964265219E-3</v>
      </c>
      <c r="U642" s="34">
        <f>_xll.qlYieldTSDiscount(OisCurve,Q642,,AllTriggers)</f>
        <v>0.98536815231327135</v>
      </c>
      <c r="V642" s="34">
        <f>_xll.qlYieldTSDiscount(OisCurve,R642,,AllTriggers)</f>
        <v>0.98365382183287708</v>
      </c>
      <c r="W642" s="33">
        <f t="shared" si="47"/>
        <v>6.8946682105996485E-3</v>
      </c>
      <c r="X642" s="35">
        <f t="shared" si="48"/>
        <v>4.1451870116460354E-4</v>
      </c>
      <c r="Y642" s="33">
        <f t="shared" si="49"/>
        <v>1.6430526858268735E-3</v>
      </c>
      <c r="Z642" s="54"/>
    </row>
    <row r="643" spans="15:26" x14ac:dyDescent="0.25">
      <c r="O643" s="37" t="s">
        <v>31</v>
      </c>
      <c r="P643" s="31">
        <f>_xll.qlCalendarAdvance(Calendar,P642,O642,"f",,Trigger)</f>
        <v>45181</v>
      </c>
      <c r="Q643" s="31">
        <f>_xll.qlInterestRateIndexValueDate(Index,P643,Trigger)</f>
        <v>45183</v>
      </c>
      <c r="R643" s="31">
        <f>_xll.qlInterestRateIndexMaturity(Index,Q643,Trigger)</f>
        <v>45274</v>
      </c>
      <c r="S643" s="32">
        <f>_xll.qlDayCounterYearFraction(DayCounter,Q643,R643,,,Trigger)</f>
        <v>0.25277777777777777</v>
      </c>
      <c r="T643" s="33">
        <f>_xll.qlIndexFixing(Index,P643,,AllTriggers)</f>
        <v>8.55176294729805E-3</v>
      </c>
      <c r="U643" s="34">
        <f>_xll.qlYieldTSDiscount(OisCurve,Q643,,AllTriggers)</f>
        <v>0.98523788451935801</v>
      </c>
      <c r="V643" s="34">
        <f>_xll.qlYieldTSDiscount(OisCurve,R643,,AllTriggers)</f>
        <v>0.98352030794288803</v>
      </c>
      <c r="W643" s="33">
        <f t="shared" si="47"/>
        <v>6.908661040867319E-3</v>
      </c>
      <c r="X643" s="35">
        <f t="shared" si="48"/>
        <v>4.1452965287692891E-4</v>
      </c>
      <c r="Y643" s="33">
        <f t="shared" si="49"/>
        <v>1.6431019064307309E-3</v>
      </c>
      <c r="Z643" s="54"/>
    </row>
    <row r="644" spans="15:26" x14ac:dyDescent="0.25">
      <c r="O644" s="37" t="s">
        <v>31</v>
      </c>
      <c r="P644" s="31">
        <f>_xll.qlCalendarAdvance(Calendar,P643,O643,"f",,Trigger)</f>
        <v>45188</v>
      </c>
      <c r="Q644" s="31">
        <f>_xll.qlInterestRateIndexValueDate(Index,P644,Trigger)</f>
        <v>45190</v>
      </c>
      <c r="R644" s="31">
        <f>_xll.qlInterestRateIndexMaturity(Index,Q644,Trigger)</f>
        <v>45281</v>
      </c>
      <c r="S644" s="32">
        <f>_xll.qlDayCounterYearFraction(DayCounter,Q644,R644,,,Trigger)</f>
        <v>0.25277777777777777</v>
      </c>
      <c r="T644" s="33">
        <f>_xll.qlIndexFixing(Index,P644,,AllTriggers)</f>
        <v>8.5654294703418413E-3</v>
      </c>
      <c r="U644" s="34">
        <f>_xll.qlYieldTSDiscount(OisCurve,Q644,,AllTriggers)</f>
        <v>0.98510732173418003</v>
      </c>
      <c r="V644" s="34">
        <f>_xll.qlYieldTSDiscount(OisCurve,R644,,AllTriggers)</f>
        <v>0.9833865970778628</v>
      </c>
      <c r="W644" s="33">
        <f t="shared" ref="W644:W707" si="50">(U644/V644-1)/S644</f>
        <v>6.9222647500664361E-3</v>
      </c>
      <c r="X644" s="35">
        <f t="shared" ref="X644:X707" si="51">LN((1+T644*S644)/(1+W644*S644))</f>
        <v>4.1454407385262766E-4</v>
      </c>
      <c r="Y644" s="33">
        <f t="shared" ref="Y644:Y707" si="52">T644-W644</f>
        <v>1.6431647202754052E-3</v>
      </c>
      <c r="Z644" s="54"/>
    </row>
    <row r="645" spans="15:26" x14ac:dyDescent="0.25">
      <c r="O645" s="37" t="s">
        <v>31</v>
      </c>
      <c r="P645" s="31">
        <f>_xll.qlCalendarAdvance(Calendar,P644,O644,"f",,Trigger)</f>
        <v>45195</v>
      </c>
      <c r="Q645" s="31">
        <f>_xll.qlInterestRateIndexValueDate(Index,P645,Trigger)</f>
        <v>45197</v>
      </c>
      <c r="R645" s="31">
        <f>_xll.qlInterestRateIndexMaturity(Index,Q645,Trigger)</f>
        <v>45288</v>
      </c>
      <c r="S645" s="32">
        <f>_xll.qlDayCounterYearFraction(DayCounter,Q645,R645,,,Trigger)</f>
        <v>0.25277777777777777</v>
      </c>
      <c r="T645" s="33">
        <f>_xll.qlIndexFixing(Index,P645,,AllTriggers)</f>
        <v>8.578720461674412E-3</v>
      </c>
      <c r="U645" s="34">
        <f>_xll.qlYieldTSDiscount(OisCurve,Q645,,AllTriggers)</f>
        <v>0.98497647152008083</v>
      </c>
      <c r="V645" s="34">
        <f>_xll.qlYieldTSDiscount(OisCurve,R645,,AllTriggers)</f>
        <v>0.98325269675054672</v>
      </c>
      <c r="W645" s="33">
        <f t="shared" si="50"/>
        <v>6.9354793341861419E-3</v>
      </c>
      <c r="X645" s="35">
        <f t="shared" si="51"/>
        <v>4.145619640922156E-4</v>
      </c>
      <c r="Y645" s="33">
        <f t="shared" si="52"/>
        <v>1.6432411274882701E-3</v>
      </c>
      <c r="Z645" s="54"/>
    </row>
    <row r="646" spans="15:26" x14ac:dyDescent="0.25">
      <c r="O646" s="37" t="s">
        <v>31</v>
      </c>
      <c r="P646" s="31">
        <f>_xll.qlCalendarAdvance(Calendar,P645,O645,"f",,Trigger)</f>
        <v>45202</v>
      </c>
      <c r="Q646" s="31">
        <f>_xll.qlInterestRateIndexValueDate(Index,P646,Trigger)</f>
        <v>45204</v>
      </c>
      <c r="R646" s="31">
        <f>_xll.qlInterestRateIndexMaturity(Index,Q646,Trigger)</f>
        <v>45296</v>
      </c>
      <c r="S646" s="32">
        <f>_xll.qlDayCounterYearFraction(DayCounter,Q646,R646,,,Trigger)</f>
        <v>0.25555555555555554</v>
      </c>
      <c r="T646" s="33">
        <f>_xll.qlIndexFixing(Index,P646,,AllTriggers)</f>
        <v>8.5925881045807069E-3</v>
      </c>
      <c r="U646" s="34">
        <f>_xll.qlYieldTSDiscount(OisCurve,Q646,,AllTriggers)</f>
        <v>0.98484534143570568</v>
      </c>
      <c r="V646" s="34">
        <f>_xll.qlYieldTSDiscount(OisCurve,R646,,AllTriggers)</f>
        <v>0.98309944544251371</v>
      </c>
      <c r="W646" s="33">
        <f t="shared" si="50"/>
        <v>6.9492124744373277E-3</v>
      </c>
      <c r="X646" s="35">
        <f t="shared" si="51"/>
        <v>4.1914140674255261E-4</v>
      </c>
      <c r="Y646" s="33">
        <f t="shared" si="52"/>
        <v>1.6433756301433792E-3</v>
      </c>
      <c r="Z646" s="54"/>
    </row>
    <row r="647" spans="15:26" x14ac:dyDescent="0.25">
      <c r="O647" s="37" t="s">
        <v>31</v>
      </c>
      <c r="P647" s="31">
        <f>_xll.qlCalendarAdvance(Calendar,P646,O646,"f",,Trigger)</f>
        <v>45209</v>
      </c>
      <c r="Q647" s="31">
        <f>_xll.qlInterestRateIndexValueDate(Index,P647,Trigger)</f>
        <v>45211</v>
      </c>
      <c r="R647" s="31">
        <f>_xll.qlInterestRateIndexMaturity(Index,Q647,Trigger)</f>
        <v>45303</v>
      </c>
      <c r="S647" s="32">
        <f>_xll.qlDayCounterYearFraction(DayCounter,Q647,R647,,,Trigger)</f>
        <v>0.25555555555555554</v>
      </c>
      <c r="T647" s="33">
        <f>_xll.qlIndexFixing(Index,P647,,AllTriggers)</f>
        <v>8.6051014952765147E-3</v>
      </c>
      <c r="U647" s="34">
        <f>_xll.qlYieldTSDiscount(OisCurve,Q647,,AllTriggers)</f>
        <v>0.98471393903598015</v>
      </c>
      <c r="V647" s="34">
        <f>_xll.qlYieldTSDiscount(OisCurve,R647,,AllTriggers)</f>
        <v>0.98296516440427995</v>
      </c>
      <c r="W647" s="33">
        <f t="shared" si="50"/>
        <v>6.9616212408395587E-3</v>
      </c>
      <c r="X647" s="35">
        <f t="shared" si="51"/>
        <v>4.1916675888087064E-4</v>
      </c>
      <c r="Y647" s="33">
        <f t="shared" si="52"/>
        <v>1.643480254436956E-3</v>
      </c>
      <c r="Z647" s="54"/>
    </row>
    <row r="648" spans="15:26" x14ac:dyDescent="0.25">
      <c r="O648" s="37" t="s">
        <v>31</v>
      </c>
      <c r="P648" s="31">
        <f>_xll.qlCalendarAdvance(Calendar,P647,O647,"f",,Trigger)</f>
        <v>45216</v>
      </c>
      <c r="Q648" s="31">
        <f>_xll.qlInterestRateIndexValueDate(Index,P648,Trigger)</f>
        <v>45218</v>
      </c>
      <c r="R648" s="31">
        <f>_xll.qlInterestRateIndexMaturity(Index,Q648,Trigger)</f>
        <v>45310</v>
      </c>
      <c r="S648" s="32">
        <f>_xll.qlDayCounterYearFraction(DayCounter,Q648,R648,,,Trigger)</f>
        <v>0.25555555555555554</v>
      </c>
      <c r="T648" s="33">
        <f>_xll.qlIndexFixing(Index,P648,,AllTriggers)</f>
        <v>8.6172393344580885E-3</v>
      </c>
      <c r="U648" s="34">
        <f>_xll.qlYieldTSDiscount(OisCurve,Q648,,AllTriggers)</f>
        <v>0.98458227187208813</v>
      </c>
      <c r="V648" s="34">
        <f>_xll.qlYieldTSDiscount(OisCurve,R648,,AllTriggers)</f>
        <v>0.9828307174895623</v>
      </c>
      <c r="W648" s="33">
        <f t="shared" si="50"/>
        <v>6.973640863473277E-3</v>
      </c>
      <c r="X648" s="35">
        <f t="shared" si="51"/>
        <v>4.1919561840627739E-4</v>
      </c>
      <c r="Y648" s="33">
        <f t="shared" si="52"/>
        <v>1.6435984709848115E-3</v>
      </c>
      <c r="Z648" s="54"/>
    </row>
    <row r="649" spans="15:26" x14ac:dyDescent="0.25">
      <c r="O649" s="37" t="s">
        <v>31</v>
      </c>
      <c r="P649" s="31">
        <f>_xll.qlCalendarAdvance(Calendar,P648,O648,"f",,Trigger)</f>
        <v>45223</v>
      </c>
      <c r="Q649" s="31">
        <f>_xll.qlInterestRateIndexValueDate(Index,P649,Trigger)</f>
        <v>45225</v>
      </c>
      <c r="R649" s="31">
        <f>_xll.qlInterestRateIndexMaturity(Index,Q649,Trigger)</f>
        <v>45317</v>
      </c>
      <c r="S649" s="32">
        <f>_xll.qlDayCounterYearFraction(DayCounter,Q649,R649,,,Trigger)</f>
        <v>0.25555555555555554</v>
      </c>
      <c r="T649" s="33">
        <f>_xll.qlIndexFixing(Index,P649,,AllTriggers)</f>
        <v>8.6290016186386514E-3</v>
      </c>
      <c r="U649" s="34">
        <f>_xll.qlYieldTSDiscount(OisCurve,Q649,,AllTriggers)</f>
        <v>0.98445034749145288</v>
      </c>
      <c r="V649" s="34">
        <f>_xll.qlYieldTSDiscount(OisCurve,R649,,AllTriggers)</f>
        <v>0.98269611219471809</v>
      </c>
      <c r="W649" s="33">
        <f t="shared" si="50"/>
        <v>6.9852713387587376E-3</v>
      </c>
      <c r="X649" s="35">
        <f t="shared" si="51"/>
        <v>4.1922798531891298E-4</v>
      </c>
      <c r="Y649" s="33">
        <f t="shared" si="52"/>
        <v>1.6437302798799139E-3</v>
      </c>
      <c r="Z649" s="54"/>
    </row>
    <row r="650" spans="15:26" x14ac:dyDescent="0.25">
      <c r="O650" s="37" t="s">
        <v>31</v>
      </c>
      <c r="P650" s="31">
        <f>_xll.qlCalendarAdvance(Calendar,P649,O649,"f",,Trigger)</f>
        <v>45230</v>
      </c>
      <c r="Q650" s="31">
        <f>_xll.qlInterestRateIndexValueDate(Index,P650,Trigger)</f>
        <v>45232</v>
      </c>
      <c r="R650" s="31">
        <f>_xll.qlInterestRateIndexMaturity(Index,Q650,Trigger)</f>
        <v>45324</v>
      </c>
      <c r="S650" s="32">
        <f>_xll.qlDayCounterYearFraction(DayCounter,Q650,R650,,,Trigger)</f>
        <v>0.25555555555555554</v>
      </c>
      <c r="T650" s="33">
        <f>_xll.qlIndexFixing(Index,P650,,AllTriggers)</f>
        <v>8.640388344439167E-3</v>
      </c>
      <c r="U650" s="34">
        <f>_xll.qlYieldTSDiscount(OisCurve,Q650,,AllTriggers)</f>
        <v>0.98431817343771544</v>
      </c>
      <c r="V650" s="34">
        <f>_xll.qlYieldTSDiscount(OisCurve,R650,,AllTriggers)</f>
        <v>0.98256135601211536</v>
      </c>
      <c r="W650" s="33">
        <f t="shared" si="50"/>
        <v>6.9965126632300159E-3</v>
      </c>
      <c r="X650" s="35">
        <f t="shared" si="51"/>
        <v>4.1926385961954667E-4</v>
      </c>
      <c r="Y650" s="33">
        <f t="shared" si="52"/>
        <v>1.6438756812091511E-3</v>
      </c>
      <c r="Z650" s="54"/>
    </row>
    <row r="651" spans="15:26" x14ac:dyDescent="0.25">
      <c r="O651" s="37" t="s">
        <v>31</v>
      </c>
      <c r="P651" s="31">
        <f>_xll.qlCalendarAdvance(Calendar,P650,O650,"f",,Trigger)</f>
        <v>45237</v>
      </c>
      <c r="Q651" s="31">
        <f>_xll.qlInterestRateIndexValueDate(Index,P651,Trigger)</f>
        <v>45239</v>
      </c>
      <c r="R651" s="31">
        <f>_xll.qlInterestRateIndexMaturity(Index,Q651,Trigger)</f>
        <v>45331</v>
      </c>
      <c r="S651" s="32">
        <f>_xll.qlDayCounterYearFraction(DayCounter,Q651,R651,,,Trigger)</f>
        <v>0.25555555555555554</v>
      </c>
      <c r="T651" s="33">
        <f>_xll.qlIndexFixing(Index,P651,,AllTriggers)</f>
        <v>8.6513995085866022E-3</v>
      </c>
      <c r="U651" s="34">
        <f>_xll.qlYieldTSDiscount(OisCurve,Q651,,AllTriggers)</f>
        <v>0.98418575725071689</v>
      </c>
      <c r="V651" s="34">
        <f>_xll.qlYieldTSDiscount(OisCurve,R651,,AllTriggers)</f>
        <v>0.98242645643012183</v>
      </c>
      <c r="W651" s="33">
        <f t="shared" si="50"/>
        <v>7.0073648335410932E-3</v>
      </c>
      <c r="X651" s="35">
        <f t="shared" si="51"/>
        <v>4.1930324130713513E-4</v>
      </c>
      <c r="Y651" s="33">
        <f t="shared" si="52"/>
        <v>1.644034675045509E-3</v>
      </c>
      <c r="Z651" s="54"/>
    </row>
    <row r="652" spans="15:26" x14ac:dyDescent="0.25">
      <c r="O652" s="37" t="s">
        <v>31</v>
      </c>
      <c r="P652" s="31">
        <f>_xll.qlCalendarAdvance(Calendar,P651,O651,"f",,Trigger)</f>
        <v>45244</v>
      </c>
      <c r="Q652" s="31">
        <f>_xll.qlInterestRateIndexValueDate(Index,P652,Trigger)</f>
        <v>45246</v>
      </c>
      <c r="R652" s="31">
        <f>_xll.qlInterestRateIndexMaturity(Index,Q652,Trigger)</f>
        <v>45338</v>
      </c>
      <c r="S652" s="32">
        <f>_xll.qlDayCounterYearFraction(DayCounter,Q652,R652,,,Trigger)</f>
        <v>0.25555555555555554</v>
      </c>
      <c r="T652" s="33">
        <f>_xll.qlIndexFixing(Index,P652,,AllTriggers)</f>
        <v>8.6620351079200065E-3</v>
      </c>
      <c r="U652" s="34">
        <f>_xll.qlYieldTSDiscount(OisCurve,Q652,,AllTriggers)</f>
        <v>0.98405310646647903</v>
      </c>
      <c r="V652" s="34">
        <f>_xll.qlYieldTSDiscount(OisCurve,R652,,AllTriggers)</f>
        <v>0.98229142093309307</v>
      </c>
      <c r="W652" s="33">
        <f t="shared" si="50"/>
        <v>7.0178278464597729E-3</v>
      </c>
      <c r="X652" s="35">
        <f t="shared" si="51"/>
        <v>4.1934613038259569E-4</v>
      </c>
      <c r="Y652" s="33">
        <f t="shared" si="52"/>
        <v>1.6442072614602336E-3</v>
      </c>
      <c r="Z652" s="54"/>
    </row>
    <row r="653" spans="15:26" x14ac:dyDescent="0.25">
      <c r="O653" s="37" t="s">
        <v>31</v>
      </c>
      <c r="P653" s="31">
        <f>_xll.qlCalendarAdvance(Calendar,P652,O652,"f",,Trigger)</f>
        <v>45251</v>
      </c>
      <c r="Q653" s="31">
        <f>_xll.qlInterestRateIndexValueDate(Index,P653,Trigger)</f>
        <v>45253</v>
      </c>
      <c r="R653" s="31">
        <f>_xll.qlInterestRateIndexMaturity(Index,Q653,Trigger)</f>
        <v>45345</v>
      </c>
      <c r="S653" s="32">
        <f>_xll.qlDayCounterYearFraction(DayCounter,Q653,R653,,,Trigger)</f>
        <v>0.25555555555555554</v>
      </c>
      <c r="T653" s="33">
        <f>_xll.qlIndexFixing(Index,P653,,AllTriggers)</f>
        <v>8.6722951393809582E-3</v>
      </c>
      <c r="U653" s="34">
        <f>_xll.qlYieldTSDiscount(OisCurve,Q653,,AllTriggers)</f>
        <v>0.98392022861718564</v>
      </c>
      <c r="V653" s="34">
        <f>_xll.qlYieldTSDiscount(OisCurve,R653,,AllTriggers)</f>
        <v>0.98215625700136255</v>
      </c>
      <c r="W653" s="33">
        <f t="shared" si="50"/>
        <v>7.0279016988685486E-3</v>
      </c>
      <c r="X653" s="35">
        <f t="shared" si="51"/>
        <v>4.1939252684525507E-4</v>
      </c>
      <c r="Y653" s="33">
        <f t="shared" si="52"/>
        <v>1.6443934405124096E-3</v>
      </c>
      <c r="Z653" s="54"/>
    </row>
    <row r="654" spans="15:26" x14ac:dyDescent="0.25">
      <c r="O654" s="37" t="s">
        <v>31</v>
      </c>
      <c r="P654" s="31">
        <f>_xll.qlCalendarAdvance(Calendar,P653,O653,"f",,Trigger)</f>
        <v>45258</v>
      </c>
      <c r="Q654" s="31">
        <f>_xll.qlInterestRateIndexValueDate(Index,P654,Trigger)</f>
        <v>45260</v>
      </c>
      <c r="R654" s="31">
        <f>_xll.qlInterestRateIndexMaturity(Index,Q654,Trigger)</f>
        <v>45351</v>
      </c>
      <c r="S654" s="32">
        <f>_xll.qlDayCounterYearFraction(DayCounter,Q654,R654,,,Trigger)</f>
        <v>0.25277777777777777</v>
      </c>
      <c r="T654" s="33">
        <f>_xll.qlIndexFixing(Index,P654,,AllTriggers)</f>
        <v>8.6814398686230441E-3</v>
      </c>
      <c r="U654" s="34">
        <f>_xll.qlYieldTSDiscount(OisCurve,Q654,,AllTriggers)</f>
        <v>0.98378713123116601</v>
      </c>
      <c r="V654" s="34">
        <f>_xll.qlYieldTSDiscount(OisCurve,R654,,AllTriggers)</f>
        <v>0.98204030564647449</v>
      </c>
      <c r="W654" s="33">
        <f t="shared" si="50"/>
        <v>7.036899358252165E-3</v>
      </c>
      <c r="X654" s="35">
        <f t="shared" si="51"/>
        <v>4.1487909311284176E-4</v>
      </c>
      <c r="Y654" s="33">
        <f t="shared" si="52"/>
        <v>1.6445405103708791E-3</v>
      </c>
      <c r="Z654" s="54"/>
    </row>
    <row r="655" spans="15:26" x14ac:dyDescent="0.25">
      <c r="O655" s="37" t="s">
        <v>31</v>
      </c>
      <c r="P655" s="31">
        <f>_xll.qlCalendarAdvance(Calendar,P654,O654,"f",,Trigger)</f>
        <v>45265</v>
      </c>
      <c r="Q655" s="31">
        <f>_xll.qlInterestRateIndexValueDate(Index,P655,Trigger)</f>
        <v>45267</v>
      </c>
      <c r="R655" s="31">
        <f>_xll.qlInterestRateIndexMaturity(Index,Q655,Trigger)</f>
        <v>45358</v>
      </c>
      <c r="S655" s="32">
        <f>_xll.qlDayCounterYearFraction(DayCounter,Q655,R655,,,Trigger)</f>
        <v>0.25277777777777777</v>
      </c>
      <c r="T655" s="33">
        <f>_xll.qlIndexFixing(Index,P655,,AllTriggers)</f>
        <v>8.6909753527036233E-3</v>
      </c>
      <c r="U655" s="34">
        <f>_xll.qlYieldTSDiscount(OisCurve,Q655,,AllTriggers)</f>
        <v>0.98365382183287708</v>
      </c>
      <c r="V655" s="34">
        <f>_xll.qlYieldTSDiscount(OisCurve,R655,,AllTriggers)</f>
        <v>0.9819049230251754</v>
      </c>
      <c r="W655" s="33">
        <f t="shared" si="50"/>
        <v>7.0462224963949863E-3</v>
      </c>
      <c r="X655" s="35">
        <f t="shared" si="51"/>
        <v>4.1493167598888363E-4</v>
      </c>
      <c r="Y655" s="33">
        <f t="shared" si="52"/>
        <v>1.644752856308637E-3</v>
      </c>
      <c r="Z655" s="54"/>
    </row>
    <row r="656" spans="15:26" x14ac:dyDescent="0.25">
      <c r="O656" s="37" t="s">
        <v>31</v>
      </c>
      <c r="P656" s="31">
        <f>_xll.qlCalendarAdvance(Calendar,P655,O655,"f",,Trigger)</f>
        <v>45272</v>
      </c>
      <c r="Q656" s="31">
        <f>_xll.qlInterestRateIndexValueDate(Index,P656,Trigger)</f>
        <v>45274</v>
      </c>
      <c r="R656" s="31">
        <f>_xll.qlInterestRateIndexMaturity(Index,Q656,Trigger)</f>
        <v>45365</v>
      </c>
      <c r="S656" s="32">
        <f>_xll.qlDayCounterYearFraction(DayCounter,Q656,R656,,,Trigger)</f>
        <v>0.25277777777777777</v>
      </c>
      <c r="T656" s="33">
        <f>_xll.qlIndexFixing(Index,P656,,AllTriggers)</f>
        <v>8.700135269394265E-3</v>
      </c>
      <c r="U656" s="34">
        <f>_xll.qlYieldTSDiscount(OisCurve,Q656,,AllTriggers)</f>
        <v>0.98352030794288803</v>
      </c>
      <c r="V656" s="34">
        <f>_xll.qlYieldTSDiscount(OisCurve,R656,,AllTriggers)</f>
        <v>0.98176943331930411</v>
      </c>
      <c r="W656" s="33">
        <f t="shared" si="50"/>
        <v>7.0551564729425514E-3</v>
      </c>
      <c r="X656" s="35">
        <f t="shared" si="51"/>
        <v>4.1498772812877577E-4</v>
      </c>
      <c r="Y656" s="33">
        <f t="shared" si="52"/>
        <v>1.6449787964517137E-3</v>
      </c>
      <c r="Z656" s="54"/>
    </row>
    <row r="657" spans="15:26" x14ac:dyDescent="0.25">
      <c r="O657" s="37" t="s">
        <v>31</v>
      </c>
      <c r="P657" s="31">
        <f>_xll.qlCalendarAdvance(Calendar,P656,O656,"f",,Trigger)</f>
        <v>45279</v>
      </c>
      <c r="Q657" s="31">
        <f>_xll.qlInterestRateIndexValueDate(Index,P657,Trigger)</f>
        <v>45281</v>
      </c>
      <c r="R657" s="31">
        <f>_xll.qlInterestRateIndexMaturity(Index,Q657,Trigger)</f>
        <v>45372</v>
      </c>
      <c r="S657" s="32">
        <f>_xll.qlDayCounterYearFraction(DayCounter,Q657,R657,,,Trigger)</f>
        <v>0.25277777777777777</v>
      </c>
      <c r="T657" s="33">
        <f>_xll.qlIndexFixing(Index,P657,,AllTriggers)</f>
        <v>8.7089196160895863E-3</v>
      </c>
      <c r="U657" s="34">
        <f>_xll.qlYieldTSDiscount(OisCurve,Q657,,AllTriggers)</f>
        <v>0.9833865970778628</v>
      </c>
      <c r="V657" s="34">
        <f>_xll.qlYieldTSDiscount(OisCurve,R657,,AllTriggers)</f>
        <v>0.98163384399359022</v>
      </c>
      <c r="W657" s="33">
        <f t="shared" si="50"/>
        <v>7.0637012852613618E-3</v>
      </c>
      <c r="X657" s="35">
        <f t="shared" si="51"/>
        <v>4.150472495321567E-4</v>
      </c>
      <c r="Y657" s="33">
        <f t="shared" si="52"/>
        <v>1.6452183308282246E-3</v>
      </c>
      <c r="Z657" s="54"/>
    </row>
    <row r="658" spans="15:26" x14ac:dyDescent="0.25">
      <c r="O658" s="37" t="s">
        <v>31</v>
      </c>
      <c r="P658" s="31">
        <f>_xll.qlCalendarAdvance(Calendar,P657,O657,"f",,Trigger)</f>
        <v>45287</v>
      </c>
      <c r="Q658" s="31">
        <f>_xll.qlInterestRateIndexValueDate(Index,P658,Trigger)</f>
        <v>45289</v>
      </c>
      <c r="R658" s="31">
        <f>_xll.qlInterestRateIndexMaturity(Index,Q658,Trigger)</f>
        <v>45379</v>
      </c>
      <c r="S658" s="32">
        <f>_xll.qlDayCounterYearFraction(DayCounter,Q658,R658,,,Trigger)</f>
        <v>0.25</v>
      </c>
      <c r="T658" s="33">
        <f>_xll.qlIndexFixing(Index,P658,,AllTriggers)</f>
        <v>8.7178669720398005E-3</v>
      </c>
      <c r="U658" s="34">
        <f>_xll.qlYieldTSDiscount(OisCurve,Q658,,AllTriggers)</f>
        <v>0.98323355310393012</v>
      </c>
      <c r="V658" s="34">
        <f>_xll.qlYieldTSDiscount(OisCurve,R658,,AllTriggers)</f>
        <v>0.98149816250869737</v>
      </c>
      <c r="W658" s="33">
        <f t="shared" si="50"/>
        <v>7.0724150549485998E-3</v>
      </c>
      <c r="X658" s="35">
        <f t="shared" si="51"/>
        <v>4.1055264229972822E-4</v>
      </c>
      <c r="Y658" s="33">
        <f t="shared" si="52"/>
        <v>1.6454519170912008E-3</v>
      </c>
      <c r="Z658" s="54"/>
    </row>
    <row r="659" spans="15:26" x14ac:dyDescent="0.25">
      <c r="O659" s="37" t="s">
        <v>31</v>
      </c>
      <c r="P659" s="31">
        <f>_xll.qlCalendarAdvance(Calendar,P658,O658,"f",,Trigger)</f>
        <v>45294</v>
      </c>
      <c r="Q659" s="31">
        <f>_xll.qlInterestRateIndexValueDate(Index,P659,Trigger)</f>
        <v>45296</v>
      </c>
      <c r="R659" s="31">
        <f>_xll.qlInterestRateIndexMaturity(Index,Q659,Trigger)</f>
        <v>45387</v>
      </c>
      <c r="S659" s="32">
        <f>_xll.qlDayCounterYearFraction(DayCounter,Q659,R659,,,Trigger)</f>
        <v>0.25277777777777777</v>
      </c>
      <c r="T659" s="33">
        <f>_xll.qlIndexFixing(Index,P659,,AllTriggers)</f>
        <v>8.7264785302179904E-3</v>
      </c>
      <c r="U659" s="34">
        <f>_xll.qlYieldTSDiscount(OisCurve,Q659,,AllTriggers)</f>
        <v>0.98309944544251371</v>
      </c>
      <c r="V659" s="34">
        <f>_xll.qlYieldTSDiscount(OisCurve,R659,,AllTriggers)</f>
        <v>0.98134299467167885</v>
      </c>
      <c r="W659" s="33">
        <f t="shared" si="50"/>
        <v>7.0807011348509273E-3</v>
      </c>
      <c r="X659" s="35">
        <f t="shared" si="51"/>
        <v>4.151864776112818E-4</v>
      </c>
      <c r="Y659" s="33">
        <f t="shared" si="52"/>
        <v>1.6457773953670631E-3</v>
      </c>
      <c r="Z659" s="54"/>
    </row>
    <row r="660" spans="15:26" x14ac:dyDescent="0.25">
      <c r="O660" s="37" t="s">
        <v>31</v>
      </c>
      <c r="P660" s="31">
        <f>_xll.qlCalendarAdvance(Calendar,P659,O659,"f",,Trigger)</f>
        <v>45301</v>
      </c>
      <c r="Q660" s="31">
        <f>_xll.qlInterestRateIndexValueDate(Index,P660,Trigger)</f>
        <v>45303</v>
      </c>
      <c r="R660" s="31">
        <f>_xll.qlInterestRateIndexMaturity(Index,Q660,Trigger)</f>
        <v>45394</v>
      </c>
      <c r="S660" s="32">
        <f>_xll.qlDayCounterYearFraction(DayCounter,Q660,R660,,,Trigger)</f>
        <v>0.25277777777777777</v>
      </c>
      <c r="T660" s="33">
        <f>_xll.qlIndexFixing(Index,P660,,AllTriggers)</f>
        <v>8.7340824983202E-3</v>
      </c>
      <c r="U660" s="34">
        <f>_xll.qlYieldTSDiscount(OisCurve,Q660,,AllTriggers)</f>
        <v>0.98296516440427995</v>
      </c>
      <c r="V660" s="34">
        <f>_xll.qlYieldTSDiscount(OisCurve,R660,,AllTriggers)</f>
        <v>0.98120714080652494</v>
      </c>
      <c r="W660" s="33">
        <f t="shared" si="50"/>
        <v>7.0880228437437253E-3</v>
      </c>
      <c r="X660" s="35">
        <f t="shared" si="51"/>
        <v>4.1525690241456394E-4</v>
      </c>
      <c r="Y660" s="33">
        <f t="shared" si="52"/>
        <v>1.6460596545764747E-3</v>
      </c>
      <c r="Z660" s="54"/>
    </row>
    <row r="661" spans="15:26" x14ac:dyDescent="0.25">
      <c r="O661" s="37" t="s">
        <v>31</v>
      </c>
      <c r="P661" s="31">
        <f>_xll.qlCalendarAdvance(Calendar,P660,O660,"f",,Trigger)</f>
        <v>45308</v>
      </c>
      <c r="Q661" s="31">
        <f>_xll.qlInterestRateIndexValueDate(Index,P661,Trigger)</f>
        <v>45310</v>
      </c>
      <c r="R661" s="31">
        <f>_xll.qlInterestRateIndexMaturity(Index,Q661,Trigger)</f>
        <v>45401</v>
      </c>
      <c r="S661" s="32">
        <f>_xll.qlDayCounterYearFraction(DayCounter,Q661,R661,,,Trigger)</f>
        <v>0.25277777777777777</v>
      </c>
      <c r="T661" s="33">
        <f>_xll.qlIndexFixing(Index,P661,,AllTriggers)</f>
        <v>8.7413108867811767E-3</v>
      </c>
      <c r="U661" s="34">
        <f>_xll.qlYieldTSDiscount(OisCurve,Q661,,AllTriggers)</f>
        <v>0.9828307174895623</v>
      </c>
      <c r="V661" s="34">
        <f>_xll.qlYieldTSDiscount(OisCurve,R661,,AllTriggers)</f>
        <v>0.98107121820344556</v>
      </c>
      <c r="W661" s="33">
        <f t="shared" si="50"/>
        <v>7.0949553787258424E-3</v>
      </c>
      <c r="X661" s="35">
        <f t="shared" si="51"/>
        <v>4.1533079648186261E-4</v>
      </c>
      <c r="Y661" s="33">
        <f t="shared" si="52"/>
        <v>1.6463555080553343E-3</v>
      </c>
      <c r="Z661" s="54"/>
    </row>
    <row r="662" spans="15:26" x14ac:dyDescent="0.25">
      <c r="O662" s="37" t="s">
        <v>31</v>
      </c>
      <c r="P662" s="31">
        <f>_xll.qlCalendarAdvance(Calendar,P661,O661,"f",,Trigger)</f>
        <v>45315</v>
      </c>
      <c r="Q662" s="31">
        <f>_xll.qlInterestRateIndexValueDate(Index,P662,Trigger)</f>
        <v>45317</v>
      </c>
      <c r="R662" s="31">
        <f>_xll.qlInterestRateIndexMaturity(Index,Q662,Trigger)</f>
        <v>45408</v>
      </c>
      <c r="S662" s="32">
        <f>_xll.qlDayCounterYearFraction(DayCounter,Q662,R662,,,Trigger)</f>
        <v>0.25277777777777777</v>
      </c>
      <c r="T662" s="33">
        <f>_xll.qlIndexFixing(Index,P662,,AllTriggers)</f>
        <v>8.7481636935471761E-3</v>
      </c>
      <c r="U662" s="34">
        <f>_xll.qlYieldTSDiscount(OisCurve,Q662,,AllTriggers)</f>
        <v>0.98269611219471809</v>
      </c>
      <c r="V662" s="34">
        <f>_xll.qlYieldTSDiscount(OisCurve,R662,,AllTriggers)</f>
        <v>0.98093523430618934</v>
      </c>
      <c r="W662" s="33">
        <f t="shared" si="50"/>
        <v>7.1014987377558359E-3</v>
      </c>
      <c r="X662" s="35">
        <f t="shared" si="51"/>
        <v>4.1540815981285265E-4</v>
      </c>
      <c r="Y662" s="33">
        <f t="shared" si="52"/>
        <v>1.6466649557913401E-3</v>
      </c>
      <c r="Z662" s="54"/>
    </row>
    <row r="663" spans="15:26" x14ac:dyDescent="0.25">
      <c r="O663" s="37" t="s">
        <v>31</v>
      </c>
      <c r="P663" s="31">
        <f>_xll.qlCalendarAdvance(Calendar,P662,O662,"f",,Trigger)</f>
        <v>45322</v>
      </c>
      <c r="Q663" s="31">
        <f>_xll.qlInterestRateIndexValueDate(Index,P663,Trigger)</f>
        <v>45324</v>
      </c>
      <c r="R663" s="31">
        <f>_xll.qlInterestRateIndexMaturity(Index,Q663,Trigger)</f>
        <v>45414</v>
      </c>
      <c r="S663" s="32">
        <f>_xll.qlDayCounterYearFraction(DayCounter,Q663,R663,,,Trigger)</f>
        <v>0.25</v>
      </c>
      <c r="T663" s="33">
        <f>_xll.qlIndexFixing(Index,P663,,AllTriggers)</f>
        <v>8.7541426989607984E-3</v>
      </c>
      <c r="U663" s="34">
        <f>_xll.qlYieldTSDiscount(OisCurve,Q663,,AllTriggers)</f>
        <v>0.98256135601211536</v>
      </c>
      <c r="V663" s="34">
        <f>_xll.qlYieldTSDiscount(OisCurve,R663,,AllTriggers)</f>
        <v>0.98081863334766495</v>
      </c>
      <c r="W663" s="33">
        <f t="shared" si="50"/>
        <v>7.1072167889072446E-3</v>
      </c>
      <c r="X663" s="35">
        <f t="shared" si="51"/>
        <v>4.1091677097893807E-4</v>
      </c>
      <c r="Y663" s="33">
        <f t="shared" si="52"/>
        <v>1.6469259100535538E-3</v>
      </c>
      <c r="Z663" s="54"/>
    </row>
    <row r="664" spans="15:26" x14ac:dyDescent="0.25">
      <c r="O664" s="37" t="s">
        <v>31</v>
      </c>
      <c r="P664" s="31">
        <f>_xll.qlCalendarAdvance(Calendar,P663,O663,"f",,Trigger)</f>
        <v>45329</v>
      </c>
      <c r="Q664" s="31">
        <f>_xll.qlInterestRateIndexValueDate(Index,P664,Trigger)</f>
        <v>45331</v>
      </c>
      <c r="R664" s="31">
        <f>_xll.qlInterestRateIndexMaturity(Index,Q664,Trigger)</f>
        <v>45421</v>
      </c>
      <c r="S664" s="32">
        <f>_xll.qlDayCounterYearFraction(DayCounter,Q664,R664,,,Trigger)</f>
        <v>0.25</v>
      </c>
      <c r="T664" s="33">
        <f>_xll.qlIndexFixing(Index,P664,,AllTriggers)</f>
        <v>8.7602903958003964E-3</v>
      </c>
      <c r="U664" s="34">
        <f>_xll.qlYieldTSDiscount(OisCurve,Q664,,AllTriggers)</f>
        <v>0.98242645643012183</v>
      </c>
      <c r="V664" s="34">
        <f>_xll.qlYieldTSDiscount(OisCurve,R664,,AllTriggers)</f>
        <v>0.98068254862809856</v>
      </c>
      <c r="W664" s="33">
        <f t="shared" si="50"/>
        <v>7.1130369535499227E-3</v>
      </c>
      <c r="X664" s="35">
        <f t="shared" si="51"/>
        <v>4.1099787837653917E-4</v>
      </c>
      <c r="Y664" s="33">
        <f t="shared" si="52"/>
        <v>1.6472534422504737E-3</v>
      </c>
      <c r="Z664" s="54"/>
    </row>
    <row r="665" spans="15:26" x14ac:dyDescent="0.25">
      <c r="O665" s="37" t="s">
        <v>31</v>
      </c>
      <c r="P665" s="31">
        <f>_xll.qlCalendarAdvance(Calendar,P664,O664,"f",,Trigger)</f>
        <v>45336</v>
      </c>
      <c r="Q665" s="31">
        <f>_xll.qlInterestRateIndexValueDate(Index,P665,Trigger)</f>
        <v>45338</v>
      </c>
      <c r="R665" s="31">
        <f>_xll.qlInterestRateIndexMaturity(Index,Q665,Trigger)</f>
        <v>45428</v>
      </c>
      <c r="S665" s="32">
        <f>_xll.qlDayCounterYearFraction(DayCounter,Q665,R665,,,Trigger)</f>
        <v>0.25</v>
      </c>
      <c r="T665" s="33">
        <f>_xll.qlIndexFixing(Index,P665,,AllTriggers)</f>
        <v>8.7661210742853157E-3</v>
      </c>
      <c r="U665" s="34">
        <f>_xll.qlYieldTSDiscount(OisCurve,Q665,,AllTriggers)</f>
        <v>0.98229142093309307</v>
      </c>
      <c r="V665" s="34">
        <f>_xll.qlYieldTSDiscount(OisCurve,R665,,AllTriggers)</f>
        <v>0.9805464035440552</v>
      </c>
      <c r="W665" s="33">
        <f t="shared" si="50"/>
        <v>7.1185509741535924E-3</v>
      </c>
      <c r="X665" s="35">
        <f t="shared" si="51"/>
        <v>4.1107630429813819E-4</v>
      </c>
      <c r="Y665" s="33">
        <f t="shared" si="52"/>
        <v>1.6475701001317233E-3</v>
      </c>
      <c r="Z665" s="54"/>
    </row>
    <row r="666" spans="15:26" x14ac:dyDescent="0.25">
      <c r="O666" s="37" t="s">
        <v>31</v>
      </c>
      <c r="P666" s="31">
        <f>_xll.qlCalendarAdvance(Calendar,P665,O665,"f",,Trigger)</f>
        <v>45343</v>
      </c>
      <c r="Q666" s="31">
        <f>_xll.qlInterestRateIndexValueDate(Index,P666,Trigger)</f>
        <v>45345</v>
      </c>
      <c r="R666" s="31">
        <f>_xll.qlInterestRateIndexMaturity(Index,Q666,Trigger)</f>
        <v>45435</v>
      </c>
      <c r="S666" s="32">
        <f>_xll.qlDayCounterYearFraction(DayCounter,Q666,R666,,,Trigger)</f>
        <v>0.25</v>
      </c>
      <c r="T666" s="33">
        <f>_xll.qlIndexFixing(Index,P666,,AllTriggers)</f>
        <v>8.7716757248506028E-3</v>
      </c>
      <c r="U666" s="34">
        <f>_xll.qlYieldTSDiscount(OisCurve,Q666,,AllTriggers)</f>
        <v>0.98215625700136255</v>
      </c>
      <c r="V666" s="34">
        <f>_xll.qlYieldTSDiscount(OisCurve,R666,,AllTriggers)</f>
        <v>0.98041019131169882</v>
      </c>
      <c r="W666" s="33">
        <f t="shared" si="50"/>
        <v>7.1238169702318999E-3</v>
      </c>
      <c r="X666" s="35">
        <f t="shared" si="51"/>
        <v>4.1114776991142243E-4</v>
      </c>
      <c r="Y666" s="33">
        <f t="shared" si="52"/>
        <v>1.6478587546187029E-3</v>
      </c>
      <c r="Z666" s="54"/>
    </row>
    <row r="667" spans="15:26" x14ac:dyDescent="0.25">
      <c r="O667" s="37" t="s">
        <v>31</v>
      </c>
      <c r="P667" s="31">
        <f>_xll.qlCalendarAdvance(Calendar,P666,O666,"f",,Trigger)</f>
        <v>45350</v>
      </c>
      <c r="Q667" s="31">
        <f>_xll.qlInterestRateIndexValueDate(Index,P667,Trigger)</f>
        <v>45352</v>
      </c>
      <c r="R667" s="31">
        <f>_xll.qlInterestRateIndexMaturity(Index,Q667,Trigger)</f>
        <v>45446</v>
      </c>
      <c r="S667" s="32">
        <f>_xll.qlDayCounterYearFraction(DayCounter,Q667,R667,,,Trigger)</f>
        <v>0.26111111111111113</v>
      </c>
      <c r="T667" s="33">
        <f>_xll.qlIndexFixing(Index,P667,,AllTriggers)</f>
        <v>8.7787723931683544E-3</v>
      </c>
      <c r="U667" s="34">
        <f>_xll.qlYieldTSDiscount(OisCurve,Q667,,AllTriggers)</f>
        <v>0.98202097211123129</v>
      </c>
      <c r="V667" s="34">
        <f>_xll.qlYieldTSDiscount(OisCurve,R667,,AllTriggers)</f>
        <v>0.9801959915446341</v>
      </c>
      <c r="W667" s="33">
        <f t="shared" si="50"/>
        <v>7.1304997537436033E-3</v>
      </c>
      <c r="X667" s="35">
        <f t="shared" si="51"/>
        <v>4.2949023684905863E-4</v>
      </c>
      <c r="Y667" s="33">
        <f t="shared" si="52"/>
        <v>1.6482726394247511E-3</v>
      </c>
      <c r="Z667" s="54"/>
    </row>
    <row r="668" spans="15:26" x14ac:dyDescent="0.25">
      <c r="O668" s="37" t="s">
        <v>31</v>
      </c>
      <c r="P668" s="31">
        <f>_xll.qlCalendarAdvance(Calendar,P667,O667,"f",,Trigger)</f>
        <v>45357</v>
      </c>
      <c r="Q668" s="31">
        <f>_xll.qlInterestRateIndexValueDate(Index,P668,Trigger)</f>
        <v>45359</v>
      </c>
      <c r="R668" s="31">
        <f>_xll.qlInterestRateIndexMaturity(Index,Q668,Trigger)</f>
        <v>45453</v>
      </c>
      <c r="S668" s="32">
        <f>_xll.qlDayCounterYearFraction(DayCounter,Q668,R668,,,Trigger)</f>
        <v>0.26111111111111113</v>
      </c>
      <c r="T668" s="33">
        <f>_xll.qlIndexFixing(Index,P668,,AllTriggers)</f>
        <v>8.7838868327882527E-3</v>
      </c>
      <c r="U668" s="34">
        <f>_xll.qlYieldTSDiscount(OisCurve,Q668,,AllTriggers)</f>
        <v>0.98188557373495799</v>
      </c>
      <c r="V668" s="34">
        <f>_xll.qlYieldTSDiscount(OisCurve,R668,,AllTriggers)</f>
        <v>0.98005957552151568</v>
      </c>
      <c r="W668" s="33">
        <f t="shared" si="50"/>
        <v>7.13546892647307E-3</v>
      </c>
      <c r="X668" s="35">
        <f t="shared" si="51"/>
        <v>4.2952752474054336E-4</v>
      </c>
      <c r="Y668" s="33">
        <f t="shared" si="52"/>
        <v>1.6484179063151827E-3</v>
      </c>
      <c r="Z668" s="54"/>
    </row>
    <row r="669" spans="15:26" x14ac:dyDescent="0.25">
      <c r="O669" s="37" t="s">
        <v>31</v>
      </c>
      <c r="P669" s="31">
        <f>_xll.qlCalendarAdvance(Calendar,P668,O668,"f",,Trigger)</f>
        <v>45364</v>
      </c>
      <c r="Q669" s="31">
        <f>_xll.qlInterestRateIndexValueDate(Index,P669,Trigger)</f>
        <v>45366</v>
      </c>
      <c r="R669" s="31">
        <f>_xll.qlInterestRateIndexMaturity(Index,Q669,Trigger)</f>
        <v>45460</v>
      </c>
      <c r="S669" s="32">
        <f>_xll.qlDayCounterYearFraction(DayCounter,Q669,R669,,,Trigger)</f>
        <v>0.26111111111111113</v>
      </c>
      <c r="T669" s="33">
        <f>_xll.qlIndexFixing(Index,P669,,AllTriggers)</f>
        <v>8.7888611619368409E-3</v>
      </c>
      <c r="U669" s="34">
        <f>_xll.qlYieldTSDiscount(OisCurve,Q669,,AllTriggers)</f>
        <v>0.98175006934075104</v>
      </c>
      <c r="V669" s="34">
        <f>_xll.qlYieldTSDiscount(OisCurve,R669,,AllTriggers)</f>
        <v>0.97992306815314689</v>
      </c>
      <c r="W669" s="33">
        <f t="shared" si="50"/>
        <v>7.1403828037789772E-3</v>
      </c>
      <c r="X669" s="35">
        <f t="shared" si="51"/>
        <v>4.2954272327848462E-4</v>
      </c>
      <c r="Y669" s="33">
        <f t="shared" si="52"/>
        <v>1.6484783581578637E-3</v>
      </c>
      <c r="Z669" s="54"/>
    </row>
    <row r="670" spans="15:26" x14ac:dyDescent="0.25">
      <c r="O670" s="37" t="s">
        <v>31</v>
      </c>
      <c r="P670" s="31">
        <f>_xll.qlCalendarAdvance(Calendar,P669,O669,"f",,Trigger)</f>
        <v>45371</v>
      </c>
      <c r="Q670" s="31">
        <f>_xll.qlInterestRateIndexValueDate(Index,P670,Trigger)</f>
        <v>45373</v>
      </c>
      <c r="R670" s="31">
        <f>_xll.qlInterestRateIndexMaturity(Index,Q670,Trigger)</f>
        <v>45467</v>
      </c>
      <c r="S670" s="32">
        <f>_xll.qlDayCounterYearFraction(DayCounter,Q670,R670,,,Trigger)</f>
        <v>0.26111111111111113</v>
      </c>
      <c r="T670" s="33">
        <f>_xll.qlIndexFixing(Index,P670,,AllTriggers)</f>
        <v>8.7937346315995601E-3</v>
      </c>
      <c r="U670" s="34">
        <f>_xll.qlYieldTSDiscount(OisCurve,Q670,,AllTriggers)</f>
        <v>0.98161446639275973</v>
      </c>
      <c r="V670" s="34">
        <f>_xll.qlYieldTSDiscount(OisCurve,R670,,AllTriggers)</f>
        <v>0.97978646267310188</v>
      </c>
      <c r="W670" s="33">
        <f t="shared" si="50"/>
        <v>7.1452970377111026E-3</v>
      </c>
      <c r="X670" s="35">
        <f t="shared" si="51"/>
        <v>4.2953155363103639E-4</v>
      </c>
      <c r="Y670" s="33">
        <f t="shared" si="52"/>
        <v>1.6484375938884575E-3</v>
      </c>
      <c r="Z670" s="54"/>
    </row>
    <row r="671" spans="15:26" x14ac:dyDescent="0.25">
      <c r="O671" s="37" t="s">
        <v>31</v>
      </c>
      <c r="P671" s="31">
        <f>_xll.qlCalendarAdvance(Calendar,P670,O670,"f",,Trigger)</f>
        <v>45378</v>
      </c>
      <c r="Q671" s="31">
        <f>_xll.qlInterestRateIndexValueDate(Index,P671,Trigger)</f>
        <v>45384</v>
      </c>
      <c r="R671" s="31">
        <f>_xll.qlInterestRateIndexMaturity(Index,Q671,Trigger)</f>
        <v>45475</v>
      </c>
      <c r="S671" s="32">
        <f>_xll.qlDayCounterYearFraction(DayCounter,Q671,R671,,,Trigger)</f>
        <v>0.25277777777777777</v>
      </c>
      <c r="T671" s="33">
        <f>_xll.qlIndexFixing(Index,P671,,AllTriggers)</f>
        <v>8.7999173786349801E-3</v>
      </c>
      <c r="U671" s="34">
        <f>_xll.qlYieldTSDiscount(OisCurve,Q671,,AllTriggers)</f>
        <v>0.98140119486899258</v>
      </c>
      <c r="V671" s="34">
        <f>_xll.qlYieldTSDiscount(OisCurve,R671,,AllTriggers)</f>
        <v>0.97963021331285227</v>
      </c>
      <c r="W671" s="33">
        <f t="shared" si="50"/>
        <v>7.1517607217741596E-3</v>
      </c>
      <c r="X671" s="35">
        <f t="shared" si="51"/>
        <v>4.1577912467631812E-4</v>
      </c>
      <c r="Y671" s="33">
        <f t="shared" si="52"/>
        <v>1.6481566568608205E-3</v>
      </c>
      <c r="Z671" s="54"/>
    </row>
    <row r="672" spans="15:26" x14ac:dyDescent="0.25">
      <c r="O672" s="37" t="s">
        <v>31</v>
      </c>
      <c r="P672" s="31">
        <f>_xll.qlCalendarAdvance(Calendar,P671,O671,"f",,Trigger)</f>
        <v>45385</v>
      </c>
      <c r="Q672" s="31">
        <f>_xll.qlInterestRateIndexValueDate(Index,P672,Trigger)</f>
        <v>45387</v>
      </c>
      <c r="R672" s="31">
        <f>_xll.qlInterestRateIndexMaturity(Index,Q672,Trigger)</f>
        <v>45478</v>
      </c>
      <c r="S672" s="32">
        <f>_xll.qlDayCounterYearFraction(DayCounter,Q672,R672,,,Trigger)</f>
        <v>0.25277777777777777</v>
      </c>
      <c r="T672" s="33">
        <f>_xll.qlIndexFixing(Index,P672,,AllTriggers)</f>
        <v>8.8019594271107893E-3</v>
      </c>
      <c r="U672" s="34">
        <f>_xll.qlYieldTSDiscount(OisCurve,Q672,,AllTriggers)</f>
        <v>0.98134299467167885</v>
      </c>
      <c r="V672" s="34">
        <f>_xll.qlYieldTSDiscount(OisCurve,R672,,AllTriggers)</f>
        <v>0.9795715824287009</v>
      </c>
      <c r="W672" s="33">
        <f t="shared" si="50"/>
        <v>7.1539281285811565E-3</v>
      </c>
      <c r="X672" s="35">
        <f t="shared" si="51"/>
        <v>4.1574727988808195E-4</v>
      </c>
      <c r="Y672" s="33">
        <f t="shared" si="52"/>
        <v>1.6480312985296328E-3</v>
      </c>
      <c r="Z672" s="54"/>
    </row>
    <row r="673" spans="15:26" x14ac:dyDescent="0.25">
      <c r="O673" s="37" t="s">
        <v>31</v>
      </c>
      <c r="P673" s="31">
        <f>_xll.qlCalendarAdvance(Calendar,P672,O672,"f",,Trigger)</f>
        <v>45392</v>
      </c>
      <c r="Q673" s="31">
        <f>_xll.qlInterestRateIndexValueDate(Index,P673,Trigger)</f>
        <v>45394</v>
      </c>
      <c r="R673" s="31">
        <f>_xll.qlInterestRateIndexMaturity(Index,Q673,Trigger)</f>
        <v>45485</v>
      </c>
      <c r="S673" s="32">
        <f>_xll.qlDayCounterYearFraction(DayCounter,Q673,R673,,,Trigger)</f>
        <v>0.25277777777777777</v>
      </c>
      <c r="T673" s="33">
        <f>_xll.qlIndexFixing(Index,P673,,AllTriggers)</f>
        <v>8.806738620701117E-3</v>
      </c>
      <c r="U673" s="34">
        <f>_xll.qlYieldTSDiscount(OisCurve,Q673,,AllTriggers)</f>
        <v>0.98120714080652494</v>
      </c>
      <c r="V673" s="34">
        <f>_xll.qlYieldTSDiscount(OisCurve,R673,,AllTriggers)</f>
        <v>0.97943469361795188</v>
      </c>
      <c r="W673" s="33">
        <f t="shared" si="50"/>
        <v>7.1591082421842769E-3</v>
      </c>
      <c r="X673" s="35">
        <f t="shared" si="51"/>
        <v>4.1564561803754461E-4</v>
      </c>
      <c r="Y673" s="33">
        <f t="shared" si="52"/>
        <v>1.64763037851684E-3</v>
      </c>
      <c r="Z673" s="54"/>
    </row>
    <row r="674" spans="15:26" x14ac:dyDescent="0.25">
      <c r="O674" s="37" t="s">
        <v>31</v>
      </c>
      <c r="P674" s="31">
        <f>_xll.qlCalendarAdvance(Calendar,P673,O673,"f",,Trigger)</f>
        <v>45399</v>
      </c>
      <c r="Q674" s="31">
        <f>_xll.qlInterestRateIndexValueDate(Index,P674,Trigger)</f>
        <v>45401</v>
      </c>
      <c r="R674" s="31">
        <f>_xll.qlInterestRateIndexMaturity(Index,Q674,Trigger)</f>
        <v>45492</v>
      </c>
      <c r="S674" s="32">
        <f>_xll.qlDayCounterYearFraction(DayCounter,Q674,R674,,,Trigger)</f>
        <v>0.25277777777777777</v>
      </c>
      <c r="T674" s="33">
        <f>_xll.qlIndexFixing(Index,P674,,AllTriggers)</f>
        <v>8.8115708140147336E-3</v>
      </c>
      <c r="U674" s="34">
        <f>_xll.qlYieldTSDiscount(OisCurve,Q674,,AllTriggers)</f>
        <v>0.98107121820344556</v>
      </c>
      <c r="V674" s="34">
        <f>_xll.qlYieldTSDiscount(OisCurve,R674,,AllTriggers)</f>
        <v>0.97929768256099792</v>
      </c>
      <c r="W674" s="33">
        <f t="shared" si="50"/>
        <v>7.1645068543253407E-3</v>
      </c>
      <c r="X674" s="35">
        <f t="shared" si="51"/>
        <v>4.1550219208969354E-4</v>
      </c>
      <c r="Y674" s="33">
        <f t="shared" si="52"/>
        <v>1.6470639596893929E-3</v>
      </c>
      <c r="Z674" s="54"/>
    </row>
    <row r="675" spans="15:26" x14ac:dyDescent="0.25">
      <c r="O675" s="37" t="s">
        <v>31</v>
      </c>
      <c r="P675" s="31">
        <f>_xll.qlCalendarAdvance(Calendar,P674,O674,"f",,Trigger)</f>
        <v>45406</v>
      </c>
      <c r="Q675" s="31">
        <f>_xll.qlInterestRateIndexValueDate(Index,P675,Trigger)</f>
        <v>45408</v>
      </c>
      <c r="R675" s="31">
        <f>_xll.qlInterestRateIndexMaturity(Index,Q675,Trigger)</f>
        <v>45499</v>
      </c>
      <c r="S675" s="32">
        <f>_xll.qlDayCounterYearFraction(DayCounter,Q675,R675,,,Trigger)</f>
        <v>0.25277777777777777</v>
      </c>
      <c r="T675" s="33">
        <f>_xll.qlIndexFixing(Index,P675,,AllTriggers)</f>
        <v>8.8164965500500524E-3</v>
      </c>
      <c r="U675" s="34">
        <f>_xll.qlYieldTSDiscount(OisCurve,Q675,,AllTriggers)</f>
        <v>0.98093523430618934</v>
      </c>
      <c r="V675" s="34">
        <f>_xll.qlYieldTSDiscount(OisCurve,R675,,AllTriggers)</f>
        <v>0.97916054250896079</v>
      </c>
      <c r="W675" s="33">
        <f t="shared" si="50"/>
        <v>7.1701814497931457E-3</v>
      </c>
      <c r="X675" s="35">
        <f t="shared" si="51"/>
        <v>4.1531272321254582E-4</v>
      </c>
      <c r="Y675" s="33">
        <f t="shared" si="52"/>
        <v>1.6463151002569067E-3</v>
      </c>
      <c r="Z675" s="54"/>
    </row>
    <row r="676" spans="15:26" x14ac:dyDescent="0.25">
      <c r="O676" s="37" t="s">
        <v>31</v>
      </c>
      <c r="P676" s="31">
        <f>_xll.qlCalendarAdvance(Calendar,P675,O675,"f",,Trigger)</f>
        <v>45414</v>
      </c>
      <c r="Q676" s="31">
        <f>_xll.qlInterestRateIndexValueDate(Index,P676,Trigger)</f>
        <v>45418</v>
      </c>
      <c r="R676" s="31">
        <f>_xll.qlInterestRateIndexMaturity(Index,Q676,Trigger)</f>
        <v>45510</v>
      </c>
      <c r="S676" s="32">
        <f>_xll.qlDayCounterYearFraction(DayCounter,Q676,R676,,,Trigger)</f>
        <v>0.25555555555555554</v>
      </c>
      <c r="T676" s="33">
        <f>_xll.qlIndexFixing(Index,P676,,AllTriggers)</f>
        <v>8.8242725599622634E-3</v>
      </c>
      <c r="U676" s="34">
        <f>_xll.qlYieldTSDiscount(OisCurve,Q676,,AllTriggers)</f>
        <v>0.98074087764664519</v>
      </c>
      <c r="V676" s="34">
        <f>_xll.qlYieldTSDiscount(OisCurve,R676,,AllTriggers)</f>
        <v>0.9789447598680755</v>
      </c>
      <c r="W676" s="33">
        <f t="shared" si="50"/>
        <v>7.1794520464746091E-3</v>
      </c>
      <c r="X676" s="35">
        <f t="shared" si="51"/>
        <v>4.1948521242305336E-4</v>
      </c>
      <c r="Y676" s="33">
        <f t="shared" si="52"/>
        <v>1.6448205134876543E-3</v>
      </c>
      <c r="Z676" s="54"/>
    </row>
    <row r="677" spans="15:26" x14ac:dyDescent="0.25">
      <c r="O677" s="37" t="s">
        <v>31</v>
      </c>
      <c r="P677" s="31">
        <f>_xll.qlCalendarAdvance(Calendar,P676,O676,"f",,Trigger)</f>
        <v>45421</v>
      </c>
      <c r="Q677" s="31">
        <f>_xll.qlInterestRateIndexValueDate(Index,P677,Trigger)</f>
        <v>45425</v>
      </c>
      <c r="R677" s="31">
        <f>_xll.qlInterestRateIndexMaturity(Index,Q677,Trigger)</f>
        <v>45517</v>
      </c>
      <c r="S677" s="32">
        <f>_xll.qlDayCounterYearFraction(DayCounter,Q677,R677,,,Trigger)</f>
        <v>0.25555555555555554</v>
      </c>
      <c r="T677" s="33">
        <f>_xll.qlIndexFixing(Index,P677,,AllTriggers)</f>
        <v>8.8295579118618829E-3</v>
      </c>
      <c r="U677" s="34">
        <f>_xll.qlYieldTSDiscount(OisCurve,Q677,,AllTriggers)</f>
        <v>0.98060475926398705</v>
      </c>
      <c r="V677" s="34">
        <f>_xll.qlYieldTSDiscount(OisCurve,R677,,AllTriggers)</f>
        <v>0.9788072571516917</v>
      </c>
      <c r="W677" s="33">
        <f t="shared" si="50"/>
        <v>7.1859948588299909E-3</v>
      </c>
      <c r="X677" s="35">
        <f t="shared" si="51"/>
        <v>4.1916388497827806E-4</v>
      </c>
      <c r="Y677" s="33">
        <f t="shared" si="52"/>
        <v>1.643563053031892E-3</v>
      </c>
      <c r="Z677" s="54"/>
    </row>
    <row r="678" spans="15:26" x14ac:dyDescent="0.25">
      <c r="O678" s="37" t="s">
        <v>31</v>
      </c>
      <c r="P678" s="31">
        <f>_xll.qlCalendarAdvance(Calendar,P677,O677,"f",,Trigger)</f>
        <v>45428</v>
      </c>
      <c r="Q678" s="31">
        <f>_xll.qlInterestRateIndexValueDate(Index,P678,Trigger)</f>
        <v>45432</v>
      </c>
      <c r="R678" s="31">
        <f>_xll.qlInterestRateIndexMaturity(Index,Q678,Trigger)</f>
        <v>45524</v>
      </c>
      <c r="S678" s="32">
        <f>_xll.qlDayCounterYearFraction(DayCounter,Q678,R678,,,Trigger)</f>
        <v>0.25555555555555554</v>
      </c>
      <c r="T678" s="33">
        <f>_xll.qlIndexFixing(Index,P678,,AllTriggers)</f>
        <v>8.8349947304207192E-3</v>
      </c>
      <c r="U678" s="34">
        <f>_xll.qlYieldTSDiscount(OisCurve,Q678,,AllTriggers)</f>
        <v>0.98046857663990938</v>
      </c>
      <c r="V678" s="34">
        <f>_xll.qlYieldTSDiscount(OisCurve,R678,,AllTriggers)</f>
        <v>0.97866960136867343</v>
      </c>
      <c r="W678" s="33">
        <f t="shared" si="50"/>
        <v>7.1928957871153264E-3</v>
      </c>
      <c r="X678" s="35">
        <f t="shared" si="51"/>
        <v>4.1878982884951585E-4</v>
      </c>
      <c r="Y678" s="33">
        <f t="shared" si="52"/>
        <v>1.6420989433053928E-3</v>
      </c>
      <c r="Z678" s="54"/>
    </row>
    <row r="679" spans="15:26" x14ac:dyDescent="0.25">
      <c r="O679" s="37" t="s">
        <v>31</v>
      </c>
      <c r="P679" s="31">
        <f>_xll.qlCalendarAdvance(Calendar,P678,O678,"f",,Trigger)</f>
        <v>45435</v>
      </c>
      <c r="Q679" s="31">
        <f>_xll.qlInterestRateIndexValueDate(Index,P679,Trigger)</f>
        <v>45439</v>
      </c>
      <c r="R679" s="31">
        <f>_xll.qlInterestRateIndexMaturity(Index,Q679,Trigger)</f>
        <v>45531</v>
      </c>
      <c r="S679" s="32">
        <f>_xll.qlDayCounterYearFraction(DayCounter,Q679,R679,,,Trigger)</f>
        <v>0.25555555555555554</v>
      </c>
      <c r="T679" s="33">
        <f>_xll.qlIndexFixing(Index,P679,,AllTriggers)</f>
        <v>8.8405830162695698E-3</v>
      </c>
      <c r="U679" s="34">
        <f>_xll.qlYieldTSDiscount(OisCurve,Q679,,AllTriggers)</f>
        <v>0.98033232299274631</v>
      </c>
      <c r="V679" s="34">
        <f>_xll.qlYieldTSDiscount(OisCurve,R679,,AllTriggers)</f>
        <v>0.97853178578787181</v>
      </c>
      <c r="W679" s="33">
        <f t="shared" si="50"/>
        <v>7.2001548332204087E-3</v>
      </c>
      <c r="X679" s="35">
        <f t="shared" si="51"/>
        <v>4.1836304403796733E-4</v>
      </c>
      <c r="Y679" s="33">
        <f t="shared" si="52"/>
        <v>1.6404281830491611E-3</v>
      </c>
      <c r="Z679" s="54"/>
    </row>
    <row r="680" spans="15:26" x14ac:dyDescent="0.25">
      <c r="O680" s="37" t="s">
        <v>31</v>
      </c>
      <c r="P680" s="31">
        <f>_xll.qlCalendarAdvance(Calendar,P679,O679,"f",,Trigger)</f>
        <v>45442</v>
      </c>
      <c r="Q680" s="31">
        <f>_xll.qlInterestRateIndexValueDate(Index,P680,Trigger)</f>
        <v>45446</v>
      </c>
      <c r="R680" s="31">
        <f>_xll.qlInterestRateIndexMaturity(Index,Q680,Trigger)</f>
        <v>45538</v>
      </c>
      <c r="S680" s="32">
        <f>_xll.qlDayCounterYearFraction(DayCounter,Q680,R680,,,Trigger)</f>
        <v>0.25555555555555554</v>
      </c>
      <c r="T680" s="33">
        <f>_xll.qlIndexFixing(Index,P680,,AllTriggers)</f>
        <v>8.8463227700557433E-3</v>
      </c>
      <c r="U680" s="34">
        <f>_xll.qlYieldTSDiscount(OisCurve,Q680,,AllTriggers)</f>
        <v>0.9801959915446341</v>
      </c>
      <c r="V680" s="34">
        <f>_xll.qlYieldTSDiscount(OisCurve,R680,,AllTriggers)</f>
        <v>0.97839380368204465</v>
      </c>
      <c r="W680" s="33">
        <f t="shared" si="50"/>
        <v>7.2077719991349501E-3</v>
      </c>
      <c r="X680" s="35">
        <f t="shared" si="51"/>
        <v>4.178835305431504E-4</v>
      </c>
      <c r="Y680" s="33">
        <f t="shared" si="52"/>
        <v>1.6385507709207933E-3</v>
      </c>
      <c r="Z680" s="54"/>
    </row>
    <row r="681" spans="15:26" x14ac:dyDescent="0.25">
      <c r="O681" s="37" t="s">
        <v>31</v>
      </c>
      <c r="P681" s="31">
        <f>_xll.qlCalendarAdvance(Calendar,P680,O680,"f",,Trigger)</f>
        <v>45449</v>
      </c>
      <c r="Q681" s="31">
        <f>_xll.qlInterestRateIndexValueDate(Index,P681,Trigger)</f>
        <v>45453</v>
      </c>
      <c r="R681" s="31">
        <f>_xll.qlInterestRateIndexMaturity(Index,Q681,Trigger)</f>
        <v>45545</v>
      </c>
      <c r="S681" s="32">
        <f>_xll.qlDayCounterYearFraction(DayCounter,Q681,R681,,,Trigger)</f>
        <v>0.25555555555555554</v>
      </c>
      <c r="T681" s="33">
        <f>_xll.qlIndexFixing(Index,P681,,AllTriggers)</f>
        <v>8.852213992443056E-3</v>
      </c>
      <c r="U681" s="34">
        <f>_xll.qlYieldTSDiscount(OisCurve,Q681,,AllTriggers)</f>
        <v>0.98005957552151568</v>
      </c>
      <c r="V681" s="34">
        <f>_xll.qlYieldTSDiscount(OisCurve,R681,,AllTriggers)</f>
        <v>0.97825564832786749</v>
      </c>
      <c r="W681" s="33">
        <f t="shared" si="50"/>
        <v>7.2157472869468454E-3</v>
      </c>
      <c r="X681" s="35">
        <f t="shared" si="51"/>
        <v>4.1735128836467659E-4</v>
      </c>
      <c r="Y681" s="33">
        <f t="shared" si="52"/>
        <v>1.6364667054962105E-3</v>
      </c>
      <c r="Z681" s="54"/>
    </row>
    <row r="682" spans="15:26" x14ac:dyDescent="0.25">
      <c r="O682" s="37" t="s">
        <v>31</v>
      </c>
      <c r="P682" s="31">
        <f>_xll.qlCalendarAdvance(Calendar,P681,O681,"f",,Trigger)</f>
        <v>45456</v>
      </c>
      <c r="Q682" s="31">
        <f>_xll.qlInterestRateIndexValueDate(Index,P682,Trigger)</f>
        <v>45460</v>
      </c>
      <c r="R682" s="31">
        <f>_xll.qlInterestRateIndexMaturity(Index,Q682,Trigger)</f>
        <v>45552</v>
      </c>
      <c r="S682" s="32">
        <f>_xll.qlDayCounterYearFraction(DayCounter,Q682,R682,,,Trigger)</f>
        <v>0.25555555555555554</v>
      </c>
      <c r="T682" s="33">
        <f>_xll.qlIndexFixing(Index,P682,,AllTriggers)</f>
        <v>8.8582566841170478E-3</v>
      </c>
      <c r="U682" s="34">
        <f>_xll.qlYieldTSDiscount(OisCurve,Q682,,AllTriggers)</f>
        <v>0.97992306815314689</v>
      </c>
      <c r="V682" s="34">
        <f>_xll.qlYieldTSDiscount(OisCurve,R682,,AllTriggers)</f>
        <v>0.97811731300594629</v>
      </c>
      <c r="W682" s="33">
        <f t="shared" si="50"/>
        <v>7.2240806988421733E-3</v>
      </c>
      <c r="X682" s="35">
        <f t="shared" si="51"/>
        <v>4.1676631750313826E-4</v>
      </c>
      <c r="Y682" s="33">
        <f t="shared" si="52"/>
        <v>1.6341759852748746E-3</v>
      </c>
      <c r="Z682" s="54"/>
    </row>
    <row r="683" spans="15:26" x14ac:dyDescent="0.25">
      <c r="O683" s="37" t="s">
        <v>31</v>
      </c>
      <c r="P683" s="31">
        <f>_xll.qlCalendarAdvance(Calendar,P682,O682,"f",,Trigger)</f>
        <v>45463</v>
      </c>
      <c r="Q683" s="31">
        <f>_xll.qlInterestRateIndexValueDate(Index,P683,Trigger)</f>
        <v>45467</v>
      </c>
      <c r="R683" s="31">
        <f>_xll.qlInterestRateIndexMaturity(Index,Q683,Trigger)</f>
        <v>45559</v>
      </c>
      <c r="S683" s="32">
        <f>_xll.qlDayCounterYearFraction(DayCounter,Q683,R683,,,Trigger)</f>
        <v>0.25555555555555554</v>
      </c>
      <c r="T683" s="33">
        <f>_xll.qlIndexFixing(Index,P683,,AllTriggers)</f>
        <v>8.8644508457745522E-3</v>
      </c>
      <c r="U683" s="34">
        <f>_xll.qlYieldTSDiscount(OisCurve,Q683,,AllTriggers)</f>
        <v>0.97978646267310188</v>
      </c>
      <c r="V683" s="34">
        <f>_xll.qlYieldTSDiscount(OisCurve,R683,,AllTriggers)</f>
        <v>0.97797879100082852</v>
      </c>
      <c r="W683" s="33">
        <f t="shared" si="50"/>
        <v>7.2327722371025851E-3</v>
      </c>
      <c r="X683" s="35">
        <f t="shared" si="51"/>
        <v>4.161286179585554E-4</v>
      </c>
      <c r="Y683" s="33">
        <f t="shared" si="52"/>
        <v>1.6316786086719671E-3</v>
      </c>
      <c r="Z683" s="54"/>
    </row>
    <row r="684" spans="15:26" x14ac:dyDescent="0.25">
      <c r="O684" s="37" t="s">
        <v>31</v>
      </c>
      <c r="P684" s="31">
        <f>_xll.qlCalendarAdvance(Calendar,P683,O683,"f",,Trigger)</f>
        <v>45470</v>
      </c>
      <c r="Q684" s="31">
        <f>_xll.qlInterestRateIndexValueDate(Index,P684,Trigger)</f>
        <v>45474</v>
      </c>
      <c r="R684" s="31">
        <f>_xll.qlInterestRateIndexMaturity(Index,Q684,Trigger)</f>
        <v>45566</v>
      </c>
      <c r="S684" s="32">
        <f>_xll.qlDayCounterYearFraction(DayCounter,Q684,R684,,,Trigger)</f>
        <v>0.25555555555555554</v>
      </c>
      <c r="T684" s="33">
        <f>_xll.qlIndexFixing(Index,P684,,AllTriggers)</f>
        <v>8.8707964781349936E-3</v>
      </c>
      <c r="U684" s="34">
        <f>_xll.qlYieldTSDiscount(OisCurve,Q684,,AllTriggers)</f>
        <v>0.97964975231878026</v>
      </c>
      <c r="V684" s="34">
        <f>_xll.qlYieldTSDiscount(OisCurve,R684,,AllTriggers)</f>
        <v>0.97784007560101649</v>
      </c>
      <c r="W684" s="33">
        <f t="shared" si="50"/>
        <v>7.2418219041122623E-3</v>
      </c>
      <c r="X684" s="35">
        <f t="shared" si="51"/>
        <v>4.1543818973037558E-4</v>
      </c>
      <c r="Y684" s="33">
        <f t="shared" si="52"/>
        <v>1.6289745740227313E-3</v>
      </c>
      <c r="Z684" s="54"/>
    </row>
    <row r="685" spans="15:26" x14ac:dyDescent="0.25">
      <c r="O685" s="37" t="s">
        <v>31</v>
      </c>
      <c r="P685" s="31">
        <f>_xll.qlCalendarAdvance(Calendar,P684,O684,"f",,Trigger)</f>
        <v>45477</v>
      </c>
      <c r="Q685" s="31">
        <f>_xll.qlInterestRateIndexValueDate(Index,P685,Trigger)</f>
        <v>45481</v>
      </c>
      <c r="R685" s="31">
        <f>_xll.qlInterestRateIndexMaturity(Index,Q685,Trigger)</f>
        <v>45573</v>
      </c>
      <c r="S685" s="32">
        <f>_xll.qlDayCounterYearFraction(DayCounter,Q685,R685,,,Trigger)</f>
        <v>0.25555555555555554</v>
      </c>
      <c r="T685" s="33">
        <f>_xll.qlIndexFixing(Index,P685,,AllTriggers)</f>
        <v>8.8772935819334351E-3</v>
      </c>
      <c r="U685" s="34">
        <f>_xll.qlYieldTSDiscount(OisCurve,Q685,,AllTriggers)</f>
        <v>0.97951293033141418</v>
      </c>
      <c r="V685" s="34">
        <f>_xll.qlYieldTSDiscount(OisCurve,R685,,AllTriggers)</f>
        <v>0.97770116009898045</v>
      </c>
      <c r="W685" s="33">
        <f t="shared" si="50"/>
        <v>7.2512297023500909E-3</v>
      </c>
      <c r="X685" s="35">
        <f t="shared" si="51"/>
        <v>4.146950328192493E-4</v>
      </c>
      <c r="Y685" s="33">
        <f t="shared" si="52"/>
        <v>1.6260638795833442E-3</v>
      </c>
      <c r="Z685" s="54"/>
    </row>
    <row r="686" spans="15:26" x14ac:dyDescent="0.25">
      <c r="O686" s="37" t="s">
        <v>31</v>
      </c>
      <c r="P686" s="31">
        <f>_xll.qlCalendarAdvance(Calendar,P685,O685,"f",,Trigger)</f>
        <v>45484</v>
      </c>
      <c r="Q686" s="31">
        <f>_xll.qlInterestRateIndexValueDate(Index,P686,Trigger)</f>
        <v>45488</v>
      </c>
      <c r="R686" s="31">
        <f>_xll.qlInterestRateIndexMaturity(Index,Q686,Trigger)</f>
        <v>45580</v>
      </c>
      <c r="S686" s="32">
        <f>_xll.qlDayCounterYearFraction(DayCounter,Q686,R686,,,Trigger)</f>
        <v>0.25555555555555554</v>
      </c>
      <c r="T686" s="33">
        <f>_xll.qlIndexFixing(Index,P686,,AllTriggers)</f>
        <v>8.8839421579214525E-3</v>
      </c>
      <c r="U686" s="34">
        <f>_xll.qlYieldTSDiscount(OisCurve,Q686,,AllTriggers)</f>
        <v>0.979375989956075</v>
      </c>
      <c r="V686" s="34">
        <f>_xll.qlYieldTSDiscount(OisCurve,R686,,AllTriggers)</f>
        <v>0.97756203779117179</v>
      </c>
      <c r="W686" s="33">
        <f t="shared" si="50"/>
        <v>7.260995634394877E-3</v>
      </c>
      <c r="X686" s="35">
        <f t="shared" si="51"/>
        <v>4.1389914722436694E-4</v>
      </c>
      <c r="Y686" s="33">
        <f t="shared" si="52"/>
        <v>1.6229465235265755E-3</v>
      </c>
      <c r="Z686" s="54"/>
    </row>
    <row r="687" spans="15:26" x14ac:dyDescent="0.25">
      <c r="O687" s="37" t="s">
        <v>31</v>
      </c>
      <c r="P687" s="31">
        <f>_xll.qlCalendarAdvance(Calendar,P686,O686,"f",,Trigger)</f>
        <v>45491</v>
      </c>
      <c r="Q687" s="31">
        <f>_xll.qlInterestRateIndexValueDate(Index,P687,Trigger)</f>
        <v>45495</v>
      </c>
      <c r="R687" s="31">
        <f>_xll.qlInterestRateIndexMaturity(Index,Q687,Trigger)</f>
        <v>45587</v>
      </c>
      <c r="S687" s="32">
        <f>_xll.qlDayCounterYearFraction(DayCounter,Q687,R687,,,Trigger)</f>
        <v>0.25555555555555554</v>
      </c>
      <c r="T687" s="33">
        <f>_xll.qlIndexFixing(Index,P687,,AllTriggers)</f>
        <v>8.890742206871468E-3</v>
      </c>
      <c r="U687" s="34">
        <f>_xll.qlYieldTSDiscount(OisCurve,Q687,,AllTriggers)</f>
        <v>0.97923892444168226</v>
      </c>
      <c r="V687" s="34">
        <f>_xll.qlYieldTSDiscount(OisCurve,R687,,AllTriggers)</f>
        <v>0.9774227019780376</v>
      </c>
      <c r="W687" s="33">
        <f t="shared" si="50"/>
        <v>7.271119702921873E-3</v>
      </c>
      <c r="X687" s="35">
        <f t="shared" si="51"/>
        <v>4.1305053294656593E-4</v>
      </c>
      <c r="Y687" s="33">
        <f t="shared" si="52"/>
        <v>1.619622503949595E-3</v>
      </c>
      <c r="Z687" s="54"/>
    </row>
    <row r="688" spans="15:26" x14ac:dyDescent="0.25">
      <c r="O688" s="37" t="s">
        <v>31</v>
      </c>
      <c r="P688" s="31">
        <f>_xll.qlCalendarAdvance(Calendar,P687,O687,"f",,Trigger)</f>
        <v>45498</v>
      </c>
      <c r="Q688" s="31">
        <f>_xll.qlInterestRateIndexValueDate(Index,P688,Trigger)</f>
        <v>45502</v>
      </c>
      <c r="R688" s="31">
        <f>_xll.qlInterestRateIndexMaturity(Index,Q688,Trigger)</f>
        <v>45594</v>
      </c>
      <c r="S688" s="32">
        <f>_xll.qlDayCounterYearFraction(DayCounter,Q688,R688,,,Trigger)</f>
        <v>0.25555555555555554</v>
      </c>
      <c r="T688" s="33">
        <f>_xll.qlIndexFixing(Index,P688,,AllTriggers)</f>
        <v>8.897693729569809E-3</v>
      </c>
      <c r="U688" s="34">
        <f>_xll.qlYieldTSDiscount(OisCurve,Q688,,AllTriggers)</f>
        <v>0.97910172704101139</v>
      </c>
      <c r="V688" s="34">
        <f>_xll.qlYieldTSDiscount(OisCurve,R688,,AllTriggers)</f>
        <v>0.97728314596403454</v>
      </c>
      <c r="W688" s="33">
        <f t="shared" si="50"/>
        <v>7.2816019107062504E-3</v>
      </c>
      <c r="X688" s="35">
        <f t="shared" si="51"/>
        <v>4.1214918998566755E-4</v>
      </c>
      <c r="Y688" s="33">
        <f t="shared" si="52"/>
        <v>1.6160918188635586E-3</v>
      </c>
      <c r="Z688" s="54"/>
    </row>
    <row r="689" spans="15:26" x14ac:dyDescent="0.25">
      <c r="O689" s="37" t="s">
        <v>31</v>
      </c>
      <c r="P689" s="31">
        <f>_xll.qlCalendarAdvance(Calendar,P688,O688,"f",,Trigger)</f>
        <v>45505</v>
      </c>
      <c r="Q689" s="31">
        <f>_xll.qlInterestRateIndexValueDate(Index,P689,Trigger)</f>
        <v>45509</v>
      </c>
      <c r="R689" s="31">
        <f>_xll.qlInterestRateIndexMaturity(Index,Q689,Trigger)</f>
        <v>45601</v>
      </c>
      <c r="S689" s="32">
        <f>_xll.qlDayCounterYearFraction(DayCounter,Q689,R689,,,Trigger)</f>
        <v>0.25555555555555554</v>
      </c>
      <c r="T689" s="33">
        <f>_xll.qlIndexFixing(Index,P689,,AllTriggers)</f>
        <v>8.9047967268227907E-3</v>
      </c>
      <c r="U689" s="34">
        <f>_xll.qlYieldTSDiscount(OisCurve,Q689,,AllTriggers)</f>
        <v>0.97896439101070321</v>
      </c>
      <c r="V689" s="34">
        <f>_xll.qlYieldTSDiscount(OisCurve,R689,,AllTriggers)</f>
        <v>0.97714336305764438</v>
      </c>
      <c r="W689" s="33">
        <f t="shared" si="50"/>
        <v>7.292442260621361E-3</v>
      </c>
      <c r="X689" s="35">
        <f t="shared" si="51"/>
        <v>4.1119511834136437E-4</v>
      </c>
      <c r="Y689" s="33">
        <f t="shared" si="52"/>
        <v>1.6123544662014298E-3</v>
      </c>
      <c r="Z689" s="54"/>
    </row>
    <row r="690" spans="15:26" x14ac:dyDescent="0.25">
      <c r="O690" s="37" t="s">
        <v>31</v>
      </c>
      <c r="P690" s="31">
        <f>_xll.qlCalendarAdvance(Calendar,P689,O689,"f",,Trigger)</f>
        <v>45512</v>
      </c>
      <c r="Q690" s="31">
        <f>_xll.qlInterestRateIndexValueDate(Index,P690,Trigger)</f>
        <v>45516</v>
      </c>
      <c r="R690" s="31">
        <f>_xll.qlInterestRateIndexMaturity(Index,Q690,Trigger)</f>
        <v>45608</v>
      </c>
      <c r="S690" s="32">
        <f>_xll.qlDayCounterYearFraction(DayCounter,Q690,R690,,,Trigger)</f>
        <v>0.25555555555555554</v>
      </c>
      <c r="T690" s="33">
        <f>_xll.qlIndexFixing(Index,P690,,AllTriggers)</f>
        <v>8.9120511994514925E-3</v>
      </c>
      <c r="U690" s="34">
        <f>_xll.qlYieldTSDiscount(OisCurve,Q690,,AllTriggers)</f>
        <v>0.97882690961127239</v>
      </c>
      <c r="V690" s="34">
        <f>_xll.qlYieldTSDiscount(OisCurve,R690,,AllTriggers)</f>
        <v>0.9770033465713891</v>
      </c>
      <c r="W690" s="33">
        <f t="shared" si="50"/>
        <v>7.3036407556370054E-3</v>
      </c>
      <c r="X690" s="35">
        <f t="shared" si="51"/>
        <v>4.101883180136648E-4</v>
      </c>
      <c r="Y690" s="33">
        <f t="shared" si="52"/>
        <v>1.6084104438144871E-3</v>
      </c>
      <c r="Z690" s="54"/>
    </row>
    <row r="691" spans="15:26" x14ac:dyDescent="0.25">
      <c r="O691" s="37" t="s">
        <v>31</v>
      </c>
      <c r="P691" s="31">
        <f>_xll.qlCalendarAdvance(Calendar,P690,O690,"f",,Trigger)</f>
        <v>45519</v>
      </c>
      <c r="Q691" s="31">
        <f>_xll.qlInterestRateIndexValueDate(Index,P691,Trigger)</f>
        <v>45523</v>
      </c>
      <c r="R691" s="31">
        <f>_xll.qlInterestRateIndexMaturity(Index,Q691,Trigger)</f>
        <v>45615</v>
      </c>
      <c r="S691" s="32">
        <f>_xll.qlDayCounterYearFraction(DayCounter,Q691,R691,,,Trigger)</f>
        <v>0.25555555555555554</v>
      </c>
      <c r="T691" s="33">
        <f>_xll.qlIndexFixing(Index,P691,,AllTriggers)</f>
        <v>8.9194571482987192E-3</v>
      </c>
      <c r="U691" s="34">
        <f>_xll.qlYieldTSDiscount(OisCurve,Q691,,AllTriggers)</f>
        <v>0.97868927610711842</v>
      </c>
      <c r="V691" s="34">
        <f>_xll.qlYieldTSDiscount(OisCurve,R691,,AllTriggers)</f>
        <v>0.97686308982184689</v>
      </c>
      <c r="W691" s="33">
        <f t="shared" si="50"/>
        <v>7.3151973988229008E-3</v>
      </c>
      <c r="X691" s="35">
        <f t="shared" si="51"/>
        <v>4.0912878900267052E-4</v>
      </c>
      <c r="Y691" s="33">
        <f t="shared" si="52"/>
        <v>1.6042597494758185E-3</v>
      </c>
      <c r="Z691" s="54"/>
    </row>
    <row r="692" spans="15:26" x14ac:dyDescent="0.25">
      <c r="O692" s="37" t="s">
        <v>31</v>
      </c>
      <c r="P692" s="31">
        <f>_xll.qlCalendarAdvance(Calendar,P691,O691,"f",,Trigger)</f>
        <v>45526</v>
      </c>
      <c r="Q692" s="31">
        <f>_xll.qlInterestRateIndexValueDate(Index,P692,Trigger)</f>
        <v>45530</v>
      </c>
      <c r="R692" s="31">
        <f>_xll.qlInterestRateIndexMaturity(Index,Q692,Trigger)</f>
        <v>45622</v>
      </c>
      <c r="S692" s="32">
        <f>_xll.qlDayCounterYearFraction(DayCounter,Q692,R692,,,Trigger)</f>
        <v>0.25555555555555554</v>
      </c>
      <c r="T692" s="33">
        <f>_xll.qlIndexFixing(Index,P692,,AllTriggers)</f>
        <v>8.927014574221178E-3</v>
      </c>
      <c r="U692" s="34">
        <f>_xll.qlYieldTSDiscount(OisCurve,Q692,,AllTriggers)</f>
        <v>0.97855148376653489</v>
      </c>
      <c r="V692" s="34">
        <f>_xll.qlYieldTSDiscount(OisCurve,R692,,AllTriggers)</f>
        <v>0.97672258612966845</v>
      </c>
      <c r="W692" s="33">
        <f t="shared" si="50"/>
        <v>7.3271121933460789E-3</v>
      </c>
      <c r="X692" s="35">
        <f t="shared" si="51"/>
        <v>4.0801653130835509E-4</v>
      </c>
      <c r="Y692" s="33">
        <f t="shared" si="52"/>
        <v>1.5999023808750991E-3</v>
      </c>
      <c r="Z692" s="54"/>
    </row>
    <row r="693" spans="15:26" x14ac:dyDescent="0.25">
      <c r="O693" s="37" t="s">
        <v>31</v>
      </c>
      <c r="P693" s="31">
        <f>_xll.qlCalendarAdvance(Calendar,P692,O692,"f",,Trigger)</f>
        <v>45533</v>
      </c>
      <c r="Q693" s="31">
        <f>_xll.qlInterestRateIndexValueDate(Index,P693,Trigger)</f>
        <v>45537</v>
      </c>
      <c r="R693" s="31">
        <f>_xll.qlInterestRateIndexMaturity(Index,Q693,Trigger)</f>
        <v>45628</v>
      </c>
      <c r="S693" s="32">
        <f>_xll.qlDayCounterYearFraction(DayCounter,Q693,R693,,,Trigger)</f>
        <v>0.25277777777777777</v>
      </c>
      <c r="T693" s="33">
        <f>_xll.qlIndexFixing(Index,P693,,AllTriggers)</f>
        <v>8.9340334745861092E-3</v>
      </c>
      <c r="U693" s="34">
        <f>_xll.qlYieldTSDiscount(OisCurve,Q693,,AllTriggers)</f>
        <v>0.97841352586172059</v>
      </c>
      <c r="V693" s="34">
        <f>_xll.qlYieldTSDiscount(OisCurve,R693,,AllTriggers)</f>
        <v>0.97660195278726047</v>
      </c>
      <c r="W693" s="33">
        <f t="shared" si="50"/>
        <v>7.3383661497867601E-3</v>
      </c>
      <c r="X693" s="35">
        <f t="shared" si="51"/>
        <v>4.0252140003939845E-4</v>
      </c>
      <c r="Y693" s="33">
        <f t="shared" si="52"/>
        <v>1.5956673247993491E-3</v>
      </c>
      <c r="Z693" s="54"/>
    </row>
    <row r="694" spans="15:26" x14ac:dyDescent="0.25">
      <c r="O694" s="37" t="s">
        <v>31</v>
      </c>
      <c r="P694" s="31">
        <f>_xll.qlCalendarAdvance(Calendar,P693,O693,"f",,Trigger)</f>
        <v>45540</v>
      </c>
      <c r="Q694" s="31">
        <f>_xll.qlInterestRateIndexValueDate(Index,P694,Trigger)</f>
        <v>45544</v>
      </c>
      <c r="R694" s="31">
        <f>_xll.qlInterestRateIndexMaturity(Index,Q694,Trigger)</f>
        <v>45635</v>
      </c>
      <c r="S694" s="32">
        <f>_xll.qlDayCounterYearFraction(DayCounter,Q694,R694,,,Trigger)</f>
        <v>0.25277777777777777</v>
      </c>
      <c r="T694" s="33">
        <f>_xll.qlIndexFixing(Index,P694,,AllTriggers)</f>
        <v>8.9418828426462565E-3</v>
      </c>
      <c r="U694" s="34">
        <f>_xll.qlYieldTSDiscount(OisCurve,Q694,,AllTriggers)</f>
        <v>0.97827539566879107</v>
      </c>
      <c r="V694" s="34">
        <f>_xll.qlYieldTSDiscount(OisCurve,R694,,AllTriggers)</f>
        <v>0.97646097278056732</v>
      </c>
      <c r="W694" s="33">
        <f t="shared" si="50"/>
        <v>7.3509714169377174E-3</v>
      </c>
      <c r="X694" s="35">
        <f t="shared" si="51"/>
        <v>4.0132064640834562E-4</v>
      </c>
      <c r="Y694" s="33">
        <f t="shared" si="52"/>
        <v>1.5909114257085391E-3</v>
      </c>
      <c r="Z694" s="54"/>
    </row>
    <row r="695" spans="15:26" x14ac:dyDescent="0.25">
      <c r="O695" s="37" t="s">
        <v>31</v>
      </c>
      <c r="P695" s="31">
        <f>_xll.qlCalendarAdvance(Calendar,P694,O694,"f",,Trigger)</f>
        <v>45547</v>
      </c>
      <c r="Q695" s="31">
        <f>_xll.qlInterestRateIndexValueDate(Index,P695,Trigger)</f>
        <v>45551</v>
      </c>
      <c r="R695" s="31">
        <f>_xll.qlInterestRateIndexMaturity(Index,Q695,Trigger)</f>
        <v>45642</v>
      </c>
      <c r="S695" s="32">
        <f>_xll.qlDayCounterYearFraction(DayCounter,Q695,R695,,,Trigger)</f>
        <v>0.25277777777777777</v>
      </c>
      <c r="T695" s="33">
        <f>_xll.qlIndexFixing(Index,P695,,AllTriggers)</f>
        <v>8.9498836864614177E-3</v>
      </c>
      <c r="U695" s="34">
        <f>_xll.qlYieldTSDiscount(OisCurve,Q695,,AllTriggers)</f>
        <v>0.97813708646778985</v>
      </c>
      <c r="V695" s="34">
        <f>_xll.qlYieldTSDiscount(OisCurve,R695,,AllTriggers)</f>
        <v>0.97631972676997425</v>
      </c>
      <c r="W695" s="33">
        <f t="shared" si="50"/>
        <v>7.3639348375015351E-3</v>
      </c>
      <c r="X695" s="35">
        <f t="shared" si="51"/>
        <v>4.0006773723118408E-4</v>
      </c>
      <c r="Y695" s="33">
        <f t="shared" si="52"/>
        <v>1.5859488489598826E-3</v>
      </c>
      <c r="Z695" s="54"/>
    </row>
    <row r="696" spans="15:26" x14ac:dyDescent="0.25">
      <c r="O696" s="37" t="s">
        <v>31</v>
      </c>
      <c r="P696" s="31">
        <f>_xll.qlCalendarAdvance(Calendar,P695,O695,"f",,Trigger)</f>
        <v>45554</v>
      </c>
      <c r="Q696" s="31">
        <f>_xll.qlInterestRateIndexValueDate(Index,P696,Trigger)</f>
        <v>45558</v>
      </c>
      <c r="R696" s="31">
        <f>_xll.qlInterestRateIndexMaturity(Index,Q696,Trigger)</f>
        <v>45649</v>
      </c>
      <c r="S696" s="32">
        <f>_xll.qlDayCounterYearFraction(DayCounter,Q696,R696,,,Trigger)</f>
        <v>0.25277777777777777</v>
      </c>
      <c r="T696" s="33">
        <f>_xll.qlIndexFixing(Index,P696,,AllTriggers)</f>
        <v>8.9580360069495442E-3</v>
      </c>
      <c r="U696" s="34">
        <f>_xll.qlYieldTSDiscount(OisCurve,Q696,,AllTriggers)</f>
        <v>0.97799859154270041</v>
      </c>
      <c r="V696" s="34">
        <f>_xll.qlYieldTSDiscount(OisCurve,R696,,AllTriggers)</f>
        <v>0.97617820809200151</v>
      </c>
      <c r="W696" s="33">
        <f t="shared" si="50"/>
        <v>7.3772564149892526E-3</v>
      </c>
      <c r="X696" s="35">
        <f t="shared" si="51"/>
        <v>3.9876267250919583E-4</v>
      </c>
      <c r="Y696" s="33">
        <f t="shared" si="52"/>
        <v>1.5807795919602916E-3</v>
      </c>
      <c r="Z696" s="54"/>
    </row>
    <row r="697" spans="15:26" x14ac:dyDescent="0.25">
      <c r="O697" s="37" t="s">
        <v>31</v>
      </c>
      <c r="P697" s="31">
        <f>_xll.qlCalendarAdvance(Calendar,P696,O696,"f",,Trigger)</f>
        <v>45561</v>
      </c>
      <c r="Q697" s="31">
        <f>_xll.qlInterestRateIndexValueDate(Index,P697,Trigger)</f>
        <v>45565</v>
      </c>
      <c r="R697" s="31">
        <f>_xll.qlInterestRateIndexMaturity(Index,Q697,Trigger)</f>
        <v>45657</v>
      </c>
      <c r="S697" s="32">
        <f>_xll.qlDayCounterYearFraction(DayCounter,Q697,R697,,,Trigger)</f>
        <v>0.25555555555555554</v>
      </c>
      <c r="T697" s="33">
        <f>_xll.qlIndexFixing(Index,P697,,AllTriggers)</f>
        <v>8.967073891229093E-3</v>
      </c>
      <c r="U697" s="34">
        <f>_xll.qlYieldTSDiscount(OisCurve,Q697,,AllTriggers)</f>
        <v>0.97785990418145974</v>
      </c>
      <c r="V697" s="34">
        <f>_xll.qlYieldTSDiscount(OisCurve,R697,,AllTriggers)</f>
        <v>0.9760161300392296</v>
      </c>
      <c r="W697" s="33">
        <f t="shared" si="50"/>
        <v>7.3920585537348834E-3</v>
      </c>
      <c r="X697" s="35">
        <f t="shared" si="51"/>
        <v>4.0166431258881977E-4</v>
      </c>
      <c r="Y697" s="33">
        <f t="shared" si="52"/>
        <v>1.5750153374942096E-3</v>
      </c>
      <c r="Z697" s="54"/>
    </row>
    <row r="698" spans="15:26" x14ac:dyDescent="0.25">
      <c r="O698" s="37" t="s">
        <v>31</v>
      </c>
      <c r="P698" s="31">
        <f>_xll.qlCalendarAdvance(Calendar,P697,O697,"f",,Trigger)</f>
        <v>45568</v>
      </c>
      <c r="Q698" s="31">
        <f>_xll.qlInterestRateIndexValueDate(Index,P698,Trigger)</f>
        <v>45572</v>
      </c>
      <c r="R698" s="31">
        <f>_xll.qlInterestRateIndexMaturity(Index,Q698,Trigger)</f>
        <v>45664</v>
      </c>
      <c r="S698" s="32">
        <f>_xll.qlDayCounterYearFraction(DayCounter,Q698,R698,,,Trigger)</f>
        <v>0.25555555555555554</v>
      </c>
      <c r="T698" s="33">
        <f>_xll.qlIndexFixing(Index,P698,,AllTriggers)</f>
        <v>8.9755401986068659E-3</v>
      </c>
      <c r="U698" s="34">
        <f>_xll.qlYieldTSDiscount(OisCurve,Q698,,AllTriggers)</f>
        <v>0.97772101767596997</v>
      </c>
      <c r="V698" s="34">
        <f>_xll.qlYieldTSDiscount(OisCurve,R698,,AllTriggers)</f>
        <v>0.97587400465512764</v>
      </c>
      <c r="W698" s="33">
        <f t="shared" si="50"/>
        <v>7.4061223282859022E-3</v>
      </c>
      <c r="X698" s="35">
        <f t="shared" si="51"/>
        <v>4.0023568279483102E-4</v>
      </c>
      <c r="Y698" s="33">
        <f t="shared" si="52"/>
        <v>1.5694178703209638E-3</v>
      </c>
      <c r="Z698" s="54"/>
    </row>
    <row r="699" spans="15:26" x14ac:dyDescent="0.25">
      <c r="O699" s="37" t="s">
        <v>31</v>
      </c>
      <c r="P699" s="31">
        <f>_xll.qlCalendarAdvance(Calendar,P698,O698,"f",,Trigger)</f>
        <v>45575</v>
      </c>
      <c r="Q699" s="31">
        <f>_xll.qlInterestRateIndexValueDate(Index,P699,Trigger)</f>
        <v>45579</v>
      </c>
      <c r="R699" s="31">
        <f>_xll.qlInterestRateIndexMaturity(Index,Q699,Trigger)</f>
        <v>45671</v>
      </c>
      <c r="S699" s="32">
        <f>_xll.qlDayCounterYearFraction(DayCounter,Q699,R699,,,Trigger)</f>
        <v>0.25555555555555554</v>
      </c>
      <c r="T699" s="33">
        <f>_xll.qlIndexFixing(Index,P699,,AllTriggers)</f>
        <v>8.9841579895581485E-3</v>
      </c>
      <c r="U699" s="34">
        <f>_xll.qlYieldTSDiscount(OisCurve,Q699,,AllTriggers)</f>
        <v>0.97758192532211319</v>
      </c>
      <c r="V699" s="34">
        <f>_xll.qlYieldTSDiscount(OisCurve,R699,,AllTriggers)</f>
        <v>0.97573158568844054</v>
      </c>
      <c r="W699" s="33">
        <f t="shared" si="50"/>
        <v>7.4205442790925323E-3</v>
      </c>
      <c r="X699" s="35">
        <f t="shared" si="51"/>
        <v>3.9875432431774163E-4</v>
      </c>
      <c r="Y699" s="33">
        <f t="shared" si="52"/>
        <v>1.5636137104656162E-3</v>
      </c>
      <c r="Z699" s="54"/>
    </row>
    <row r="700" spans="15:26" x14ac:dyDescent="0.25">
      <c r="O700" s="37" t="s">
        <v>31</v>
      </c>
      <c r="P700" s="31">
        <f>_xll.qlCalendarAdvance(Calendar,P699,O699,"f",,Trigger)</f>
        <v>45582</v>
      </c>
      <c r="Q700" s="31">
        <f>_xll.qlInterestRateIndexValueDate(Index,P700,Trigger)</f>
        <v>45586</v>
      </c>
      <c r="R700" s="31">
        <f>_xll.qlInterestRateIndexMaturity(Index,Q700,Trigger)</f>
        <v>45678</v>
      </c>
      <c r="S700" s="32">
        <f>_xll.qlDayCounterYearFraction(DayCounter,Q700,R700,,,Trigger)</f>
        <v>0.25555555555555554</v>
      </c>
      <c r="T700" s="33">
        <f>_xll.qlIndexFixing(Index,P700,,AllTriggers)</f>
        <v>8.9929272650821433E-3</v>
      </c>
      <c r="U700" s="34">
        <f>_xll.qlYieldTSDiscount(OisCurve,Q700,,AllTriggers)</f>
        <v>0.97744262041976471</v>
      </c>
      <c r="V700" s="34">
        <f>_xll.qlYieldTSDiscount(OisCurve,R700,,AllTriggers)</f>
        <v>0.97558886649304155</v>
      </c>
      <c r="W700" s="33">
        <f t="shared" si="50"/>
        <v>7.4353244101072642E-3</v>
      </c>
      <c r="X700" s="35">
        <f t="shared" si="51"/>
        <v>3.9722023715738829E-4</v>
      </c>
      <c r="Y700" s="33">
        <f t="shared" si="52"/>
        <v>1.557602854974879E-3</v>
      </c>
      <c r="Z700" s="54"/>
    </row>
    <row r="701" spans="15:26" x14ac:dyDescent="0.25">
      <c r="O701" s="37" t="s">
        <v>31</v>
      </c>
      <c r="P701" s="31">
        <f>_xll.qlCalendarAdvance(Calendar,P700,O700,"f",,Trigger)</f>
        <v>45589</v>
      </c>
      <c r="Q701" s="31">
        <f>_xll.qlInterestRateIndexValueDate(Index,P701,Trigger)</f>
        <v>45593</v>
      </c>
      <c r="R701" s="31">
        <f>_xll.qlInterestRateIndexMaturity(Index,Q701,Trigger)</f>
        <v>45685</v>
      </c>
      <c r="S701" s="32">
        <f>_xll.qlDayCounterYearFraction(DayCounter,Q701,R701,,,Trigger)</f>
        <v>0.25555555555555554</v>
      </c>
      <c r="T701" s="33">
        <f>_xll.qlIndexFixing(Index,P701,,AllTriggers)</f>
        <v>9.0018480261936911E-3</v>
      </c>
      <c r="U701" s="34">
        <f>_xll.qlYieldTSDiscount(OisCurve,Q701,,AllTriggers)</f>
        <v>0.97730309627280754</v>
      </c>
      <c r="V701" s="34">
        <f>_xll.qlYieldTSDiscount(OisCurve,R701,,AllTriggers)</f>
        <v>0.97544584042704341</v>
      </c>
      <c r="W701" s="33">
        <f t="shared" si="50"/>
        <v>7.4504627253807708E-3</v>
      </c>
      <c r="X701" s="35">
        <f t="shared" si="51"/>
        <v>3.9563342131370143E-4</v>
      </c>
      <c r="Y701" s="33">
        <f t="shared" si="52"/>
        <v>1.5513853008129203E-3</v>
      </c>
      <c r="Z701" s="54"/>
    </row>
    <row r="702" spans="15:26" x14ac:dyDescent="0.25">
      <c r="O702" s="37" t="s">
        <v>31</v>
      </c>
      <c r="P702" s="31">
        <f>_xll.qlCalendarAdvance(Calendar,P701,O701,"f",,Trigger)</f>
        <v>45596</v>
      </c>
      <c r="Q702" s="31">
        <f>_xll.qlInterestRateIndexValueDate(Index,P702,Trigger)</f>
        <v>45600</v>
      </c>
      <c r="R702" s="31">
        <f>_xll.qlInterestRateIndexMaturity(Index,Q702,Trigger)</f>
        <v>45692</v>
      </c>
      <c r="S702" s="32">
        <f>_xll.qlDayCounterYearFraction(DayCounter,Q702,R702,,,Trigger)</f>
        <v>0.25555555555555554</v>
      </c>
      <c r="T702" s="33">
        <f>_xll.qlIndexFixing(Index,P702,,AllTriggers)</f>
        <v>9.0109202739276154E-3</v>
      </c>
      <c r="U702" s="34">
        <f>_xll.qlYieldTSDiscount(OisCurve,Q702,,AllTriggers)</f>
        <v>0.97716334618914735</v>
      </c>
      <c r="V702" s="34">
        <f>_xll.qlYieldTSDiscount(OisCurve,R702,,AllTriggers)</f>
        <v>0.97530250085282</v>
      </c>
      <c r="W702" s="33">
        <f t="shared" si="50"/>
        <v>7.4659592290601704E-3</v>
      </c>
      <c r="X702" s="35">
        <f t="shared" si="51"/>
        <v>3.9399387678714986E-4</v>
      </c>
      <c r="Y702" s="33">
        <f t="shared" si="52"/>
        <v>1.5449610448674449E-3</v>
      </c>
      <c r="Z702" s="54"/>
    </row>
    <row r="703" spans="15:26" x14ac:dyDescent="0.25">
      <c r="O703" s="37" t="s">
        <v>31</v>
      </c>
      <c r="P703" s="31">
        <f>_xll.qlCalendarAdvance(Calendar,P702,O702,"f",,Trigger)</f>
        <v>45603</v>
      </c>
      <c r="Q703" s="31">
        <f>_xll.qlInterestRateIndexValueDate(Index,P703,Trigger)</f>
        <v>45607</v>
      </c>
      <c r="R703" s="31">
        <f>_xll.qlInterestRateIndexMaturity(Index,Q703,Trigger)</f>
        <v>45699</v>
      </c>
      <c r="S703" s="32">
        <f>_xll.qlDayCounterYearFraction(DayCounter,Q703,R703,,,Trigger)</f>
        <v>0.25555555555555554</v>
      </c>
      <c r="T703" s="33">
        <f>_xll.qlIndexFixing(Index,P703,,AllTriggers)</f>
        <v>9.0201440093335104E-3</v>
      </c>
      <c r="U703" s="34">
        <f>_xll.qlYieldTSDiscount(OisCurve,Q703,,AllTriggers)</f>
        <v>0.97702336348072816</v>
      </c>
      <c r="V703" s="34">
        <f>_xll.qlYieldTSDiscount(OisCurve,R703,,AllTriggers)</f>
        <v>0.97515884113702722</v>
      </c>
      <c r="W703" s="33">
        <f t="shared" si="50"/>
        <v>7.4818139253942364E-3</v>
      </c>
      <c r="X703" s="35">
        <f t="shared" si="51"/>
        <v>3.9230160357696479E-4</v>
      </c>
      <c r="Y703" s="33">
        <f t="shared" si="52"/>
        <v>1.538330083939274E-3</v>
      </c>
      <c r="Z703" s="54"/>
    </row>
    <row r="704" spans="15:26" x14ac:dyDescent="0.25">
      <c r="O704" s="37" t="s">
        <v>31</v>
      </c>
      <c r="P704" s="31">
        <f>_xll.qlCalendarAdvance(Calendar,P703,O703,"f",,Trigger)</f>
        <v>45610</v>
      </c>
      <c r="Q704" s="31">
        <f>_xll.qlInterestRateIndexValueDate(Index,P704,Trigger)</f>
        <v>45614</v>
      </c>
      <c r="R704" s="31">
        <f>_xll.qlInterestRateIndexMaturity(Index,Q704,Trigger)</f>
        <v>45706</v>
      </c>
      <c r="S704" s="32">
        <f>_xll.qlDayCounterYearFraction(DayCounter,Q704,R704,,,Trigger)</f>
        <v>0.25555555555555554</v>
      </c>
      <c r="T704" s="33">
        <f>_xll.qlIndexFixing(Index,P704,,AllTriggers)</f>
        <v>9.0295192334809583E-3</v>
      </c>
      <c r="U704" s="34">
        <f>_xll.qlYieldTSDiscount(OisCurve,Q704,,AllTriggers)</f>
        <v>0.97688314146354749</v>
      </c>
      <c r="V704" s="34">
        <f>_xll.qlYieldTSDiscount(OisCurve,R704,,AllTriggers)</f>
        <v>0.97501485465062465</v>
      </c>
      <c r="W704" s="33">
        <f t="shared" si="50"/>
        <v>7.4980268187281899E-3</v>
      </c>
      <c r="X704" s="35">
        <f t="shared" si="51"/>
        <v>3.905566016835814E-4</v>
      </c>
      <c r="Y704" s="33">
        <f t="shared" si="52"/>
        <v>1.5314924147527683E-3</v>
      </c>
      <c r="Z704" s="54"/>
    </row>
    <row r="705" spans="15:26" x14ac:dyDescent="0.25">
      <c r="O705" s="37" t="s">
        <v>31</v>
      </c>
      <c r="P705" s="31">
        <f>_xll.qlCalendarAdvance(Calendar,P704,O704,"f",,Trigger)</f>
        <v>45617</v>
      </c>
      <c r="Q705" s="31">
        <f>_xll.qlInterestRateIndexValueDate(Index,P705,Trigger)</f>
        <v>45621</v>
      </c>
      <c r="R705" s="31">
        <f>_xll.qlInterestRateIndexMaturity(Index,Q705,Trigger)</f>
        <v>45713</v>
      </c>
      <c r="S705" s="32">
        <f>_xll.qlDayCounterYearFraction(DayCounter,Q705,R705,,,Trigger)</f>
        <v>0.25555555555555554</v>
      </c>
      <c r="T705" s="33">
        <f>_xll.qlIndexFixing(Index,P705,,AllTriggers)</f>
        <v>9.0390459474551741E-3</v>
      </c>
      <c r="U705" s="34">
        <f>_xll.qlYieldTSDiscount(OisCurve,Q705,,AllTriggers)</f>
        <v>0.9767426734576734</v>
      </c>
      <c r="V705" s="34">
        <f>_xll.qlYieldTSDiscount(OisCurve,R705,,AllTriggers)</f>
        <v>0.9748705347688984</v>
      </c>
      <c r="W705" s="33">
        <f t="shared" si="50"/>
        <v>7.5145979135036959E-3</v>
      </c>
      <c r="X705" s="35">
        <f t="shared" si="51"/>
        <v>3.8875887110686357E-4</v>
      </c>
      <c r="Y705" s="33">
        <f t="shared" si="52"/>
        <v>1.5244480339514782E-3</v>
      </c>
      <c r="Z705" s="54"/>
    </row>
    <row r="706" spans="15:26" x14ac:dyDescent="0.25">
      <c r="O706" s="37" t="s">
        <v>31</v>
      </c>
      <c r="P706" s="31">
        <f>_xll.qlCalendarAdvance(Calendar,P705,O705,"f",,Trigger)</f>
        <v>45624</v>
      </c>
      <c r="Q706" s="31">
        <f>_xll.qlInterestRateIndexValueDate(Index,P706,Trigger)</f>
        <v>45628</v>
      </c>
      <c r="R706" s="31">
        <f>_xll.qlInterestRateIndexMaturity(Index,Q706,Trigger)</f>
        <v>45719</v>
      </c>
      <c r="S706" s="32">
        <f>_xll.qlDayCounterYearFraction(DayCounter,Q706,R706,,,Trigger)</f>
        <v>0.25277777777777777</v>
      </c>
      <c r="T706" s="33">
        <f>_xll.qlIndexFixing(Index,P706,,AllTriggers)</f>
        <v>9.0478906429951062E-3</v>
      </c>
      <c r="U706" s="34">
        <f>_xll.qlYieldTSDiscount(OisCurve,Q706,,AllTriggers)</f>
        <v>0.97660195278726047</v>
      </c>
      <c r="V706" s="34">
        <f>_xll.qlYieldTSDiscount(OisCurve,R706,,AllTriggers)</f>
        <v>0.97474656163920026</v>
      </c>
      <c r="W706" s="33">
        <f t="shared" si="50"/>
        <v>7.5301716633272529E-3</v>
      </c>
      <c r="X706" s="35">
        <f t="shared" si="51"/>
        <v>3.8284347029043784E-4</v>
      </c>
      <c r="Y706" s="33">
        <f t="shared" si="52"/>
        <v>1.5177189796678533E-3</v>
      </c>
      <c r="Z706" s="54"/>
    </row>
    <row r="707" spans="15:26" x14ac:dyDescent="0.25">
      <c r="O707" s="37" t="s">
        <v>31</v>
      </c>
      <c r="P707" s="31">
        <f>_xll.qlCalendarAdvance(Calendar,P706,O706,"f",,Trigger)</f>
        <v>45631</v>
      </c>
      <c r="Q707" s="31">
        <f>_xll.qlInterestRateIndexValueDate(Index,P707,Trigger)</f>
        <v>45635</v>
      </c>
      <c r="R707" s="31">
        <f>_xll.qlInterestRateIndexMaturity(Index,Q707,Trigger)</f>
        <v>45726</v>
      </c>
      <c r="S707" s="32">
        <f>_xll.qlDayCounterYearFraction(DayCounter,Q707,R707,,,Trigger)</f>
        <v>0.25277777777777777</v>
      </c>
      <c r="T707" s="33">
        <f>_xll.qlIndexFixing(Index,P707,,AllTriggers)</f>
        <v>9.0577092723692701E-3</v>
      </c>
      <c r="U707" s="34">
        <f>_xll.qlYieldTSDiscount(OisCurve,Q707,,AllTriggers)</f>
        <v>0.97646097278056732</v>
      </c>
      <c r="V707" s="34">
        <f>_xll.qlYieldTSDiscount(OisCurve,R707,,AllTriggers)</f>
        <v>0.97460160503380855</v>
      </c>
      <c r="W707" s="33">
        <f t="shared" si="50"/>
        <v>7.5474332267006505E-3</v>
      </c>
      <c r="X707" s="35">
        <f t="shared" si="51"/>
        <v>3.8096469456864649E-4</v>
      </c>
      <c r="Y707" s="33">
        <f t="shared" si="52"/>
        <v>1.5102760456686196E-3</v>
      </c>
      <c r="Z707" s="54"/>
    </row>
    <row r="708" spans="15:26" x14ac:dyDescent="0.25">
      <c r="O708" s="37" t="s">
        <v>31</v>
      </c>
      <c r="P708" s="31">
        <f>_xll.qlCalendarAdvance(Calendar,P707,O707,"f",,Trigger)</f>
        <v>45638</v>
      </c>
      <c r="Q708" s="31">
        <f>_xll.qlInterestRateIndexValueDate(Index,P708,Trigger)</f>
        <v>45642</v>
      </c>
      <c r="R708" s="31">
        <f>_xll.qlInterestRateIndexMaturity(Index,Q708,Trigger)</f>
        <v>45733</v>
      </c>
      <c r="S708" s="32">
        <f>_xll.qlDayCounterYearFraction(DayCounter,Q708,R708,,,Trigger)</f>
        <v>0.25277777777777777</v>
      </c>
      <c r="T708" s="33">
        <f>_xll.qlIndexFixing(Index,P708,,AllTriggers)</f>
        <v>9.0676793907757403E-3</v>
      </c>
      <c r="U708" s="34">
        <f>_xll.qlYieldTSDiscount(OisCurve,Q708,,AllTriggers)</f>
        <v>0.97631972676997425</v>
      </c>
      <c r="V708" s="34">
        <f>_xll.qlYieldTSDiscount(OisCurve,R708,,AllTriggers)</f>
        <v>0.97445629612938045</v>
      </c>
      <c r="W708" s="33">
        <f t="shared" ref="W708:W771" si="53">(U708/V708-1)/S708</f>
        <v>7.56505299674277E-3</v>
      </c>
      <c r="X708" s="35">
        <f t="shared" ref="X708:X771" si="54">LN((1+T708*S708)/(1+W708*S708))</f>
        <v>3.7903376330197515E-4</v>
      </c>
      <c r="Y708" s="33">
        <f t="shared" ref="Y708:Y771" si="55">T708-W708</f>
        <v>1.5026263940329703E-3</v>
      </c>
      <c r="Z708" s="54"/>
    </row>
    <row r="709" spans="15:26" x14ac:dyDescent="0.25">
      <c r="O709" s="37" t="s">
        <v>31</v>
      </c>
      <c r="P709" s="31">
        <f>_xll.qlCalendarAdvance(Calendar,P708,O708,"f",,Trigger)</f>
        <v>45645</v>
      </c>
      <c r="Q709" s="31">
        <f>_xll.qlInterestRateIndexValueDate(Index,P709,Trigger)</f>
        <v>45649</v>
      </c>
      <c r="R709" s="31">
        <f>_xll.qlInterestRateIndexMaturity(Index,Q709,Trigger)</f>
        <v>45740</v>
      </c>
      <c r="S709" s="32">
        <f>_xll.qlDayCounterYearFraction(DayCounter,Q709,R709,,,Trigger)</f>
        <v>0.25277777777777777</v>
      </c>
      <c r="T709" s="33">
        <f>_xll.qlIndexFixing(Index,P709,,AllTriggers)</f>
        <v>9.0778009993538258E-3</v>
      </c>
      <c r="U709" s="34">
        <f>_xll.qlYieldTSDiscount(OisCurve,Q709,,AllTriggers)</f>
        <v>0.97617820809200151</v>
      </c>
      <c r="V709" s="34">
        <f>_xll.qlYieldTSDiscount(OisCurve,R709,,AllTriggers)</f>
        <v>0.97431062831810455</v>
      </c>
      <c r="W709" s="33">
        <f t="shared" si="53"/>
        <v>7.5830309782304499E-3</v>
      </c>
      <c r="X709" s="35">
        <f t="shared" si="54"/>
        <v>3.7705067648950485E-4</v>
      </c>
      <c r="Y709" s="33">
        <f t="shared" si="55"/>
        <v>1.4947700211233759E-3</v>
      </c>
      <c r="Z709" s="54"/>
    </row>
    <row r="710" spans="15:26" x14ac:dyDescent="0.25">
      <c r="O710" s="37" t="s">
        <v>31</v>
      </c>
      <c r="P710" s="31">
        <f>_xll.qlCalendarAdvance(Calendar,P709,O709,"f",,Trigger)</f>
        <v>45653</v>
      </c>
      <c r="Q710" s="31">
        <f>_xll.qlInterestRateIndexValueDate(Index,P710,Trigger)</f>
        <v>45657</v>
      </c>
      <c r="R710" s="31">
        <f>_xll.qlInterestRateIndexMaturity(Index,Q710,Trigger)</f>
        <v>45747</v>
      </c>
      <c r="S710" s="32">
        <f>_xll.qlDayCounterYearFraction(DayCounter,Q710,R710,,,Trigger)</f>
        <v>0.25</v>
      </c>
      <c r="T710" s="33">
        <f>_xll.qlIndexFixing(Index,P710,,AllTriggers)</f>
        <v>9.0886757347288238E-3</v>
      </c>
      <c r="U710" s="34">
        <f>_xll.qlYieldTSDiscount(OisCurve,Q710,,AllTriggers)</f>
        <v>0.9760161300392296</v>
      </c>
      <c r="V710" s="34">
        <f>_xll.qlYieldTSDiscount(OisCurve,R710,,AllTriggers)</f>
        <v>0.97416459499661012</v>
      </c>
      <c r="W710" s="33">
        <f t="shared" si="53"/>
        <v>7.6025552648051331E-3</v>
      </c>
      <c r="X710" s="35">
        <f t="shared" si="54"/>
        <v>3.7075657378453028E-4</v>
      </c>
      <c r="Y710" s="33">
        <f t="shared" si="55"/>
        <v>1.4861204699236907E-3</v>
      </c>
      <c r="Z710" s="54"/>
    </row>
    <row r="711" spans="15:26" x14ac:dyDescent="0.25">
      <c r="O711" s="37" t="s">
        <v>31</v>
      </c>
      <c r="P711" s="31">
        <f>_xll.qlCalendarAdvance(Calendar,P710,O710,"f",,Trigger)</f>
        <v>45660</v>
      </c>
      <c r="Q711" s="31">
        <f>_xll.qlInterestRateIndexValueDate(Index,P711,Trigger)</f>
        <v>45664</v>
      </c>
      <c r="R711" s="31">
        <f>_xll.qlInterestRateIndexMaturity(Index,Q711,Trigger)</f>
        <v>45754</v>
      </c>
      <c r="S711" s="32">
        <f>_xll.qlDayCounterYearFraction(DayCounter,Q711,R711,,,Trigger)</f>
        <v>0.25</v>
      </c>
      <c r="T711" s="33">
        <f>_xll.qlIndexFixing(Index,P711,,AllTriggers)</f>
        <v>9.0991108847235935E-3</v>
      </c>
      <c r="U711" s="34">
        <f>_xll.qlYieldTSDiscount(OisCurve,Q711,,AllTriggers)</f>
        <v>0.97587400465512764</v>
      </c>
      <c r="V711" s="34">
        <f>_xll.qlYieldTSDiscount(OisCurve,R711,,AllTriggers)</f>
        <v>0.97401818956599162</v>
      </c>
      <c r="W711" s="33">
        <f t="shared" si="53"/>
        <v>7.6212748756283588E-3</v>
      </c>
      <c r="X711" s="35">
        <f t="shared" si="54"/>
        <v>3.6868842986222187E-4</v>
      </c>
      <c r="Y711" s="33">
        <f t="shared" si="55"/>
        <v>1.4778360090952347E-3</v>
      </c>
      <c r="Z711" s="54"/>
    </row>
    <row r="712" spans="15:26" x14ac:dyDescent="0.25">
      <c r="O712" s="37" t="s">
        <v>31</v>
      </c>
      <c r="P712" s="31">
        <f>_xll.qlCalendarAdvance(Calendar,P711,O711,"f",,Trigger)</f>
        <v>45667</v>
      </c>
      <c r="Q712" s="31">
        <f>_xll.qlInterestRateIndexValueDate(Index,P712,Trigger)</f>
        <v>45671</v>
      </c>
      <c r="R712" s="31">
        <f>_xll.qlInterestRateIndexMaturity(Index,Q712,Trigger)</f>
        <v>45761</v>
      </c>
      <c r="S712" s="32">
        <f>_xll.qlDayCounterYearFraction(DayCounter,Q712,R712,,,Trigger)</f>
        <v>0.25</v>
      </c>
      <c r="T712" s="33">
        <f>_xll.qlIndexFixing(Index,P712,,AllTriggers)</f>
        <v>9.1096975243774025E-3</v>
      </c>
      <c r="U712" s="34">
        <f>_xll.qlYieldTSDiscount(OisCurve,Q712,,AllTriggers)</f>
        <v>0.97573158568844054</v>
      </c>
      <c r="V712" s="34">
        <f>_xll.qlYieldTSDiscount(OisCurve,R712,,AllTriggers)</f>
        <v>0.97387140543183393</v>
      </c>
      <c r="W712" s="33">
        <f t="shared" si="53"/>
        <v>7.6403527046027264E-3</v>
      </c>
      <c r="X712" s="35">
        <f t="shared" si="54"/>
        <v>3.6656870353243777E-4</v>
      </c>
      <c r="Y712" s="33">
        <f t="shared" si="55"/>
        <v>1.4693448197746761E-3</v>
      </c>
      <c r="Z712" s="54"/>
    </row>
    <row r="713" spans="15:26" x14ac:dyDescent="0.25">
      <c r="O713" s="37" t="s">
        <v>31</v>
      </c>
      <c r="P713" s="31">
        <f>_xll.qlCalendarAdvance(Calendar,P712,O712,"f",,Trigger)</f>
        <v>45674</v>
      </c>
      <c r="Q713" s="31">
        <f>_xll.qlInterestRateIndexValueDate(Index,P713,Trigger)</f>
        <v>45678</v>
      </c>
      <c r="R713" s="31">
        <f>_xll.qlInterestRateIndexMaturity(Index,Q713,Trigger)</f>
        <v>45769</v>
      </c>
      <c r="S713" s="32">
        <f>_xll.qlDayCounterYearFraction(DayCounter,Q713,R713,,,Trigger)</f>
        <v>0.25277777777777777</v>
      </c>
      <c r="T713" s="33">
        <f>_xll.qlIndexFixing(Index,P713,,AllTriggers)</f>
        <v>9.1213472374365272E-3</v>
      </c>
      <c r="U713" s="34">
        <f>_xll.qlYieldTSDiscount(OisCurve,Q713,,AllTriggers)</f>
        <v>0.97558886649304155</v>
      </c>
      <c r="V713" s="34">
        <f>_xll.qlYieldTSDiscount(OisCurve,R713,,AllTriggers)</f>
        <v>0.97370317996372824</v>
      </c>
      <c r="W713" s="33">
        <f t="shared" si="53"/>
        <v>7.6613273436795656E-3</v>
      </c>
      <c r="X713" s="35">
        <f t="shared" si="54"/>
        <v>3.6827941490521875E-4</v>
      </c>
      <c r="Y713" s="33">
        <f t="shared" si="55"/>
        <v>1.4600198937569616E-3</v>
      </c>
      <c r="Z713" s="54"/>
    </row>
    <row r="714" spans="15:26" x14ac:dyDescent="0.25">
      <c r="O714" s="37" t="s">
        <v>31</v>
      </c>
      <c r="P714" s="31">
        <f>_xll.qlCalendarAdvance(Calendar,P713,O713,"f",,Trigger)</f>
        <v>45681</v>
      </c>
      <c r="Q714" s="31">
        <f>_xll.qlInterestRateIndexValueDate(Index,P714,Trigger)</f>
        <v>45685</v>
      </c>
      <c r="R714" s="31">
        <f>_xll.qlInterestRateIndexMaturity(Index,Q714,Trigger)</f>
        <v>45775</v>
      </c>
      <c r="S714" s="32">
        <f>_xll.qlDayCounterYearFraction(DayCounter,Q714,R714,,,Trigger)</f>
        <v>0.25</v>
      </c>
      <c r="T714" s="33">
        <f>_xll.qlIndexFixing(Index,P714,,AllTriggers)</f>
        <v>9.1313252774787301E-3</v>
      </c>
      <c r="U714" s="34">
        <f>_xll.qlYieldTSDiscount(OisCurve,Q714,,AllTriggers)</f>
        <v>0.97544584042704341</v>
      </c>
      <c r="V714" s="34">
        <f>_xll.qlYieldTSDiscount(OisCurve,R714,,AllTriggers)</f>
        <v>0.9735766746978497</v>
      </c>
      <c r="W714" s="33">
        <f t="shared" si="53"/>
        <v>7.6795830375608887E-3</v>
      </c>
      <c r="X714" s="35">
        <f t="shared" si="54"/>
        <v>3.6217450364976072E-4</v>
      </c>
      <c r="Y714" s="33">
        <f t="shared" si="55"/>
        <v>1.4517422399178415E-3</v>
      </c>
      <c r="Z714" s="54"/>
    </row>
    <row r="715" spans="15:26" x14ac:dyDescent="0.25">
      <c r="O715" s="37" t="s">
        <v>31</v>
      </c>
      <c r="P715" s="31">
        <f>_xll.qlCalendarAdvance(Calendar,P714,O714,"f",,Trigger)</f>
        <v>45688</v>
      </c>
      <c r="Q715" s="31">
        <f>_xll.qlInterestRateIndexValueDate(Index,P715,Trigger)</f>
        <v>45692</v>
      </c>
      <c r="R715" s="31">
        <f>_xll.qlInterestRateIndexMaturity(Index,Q715,Trigger)</f>
        <v>45782</v>
      </c>
      <c r="S715" s="32">
        <f>_xll.qlDayCounterYearFraction(DayCounter,Q715,R715,,,Trigger)</f>
        <v>0.25</v>
      </c>
      <c r="T715" s="33">
        <f>_xll.qlIndexFixing(Index,P715,,AllTriggers)</f>
        <v>9.1423646210460063E-3</v>
      </c>
      <c r="U715" s="34">
        <f>_xll.qlYieldTSDiscount(OisCurve,Q715,,AllTriggers)</f>
        <v>0.97530250085282</v>
      </c>
      <c r="V715" s="34">
        <f>_xll.qlYieldTSDiscount(OisCurve,R715,,AllTriggers)</f>
        <v>0.97342871678670451</v>
      </c>
      <c r="W715" s="33">
        <f t="shared" si="53"/>
        <v>7.6997279155719411E-3</v>
      </c>
      <c r="X715" s="35">
        <f t="shared" si="54"/>
        <v>3.5990149347944441E-4</v>
      </c>
      <c r="Y715" s="33">
        <f t="shared" si="55"/>
        <v>1.4426367054740652E-3</v>
      </c>
      <c r="Z715" s="54"/>
    </row>
    <row r="716" spans="15:26" x14ac:dyDescent="0.25">
      <c r="O716" s="37" t="s">
        <v>31</v>
      </c>
      <c r="P716" s="31">
        <f>_xll.qlCalendarAdvance(Calendar,P715,O715,"f",,Trigger)</f>
        <v>45695</v>
      </c>
      <c r="Q716" s="31">
        <f>_xll.qlInterestRateIndexValueDate(Index,P716,Trigger)</f>
        <v>45699</v>
      </c>
      <c r="R716" s="31">
        <f>_xll.qlInterestRateIndexMaturity(Index,Q716,Trigger)</f>
        <v>45789</v>
      </c>
      <c r="S716" s="32">
        <f>_xll.qlDayCounterYearFraction(DayCounter,Q716,R716,,,Trigger)</f>
        <v>0.25</v>
      </c>
      <c r="T716" s="33">
        <f>_xll.qlIndexFixing(Index,P716,,AllTriggers)</f>
        <v>9.1535409768743747E-3</v>
      </c>
      <c r="U716" s="34">
        <f>_xll.qlYieldTSDiscount(OisCurve,Q716,,AllTriggers)</f>
        <v>0.97515884113702722</v>
      </c>
      <c r="V716" s="34">
        <f>_xll.qlYieldTSDiscount(OisCurve,R716,,AllTriggers)</f>
        <v>0.97328036899323367</v>
      </c>
      <c r="W716" s="33">
        <f t="shared" si="53"/>
        <v>7.7201686323400409E-3</v>
      </c>
      <c r="X716" s="35">
        <f t="shared" si="54"/>
        <v>3.5758885863190732E-4</v>
      </c>
      <c r="Y716" s="33">
        <f t="shared" si="55"/>
        <v>1.4333723445343338E-3</v>
      </c>
      <c r="Z716" s="54"/>
    </row>
    <row r="717" spans="15:26" x14ac:dyDescent="0.25">
      <c r="O717" s="37" t="s">
        <v>31</v>
      </c>
      <c r="P717" s="31">
        <f>_xll.qlCalendarAdvance(Calendar,P716,O716,"f",,Trigger)</f>
        <v>45702</v>
      </c>
      <c r="Q717" s="31">
        <f>_xll.qlInterestRateIndexValueDate(Index,P717,Trigger)</f>
        <v>45706</v>
      </c>
      <c r="R717" s="31">
        <f>_xll.qlInterestRateIndexMaturity(Index,Q717,Trigger)</f>
        <v>45796</v>
      </c>
      <c r="S717" s="32">
        <f>_xll.qlDayCounterYearFraction(DayCounter,Q717,R717,,,Trigger)</f>
        <v>0.25</v>
      </c>
      <c r="T717" s="33">
        <f>_xll.qlIndexFixing(Index,P717,,AllTriggers)</f>
        <v>9.1648374678303668E-3</v>
      </c>
      <c r="U717" s="34">
        <f>_xll.qlYieldTSDiscount(OisCurve,Q717,,AllTriggers)</f>
        <v>0.97501485465062465</v>
      </c>
      <c r="V717" s="34">
        <f>_xll.qlYieldTSDiscount(OisCurve,R717,,AllTriggers)</f>
        <v>0.97313164239729733</v>
      </c>
      <c r="W717" s="33">
        <f t="shared" si="53"/>
        <v>7.7408324682073371E-3</v>
      </c>
      <c r="X717" s="35">
        <f t="shared" si="54"/>
        <v>3.5525053511342979E-4</v>
      </c>
      <c r="Y717" s="33">
        <f t="shared" si="55"/>
        <v>1.4240049996230297E-3</v>
      </c>
      <c r="Z717" s="54"/>
    </row>
    <row r="718" spans="15:26" x14ac:dyDescent="0.25">
      <c r="O718" s="37" t="s">
        <v>31</v>
      </c>
      <c r="P718" s="31">
        <f>_xll.qlCalendarAdvance(Calendar,P717,O717,"f",,Trigger)</f>
        <v>45709</v>
      </c>
      <c r="Q718" s="31">
        <f>_xll.qlInterestRateIndexValueDate(Index,P718,Trigger)</f>
        <v>45713</v>
      </c>
      <c r="R718" s="31">
        <f>_xll.qlInterestRateIndexMaturity(Index,Q718,Trigger)</f>
        <v>45803</v>
      </c>
      <c r="S718" s="32">
        <f>_xll.qlDayCounterYearFraction(DayCounter,Q718,R718,,,Trigger)</f>
        <v>0.25</v>
      </c>
      <c r="T718" s="33">
        <f>_xll.qlIndexFixing(Index,P718,,AllTriggers)</f>
        <v>9.1762372084005506E-3</v>
      </c>
      <c r="U718" s="34">
        <f>_xll.qlYieldTSDiscount(OisCurve,Q718,,AllTriggers)</f>
        <v>0.9748705347688984</v>
      </c>
      <c r="V718" s="34">
        <f>_xll.qlYieldTSDiscount(OisCurve,R718,,AllTriggers)</f>
        <v>0.9729825480811285</v>
      </c>
      <c r="W718" s="33">
        <f t="shared" si="53"/>
        <v>7.7616466667089767E-3</v>
      </c>
      <c r="X718" s="35">
        <f t="shared" si="54"/>
        <v>3.5290046570475271E-4</v>
      </c>
      <c r="Y718" s="33">
        <f t="shared" si="55"/>
        <v>1.4145905416915738E-3</v>
      </c>
      <c r="Z718" s="54"/>
    </row>
    <row r="719" spans="15:26" x14ac:dyDescent="0.25">
      <c r="O719" s="37" t="s">
        <v>31</v>
      </c>
      <c r="P719" s="31">
        <f>_xll.qlCalendarAdvance(Calendar,P718,O718,"f",,Trigger)</f>
        <v>45716</v>
      </c>
      <c r="Q719" s="31">
        <f>_xll.qlInterestRateIndexValueDate(Index,P719,Trigger)</f>
        <v>45720</v>
      </c>
      <c r="R719" s="31">
        <f>_xll.qlInterestRateIndexMaturity(Index,Q719,Trigger)</f>
        <v>45812</v>
      </c>
      <c r="S719" s="32">
        <f>_xll.qlDayCounterYearFraction(DayCounter,Q719,R719,,,Trigger)</f>
        <v>0.25555555555555554</v>
      </c>
      <c r="T719" s="33">
        <f>_xll.qlIndexFixing(Index,P719,,AllTriggers)</f>
        <v>9.1896288245505737E-3</v>
      </c>
      <c r="U719" s="34">
        <f>_xll.qlYieldTSDiscount(OisCurve,Q719,,AllTriggers)</f>
        <v>0.97472587487148299</v>
      </c>
      <c r="V719" s="34">
        <f>_xll.qlYieldTSDiscount(OisCurve,R719,,AllTriggers)</f>
        <v>0.97279033288947436</v>
      </c>
      <c r="W719" s="33">
        <f t="shared" si="53"/>
        <v>7.78570640921408E-3</v>
      </c>
      <c r="X719" s="35">
        <f t="shared" si="54"/>
        <v>3.5800364146207163E-4</v>
      </c>
      <c r="Y719" s="33">
        <f t="shared" si="55"/>
        <v>1.4039224153364937E-3</v>
      </c>
      <c r="Z719" s="54"/>
    </row>
    <row r="720" spans="15:26" x14ac:dyDescent="0.25">
      <c r="O720" s="37" t="s">
        <v>31</v>
      </c>
      <c r="P720" s="31">
        <f>_xll.qlCalendarAdvance(Calendar,P719,O719,"f",,Trigger)</f>
        <v>45723</v>
      </c>
      <c r="Q720" s="31">
        <f>_xll.qlInterestRateIndexValueDate(Index,P720,Trigger)</f>
        <v>45727</v>
      </c>
      <c r="R720" s="31">
        <f>_xll.qlInterestRateIndexMaturity(Index,Q720,Trigger)</f>
        <v>45819</v>
      </c>
      <c r="S720" s="32">
        <f>_xll.qlDayCounterYearFraction(DayCounter,Q720,R720,,,Trigger)</f>
        <v>0.25555555555555554</v>
      </c>
      <c r="T720" s="33">
        <f>_xll.qlIndexFixing(Index,P720,,AllTriggers)</f>
        <v>9.2011859633096167E-3</v>
      </c>
      <c r="U720" s="34">
        <f>_xll.qlYieldTSDiscount(OisCurve,Q720,,AllTriggers)</f>
        <v>0.974580868342385</v>
      </c>
      <c r="V720" s="34">
        <f>_xll.qlYieldTSDiscount(OisCurve,R720,,AllTriggers)</f>
        <v>0.97264043965119273</v>
      </c>
      <c r="W720" s="33">
        <f t="shared" si="53"/>
        <v>7.8065660500634976E-3</v>
      </c>
      <c r="X720" s="35">
        <f t="shared" si="54"/>
        <v>3.5563001079836612E-4</v>
      </c>
      <c r="Y720" s="33">
        <f t="shared" si="55"/>
        <v>1.3946199132461191E-3</v>
      </c>
      <c r="Z720" s="54"/>
    </row>
    <row r="721" spans="15:26" x14ac:dyDescent="0.25">
      <c r="O721" s="37" t="s">
        <v>31</v>
      </c>
      <c r="P721" s="31">
        <f>_xll.qlCalendarAdvance(Calendar,P720,O720,"f",,Trigger)</f>
        <v>45730</v>
      </c>
      <c r="Q721" s="31">
        <f>_xll.qlInterestRateIndexValueDate(Index,P721,Trigger)</f>
        <v>45734</v>
      </c>
      <c r="R721" s="31">
        <f>_xll.qlInterestRateIndexMaturity(Index,Q721,Trigger)</f>
        <v>45826</v>
      </c>
      <c r="S721" s="32">
        <f>_xll.qlDayCounterYearFraction(DayCounter,Q721,R721,,,Trigger)</f>
        <v>0.25555555555555554</v>
      </c>
      <c r="T721" s="33">
        <f>_xll.qlIndexFixing(Index,P721,,AllTriggers)</f>
        <v>9.2127931276366967E-3</v>
      </c>
      <c r="U721" s="34">
        <f>_xll.qlYieldTSDiscount(OisCurve,Q721,,AllTriggers)</f>
        <v>0.9744355085700066</v>
      </c>
      <c r="V721" s="34">
        <f>_xll.qlYieldTSDiscount(OisCurve,R721,,AllTriggers)</f>
        <v>0.97249021506145206</v>
      </c>
      <c r="W721" s="33">
        <f t="shared" si="53"/>
        <v>7.8273467013458553E-3</v>
      </c>
      <c r="X721" s="35">
        <f t="shared" si="54"/>
        <v>3.5328929996451363E-4</v>
      </c>
      <c r="Y721" s="33">
        <f t="shared" si="55"/>
        <v>1.3854464262908414E-3</v>
      </c>
      <c r="Z721" s="54"/>
    </row>
    <row r="722" spans="15:26" x14ac:dyDescent="0.25">
      <c r="O722" s="37" t="s">
        <v>31</v>
      </c>
      <c r="P722" s="31">
        <f>_xll.qlCalendarAdvance(Calendar,P721,O721,"f",,Trigger)</f>
        <v>45737</v>
      </c>
      <c r="Q722" s="31">
        <f>_xll.qlInterestRateIndexValueDate(Index,P722,Trigger)</f>
        <v>45741</v>
      </c>
      <c r="R722" s="31">
        <f>_xll.qlInterestRateIndexMaturity(Index,Q722,Trigger)</f>
        <v>45833</v>
      </c>
      <c r="S722" s="32">
        <f>_xll.qlDayCounterYearFraction(DayCounter,Q722,R722,,,Trigger)</f>
        <v>0.25555555555555554</v>
      </c>
      <c r="T722" s="33">
        <f>_xll.qlIndexFixing(Index,P722,,AllTriggers)</f>
        <v>9.2244337975003806E-3</v>
      </c>
      <c r="U722" s="34">
        <f>_xll.qlYieldTSDiscount(OisCurve,Q722,,AllTriggers)</f>
        <v>0.97428978894716933</v>
      </c>
      <c r="V722" s="34">
        <f>_xll.qlYieldTSDiscount(OisCurve,R722,,AllTriggers)</f>
        <v>0.97233967017538492</v>
      </c>
      <c r="W722" s="33">
        <f t="shared" si="53"/>
        <v>7.8479771789920771E-3</v>
      </c>
      <c r="X722" s="35">
        <f t="shared" si="54"/>
        <v>3.509954517419166E-4</v>
      </c>
      <c r="Y722" s="33">
        <f t="shared" si="55"/>
        <v>1.3764566185083035E-3</v>
      </c>
      <c r="Z722" s="54"/>
    </row>
    <row r="723" spans="15:26" x14ac:dyDescent="0.25">
      <c r="O723" s="37" t="s">
        <v>31</v>
      </c>
      <c r="P723" s="31">
        <f>_xll.qlCalendarAdvance(Calendar,P722,O722,"f",,Trigger)</f>
        <v>45744</v>
      </c>
      <c r="Q723" s="31">
        <f>_xll.qlInterestRateIndexValueDate(Index,P723,Trigger)</f>
        <v>45748</v>
      </c>
      <c r="R723" s="31">
        <f>_xll.qlInterestRateIndexMaturity(Index,Q723,Trigger)</f>
        <v>45839</v>
      </c>
      <c r="S723" s="32">
        <f>_xll.qlDayCounterYearFraction(DayCounter,Q723,R723,,,Trigger)</f>
        <v>0.25277777777777777</v>
      </c>
      <c r="T723" s="33">
        <f>_xll.qlIndexFixing(Index,P723,,AllTriggers)</f>
        <v>9.2351427304510625E-3</v>
      </c>
      <c r="U723" s="34">
        <f>_xll.qlYieldTSDiscount(OisCurve,Q723,,AllTriggers)</f>
        <v>0.97414370287113872</v>
      </c>
      <c r="V723" s="34">
        <f>_xll.qlYieldTSDiscount(OisCurve,R723,,AllTriggers)</f>
        <v>0.97221038514717206</v>
      </c>
      <c r="W723" s="33">
        <f t="shared" si="53"/>
        <v>7.8669082472856214E-3</v>
      </c>
      <c r="X723" s="35">
        <f t="shared" si="54"/>
        <v>3.4511330996443609E-4</v>
      </c>
      <c r="Y723" s="33">
        <f t="shared" si="55"/>
        <v>1.3682344831654411E-3</v>
      </c>
      <c r="Z723" s="54"/>
    </row>
    <row r="724" spans="15:26" x14ac:dyDescent="0.25">
      <c r="O724" s="37" t="s">
        <v>31</v>
      </c>
      <c r="P724" s="31">
        <f>_xll.qlCalendarAdvance(Calendar,P723,O723,"f",,Trigger)</f>
        <v>45751</v>
      </c>
      <c r="Q724" s="31">
        <f>_xll.qlInterestRateIndexValueDate(Index,P724,Trigger)</f>
        <v>45755</v>
      </c>
      <c r="R724" s="31">
        <f>_xll.qlInterestRateIndexMaturity(Index,Q724,Trigger)</f>
        <v>45846</v>
      </c>
      <c r="S724" s="32">
        <f>_xll.qlDayCounterYearFraction(DayCounter,Q724,R724,,,Trigger)</f>
        <v>0.25277777777777777</v>
      </c>
      <c r="T724" s="33">
        <f>_xll.qlIndexFixing(Index,P724,,AllTriggers)</f>
        <v>9.2468041189555684E-3</v>
      </c>
      <c r="U724" s="34">
        <f>_xll.qlYieldTSDiscount(OisCurve,Q724,,AllTriggers)</f>
        <v>0.97399724374364927</v>
      </c>
      <c r="V724" s="34">
        <f>_xll.qlYieldTSDiscount(OisCurve,R724,,AllTriggers)</f>
        <v>0.97205927473307208</v>
      </c>
      <c r="W724" s="33">
        <f t="shared" si="53"/>
        <v>7.8870607899909888E-3</v>
      </c>
      <c r="X724" s="35">
        <f t="shared" si="54"/>
        <v>3.4297018813079383E-4</v>
      </c>
      <c r="Y724" s="33">
        <f t="shared" si="55"/>
        <v>1.3597433289645796E-3</v>
      </c>
      <c r="Z724" s="54"/>
    </row>
    <row r="725" spans="15:26" x14ac:dyDescent="0.25">
      <c r="O725" s="37" t="s">
        <v>31</v>
      </c>
      <c r="P725" s="31">
        <f>_xll.qlCalendarAdvance(Calendar,P724,O724,"f",,Trigger)</f>
        <v>45758</v>
      </c>
      <c r="Q725" s="31">
        <f>_xll.qlInterestRateIndexValueDate(Index,P725,Trigger)</f>
        <v>45762</v>
      </c>
      <c r="R725" s="31">
        <f>_xll.qlInterestRateIndexMaturity(Index,Q725,Trigger)</f>
        <v>45853</v>
      </c>
      <c r="S725" s="32">
        <f>_xll.qlDayCounterYearFraction(DayCounter,Q725,R725,,,Trigger)</f>
        <v>0.25277777777777777</v>
      </c>
      <c r="T725" s="33">
        <f>_xll.qlIndexFixing(Index,P725,,AllTriggers)</f>
        <v>9.2584499964135612E-3</v>
      </c>
      <c r="U725" s="34">
        <f>_xll.qlYieldTSDiscount(OisCurve,Q725,,AllTriggers)</f>
        <v>0.97385040497092956</v>
      </c>
      <c r="V725" s="34">
        <f>_xll.qlYieldTSDiscount(OisCurve,R725,,AllTriggers)</f>
        <v>0.97190787557321745</v>
      </c>
      <c r="W725" s="33">
        <f t="shared" si="53"/>
        <v>7.9068519521199049E-3</v>
      </c>
      <c r="X725" s="35">
        <f t="shared" si="54"/>
        <v>3.4091433856380188E-4</v>
      </c>
      <c r="Y725" s="33">
        <f t="shared" si="55"/>
        <v>1.3515980442936563E-3</v>
      </c>
      <c r="Z725" s="54"/>
    </row>
    <row r="726" spans="15:26" x14ac:dyDescent="0.25">
      <c r="O726" s="37" t="s">
        <v>31</v>
      </c>
      <c r="P726" s="31">
        <f>_xll.qlCalendarAdvance(Calendar,P725,O725,"f",,Trigger)</f>
        <v>45769</v>
      </c>
      <c r="Q726" s="31">
        <f>_xll.qlInterestRateIndexValueDate(Index,P726,Trigger)</f>
        <v>45771</v>
      </c>
      <c r="R726" s="31">
        <f>_xll.qlInterestRateIndexMaturity(Index,Q726,Trigger)</f>
        <v>45862</v>
      </c>
      <c r="S726" s="32">
        <f>_xll.qlDayCounterYearFraction(DayCounter,Q726,R726,,,Trigger)</f>
        <v>0.25277777777777777</v>
      </c>
      <c r="T726" s="33">
        <f>_xll.qlIndexFixing(Index,P726,,AllTriggers)</f>
        <v>9.2733735967716838E-3</v>
      </c>
      <c r="U726" s="34">
        <f>_xll.qlYieldTSDiscount(OisCurve,Q726,,AllTriggers)</f>
        <v>0.9736610438133404</v>
      </c>
      <c r="V726" s="34">
        <f>_xll.qlYieldTSDiscount(OisCurve,R726,,AllTriggers)</f>
        <v>0.97171281298148104</v>
      </c>
      <c r="W726" s="33">
        <f t="shared" si="53"/>
        <v>7.9316508997221511E-3</v>
      </c>
      <c r="X726" s="35">
        <f t="shared" si="54"/>
        <v>3.3842177873494333E-4</v>
      </c>
      <c r="Y726" s="33">
        <f t="shared" si="55"/>
        <v>1.3417226970495327E-3</v>
      </c>
      <c r="Z726" s="54"/>
    </row>
    <row r="727" spans="15:26" x14ac:dyDescent="0.25">
      <c r="O727" s="37" t="s">
        <v>31</v>
      </c>
      <c r="P727" s="31">
        <f>_xll.qlCalendarAdvance(Calendar,P726,O726,"f",,Trigger)</f>
        <v>45776</v>
      </c>
      <c r="Q727" s="31">
        <f>_xll.qlInterestRateIndexValueDate(Index,P727,Trigger)</f>
        <v>45779</v>
      </c>
      <c r="R727" s="31">
        <f>_xll.qlInterestRateIndexMaturity(Index,Q727,Trigger)</f>
        <v>45873</v>
      </c>
      <c r="S727" s="32">
        <f>_xll.qlDayCounterYearFraction(DayCounter,Q727,R727,,,Trigger)</f>
        <v>0.26111111111111113</v>
      </c>
      <c r="T727" s="33">
        <f>_xll.qlIndexFixing(Index,P727,,AllTriggers)</f>
        <v>9.2893582994389434E-3</v>
      </c>
      <c r="U727" s="34">
        <f>_xll.qlYieldTSDiscount(OisCurve,Q727,,AllTriggers)</f>
        <v>0.9734921757048921</v>
      </c>
      <c r="V727" s="34">
        <f>_xll.qlYieldTSDiscount(OisCurve,R727,,AllTriggers)</f>
        <v>0.97147381387304066</v>
      </c>
      <c r="W727" s="33">
        <f t="shared" si="53"/>
        <v>7.9568756943498263E-3</v>
      </c>
      <c r="X727" s="35">
        <f t="shared" si="54"/>
        <v>3.4714438963237538E-4</v>
      </c>
      <c r="Y727" s="33">
        <f t="shared" si="55"/>
        <v>1.3324826050891171E-3</v>
      </c>
      <c r="Z727" s="54"/>
    </row>
    <row r="728" spans="15:26" x14ac:dyDescent="0.25">
      <c r="O728" s="37" t="s">
        <v>19</v>
      </c>
      <c r="P728" s="31">
        <f>_xll.qlCalendarAdvance(Calendar,P727,O727,"f",,Trigger)</f>
        <v>45783</v>
      </c>
      <c r="Q728" s="31">
        <f>_xll.qlInterestRateIndexValueDate(Index,P728,Trigger)</f>
        <v>45785</v>
      </c>
      <c r="R728" s="31">
        <f>_xll.qlInterestRateIndexMaturity(Index,Q728,Trigger)</f>
        <v>45877</v>
      </c>
      <c r="S728" s="32">
        <f>_xll.qlDayCounterYearFraction(DayCounter,Q728,R728,,,Trigger)</f>
        <v>0.25555555555555554</v>
      </c>
      <c r="T728" s="33">
        <f>_xll.qlIndexFixing(Index,P728,,AllTriggers)</f>
        <v>9.2973319946634478E-3</v>
      </c>
      <c r="U728" s="34">
        <f>_xll.qlYieldTSDiscount(OisCurve,Q728,,AllTriggers)</f>
        <v>0.97336518625597723</v>
      </c>
      <c r="V728" s="34">
        <f>_xll.qlYieldTSDiscount(OisCurve,R728,,AllTriggers)</f>
        <v>0.9713867521021039</v>
      </c>
      <c r="W728" s="33">
        <f t="shared" si="53"/>
        <v>7.9697389801016896E-3</v>
      </c>
      <c r="X728" s="35">
        <f t="shared" si="54"/>
        <v>3.3852686556961595E-4</v>
      </c>
      <c r="Y728" s="33">
        <f t="shared" si="55"/>
        <v>1.3275930145617582E-3</v>
      </c>
      <c r="Z728" s="54"/>
    </row>
    <row r="729" spans="15:26" x14ac:dyDescent="0.25">
      <c r="O729" s="37" t="s">
        <v>19</v>
      </c>
      <c r="P729" s="31">
        <f>_xll.qlCalendarAdvance(Calendar,P728,O728,"f",,Trigger)</f>
        <v>45814</v>
      </c>
      <c r="Q729" s="31">
        <f>_xll.qlInterestRateIndexValueDate(Index,P729,Trigger)</f>
        <v>45818</v>
      </c>
      <c r="R729" s="31">
        <f>_xll.qlInterestRateIndexMaturity(Index,Q729,Trigger)</f>
        <v>45910</v>
      </c>
      <c r="S729" s="32">
        <f>_xll.qlDayCounterYearFraction(DayCounter,Q729,R729,,,Trigger)</f>
        <v>0.25555555555555554</v>
      </c>
      <c r="T729" s="33">
        <f>_xll.qlIndexFixing(Index,P729,,AllTriggers)</f>
        <v>9.3505623635735339E-3</v>
      </c>
      <c r="U729" s="34">
        <f>_xll.qlYieldTSDiscount(OisCurve,Q729,,AllTriggers)</f>
        <v>0.97266187351569688</v>
      </c>
      <c r="V729" s="34">
        <f>_xll.qlYieldTSDiscount(OisCurve,R729,,AllTriggers)</f>
        <v>0.97066569214072562</v>
      </c>
      <c r="W729" s="33">
        <f t="shared" si="53"/>
        <v>8.047203660335565E-3</v>
      </c>
      <c r="X729" s="35">
        <f t="shared" si="54"/>
        <v>3.3234174893916497E-4</v>
      </c>
      <c r="Y729" s="33">
        <f t="shared" si="55"/>
        <v>1.3033587032379688E-3</v>
      </c>
      <c r="Z729" s="54"/>
    </row>
    <row r="730" spans="15:26" x14ac:dyDescent="0.25">
      <c r="O730" s="37" t="s">
        <v>19</v>
      </c>
      <c r="P730" s="31">
        <f>_xll.qlCalendarAdvance(Calendar,P729,O729,"f",,Trigger)</f>
        <v>45845</v>
      </c>
      <c r="Q730" s="31">
        <f>_xll.qlInterestRateIndexValueDate(Index,P730,Trigger)</f>
        <v>45847</v>
      </c>
      <c r="R730" s="31">
        <f>_xll.qlInterestRateIndexMaturity(Index,Q730,Trigger)</f>
        <v>45939</v>
      </c>
      <c r="S730" s="32">
        <f>_xll.qlDayCounterYearFraction(DayCounter,Q730,R730,,,Trigger)</f>
        <v>0.25555555555555554</v>
      </c>
      <c r="T730" s="33">
        <f>_xll.qlIndexFixing(Index,P730,,AllTriggers)</f>
        <v>9.3961366029715141E-3</v>
      </c>
      <c r="U730" s="34">
        <f>_xll.qlYieldTSDiscount(OisCurve,Q730,,AllTriggers)</f>
        <v>0.97203766370264177</v>
      </c>
      <c r="V730" s="34">
        <f>_xll.qlYieldTSDiscount(OisCurve,R730,,AllTriggers)</f>
        <v>0.97002854295962215</v>
      </c>
      <c r="W730" s="33">
        <f t="shared" si="53"/>
        <v>8.1046860709113721E-3</v>
      </c>
      <c r="X730" s="35">
        <f t="shared" si="54"/>
        <v>3.2930097299498811E-4</v>
      </c>
      <c r="Y730" s="33">
        <f t="shared" si="55"/>
        <v>1.291450532060142E-3</v>
      </c>
      <c r="Z730" s="54"/>
    </row>
    <row r="731" spans="15:26" x14ac:dyDescent="0.25">
      <c r="O731" s="37" t="s">
        <v>19</v>
      </c>
      <c r="P731" s="31">
        <f>_xll.qlCalendarAdvance(Calendar,P730,O730,"f",,Trigger)</f>
        <v>45876</v>
      </c>
      <c r="Q731" s="31">
        <f>_xll.qlInterestRateIndexValueDate(Index,P731,Trigger)</f>
        <v>45880</v>
      </c>
      <c r="R731" s="31">
        <f>_xll.qlInterestRateIndexMaturity(Index,Q731,Trigger)</f>
        <v>45972</v>
      </c>
      <c r="S731" s="32">
        <f>_xll.qlDayCounterYearFraction(DayCounter,Q731,R731,,,Trigger)</f>
        <v>0.25555555555555554</v>
      </c>
      <c r="T731" s="33">
        <f>_xll.qlIndexFixing(Index,P731,,AllTriggers)</f>
        <v>9.4466268646682984E-3</v>
      </c>
      <c r="U731" s="34">
        <f>_xll.qlYieldTSDiscount(OisCurve,Q731,,AllTriggers)</f>
        <v>0.97132140424430502</v>
      </c>
      <c r="V731" s="34">
        <f>_xll.qlYieldTSDiscount(OisCurve,R731,,AllTriggers)</f>
        <v>0.96930057425279936</v>
      </c>
      <c r="W731" s="33">
        <f t="shared" si="53"/>
        <v>8.158042849640593E-3</v>
      </c>
      <c r="X731" s="35">
        <f t="shared" si="54"/>
        <v>3.2856570299375236E-4</v>
      </c>
      <c r="Y731" s="33">
        <f t="shared" si="55"/>
        <v>1.2885840150277054E-3</v>
      </c>
      <c r="Z731" s="54"/>
    </row>
    <row r="732" spans="15:26" x14ac:dyDescent="0.25">
      <c r="O732" s="37" t="s">
        <v>19</v>
      </c>
      <c r="P732" s="31">
        <f>_xll.qlCalendarAdvance(Calendar,P731,O731,"f",,Trigger)</f>
        <v>45908</v>
      </c>
      <c r="Q732" s="31">
        <f>_xll.qlInterestRateIndexValueDate(Index,P732,Trigger)</f>
        <v>45910</v>
      </c>
      <c r="R732" s="31">
        <f>_xll.qlInterestRateIndexMaturity(Index,Q732,Trigger)</f>
        <v>46001</v>
      </c>
      <c r="S732" s="32">
        <f>_xll.qlDayCounterYearFraction(DayCounter,Q732,R732,,,Trigger)</f>
        <v>0.25277777777777777</v>
      </c>
      <c r="T732" s="33">
        <f>_xll.qlIndexFixing(Index,P732,,AllTriggers)</f>
        <v>9.4904126305270457E-3</v>
      </c>
      <c r="U732" s="34">
        <f>_xll.qlYieldTSDiscount(OisCurve,Q732,,AllTriggers)</f>
        <v>0.97066569214072562</v>
      </c>
      <c r="V732" s="34">
        <f>_xll.qlYieldTSDiscount(OisCurve,R732,,AllTriggers)</f>
        <v>0.96865913210953225</v>
      </c>
      <c r="W732" s="33">
        <f t="shared" si="53"/>
        <v>8.1948741520193429E-3</v>
      </c>
      <c r="X732" s="35">
        <f t="shared" si="54"/>
        <v>3.2675297452878648E-4</v>
      </c>
      <c r="Y732" s="33">
        <f t="shared" si="55"/>
        <v>1.2955384785077028E-3</v>
      </c>
      <c r="Z732" s="54"/>
    </row>
    <row r="733" spans="15:26" x14ac:dyDescent="0.25">
      <c r="O733" s="37" t="s">
        <v>19</v>
      </c>
      <c r="P733" s="31">
        <f>_xll.qlCalendarAdvance(Calendar,P732,O732,"f",,Trigger)</f>
        <v>45938</v>
      </c>
      <c r="Q733" s="31">
        <f>_xll.qlInterestRateIndexValueDate(Index,P733,Trigger)</f>
        <v>45940</v>
      </c>
      <c r="R733" s="31">
        <f>_xll.qlInterestRateIndexMaturity(Index,Q733,Trigger)</f>
        <v>46034</v>
      </c>
      <c r="S733" s="32">
        <f>_xll.qlDayCounterYearFraction(DayCounter,Q733,R733,,,Trigger)</f>
        <v>0.26111111111111113</v>
      </c>
      <c r="T733" s="33">
        <f>_xll.qlIndexFixing(Index,P733,,AllTriggers)</f>
        <v>9.536349093836308E-3</v>
      </c>
      <c r="U733" s="34">
        <f>_xll.qlYieldTSDiscount(OisCurve,Q733,,AllTriggers)</f>
        <v>0.97000652413077326</v>
      </c>
      <c r="V733" s="34">
        <f>_xll.qlYieldTSDiscount(OisCurve,R733,,AllTriggers)</f>
        <v>0.96792829620910281</v>
      </c>
      <c r="W733" s="33">
        <f t="shared" si="53"/>
        <v>8.2228929508687543E-3</v>
      </c>
      <c r="X733" s="35">
        <f t="shared" si="54"/>
        <v>3.4216466428943585E-4</v>
      </c>
      <c r="Y733" s="33">
        <f t="shared" si="55"/>
        <v>1.3134561429675538E-3</v>
      </c>
      <c r="Z733" s="54"/>
    </row>
    <row r="734" spans="15:26" x14ac:dyDescent="0.25">
      <c r="O734" s="37" t="s">
        <v>19</v>
      </c>
      <c r="P734" s="31">
        <f>_xll.qlCalendarAdvance(Calendar,P733,O733,"f",,Trigger)</f>
        <v>45971</v>
      </c>
      <c r="Q734" s="31">
        <f>_xll.qlInterestRateIndexValueDate(Index,P734,Trigger)</f>
        <v>45973</v>
      </c>
      <c r="R734" s="31">
        <f>_xll.qlInterestRateIndexMaturity(Index,Q734,Trigger)</f>
        <v>46065</v>
      </c>
      <c r="S734" s="32">
        <f>_xll.qlDayCounterYearFraction(DayCounter,Q734,R734,,,Trigger)</f>
        <v>0.25555555555555554</v>
      </c>
      <c r="T734" s="33">
        <f>_xll.qlIndexFixing(Index,P734,,AllTriggers)</f>
        <v>9.5810703142249296E-3</v>
      </c>
      <c r="U734" s="34">
        <f>_xll.qlYieldTSDiscount(OisCurve,Q734,,AllTriggers)</f>
        <v>0.96927847717194593</v>
      </c>
      <c r="V734" s="34">
        <f>_xll.qlYieldTSDiscount(OisCurve,R734,,AllTriggers)</f>
        <v>0.96724183649971662</v>
      </c>
      <c r="W734" s="33">
        <f t="shared" si="53"/>
        <v>8.2393701340170902E-3</v>
      </c>
      <c r="X734" s="35">
        <f t="shared" si="54"/>
        <v>3.4209995742981664E-4</v>
      </c>
      <c r="Y734" s="33">
        <f t="shared" si="55"/>
        <v>1.3417001802078395E-3</v>
      </c>
      <c r="Z734" s="54"/>
    </row>
    <row r="735" spans="15:26" x14ac:dyDescent="0.25">
      <c r="O735" s="37" t="s">
        <v>19</v>
      </c>
      <c r="P735" s="31">
        <f>_xll.qlCalendarAdvance(Calendar,P734,O734,"f",,Trigger)</f>
        <v>46001</v>
      </c>
      <c r="Q735" s="31">
        <f>_xll.qlInterestRateIndexValueDate(Index,P735,Trigger)</f>
        <v>46003</v>
      </c>
      <c r="R735" s="31">
        <f>_xll.qlInterestRateIndexMaturity(Index,Q735,Trigger)</f>
        <v>46093</v>
      </c>
      <c r="S735" s="32">
        <f>_xll.qlDayCounterYearFraction(DayCounter,Q735,R735,,,Trigger)</f>
        <v>0.25</v>
      </c>
      <c r="T735" s="33">
        <f>_xll.qlIndexFixing(Index,P735,,AllTriggers)</f>
        <v>9.6203875194138533E-3</v>
      </c>
      <c r="U735" s="34">
        <f>_xll.qlYieldTSDiscount(OisCurve,Q735,,AllTriggers)</f>
        <v>0.96861485670983383</v>
      </c>
      <c r="V735" s="34">
        <f>_xll.qlYieldTSDiscount(OisCurve,R735,,AllTriggers)</f>
        <v>0.96662267784434064</v>
      </c>
      <c r="W735" s="33">
        <f t="shared" si="53"/>
        <v>8.2438738968377834E-3</v>
      </c>
      <c r="X735" s="35">
        <f t="shared" si="54"/>
        <v>3.4336167119324289E-4</v>
      </c>
      <c r="Y735" s="33">
        <f t="shared" si="55"/>
        <v>1.3765136225760699E-3</v>
      </c>
      <c r="Z735" s="54"/>
    </row>
    <row r="736" spans="15:26" x14ac:dyDescent="0.25">
      <c r="O736" s="37" t="s">
        <v>19</v>
      </c>
      <c r="P736" s="31">
        <f>_xll.qlCalendarAdvance(Calendar,P735,O735,"f",,Trigger)</f>
        <v>46034</v>
      </c>
      <c r="Q736" s="31">
        <f>_xll.qlInterestRateIndexValueDate(Index,P736,Trigger)</f>
        <v>46036</v>
      </c>
      <c r="R736" s="31">
        <f>_xll.qlInterestRateIndexMaturity(Index,Q736,Trigger)</f>
        <v>46126</v>
      </c>
      <c r="S736" s="32">
        <f>_xll.qlDayCounterYearFraction(DayCounter,Q736,R736,,,Trigger)</f>
        <v>0.25</v>
      </c>
      <c r="T736" s="33">
        <f>_xll.qlIndexFixing(Index,P736,,AllTriggers)</f>
        <v>9.6640243320935681E-3</v>
      </c>
      <c r="U736" s="34">
        <f>_xll.qlYieldTSDiscount(OisCurve,Q736,,AllTriggers)</f>
        <v>0.96788399535351388</v>
      </c>
      <c r="V736" s="34">
        <f>_xll.qlYieldTSDiscount(OisCurve,R736,,AllTriggers)</f>
        <v>0.96589498697376186</v>
      </c>
      <c r="W736" s="33">
        <f t="shared" si="53"/>
        <v>8.2369549757528304E-3</v>
      </c>
      <c r="X736" s="35">
        <f t="shared" si="54"/>
        <v>3.5597081457929258E-4</v>
      </c>
      <c r="Y736" s="33">
        <f t="shared" si="55"/>
        <v>1.4270693563407377E-3</v>
      </c>
      <c r="Z736" s="54"/>
    </row>
    <row r="737" spans="15:26" x14ac:dyDescent="0.25">
      <c r="O737" s="37" t="s">
        <v>19</v>
      </c>
      <c r="P737" s="31">
        <f>_xll.qlCalendarAdvance(Calendar,P736,O736,"f",,Trigger)</f>
        <v>46065</v>
      </c>
      <c r="Q737" s="31">
        <f>_xll.qlInterestRateIndexValueDate(Index,P737,Trigger)</f>
        <v>46069</v>
      </c>
      <c r="R737" s="31">
        <f>_xll.qlInterestRateIndexMaturity(Index,Q737,Trigger)</f>
        <v>46160</v>
      </c>
      <c r="S737" s="32">
        <f>_xll.qlDayCounterYearFraction(DayCounter,Q737,R737,,,Trigger)</f>
        <v>0.25277777777777777</v>
      </c>
      <c r="T737" s="33">
        <f>_xll.qlIndexFixing(Index,P737,,AllTriggers)</f>
        <v>9.7069509424368809E-3</v>
      </c>
      <c r="U737" s="34">
        <f>_xll.qlYieldTSDiscount(OisCurve,Q737,,AllTriggers)</f>
        <v>0.96715331707266461</v>
      </c>
      <c r="V737" s="34">
        <f>_xll.qlYieldTSDiscount(OisCurve,R737,,AllTriggers)</f>
        <v>0.96514861668018426</v>
      </c>
      <c r="W737" s="33">
        <f t="shared" si="53"/>
        <v>8.2170587350892561E-3</v>
      </c>
      <c r="X737" s="35">
        <f t="shared" si="54"/>
        <v>3.7576039975134422E-4</v>
      </c>
      <c r="Y737" s="33">
        <f t="shared" si="55"/>
        <v>1.4898922073476248E-3</v>
      </c>
      <c r="Z737" s="54"/>
    </row>
    <row r="738" spans="15:26" x14ac:dyDescent="0.25">
      <c r="O738" s="37" t="s">
        <v>19</v>
      </c>
      <c r="P738" s="31">
        <f>_xll.qlCalendarAdvance(Calendar,P737,O737,"f",,Trigger)</f>
        <v>46093</v>
      </c>
      <c r="Q738" s="31">
        <f>_xll.qlInterestRateIndexValueDate(Index,P738,Trigger)</f>
        <v>46097</v>
      </c>
      <c r="R738" s="31">
        <f>_xll.qlInterestRateIndexMaturity(Index,Q738,Trigger)</f>
        <v>46189</v>
      </c>
      <c r="S738" s="32">
        <f>_xll.qlDayCounterYearFraction(DayCounter,Q738,R738,,,Trigger)</f>
        <v>0.25555555555555554</v>
      </c>
      <c r="T738" s="33">
        <f>_xll.qlIndexFixing(Index,P738,,AllTriggers)</f>
        <v>9.7423069229606949E-3</v>
      </c>
      <c r="U738" s="34">
        <f>_xll.qlYieldTSDiscount(OisCurve,Q738,,AllTriggers)</f>
        <v>0.96653433634361607</v>
      </c>
      <c r="V738" s="34">
        <f>_xll.qlYieldTSDiscount(OisCurve,R738,,AllTriggers)</f>
        <v>0.96451481268879624</v>
      </c>
      <c r="W738" s="33">
        <f t="shared" si="53"/>
        <v>8.1932218797721515E-3</v>
      </c>
      <c r="X738" s="35">
        <f t="shared" si="54"/>
        <v>3.949721118789898E-4</v>
      </c>
      <c r="Y738" s="33">
        <f t="shared" si="55"/>
        <v>1.5490850431885434E-3</v>
      </c>
      <c r="Z738" s="54"/>
    </row>
    <row r="739" spans="15:26" x14ac:dyDescent="0.25">
      <c r="O739" s="37" t="s">
        <v>19</v>
      </c>
      <c r="P739" s="31">
        <f>_xll.qlCalendarAdvance(Calendar,P738,O738,"f",,Trigger)</f>
        <v>46125</v>
      </c>
      <c r="Q739" s="31">
        <f>_xll.qlInterestRateIndexValueDate(Index,P739,Trigger)</f>
        <v>46127</v>
      </c>
      <c r="R739" s="31">
        <f>_xll.qlInterestRateIndexMaturity(Index,Q739,Trigger)</f>
        <v>46218</v>
      </c>
      <c r="S739" s="32">
        <f>_xll.qlDayCounterYearFraction(DayCounter,Q739,R739,,,Trigger)</f>
        <v>0.25277777777777777</v>
      </c>
      <c r="T739" s="33">
        <f>_xll.qlIndexFixing(Index,P739,,AllTriggers)</f>
        <v>9.7775101852625307E-3</v>
      </c>
      <c r="U739" s="34">
        <f>_xll.qlYieldTSDiscount(OisCurve,Q739,,AllTriggers)</f>
        <v>0.96587298109776132</v>
      </c>
      <c r="V739" s="34">
        <f>_xll.qlYieldTSDiscount(OisCurve,R739,,AllTriggers)</f>
        <v>0.96388305984172074</v>
      </c>
      <c r="W739" s="33">
        <f t="shared" si="53"/>
        <v>8.1671898655999928E-3</v>
      </c>
      <c r="X739" s="35">
        <f t="shared" si="54"/>
        <v>4.0613208559355765E-4</v>
      </c>
      <c r="Y739" s="33">
        <f t="shared" si="55"/>
        <v>1.6103203196625379E-3</v>
      </c>
      <c r="Z739" s="54"/>
    </row>
    <row r="740" spans="15:26" x14ac:dyDescent="0.25">
      <c r="O740" s="37" t="s">
        <v>19</v>
      </c>
      <c r="P740" s="31">
        <f>_xll.qlCalendarAdvance(Calendar,P739,O739,"f",,Trigger)</f>
        <v>46155</v>
      </c>
      <c r="Q740" s="31">
        <f>_xll.qlInterestRateIndexValueDate(Index,P740,Trigger)</f>
        <v>46157</v>
      </c>
      <c r="R740" s="31">
        <f>_xll.qlInterestRateIndexMaturity(Index,Q740,Trigger)</f>
        <v>46251</v>
      </c>
      <c r="S740" s="32">
        <f>_xll.qlDayCounterYearFraction(DayCounter,Q740,R740,,,Trigger)</f>
        <v>0.26111111111111113</v>
      </c>
      <c r="T740" s="33">
        <f>_xll.qlIndexFixing(Index,P740,,AllTriggers)</f>
        <v>9.8143127845333085E-3</v>
      </c>
      <c r="U740" s="34">
        <f>_xll.qlYieldTSDiscount(OisCurve,Q740,,AllTriggers)</f>
        <v>0.965214320686683</v>
      </c>
      <c r="V740" s="34">
        <f>_xll.qlYieldTSDiscount(OisCurve,R740,,AllTriggers)</f>
        <v>0.96316599720933238</v>
      </c>
      <c r="W740" s="33">
        <f t="shared" si="53"/>
        <v>8.1446429042094422E-3</v>
      </c>
      <c r="X740" s="35">
        <f t="shared" si="54"/>
        <v>4.3494956374306071E-4</v>
      </c>
      <c r="Y740" s="33">
        <f t="shared" si="55"/>
        <v>1.6696698803238662E-3</v>
      </c>
      <c r="Z740" s="54"/>
    </row>
    <row r="741" spans="15:26" x14ac:dyDescent="0.25">
      <c r="O741" s="37" t="s">
        <v>19</v>
      </c>
      <c r="P741" s="31">
        <f>_xll.qlCalendarAdvance(Calendar,P740,O740,"f",,Trigger)</f>
        <v>46188</v>
      </c>
      <c r="Q741" s="31">
        <f>_xll.qlInterestRateIndexValueDate(Index,P741,Trigger)</f>
        <v>46190</v>
      </c>
      <c r="R741" s="31">
        <f>_xll.qlInterestRateIndexMaturity(Index,Q741,Trigger)</f>
        <v>46282</v>
      </c>
      <c r="S741" s="32">
        <f>_xll.qlDayCounterYearFraction(DayCounter,Q741,R741,,,Trigger)</f>
        <v>0.25555555555555554</v>
      </c>
      <c r="T741" s="33">
        <f>_xll.qlIndexFixing(Index,P741,,AllTriggers)</f>
        <v>9.8497169972529101E-3</v>
      </c>
      <c r="U741" s="34">
        <f>_xll.qlYieldTSDiscount(OisCurve,Q741,,AllTriggers)</f>
        <v>0.9644929969738828</v>
      </c>
      <c r="V741" s="34">
        <f>_xll.qlYieldTSDiscount(OisCurve,R741,,AllTriggers)</f>
        <v>0.96249350736394501</v>
      </c>
      <c r="W741" s="33">
        <f t="shared" si="53"/>
        <v>8.1289792795030923E-3</v>
      </c>
      <c r="X741" s="35">
        <f t="shared" si="54"/>
        <v>4.3873619154060072E-4</v>
      </c>
      <c r="Y741" s="33">
        <f t="shared" si="55"/>
        <v>1.7207377177498179E-3</v>
      </c>
      <c r="Z741" s="54"/>
    </row>
    <row r="742" spans="15:26" x14ac:dyDescent="0.25">
      <c r="O742" s="37" t="s">
        <v>19</v>
      </c>
      <c r="P742" s="31">
        <f>_xll.qlCalendarAdvance(Calendar,P741,O741,"f",,Trigger)</f>
        <v>46218</v>
      </c>
      <c r="Q742" s="31">
        <f>_xll.qlInterestRateIndexValueDate(Index,P742,Trigger)</f>
        <v>46220</v>
      </c>
      <c r="R742" s="31">
        <f>_xll.qlInterestRateIndexMaturity(Index,Q742,Trigger)</f>
        <v>46314</v>
      </c>
      <c r="S742" s="32">
        <f>_xll.qlDayCounterYearFraction(DayCounter,Q742,R742,,,Trigger)</f>
        <v>0.26111111111111113</v>
      </c>
      <c r="T742" s="33">
        <f>_xll.qlIndexFixing(Index,P742,,AllTriggers)</f>
        <v>9.8831957404155405E-3</v>
      </c>
      <c r="U742" s="34">
        <f>_xll.qlYieldTSDiscount(OisCurve,Q742,,AllTriggers)</f>
        <v>0.96383955296098067</v>
      </c>
      <c r="V742" s="34">
        <f>_xll.qlYieldTSDiscount(OisCurve,R742,,AllTriggers)</f>
        <v>0.96179976776428122</v>
      </c>
      <c r="W742" s="33">
        <f t="shared" si="53"/>
        <v>8.1222137583454503E-3</v>
      </c>
      <c r="X742" s="35">
        <f t="shared" si="54"/>
        <v>4.5873362206038374E-4</v>
      </c>
      <c r="Y742" s="33">
        <f t="shared" si="55"/>
        <v>1.7609819820700902E-3</v>
      </c>
      <c r="Z742" s="54"/>
    </row>
    <row r="743" spans="15:26" x14ac:dyDescent="0.25">
      <c r="O743" s="37" t="s">
        <v>19</v>
      </c>
      <c r="P743" s="31">
        <f>_xll.qlCalendarAdvance(Calendar,P742,O742,"f",,Trigger)</f>
        <v>46251</v>
      </c>
      <c r="Q743" s="31">
        <f>_xll.qlInterestRateIndexValueDate(Index,P743,Trigger)</f>
        <v>46253</v>
      </c>
      <c r="R743" s="31">
        <f>_xll.qlInterestRateIndexMaturity(Index,Q743,Trigger)</f>
        <v>46345</v>
      </c>
      <c r="S743" s="32">
        <f>_xll.qlDayCounterYearFraction(DayCounter,Q743,R743,,,Trigger)</f>
        <v>0.25555555555555554</v>
      </c>
      <c r="T743" s="33">
        <f>_xll.qlIndexFixing(Index,P743,,AllTriggers)</f>
        <v>9.9158952413975869E-3</v>
      </c>
      <c r="U743" s="34">
        <f>_xll.qlYieldTSDiscount(OisCurve,Q743,,AllTriggers)</f>
        <v>0.96312258542450535</v>
      </c>
      <c r="V743" s="34">
        <f>_xll.qlYieldTSDiscount(OisCurve,R743,,AllTriggers)</f>
        <v>0.96112748548303606</v>
      </c>
      <c r="W743" s="33">
        <f t="shared" si="53"/>
        <v>8.1226610749991594E-3</v>
      </c>
      <c r="X743" s="35">
        <f t="shared" si="54"/>
        <v>4.5721710972183377E-4</v>
      </c>
      <c r="Y743" s="33">
        <f t="shared" si="55"/>
        <v>1.7932341663984275E-3</v>
      </c>
      <c r="Z743" s="54"/>
    </row>
    <row r="744" spans="15:26" x14ac:dyDescent="0.25">
      <c r="O744" s="37" t="s">
        <v>19</v>
      </c>
      <c r="P744" s="31">
        <f>_xll.qlCalendarAdvance(Calendar,P743,O743,"f",,Trigger)</f>
        <v>46282</v>
      </c>
      <c r="Q744" s="31">
        <f>_xll.qlInterestRateIndexValueDate(Index,P744,Trigger)</f>
        <v>46286</v>
      </c>
      <c r="R744" s="31">
        <f>_xll.qlInterestRateIndexMaturity(Index,Q744,Trigger)</f>
        <v>46377</v>
      </c>
      <c r="S744" s="32">
        <f>_xll.qlDayCounterYearFraction(DayCounter,Q744,R744,,,Trigger)</f>
        <v>0.25277777777777777</v>
      </c>
      <c r="T744" s="33">
        <f>_xll.qlIndexFixing(Index,P744,,AllTriggers)</f>
        <v>9.9478285041965705E-3</v>
      </c>
      <c r="U744" s="34">
        <f>_xll.qlYieldTSDiscount(OisCurve,Q744,,AllTriggers)</f>
        <v>0.96240677921010476</v>
      </c>
      <c r="V744" s="34">
        <f>_xll.qlYieldTSDiscount(OisCurve,R744,,AllTriggers)</f>
        <v>0.96043260957226606</v>
      </c>
      <c r="W744" s="33">
        <f t="shared" si="53"/>
        <v>8.1316500357640088E-3</v>
      </c>
      <c r="X744" s="35">
        <f t="shared" si="54"/>
        <v>4.5804291655501399E-4</v>
      </c>
      <c r="Y744" s="33">
        <f t="shared" si="55"/>
        <v>1.8161784684325617E-3</v>
      </c>
      <c r="Z744" s="54"/>
    </row>
    <row r="745" spans="15:26" x14ac:dyDescent="0.25">
      <c r="O745" s="37" t="s">
        <v>19</v>
      </c>
      <c r="P745" s="31">
        <f>_xll.qlCalendarAdvance(Calendar,P744,O744,"f",,Trigger)</f>
        <v>46314</v>
      </c>
      <c r="Q745" s="31">
        <f>_xll.qlInterestRateIndexValueDate(Index,P745,Trigger)</f>
        <v>46316</v>
      </c>
      <c r="R745" s="31">
        <f>_xll.qlInterestRateIndexMaturity(Index,Q745,Trigger)</f>
        <v>46408</v>
      </c>
      <c r="S745" s="32">
        <f>_xll.qlDayCounterYearFraction(DayCounter,Q745,R745,,,Trigger)</f>
        <v>0.25555555555555554</v>
      </c>
      <c r="T745" s="33">
        <f>_xll.qlIndexFixing(Index,P745,,AllTriggers)</f>
        <v>9.9767557937292875E-3</v>
      </c>
      <c r="U745" s="34">
        <f>_xll.qlYieldTSDiscount(OisCurve,Q745,,AllTriggers)</f>
        <v>0.96175640829777731</v>
      </c>
      <c r="V745" s="34">
        <f>_xll.qlYieldTSDiscount(OisCurve,R745,,AllTriggers)</f>
        <v>0.95975792183150355</v>
      </c>
      <c r="W745" s="33">
        <f t="shared" si="53"/>
        <v>8.1480592713652038E-3</v>
      </c>
      <c r="X745" s="35">
        <f t="shared" si="54"/>
        <v>4.6625374447864342E-4</v>
      </c>
      <c r="Y745" s="33">
        <f t="shared" si="55"/>
        <v>1.8286965223640837E-3</v>
      </c>
      <c r="Z745" s="54"/>
    </row>
    <row r="746" spans="15:26" x14ac:dyDescent="0.25">
      <c r="O746" s="37" t="s">
        <v>19</v>
      </c>
      <c r="P746" s="31">
        <f>_xll.qlCalendarAdvance(Calendar,P745,O745,"f",,Trigger)</f>
        <v>46345</v>
      </c>
      <c r="Q746" s="31">
        <f>_xll.qlInterestRateIndexValueDate(Index,P746,Trigger)</f>
        <v>46349</v>
      </c>
      <c r="R746" s="31">
        <f>_xll.qlInterestRateIndexMaturity(Index,Q746,Trigger)</f>
        <v>46441</v>
      </c>
      <c r="S746" s="32">
        <f>_xll.qlDayCounterYearFraction(DayCounter,Q746,R746,,,Trigger)</f>
        <v>0.25555555555555554</v>
      </c>
      <c r="T746" s="33">
        <f>_xll.qlIndexFixing(Index,P746,,AllTriggers)</f>
        <v>1.0006512793271988E-2</v>
      </c>
      <c r="U746" s="34">
        <f>_xll.qlYieldTSDiscount(OisCurve,Q746,,AllTriggers)</f>
        <v>0.96104069024292749</v>
      </c>
      <c r="V746" s="34">
        <f>_xll.qlYieldTSDiscount(OisCurve,R746,,AllTriggers)</f>
        <v>0.95903734132378737</v>
      </c>
      <c r="W746" s="33">
        <f t="shared" si="53"/>
        <v>8.1740210573045188E-3</v>
      </c>
      <c r="X746" s="35">
        <f t="shared" si="54"/>
        <v>4.6721807270125174E-4</v>
      </c>
      <c r="Y746" s="33">
        <f t="shared" si="55"/>
        <v>1.8324917359674696E-3</v>
      </c>
      <c r="Z746" s="54"/>
    </row>
    <row r="747" spans="15:26" x14ac:dyDescent="0.25">
      <c r="O747" s="37" t="s">
        <v>19</v>
      </c>
      <c r="P747" s="31">
        <f>_xll.qlCalendarAdvance(Calendar,P746,O746,"f",,Trigger)</f>
        <v>46377</v>
      </c>
      <c r="Q747" s="31">
        <f>_xll.qlInterestRateIndexValueDate(Index,P747,Trigger)</f>
        <v>46379</v>
      </c>
      <c r="R747" s="31">
        <f>_xll.qlInterestRateIndexMaturity(Index,Q747,Trigger)</f>
        <v>46469</v>
      </c>
      <c r="S747" s="32">
        <f>_xll.qlDayCounterYearFraction(DayCounter,Q747,R747,,,Trigger)</f>
        <v>0.25</v>
      </c>
      <c r="T747" s="33">
        <f>_xll.qlIndexFixing(Index,P747,,AllTriggers)</f>
        <v>1.0031199354405551E-2</v>
      </c>
      <c r="U747" s="34">
        <f>_xll.qlYieldTSDiscount(OisCurve,Q747,,AllTriggers)</f>
        <v>0.96038913362056166</v>
      </c>
      <c r="V747" s="34">
        <f>_xll.qlYieldTSDiscount(OisCurve,R747,,AllTriggers)</f>
        <v>0.95842347604420486</v>
      </c>
      <c r="W747" s="33">
        <f t="shared" si="53"/>
        <v>8.2037121397311452E-3</v>
      </c>
      <c r="X747" s="35">
        <f t="shared" si="54"/>
        <v>4.5583280272762849E-4</v>
      </c>
      <c r="Y747" s="33">
        <f t="shared" si="55"/>
        <v>1.8274872146744059E-3</v>
      </c>
      <c r="Z747" s="54"/>
    </row>
    <row r="748" spans="15:26" x14ac:dyDescent="0.25">
      <c r="O748" s="37" t="s">
        <v>19</v>
      </c>
      <c r="P748" s="31">
        <f>_xll.qlCalendarAdvance(Calendar,P747,O747,"f",,Trigger)</f>
        <v>46408</v>
      </c>
      <c r="Q748" s="31">
        <f>_xll.qlInterestRateIndexValueDate(Index,P748,Trigger)</f>
        <v>46412</v>
      </c>
      <c r="R748" s="31">
        <f>_xll.qlInterestRateIndexMaturity(Index,Q748,Trigger)</f>
        <v>46503</v>
      </c>
      <c r="S748" s="32">
        <f>_xll.qlDayCounterYearFraction(DayCounter,Q748,R748,,,Trigger)</f>
        <v>0.25277777777777777</v>
      </c>
      <c r="T748" s="33">
        <f>_xll.qlIndexFixing(Index,P748,,AllTriggers)</f>
        <v>1.0058741768761353E-2</v>
      </c>
      <c r="U748" s="34">
        <f>_xll.qlYieldTSDiscount(OisCurve,Q748,,AllTriggers)</f>
        <v>0.95967072287548361</v>
      </c>
      <c r="V748" s="34">
        <f>_xll.qlYieldTSDiscount(OisCurve,R748,,AllTriggers)</f>
        <v>0.95767432692418808</v>
      </c>
      <c r="W748" s="33">
        <f t="shared" si="53"/>
        <v>8.2468850996129505E-3</v>
      </c>
      <c r="X748" s="35">
        <f t="shared" si="54"/>
        <v>4.5693992152431612E-4</v>
      </c>
      <c r="Y748" s="33">
        <f t="shared" si="55"/>
        <v>1.8118566691484022E-3</v>
      </c>
      <c r="Z748" s="54"/>
    </row>
    <row r="749" spans="15:26" x14ac:dyDescent="0.25">
      <c r="O749" s="37" t="s">
        <v>19</v>
      </c>
      <c r="P749" s="31">
        <f>_xll.qlCalendarAdvance(Calendar,P748,O748,"f",,Trigger)</f>
        <v>46440</v>
      </c>
      <c r="Q749" s="31">
        <f>_xll.qlInterestRateIndexValueDate(Index,P749,Trigger)</f>
        <v>46442</v>
      </c>
      <c r="R749" s="31">
        <f>_xll.qlInterestRateIndexMaturity(Index,Q749,Trigger)</f>
        <v>46531</v>
      </c>
      <c r="S749" s="32">
        <f>_xll.qlDayCounterYearFraction(DayCounter,Q749,R749,,,Trigger)</f>
        <v>0.24722222222222223</v>
      </c>
      <c r="T749" s="33">
        <f>_xll.qlIndexFixing(Index,P749,,AllTriggers)</f>
        <v>1.0081012660076893E-2</v>
      </c>
      <c r="U749" s="34">
        <f>_xll.qlYieldTSDiscount(OisCurve,Q749,,AllTriggers)</f>
        <v>0.95901545972542657</v>
      </c>
      <c r="V749" s="34">
        <f>_xll.qlYieldTSDiscount(OisCurve,R749,,AllTriggers)</f>
        <v>0.95705382191345967</v>
      </c>
      <c r="W749" s="33">
        <f t="shared" si="53"/>
        <v>8.2907717030698217E-3</v>
      </c>
      <c r="X749" s="35">
        <f t="shared" si="54"/>
        <v>4.4158453554650728E-4</v>
      </c>
      <c r="Y749" s="33">
        <f t="shared" si="55"/>
        <v>1.790240957007071E-3</v>
      </c>
      <c r="Z749" s="54"/>
    </row>
    <row r="750" spans="15:26" x14ac:dyDescent="0.25">
      <c r="O750" s="37" t="s">
        <v>19</v>
      </c>
      <c r="P750" s="31">
        <f>_xll.qlCalendarAdvance(Calendar,P749,O749,"f",,Trigger)</f>
        <v>46468</v>
      </c>
      <c r="Q750" s="31">
        <f>_xll.qlInterestRateIndexValueDate(Index,P750,Trigger)</f>
        <v>46470</v>
      </c>
      <c r="R750" s="31">
        <f>_xll.qlInterestRateIndexMaturity(Index,Q750,Trigger)</f>
        <v>46562</v>
      </c>
      <c r="S750" s="32">
        <f>_xll.qlDayCounterYearFraction(DayCounter,Q750,R750,,,Trigger)</f>
        <v>0.25555555555555554</v>
      </c>
      <c r="T750" s="33">
        <f>_xll.qlIndexFixing(Index,P750,,AllTriggers)</f>
        <v>1.0103318261888875E-2</v>
      </c>
      <c r="U750" s="34">
        <f>_xll.qlYieldTSDiscount(OisCurve,Q750,,AllTriggers)</f>
        <v>0.95840150415850278</v>
      </c>
      <c r="V750" s="34">
        <f>_xll.qlYieldTSDiscount(OisCurve,R750,,AllTriggers)</f>
        <v>0.95636303755968344</v>
      </c>
      <c r="W750" s="33">
        <f t="shared" si="53"/>
        <v>8.340565367850522E-3</v>
      </c>
      <c r="X750" s="35">
        <f t="shared" si="54"/>
        <v>4.4942214126716577E-4</v>
      </c>
      <c r="Y750" s="33">
        <f t="shared" si="55"/>
        <v>1.7627528940383531E-3</v>
      </c>
      <c r="Z750" s="54"/>
    </row>
    <row r="751" spans="15:26" x14ac:dyDescent="0.25">
      <c r="O751" s="37" t="s">
        <v>19</v>
      </c>
      <c r="P751" s="31">
        <f>_xll.qlCalendarAdvance(Calendar,P750,O750,"f",,Trigger)</f>
        <v>46499</v>
      </c>
      <c r="Q751" s="31">
        <f>_xll.qlInterestRateIndexValueDate(Index,P751,Trigger)</f>
        <v>46503</v>
      </c>
      <c r="R751" s="31">
        <f>_xll.qlInterestRateIndexMaturity(Index,Q751,Trigger)</f>
        <v>46594</v>
      </c>
      <c r="S751" s="32">
        <f>_xll.qlDayCounterYearFraction(DayCounter,Q751,R751,,,Trigger)</f>
        <v>0.25277777777777777</v>
      </c>
      <c r="T751" s="33">
        <f>_xll.qlIndexFixing(Index,P751,,AllTriggers)</f>
        <v>1.0126324524506458E-2</v>
      </c>
      <c r="U751" s="34">
        <f>_xll.qlYieldTSDiscount(OisCurve,Q751,,AllTriggers)</f>
        <v>0.95767432692418808</v>
      </c>
      <c r="V751" s="34">
        <f>_xll.qlYieldTSDiscount(OisCurve,R751,,AllTriggers)</f>
        <v>0.95564593795300068</v>
      </c>
      <c r="W751" s="33">
        <f t="shared" si="53"/>
        <v>8.3968294232069311E-3</v>
      </c>
      <c r="X751" s="35">
        <f t="shared" si="54"/>
        <v>4.361568394455377E-4</v>
      </c>
      <c r="Y751" s="33">
        <f t="shared" si="55"/>
        <v>1.7294951012995271E-3</v>
      </c>
      <c r="Z751" s="54"/>
    </row>
    <row r="752" spans="15:26" x14ac:dyDescent="0.25">
      <c r="O752" s="37" t="s">
        <v>19</v>
      </c>
      <c r="P752" s="31">
        <f>_xll.qlCalendarAdvance(Calendar,P751,O751,"f",,Trigger)</f>
        <v>46531</v>
      </c>
      <c r="Q752" s="31">
        <f>_xll.qlInterestRateIndexValueDate(Index,P752,Trigger)</f>
        <v>46533</v>
      </c>
      <c r="R752" s="31">
        <f>_xll.qlInterestRateIndexMaturity(Index,Q752,Trigger)</f>
        <v>46625</v>
      </c>
      <c r="S752" s="32">
        <f>_xll.qlDayCounterYearFraction(DayCounter,Q752,R752,,,Trigger)</f>
        <v>0.25555555555555554</v>
      </c>
      <c r="T752" s="33">
        <f>_xll.qlIndexFixing(Index,P752,,AllTriggers)</f>
        <v>1.014739229957704E-2</v>
      </c>
      <c r="U752" s="34">
        <f>_xll.qlYieldTSDiscount(OisCurve,Q752,,AllTriggers)</f>
        <v>0.95700937412849341</v>
      </c>
      <c r="V752" s="34">
        <f>_xll.qlYieldTSDiscount(OisCurve,R752,,AllTriggers)</f>
        <v>0.95494749465669171</v>
      </c>
      <c r="W752" s="33">
        <f t="shared" si="53"/>
        <v>8.4488666290435353E-3</v>
      </c>
      <c r="X752" s="35">
        <f t="shared" si="54"/>
        <v>4.3303869650994673E-4</v>
      </c>
      <c r="Y752" s="33">
        <f t="shared" si="55"/>
        <v>1.6985256705335048E-3</v>
      </c>
      <c r="Z752" s="54"/>
    </row>
    <row r="753" spans="15:26" x14ac:dyDescent="0.25">
      <c r="O753" s="37" t="s">
        <v>19</v>
      </c>
      <c r="P753" s="31">
        <f>_xll.qlCalendarAdvance(Calendar,P752,O752,"f",,Trigger)</f>
        <v>46562</v>
      </c>
      <c r="Q753" s="31">
        <f>_xll.qlInterestRateIndexValueDate(Index,P753,Trigger)</f>
        <v>46566</v>
      </c>
      <c r="R753" s="31">
        <f>_xll.qlInterestRateIndexMaturity(Index,Q753,Trigger)</f>
        <v>46658</v>
      </c>
      <c r="S753" s="32">
        <f>_xll.qlDayCounterYearFraction(DayCounter,Q753,R753,,,Trigger)</f>
        <v>0.25555555555555554</v>
      </c>
      <c r="T753" s="33">
        <f>_xll.qlIndexFixing(Index,P753,,AllTriggers)</f>
        <v>1.0169229920106305E-2</v>
      </c>
      <c r="U753" s="34">
        <f>_xll.qlYieldTSDiscount(OisCurve,Q753,,AllTriggers)</f>
        <v>0.95627362083524847</v>
      </c>
      <c r="V753" s="34">
        <f>_xll.qlYieldTSDiscount(OisCurve,R753,,AllTriggers)</f>
        <v>0.95420010027520752</v>
      </c>
      <c r="W753" s="33">
        <f t="shared" si="53"/>
        <v>8.5032228587773213E-3</v>
      </c>
      <c r="X753" s="35">
        <f t="shared" si="54"/>
        <v>4.2474395948974964E-4</v>
      </c>
      <c r="Y753" s="33">
        <f t="shared" si="55"/>
        <v>1.6660070613289842E-3</v>
      </c>
      <c r="Z753" s="54"/>
    </row>
    <row r="754" spans="15:26" x14ac:dyDescent="0.25">
      <c r="O754" s="37" t="s">
        <v>19</v>
      </c>
      <c r="P754" s="31">
        <f>_xll.qlCalendarAdvance(Calendar,P753,O753,"f",,Trigger)</f>
        <v>46594</v>
      </c>
      <c r="Q754" s="31">
        <f>_xll.qlInterestRateIndexValueDate(Index,P754,Trigger)</f>
        <v>46596</v>
      </c>
      <c r="R754" s="31">
        <f>_xll.qlInterestRateIndexMaturity(Index,Q754,Trigger)</f>
        <v>46688</v>
      </c>
      <c r="S754" s="32">
        <f>_xll.qlDayCounterYearFraction(DayCounter,Q754,R754,,,Trigger)</f>
        <v>0.25555555555555554</v>
      </c>
      <c r="T754" s="33">
        <f>_xll.qlIndexFixing(Index,P754,,AllTriggers)</f>
        <v>1.0188352265496926E-2</v>
      </c>
      <c r="U754" s="34">
        <f>_xll.qlYieldTSDiscount(OisCurve,Q754,,AllTriggers)</f>
        <v>0.95560098691329698</v>
      </c>
      <c r="V754" s="34">
        <f>_xll.qlYieldTSDiscount(OisCurve,R754,,AllTriggers)</f>
        <v>0.95351731668714712</v>
      </c>
      <c r="W754" s="33">
        <f t="shared" si="53"/>
        <v>8.5509639380332778E-3</v>
      </c>
      <c r="X754" s="35">
        <f t="shared" si="54"/>
        <v>4.1744413306745256E-4</v>
      </c>
      <c r="Y754" s="33">
        <f t="shared" si="55"/>
        <v>1.6373883274636482E-3</v>
      </c>
      <c r="Z754" s="54"/>
    </row>
    <row r="755" spans="15:26" x14ac:dyDescent="0.25">
      <c r="O755" s="37" t="s">
        <v>19</v>
      </c>
      <c r="P755" s="31">
        <f>_xll.qlCalendarAdvance(Calendar,P754,O754,"f",,Trigger)</f>
        <v>46625</v>
      </c>
      <c r="Q755" s="31">
        <f>_xll.qlInterestRateIndexValueDate(Index,P755,Trigger)</f>
        <v>46629</v>
      </c>
      <c r="R755" s="31">
        <f>_xll.qlInterestRateIndexMaturity(Index,Q755,Trigger)</f>
        <v>46721</v>
      </c>
      <c r="S755" s="32">
        <f>_xll.qlDayCounterYearFraction(DayCounter,Q755,R755,,,Trigger)</f>
        <v>0.25555555555555554</v>
      </c>
      <c r="T755" s="33">
        <f>_xll.qlIndexFixing(Index,P755,,AllTriggers)</f>
        <v>1.0208583792300352E-2</v>
      </c>
      <c r="U755" s="34">
        <f>_xll.qlYieldTSDiscount(OisCurve,Q755,,AllTriggers)</f>
        <v>0.95485711169906773</v>
      </c>
      <c r="V755" s="34">
        <f>_xll.qlYieldTSDiscount(OisCurve,R755,,AllTriggers)</f>
        <v>0.95276275206593575</v>
      </c>
      <c r="W755" s="33">
        <f t="shared" si="53"/>
        <v>8.6016380109206793E-3</v>
      </c>
      <c r="X755" s="35">
        <f t="shared" si="54"/>
        <v>4.0967925195880536E-4</v>
      </c>
      <c r="Y755" s="33">
        <f t="shared" si="55"/>
        <v>1.606945781379673E-3</v>
      </c>
      <c r="Z755" s="54"/>
    </row>
    <row r="756" spans="15:26" x14ac:dyDescent="0.25">
      <c r="O756" s="37" t="s">
        <v>19</v>
      </c>
      <c r="P756" s="31">
        <f>_xll.qlCalendarAdvance(Calendar,P755,O755,"f",,Trigger)</f>
        <v>46657</v>
      </c>
      <c r="Q756" s="31">
        <f>_xll.qlInterestRateIndexValueDate(Index,P756,Trigger)</f>
        <v>46659</v>
      </c>
      <c r="R756" s="31">
        <f>_xll.qlInterestRateIndexMaturity(Index,Q756,Trigger)</f>
        <v>46750</v>
      </c>
      <c r="S756" s="32">
        <f>_xll.qlDayCounterYearFraction(DayCounter,Q756,R756,,,Trigger)</f>
        <v>0.25277777777777777</v>
      </c>
      <c r="T756" s="33">
        <f>_xll.qlIndexFixing(Index,P756,,AllTriggers)</f>
        <v>1.0225818140032981E-2</v>
      </c>
      <c r="U756" s="34">
        <f>_xll.qlYieldTSDiscount(OisCurve,Q756,,AllTriggers)</f>
        <v>0.9541773911655419</v>
      </c>
      <c r="V756" s="34">
        <f>_xll.qlYieldTSDiscount(OisCurve,R756,,AllTriggers)</f>
        <v>0.9520967568807478</v>
      </c>
      <c r="W756" s="33">
        <f t="shared" si="53"/>
        <v>8.6452144990644877E-3</v>
      </c>
      <c r="X756" s="35">
        <f t="shared" si="54"/>
        <v>3.9859080671342104E-4</v>
      </c>
      <c r="Y756" s="33">
        <f t="shared" si="55"/>
        <v>1.5806036409684934E-3</v>
      </c>
      <c r="Z756" s="54"/>
    </row>
    <row r="757" spans="15:26" x14ac:dyDescent="0.25">
      <c r="O757" s="37" t="s">
        <v>19</v>
      </c>
      <c r="P757" s="31">
        <f>_xll.qlCalendarAdvance(Calendar,P756,O756,"f",,Trigger)</f>
        <v>46687</v>
      </c>
      <c r="Q757" s="31">
        <f>_xll.qlInterestRateIndexValueDate(Index,P757,Trigger)</f>
        <v>46689</v>
      </c>
      <c r="R757" s="31">
        <f>_xll.qlInterestRateIndexMaturity(Index,Q757,Trigger)</f>
        <v>46783</v>
      </c>
      <c r="S757" s="32">
        <f>_xll.qlDayCounterYearFraction(DayCounter,Q757,R757,,,Trigger)</f>
        <v>0.26111111111111113</v>
      </c>
      <c r="T757" s="33">
        <f>_xll.qlIndexFixing(Index,P757,,AllTriggers)</f>
        <v>1.0244045814646271E-2</v>
      </c>
      <c r="U757" s="34">
        <f>_xll.qlYieldTSDiscount(OisCurve,Q757,,AllTriggers)</f>
        <v>0.95349450418730497</v>
      </c>
      <c r="V757" s="34">
        <f>_xll.qlYieldTSDiscount(OisCurve,R757,,AllTriggers)</f>
        <v>0.95133576806389719</v>
      </c>
      <c r="W757" s="33">
        <f t="shared" si="53"/>
        <v>8.6904122862103174E-3</v>
      </c>
      <c r="X757" s="35">
        <f t="shared" si="54"/>
        <v>4.0467063711799214E-4</v>
      </c>
      <c r="Y757" s="33">
        <f t="shared" si="55"/>
        <v>1.5536335284359534E-3</v>
      </c>
      <c r="Z757" s="54"/>
    </row>
    <row r="758" spans="15:26" x14ac:dyDescent="0.25">
      <c r="O758" s="37" t="s">
        <v>19</v>
      </c>
      <c r="P758" s="31">
        <f>_xll.qlCalendarAdvance(Calendar,P757,O757,"f",,Trigger)</f>
        <v>46720</v>
      </c>
      <c r="Q758" s="31">
        <f>_xll.qlInterestRateIndexValueDate(Index,P758,Trigger)</f>
        <v>46722</v>
      </c>
      <c r="R758" s="31">
        <f>_xll.qlInterestRateIndexMaturity(Index,Q758,Trigger)</f>
        <v>46813</v>
      </c>
      <c r="S758" s="32">
        <f>_xll.qlDayCounterYearFraction(DayCounter,Q758,R758,,,Trigger)</f>
        <v>0.25277777777777777</v>
      </c>
      <c r="T758" s="33">
        <f>_xll.qlIndexFixing(Index,P758,,AllTriggers)</f>
        <v>1.0260668960896013E-2</v>
      </c>
      <c r="U758" s="34">
        <f>_xll.qlYieldTSDiscount(OisCurve,Q758,,AllTriggers)</f>
        <v>0.95273983098269077</v>
      </c>
      <c r="V758" s="34">
        <f>_xll.qlYieldTSDiscount(OisCurve,R758,,AllTriggers)</f>
        <v>0.95064120916182326</v>
      </c>
      <c r="W758" s="33">
        <f t="shared" si="53"/>
        <v>8.7333055735978413E-3</v>
      </c>
      <c r="X758" s="35">
        <f t="shared" si="54"/>
        <v>3.8515890467767129E-4</v>
      </c>
      <c r="Y758" s="33">
        <f t="shared" si="55"/>
        <v>1.5273633872981713E-3</v>
      </c>
      <c r="Z758" s="54"/>
    </row>
    <row r="759" spans="15:26" x14ac:dyDescent="0.25">
      <c r="O759" s="37" t="s">
        <v>19</v>
      </c>
      <c r="P759" s="31">
        <f>_xll.qlCalendarAdvance(Calendar,P758,O758,"f",,Trigger)</f>
        <v>46750</v>
      </c>
      <c r="Q759" s="31">
        <f>_xll.qlInterestRateIndexValueDate(Index,P759,Trigger)</f>
        <v>46752</v>
      </c>
      <c r="R759" s="31">
        <f>_xll.qlInterestRateIndexMaturity(Index,Q759,Trigger)</f>
        <v>46843</v>
      </c>
      <c r="S759" s="32">
        <f>_xll.qlDayCounterYearFraction(DayCounter,Q759,R759,,,Trigger)</f>
        <v>0.25277777777777777</v>
      </c>
      <c r="T759" s="33">
        <f>_xll.qlIndexFixing(Index,P759,,AllTriggers)</f>
        <v>1.0276186874776487E-2</v>
      </c>
      <c r="U759" s="34">
        <f>_xll.qlYieldTSDiscount(OisCurve,Q759,,AllTriggers)</f>
        <v>0.95205072968492976</v>
      </c>
      <c r="V759" s="34">
        <f>_xll.qlYieldTSDiscount(OisCurve,R759,,AllTriggers)</f>
        <v>0.94994416721154051</v>
      </c>
      <c r="W759" s="33">
        <f t="shared" si="53"/>
        <v>8.7727826840004602E-3</v>
      </c>
      <c r="X759" s="35">
        <f t="shared" si="54"/>
        <v>3.7911442740610514E-4</v>
      </c>
      <c r="Y759" s="33">
        <f t="shared" si="55"/>
        <v>1.5034041907760268E-3</v>
      </c>
      <c r="Z759" s="54"/>
    </row>
    <row r="760" spans="15:26" x14ac:dyDescent="0.25">
      <c r="O760" s="37" t="s">
        <v>19</v>
      </c>
      <c r="P760" s="31">
        <f>_xll.qlCalendarAdvance(Calendar,P759,O759,"f",,Trigger)</f>
        <v>46783</v>
      </c>
      <c r="Q760" s="31">
        <f>_xll.qlInterestRateIndexValueDate(Index,P760,Trigger)</f>
        <v>46785</v>
      </c>
      <c r="R760" s="31">
        <f>_xll.qlInterestRateIndexMaturity(Index,Q760,Trigger)</f>
        <v>46875</v>
      </c>
      <c r="S760" s="32">
        <f>_xll.qlDayCounterYearFraction(DayCounter,Q760,R760,,,Trigger)</f>
        <v>0.25</v>
      </c>
      <c r="T760" s="33">
        <f>_xll.qlIndexFixing(Index,P760,,AllTriggers)</f>
        <v>1.0292072139445274E-2</v>
      </c>
      <c r="U760" s="34">
        <f>_xll.qlYieldTSDiscount(OisCurve,Q760,,AllTriggers)</f>
        <v>0.95128954404057797</v>
      </c>
      <c r="V760" s="34">
        <f>_xll.qlYieldTSDiscount(OisCurve,R760,,AllTriggers)</f>
        <v>0.9491980677266918</v>
      </c>
      <c r="W760" s="33">
        <f t="shared" si="53"/>
        <v>8.8136560113118989E-3</v>
      </c>
      <c r="X760" s="35">
        <f t="shared" si="54"/>
        <v>3.6872344498314338E-4</v>
      </c>
      <c r="Y760" s="33">
        <f t="shared" si="55"/>
        <v>1.4784161281333752E-3</v>
      </c>
      <c r="Z760" s="54"/>
    </row>
    <row r="761" spans="15:26" x14ac:dyDescent="0.25">
      <c r="O761" s="37" t="s">
        <v>19</v>
      </c>
      <c r="P761" s="31">
        <f>_xll.qlCalendarAdvance(Calendar,P760,O760,"f",,Trigger)</f>
        <v>46812</v>
      </c>
      <c r="Q761" s="31">
        <f>_xll.qlInterestRateIndexValueDate(Index,P761,Trigger)</f>
        <v>46814</v>
      </c>
      <c r="R761" s="31">
        <f>_xll.qlInterestRateIndexMaturity(Index,Q761,Trigger)</f>
        <v>46906</v>
      </c>
      <c r="S761" s="32">
        <f>_xll.qlDayCounterYearFraction(DayCounter,Q761,R761,,,Trigger)</f>
        <v>0.25555555555555554</v>
      </c>
      <c r="T761" s="33">
        <f>_xll.qlIndexFixing(Index,P761,,AllTriggers)</f>
        <v>1.0306424157067753E-2</v>
      </c>
      <c r="U761" s="34">
        <f>_xll.qlYieldTSDiscount(OisCurve,Q761,,AllTriggers)</f>
        <v>0.95061801370094212</v>
      </c>
      <c r="V761" s="34">
        <f>_xll.qlYieldTSDiscount(OisCurve,R761,,AllTriggers)</f>
        <v>0.94847288387872186</v>
      </c>
      <c r="W761" s="33">
        <f t="shared" si="53"/>
        <v>8.8500013058204329E-3</v>
      </c>
      <c r="X761" s="35">
        <f t="shared" si="54"/>
        <v>3.7128812888659557E-4</v>
      </c>
      <c r="Y761" s="33">
        <f t="shared" si="55"/>
        <v>1.4564228512473198E-3</v>
      </c>
      <c r="Z761" s="54"/>
    </row>
    <row r="762" spans="15:26" x14ac:dyDescent="0.25">
      <c r="O762" s="37" t="s">
        <v>19</v>
      </c>
      <c r="P762" s="31">
        <f>_xll.qlCalendarAdvance(Calendar,P761,O761,"f",,Trigger)</f>
        <v>46841</v>
      </c>
      <c r="Q762" s="31">
        <f>_xll.qlInterestRateIndexValueDate(Index,P762,Trigger)</f>
        <v>46843</v>
      </c>
      <c r="R762" s="31">
        <f>_xll.qlInterestRateIndexMaturity(Index,Q762,Trigger)</f>
        <v>46934</v>
      </c>
      <c r="S762" s="32">
        <f>_xll.qlDayCounterYearFraction(DayCounter,Q762,R762,,,Trigger)</f>
        <v>0.25277777777777777</v>
      </c>
      <c r="T762" s="33">
        <f>_xll.qlIndexFixing(Index,P762,,AllTriggers)</f>
        <v>1.0319004474197693E-2</v>
      </c>
      <c r="U762" s="34">
        <f>_xll.qlYieldTSDiscount(OisCurve,Q762,,AllTriggers)</f>
        <v>0.94994416721154051</v>
      </c>
      <c r="V762" s="34">
        <f>_xll.qlYieldTSDiscount(OisCurve,R762,,AllTriggers)</f>
        <v>0.94781597091202474</v>
      </c>
      <c r="W762" s="33">
        <f t="shared" si="53"/>
        <v>8.8827772124090796E-3</v>
      </c>
      <c r="X762" s="35">
        <f t="shared" si="54"/>
        <v>3.6216739847867621E-4</v>
      </c>
      <c r="Y762" s="33">
        <f t="shared" si="55"/>
        <v>1.4362272617886133E-3</v>
      </c>
      <c r="Z762" s="54"/>
    </row>
    <row r="763" spans="15:26" x14ac:dyDescent="0.25">
      <c r="O763" s="37" t="s">
        <v>19</v>
      </c>
      <c r="P763" s="31">
        <f>_xll.qlCalendarAdvance(Calendar,P762,O762,"f",,Trigger)</f>
        <v>46875</v>
      </c>
      <c r="Q763" s="31">
        <f>_xll.qlInterestRateIndexValueDate(Index,P763,Trigger)</f>
        <v>46877</v>
      </c>
      <c r="R763" s="31">
        <f>_xll.qlInterestRateIndexMaturity(Index,Q763,Trigger)</f>
        <v>46969</v>
      </c>
      <c r="S763" s="32">
        <f>_xll.qlDayCounterYearFraction(DayCounter,Q763,R763,,,Trigger)</f>
        <v>0.25555555555555554</v>
      </c>
      <c r="T763" s="33">
        <f>_xll.qlIndexFixing(Index,P763,,AllTriggers)</f>
        <v>1.0333707253243944E-2</v>
      </c>
      <c r="U763" s="34">
        <f>_xll.qlYieldTSDiscount(OisCurve,Q763,,AllTriggers)</f>
        <v>0.94915135134522788</v>
      </c>
      <c r="V763" s="34">
        <f>_xll.qlYieldTSDiscount(OisCurve,R763,,AllTriggers)</f>
        <v>0.94699245030364998</v>
      </c>
      <c r="W763" s="33">
        <f t="shared" si="53"/>
        <v>8.9207402215802541E-3</v>
      </c>
      <c r="X763" s="35">
        <f t="shared" si="54"/>
        <v>3.6020536881197223E-4</v>
      </c>
      <c r="Y763" s="33">
        <f t="shared" si="55"/>
        <v>1.4129670316636901E-3</v>
      </c>
      <c r="Z763" s="54"/>
    </row>
    <row r="764" spans="15:26" x14ac:dyDescent="0.25">
      <c r="O764" s="37" t="s">
        <v>19</v>
      </c>
      <c r="P764" s="31">
        <f>_xll.qlCalendarAdvance(Calendar,P763,O763,"f",,Trigger)</f>
        <v>46906</v>
      </c>
      <c r="Q764" s="31">
        <f>_xll.qlInterestRateIndexValueDate(Index,P764,Trigger)</f>
        <v>46910</v>
      </c>
      <c r="R764" s="31">
        <f>_xll.qlInterestRateIndexMaturity(Index,Q764,Trigger)</f>
        <v>47002</v>
      </c>
      <c r="S764" s="32">
        <f>_xll.qlDayCounterYearFraction(DayCounter,Q764,R764,,,Trigger)</f>
        <v>0.25555555555555554</v>
      </c>
      <c r="T764" s="33">
        <f>_xll.qlIndexFixing(Index,P764,,AllTriggers)</f>
        <v>1.0346774567360797E-2</v>
      </c>
      <c r="U764" s="34">
        <f>_xll.qlYieldTSDiscount(OisCurve,Q764,,AllTriggers)</f>
        <v>0.94837914733737594</v>
      </c>
      <c r="V764" s="34">
        <f>_xll.qlYieldTSDiscount(OisCurve,R764,,AllTriggers)</f>
        <v>0.94621374017572768</v>
      </c>
      <c r="W764" s="33">
        <f t="shared" si="53"/>
        <v>8.9549876649362651E-3</v>
      </c>
      <c r="X764" s="35">
        <f t="shared" si="54"/>
        <v>3.5480381327645524E-4</v>
      </c>
      <c r="Y764" s="33">
        <f t="shared" si="55"/>
        <v>1.3917869024245317E-3</v>
      </c>
      <c r="Z764" s="54"/>
    </row>
    <row r="765" spans="15:26" x14ac:dyDescent="0.25">
      <c r="O765" s="37" t="s">
        <v>19</v>
      </c>
      <c r="P765" s="31">
        <f>_xll.qlCalendarAdvance(Calendar,P764,O764,"f",,Trigger)</f>
        <v>46937</v>
      </c>
      <c r="Q765" s="31">
        <f>_xll.qlInterestRateIndexValueDate(Index,P765,Trigger)</f>
        <v>46939</v>
      </c>
      <c r="R765" s="31">
        <f>_xll.qlInterestRateIndexMaturity(Index,Q765,Trigger)</f>
        <v>47031</v>
      </c>
      <c r="S765" s="32">
        <f>_xll.qlDayCounterYearFraction(DayCounter,Q765,R765,,,Trigger)</f>
        <v>0.25555555555555554</v>
      </c>
      <c r="T765" s="33">
        <f>_xll.qlIndexFixing(Index,P765,,AllTriggers)</f>
        <v>1.0357563369522017E-2</v>
      </c>
      <c r="U765" s="34">
        <f>_xll.qlYieldTSDiscount(OisCurve,Q765,,AllTriggers)</f>
        <v>0.94769848297894477</v>
      </c>
      <c r="V765" s="34">
        <f>_xll.qlYieldTSDiscount(OisCurve,R765,,AllTriggers)</f>
        <v>0.9455277582495164</v>
      </c>
      <c r="W765" s="33">
        <f t="shared" si="53"/>
        <v>8.9834911471186208E-3</v>
      </c>
      <c r="X765" s="35">
        <f t="shared" si="54"/>
        <v>3.5028611173798649E-4</v>
      </c>
      <c r="Y765" s="33">
        <f t="shared" si="55"/>
        <v>1.3740722224033965E-3</v>
      </c>
      <c r="Z765" s="54"/>
    </row>
    <row r="766" spans="15:26" x14ac:dyDescent="0.25">
      <c r="O766" s="37" t="s">
        <v>19</v>
      </c>
      <c r="P766" s="31">
        <f>_xll.qlCalendarAdvance(Calendar,P765,O765,"f",,Trigger)</f>
        <v>46968</v>
      </c>
      <c r="Q766" s="31">
        <f>_xll.qlInterestRateIndexValueDate(Index,P766,Trigger)</f>
        <v>46972</v>
      </c>
      <c r="R766" s="31">
        <f>_xll.qlInterestRateIndexMaturity(Index,Q766,Trigger)</f>
        <v>47064</v>
      </c>
      <c r="S766" s="32">
        <f>_xll.qlDayCounterYearFraction(DayCounter,Q766,R766,,,Trigger)</f>
        <v>0.25555555555555554</v>
      </c>
      <c r="T766" s="33">
        <f>_xll.qlIndexFixing(Index,P766,,AllTriggers)</f>
        <v>1.0369049873891419E-2</v>
      </c>
      <c r="U766" s="34">
        <f>_xll.qlYieldTSDiscount(OisCurve,Q766,,AllTriggers)</f>
        <v>0.9469217458753556</v>
      </c>
      <c r="V766" s="34">
        <f>_xll.qlYieldTSDiscount(OisCurve,R766,,AllTriggers)</f>
        <v>0.94474542387109184</v>
      </c>
      <c r="W766" s="33">
        <f t="shared" si="53"/>
        <v>9.0141136545397321E-3</v>
      </c>
      <c r="X766" s="35">
        <f t="shared" si="54"/>
        <v>3.4540600170278145E-4</v>
      </c>
      <c r="Y766" s="33">
        <f t="shared" si="55"/>
        <v>1.3549362193516871E-3</v>
      </c>
      <c r="Z766" s="54"/>
    </row>
    <row r="767" spans="15:26" x14ac:dyDescent="0.25">
      <c r="O767" s="37" t="s">
        <v>19</v>
      </c>
      <c r="P767" s="31">
        <f>_xll.qlCalendarAdvance(Calendar,P766,O766,"f",,Trigger)</f>
        <v>47000</v>
      </c>
      <c r="Q767" s="31">
        <f>_xll.qlInterestRateIndexValueDate(Index,P767,Trigger)</f>
        <v>47002</v>
      </c>
      <c r="R767" s="31">
        <f>_xll.qlInterestRateIndexMaturity(Index,Q767,Trigger)</f>
        <v>47093</v>
      </c>
      <c r="S767" s="32">
        <f>_xll.qlDayCounterYearFraction(DayCounter,Q767,R767,,,Trigger)</f>
        <v>0.25277777777777777</v>
      </c>
      <c r="T767" s="33">
        <f>_xll.qlIndexFixing(Index,P767,,AllTriggers)</f>
        <v>1.037846225162452E-2</v>
      </c>
      <c r="U767" s="34">
        <f>_xll.qlYieldTSDiscount(OisCurve,Q767,,AllTriggers)</f>
        <v>0.94621374017572768</v>
      </c>
      <c r="V767" s="34">
        <f>_xll.qlYieldTSDiscount(OisCurve,R767,,AllTriggers)</f>
        <v>0.94405652457274114</v>
      </c>
      <c r="W767" s="33">
        <f t="shared" si="53"/>
        <v>9.0397550633328494E-3</v>
      </c>
      <c r="X767" s="35">
        <f t="shared" si="54"/>
        <v>3.375669586994218E-4</v>
      </c>
      <c r="Y767" s="33">
        <f t="shared" si="55"/>
        <v>1.3387071882916702E-3</v>
      </c>
      <c r="Z767" s="54"/>
    </row>
    <row r="768" spans="15:26" x14ac:dyDescent="0.25">
      <c r="O768" s="37" t="s">
        <v>19</v>
      </c>
      <c r="P768" s="31">
        <f>_xll.qlCalendarAdvance(Calendar,P767,O767,"f",,Trigger)</f>
        <v>47030</v>
      </c>
      <c r="Q768" s="31">
        <f>_xll.qlInterestRateIndexValueDate(Index,P768,Trigger)</f>
        <v>47032</v>
      </c>
      <c r="R768" s="31">
        <f>_xll.qlInterestRateIndexMaturity(Index,Q768,Trigger)</f>
        <v>47126</v>
      </c>
      <c r="S768" s="32">
        <f>_xll.qlDayCounterYearFraction(DayCounter,Q768,R768,,,Trigger)</f>
        <v>0.26111111111111113</v>
      </c>
      <c r="T768" s="33">
        <f>_xll.qlIndexFixing(Index,P768,,AllTriggers)</f>
        <v>1.0388354846033022E-2</v>
      </c>
      <c r="U768" s="34">
        <f>_xll.qlYieldTSDiscount(OisCurve,Q768,,AllTriggers)</f>
        <v>0.94550407750331622</v>
      </c>
      <c r="V768" s="34">
        <f>_xll.qlYieldTSDiscount(OisCurve,R768,,AllTriggers)</f>
        <v>0.94327117398830118</v>
      </c>
      <c r="W768" s="33">
        <f t="shared" si="53"/>
        <v>9.0658398268401424E-3</v>
      </c>
      <c r="X768" s="35">
        <f t="shared" si="54"/>
        <v>3.4444852086104989E-4</v>
      </c>
      <c r="Y768" s="33">
        <f t="shared" si="55"/>
        <v>1.3225150191928797E-3</v>
      </c>
      <c r="Z768" s="54"/>
    </row>
    <row r="769" spans="15:26" x14ac:dyDescent="0.25">
      <c r="O769" s="37" t="s">
        <v>19</v>
      </c>
      <c r="P769" s="31">
        <f>_xll.qlCalendarAdvance(Calendar,P768,O768,"f",,Trigger)</f>
        <v>47063</v>
      </c>
      <c r="Q769" s="31">
        <f>_xll.qlInterestRateIndexValueDate(Index,P769,Trigger)</f>
        <v>47065</v>
      </c>
      <c r="R769" s="31">
        <f>_xll.qlInterestRateIndexMaturity(Index,Q769,Trigger)</f>
        <v>47157</v>
      </c>
      <c r="S769" s="32">
        <f>_xll.qlDayCounterYearFraction(DayCounter,Q769,R769,,,Trigger)</f>
        <v>0.25555555555555554</v>
      </c>
      <c r="T769" s="33">
        <f>_xll.qlIndexFixing(Index,P769,,AllTriggers)</f>
        <v>1.0396893986953601E-2</v>
      </c>
      <c r="U769" s="34">
        <f>_xll.qlYieldTSDiscount(OisCurve,Q769,,AllTriggers)</f>
        <v>0.94472168966159453</v>
      </c>
      <c r="V769" s="34">
        <f>_xll.qlYieldTSDiscount(OisCurve,R769,,AllTriggers)</f>
        <v>0.94253217959047353</v>
      </c>
      <c r="W769" s="33">
        <f t="shared" si="53"/>
        <v>9.0900324571511742E-3</v>
      </c>
      <c r="X769" s="35">
        <f t="shared" si="54"/>
        <v>3.3314619462741616E-4</v>
      </c>
      <c r="Y769" s="33">
        <f t="shared" si="55"/>
        <v>1.3068615298024271E-3</v>
      </c>
      <c r="Z769" s="54"/>
    </row>
    <row r="770" spans="15:26" x14ac:dyDescent="0.25">
      <c r="O770" s="37" t="s">
        <v>19</v>
      </c>
      <c r="P770" s="31">
        <f>_xll.qlCalendarAdvance(Calendar,P769,O769,"f",,Trigger)</f>
        <v>47093</v>
      </c>
      <c r="Q770" s="31">
        <f>_xll.qlInterestRateIndexValueDate(Index,P770,Trigger)</f>
        <v>47095</v>
      </c>
      <c r="R770" s="31">
        <f>_xll.qlInterestRateIndexMaturity(Index,Q770,Trigger)</f>
        <v>47185</v>
      </c>
      <c r="S770" s="32">
        <f>_xll.qlDayCounterYearFraction(DayCounter,Q770,R770,,,Trigger)</f>
        <v>0.25</v>
      </c>
      <c r="T770" s="33">
        <f>_xll.qlIndexFixing(Index,P770,,AllTriggers)</f>
        <v>1.0403921031802987E-2</v>
      </c>
      <c r="U770" s="34">
        <f>_xll.qlYieldTSDiscount(OisCurve,Q770,,AllTriggers)</f>
        <v>0.94400896939341328</v>
      </c>
      <c r="V770" s="34">
        <f>_xll.qlYieldTSDiscount(OisCurve,R770,,AllTriggers)</f>
        <v>0.9418637879327334</v>
      </c>
      <c r="W770" s="33">
        <f t="shared" si="53"/>
        <v>9.1103681367270539E-3</v>
      </c>
      <c r="X770" s="35">
        <f t="shared" si="54"/>
        <v>3.2260130966818015E-4</v>
      </c>
      <c r="Y770" s="33">
        <f t="shared" si="55"/>
        <v>1.2935528950759334E-3</v>
      </c>
      <c r="Z770" s="54"/>
    </row>
    <row r="771" spans="15:26" x14ac:dyDescent="0.25">
      <c r="O771" s="37" t="s">
        <v>19</v>
      </c>
      <c r="P771" s="31">
        <f>_xll.qlCalendarAdvance(Calendar,P770,O770,"f",,Trigger)</f>
        <v>47126</v>
      </c>
      <c r="Q771" s="31">
        <f>_xll.qlInterestRateIndexValueDate(Index,P771,Trigger)</f>
        <v>47128</v>
      </c>
      <c r="R771" s="31">
        <f>_xll.qlInterestRateIndexMaturity(Index,Q771,Trigger)</f>
        <v>47218</v>
      </c>
      <c r="S771" s="32">
        <f>_xll.qlDayCounterYearFraction(DayCounter,Q771,R771,,,Trigger)</f>
        <v>0.25</v>
      </c>
      <c r="T771" s="33">
        <f>_xll.qlIndexFixing(Index,P771,,AllTriggers)</f>
        <v>1.0411454970488343E-2</v>
      </c>
      <c r="U771" s="34">
        <f>_xll.qlYieldTSDiscount(OisCurve,Q771,,AllTriggers)</f>
        <v>0.94322353159479444</v>
      </c>
      <c r="V771" s="34">
        <f>_xll.qlYieldTSDiscount(OisCurve,R771,,AllTriggers)</f>
        <v>0.94107507447870642</v>
      </c>
      <c r="W771" s="33">
        <f t="shared" si="53"/>
        <v>9.1319265565639185E-3</v>
      </c>
      <c r="X771" s="35">
        <f t="shared" si="54"/>
        <v>3.1910256330288213E-4</v>
      </c>
      <c r="Y771" s="33">
        <f t="shared" si="55"/>
        <v>1.2795284139244245E-3</v>
      </c>
      <c r="Z771" s="54"/>
    </row>
    <row r="772" spans="15:26" x14ac:dyDescent="0.25">
      <c r="O772" s="37" t="s">
        <v>19</v>
      </c>
      <c r="P772" s="31">
        <f>_xll.qlCalendarAdvance(Calendar,P771,O771,"f",,Trigger)</f>
        <v>47157</v>
      </c>
      <c r="Q772" s="31">
        <f>_xll.qlInterestRateIndexValueDate(Index,P772,Trigger)</f>
        <v>47161</v>
      </c>
      <c r="R772" s="31">
        <f>_xll.qlInterestRateIndexMaturity(Index,Q772,Trigger)</f>
        <v>47252</v>
      </c>
      <c r="S772" s="32">
        <f>_xll.qlDayCounterYearFraction(DayCounter,Q772,R772,,,Trigger)</f>
        <v>0.25277777777777777</v>
      </c>
      <c r="T772" s="33">
        <f>_xll.qlIndexFixing(Index,P772,,AllTriggers)</f>
        <v>1.0418387245221409E-2</v>
      </c>
      <c r="U772" s="34">
        <f>_xll.qlYieldTSDiscount(OisCurve,Q772,,AllTriggers)</f>
        <v>0.94243674545884049</v>
      </c>
      <c r="V772" s="34">
        <f>_xll.qlYieldTSDiscount(OisCurve,R772,,AllTriggers)</f>
        <v>0.94026153757596076</v>
      </c>
      <c r="W772" s="33">
        <f t="shared" ref="W772:W835" si="56">(U772/V772-1)/S772</f>
        <v>9.15194087422792E-3</v>
      </c>
      <c r="X772" s="35">
        <f t="shared" ref="X772:X835" si="57">LN((1+T772*S772)/(1+W772*S772))</f>
        <v>3.1933962442718945E-4</v>
      </c>
      <c r="Y772" s="33">
        <f t="shared" ref="Y772:Y835" si="58">T772-W772</f>
        <v>1.2664463709934886E-3</v>
      </c>
      <c r="Z772" s="54"/>
    </row>
    <row r="773" spans="15:26" x14ac:dyDescent="0.25">
      <c r="O773" s="37" t="s">
        <v>19</v>
      </c>
      <c r="P773" s="31">
        <f>_xll.qlCalendarAdvance(Calendar,P772,O772,"f",,Trigger)</f>
        <v>47185</v>
      </c>
      <c r="Q773" s="31">
        <f>_xll.qlInterestRateIndexValueDate(Index,P773,Trigger)</f>
        <v>47189</v>
      </c>
      <c r="R773" s="31">
        <f>_xll.qlInterestRateIndexMaturity(Index,Q773,Trigger)</f>
        <v>47281</v>
      </c>
      <c r="S773" s="32">
        <f>_xll.qlDayCounterYearFraction(DayCounter,Q773,R773,,,Trigger)</f>
        <v>0.25555555555555554</v>
      </c>
      <c r="T773" s="33">
        <f>_xll.qlIndexFixing(Index,P773,,AllTriggers)</f>
        <v>1.0423624077992457E-2</v>
      </c>
      <c r="U773" s="34">
        <f>_xll.qlYieldTSDiscount(OisCurve,Q773,,AllTriggers)</f>
        <v>0.94176823905089291</v>
      </c>
      <c r="V773" s="34">
        <f>_xll.qlYieldTSDiscount(OisCurve,R773,,AllTriggers)</f>
        <v>0.93956703574478884</v>
      </c>
      <c r="W773" s="33">
        <f t="shared" si="56"/>
        <v>9.1674185168158628E-3</v>
      </c>
      <c r="X773" s="35">
        <f t="shared" si="57"/>
        <v>3.2022868439240384E-4</v>
      </c>
      <c r="Y773" s="33">
        <f t="shared" si="58"/>
        <v>1.2562055611765946E-3</v>
      </c>
      <c r="Z773" s="54"/>
    </row>
    <row r="774" spans="15:26" x14ac:dyDescent="0.25">
      <c r="O774" s="37" t="s">
        <v>19</v>
      </c>
      <c r="P774" s="31">
        <f>_xll.qlCalendarAdvance(Calendar,P773,O773,"f",,Trigger)</f>
        <v>47217</v>
      </c>
      <c r="Q774" s="31">
        <f>_xll.qlInterestRateIndexValueDate(Index,P774,Trigger)</f>
        <v>47219</v>
      </c>
      <c r="R774" s="31">
        <f>_xll.qlInterestRateIndexMaturity(Index,Q774,Trigger)</f>
        <v>47310</v>
      </c>
      <c r="S774" s="32">
        <f>_xll.qlDayCounterYearFraction(DayCounter,Q774,R774,,,Trigger)</f>
        <v>0.25277777777777777</v>
      </c>
      <c r="T774" s="33">
        <f>_xll.qlIndexFixing(Index,P774,,AllTriggers)</f>
        <v>1.0428088812762816E-2</v>
      </c>
      <c r="U774" s="34">
        <f>_xll.qlYieldTSDiscount(OisCurve,Q774,,AllTriggers)</f>
        <v>0.94105115941275064</v>
      </c>
      <c r="V774" s="34">
        <f>_xll.qlYieldTSDiscount(OisCurve,R774,,AllTriggers)</f>
        <v>0.93887210005181621</v>
      </c>
      <c r="W774" s="33">
        <f t="shared" si="56"/>
        <v>9.1817134774906765E-3</v>
      </c>
      <c r="X774" s="35">
        <f t="shared" si="57"/>
        <v>3.1427706662891355E-4</v>
      </c>
      <c r="Y774" s="33">
        <f t="shared" si="58"/>
        <v>1.2463753352721391E-3</v>
      </c>
      <c r="Z774" s="54"/>
    </row>
    <row r="775" spans="15:26" x14ac:dyDescent="0.25">
      <c r="O775" s="37" t="s">
        <v>19</v>
      </c>
      <c r="P775" s="31">
        <f>_xll.qlCalendarAdvance(Calendar,P774,O774,"f",,Trigger)</f>
        <v>47247</v>
      </c>
      <c r="Q775" s="31">
        <f>_xll.qlInterestRateIndexValueDate(Index,P775,Trigger)</f>
        <v>47249</v>
      </c>
      <c r="R775" s="31">
        <f>_xll.qlInterestRateIndexMaturity(Index,Q775,Trigger)</f>
        <v>47343</v>
      </c>
      <c r="S775" s="32">
        <f>_xll.qlDayCounterYearFraction(DayCounter,Q775,R775,,,Trigger)</f>
        <v>0.26111111111111113</v>
      </c>
      <c r="T775" s="33">
        <f>_xll.qlIndexFixing(Index,P775,,AllTriggers)</f>
        <v>1.0432703825412969E-2</v>
      </c>
      <c r="U775" s="34">
        <f>_xll.qlYieldTSDiscount(OisCurve,Q775,,AllTriggers)</f>
        <v>0.94033335325441791</v>
      </c>
      <c r="V775" s="34">
        <f>_xll.qlYieldTSDiscount(OisCurve,R775,,AllTriggers)</f>
        <v>0.93808092855078906</v>
      </c>
      <c r="W775" s="33">
        <f t="shared" si="56"/>
        <v>9.1956963552452843E-3</v>
      </c>
      <c r="X775" s="35">
        <f t="shared" si="57"/>
        <v>3.2217080394600773E-4</v>
      </c>
      <c r="Y775" s="33">
        <f t="shared" si="58"/>
        <v>1.2370074701676843E-3</v>
      </c>
      <c r="Z775" s="54"/>
    </row>
    <row r="776" spans="15:26" x14ac:dyDescent="0.25">
      <c r="O776" s="37" t="s">
        <v>19</v>
      </c>
      <c r="P776" s="31">
        <f>_xll.qlCalendarAdvance(Calendar,P775,O775,"f",,Trigger)</f>
        <v>47280</v>
      </c>
      <c r="Q776" s="31">
        <f>_xll.qlInterestRateIndexValueDate(Index,P776,Trigger)</f>
        <v>47282</v>
      </c>
      <c r="R776" s="31">
        <f>_xll.qlInterestRateIndexMaturity(Index,Q776,Trigger)</f>
        <v>47374</v>
      </c>
      <c r="S776" s="32">
        <f>_xll.qlDayCounterYearFraction(DayCounter,Q776,R776,,,Trigger)</f>
        <v>0.25555555555555554</v>
      </c>
      <c r="T776" s="33">
        <f>_xll.qlIndexFixing(Index,P776,,AllTriggers)</f>
        <v>1.0435874968692612E-2</v>
      </c>
      <c r="U776" s="34">
        <f>_xll.qlYieldTSDiscount(OisCurve,Q776,,AllTriggers)</f>
        <v>0.93954307901162193</v>
      </c>
      <c r="V776" s="34">
        <f>_xll.qlYieldTSDiscount(OisCurve,R776,,AllTriggers)</f>
        <v>0.9373374792203516</v>
      </c>
      <c r="W776" s="33">
        <f t="shared" si="56"/>
        <v>9.207577921734782E-3</v>
      </c>
      <c r="X776" s="35">
        <f t="shared" si="57"/>
        <v>3.1311222611453735E-4</v>
      </c>
      <c r="Y776" s="33">
        <f t="shared" si="58"/>
        <v>1.2282970469578297E-3</v>
      </c>
      <c r="Z776" s="54"/>
    </row>
    <row r="777" spans="15:26" x14ac:dyDescent="0.25">
      <c r="O777" s="37" t="s">
        <v>19</v>
      </c>
      <c r="P777" s="31">
        <f>_xll.qlCalendarAdvance(Calendar,P776,O776,"f",,Trigger)</f>
        <v>47310</v>
      </c>
      <c r="Q777" s="31">
        <f>_xll.qlInterestRateIndexValueDate(Index,P777,Trigger)</f>
        <v>47312</v>
      </c>
      <c r="R777" s="31">
        <f>_xll.qlInterestRateIndexMaturity(Index,Q777,Trigger)</f>
        <v>47406</v>
      </c>
      <c r="S777" s="32">
        <f>_xll.qlDayCounterYearFraction(DayCounter,Q777,R777,,,Trigger)</f>
        <v>0.26111111111111113</v>
      </c>
      <c r="T777" s="33">
        <f>_xll.qlIndexFixing(Index,P777,,AllTriggers)</f>
        <v>1.0438763934624012E-2</v>
      </c>
      <c r="U777" s="34">
        <f>_xll.qlYieldTSDiscount(OisCurve,Q777,,AllTriggers)</f>
        <v>0.93882416036202387</v>
      </c>
      <c r="V777" s="34">
        <f>_xll.qlYieldTSDiscount(OisCurve,R777,,AllTriggers)</f>
        <v>0.93656996630009404</v>
      </c>
      <c r="W777" s="33">
        <f t="shared" si="56"/>
        <v>9.2177669069812701E-3</v>
      </c>
      <c r="X777" s="35">
        <f t="shared" si="57"/>
        <v>3.1799982006088694E-4</v>
      </c>
      <c r="Y777" s="33">
        <f t="shared" si="58"/>
        <v>1.220997027642742E-3</v>
      </c>
      <c r="Z777" s="54"/>
    </row>
    <row r="778" spans="15:26" x14ac:dyDescent="0.25">
      <c r="O778" s="37" t="s">
        <v>19</v>
      </c>
      <c r="P778" s="31">
        <f>_xll.qlCalendarAdvance(Calendar,P777,O777,"f",,Trigger)</f>
        <v>47343</v>
      </c>
      <c r="Q778" s="31">
        <f>_xll.qlInterestRateIndexValueDate(Index,P778,Trigger)</f>
        <v>47345</v>
      </c>
      <c r="R778" s="31">
        <f>_xll.qlInterestRateIndexMaturity(Index,Q778,Trigger)</f>
        <v>47437</v>
      </c>
      <c r="S778" s="32">
        <f>_xll.qlDayCounterYearFraction(DayCounter,Q778,R778,,,Trigger)</f>
        <v>0.25555555555555554</v>
      </c>
      <c r="T778" s="33">
        <f>_xll.qlIndexFixing(Index,P778,,AllTriggers)</f>
        <v>1.0440376995088641E-2</v>
      </c>
      <c r="U778" s="34">
        <f>_xll.qlYieldTSDiscount(OisCurve,Q778,,AllTriggers)</f>
        <v>0.93803296915688827</v>
      </c>
      <c r="V778" s="34">
        <f>_xll.qlYieldTSDiscount(OisCurve,R778,,AllTriggers)</f>
        <v>0.93582650111285592</v>
      </c>
      <c r="W778" s="33">
        <f t="shared" si="56"/>
        <v>9.226074896815083E-3</v>
      </c>
      <c r="X778" s="35">
        <f t="shared" si="57"/>
        <v>3.095437862390963E-4</v>
      </c>
      <c r="Y778" s="33">
        <f t="shared" si="58"/>
        <v>1.2143020982735581E-3</v>
      </c>
      <c r="Z778" s="54"/>
    </row>
    <row r="779" spans="15:26" x14ac:dyDescent="0.25">
      <c r="O779" s="37" t="s">
        <v>19</v>
      </c>
      <c r="P779" s="31">
        <f>_xll.qlCalendarAdvance(Calendar,P778,O778,"f",,Trigger)</f>
        <v>47374</v>
      </c>
      <c r="Q779" s="31">
        <f>_xll.qlInterestRateIndexValueDate(Index,P779,Trigger)</f>
        <v>47378</v>
      </c>
      <c r="R779" s="31">
        <f>_xll.qlInterestRateIndexMaturity(Index,Q779,Trigger)</f>
        <v>47469</v>
      </c>
      <c r="S779" s="32">
        <f>_xll.qlDayCounterYearFraction(DayCounter,Q779,R779,,,Trigger)</f>
        <v>0.25277777777777777</v>
      </c>
      <c r="T779" s="33">
        <f>_xll.qlIndexFixing(Index,P779,,AllTriggers)</f>
        <v>1.0441354960884821E-2</v>
      </c>
      <c r="U779" s="34">
        <f>_xll.qlYieldTSDiscount(OisCurve,Q779,,AllTriggers)</f>
        <v>0.93724154159330786</v>
      </c>
      <c r="V779" s="34">
        <f>_xll.qlYieldTSDiscount(OisCurve,R779,,AllTriggers)</f>
        <v>0.93505926558339636</v>
      </c>
      <c r="W779" s="33">
        <f t="shared" si="56"/>
        <v>9.232762175822036E-3</v>
      </c>
      <c r="X779" s="35">
        <f t="shared" si="57"/>
        <v>3.0474761848971437E-4</v>
      </c>
      <c r="Y779" s="33">
        <f t="shared" si="58"/>
        <v>1.2085927850627853E-3</v>
      </c>
      <c r="Z779" s="54"/>
    </row>
    <row r="780" spans="15:26" x14ac:dyDescent="0.25">
      <c r="O780" s="37" t="s">
        <v>19</v>
      </c>
      <c r="P780" s="31">
        <f>_xll.qlCalendarAdvance(Calendar,P779,O779,"f",,Trigger)</f>
        <v>47406</v>
      </c>
      <c r="Q780" s="31">
        <f>_xll.qlInterestRateIndexValueDate(Index,P780,Trigger)</f>
        <v>47408</v>
      </c>
      <c r="R780" s="31">
        <f>_xll.qlInterestRateIndexMaturity(Index,Q780,Trigger)</f>
        <v>47500</v>
      </c>
      <c r="S780" s="32">
        <f>_xll.qlDayCounterYearFraction(DayCounter,Q780,R780,,,Trigger)</f>
        <v>0.25555555555555554</v>
      </c>
      <c r="T780" s="33">
        <f>_xll.qlIndexFixing(Index,P780,,AllTriggers)</f>
        <v>1.044181222958337E-2</v>
      </c>
      <c r="U780" s="34">
        <f>_xll.qlYieldTSDiscount(OisCurve,Q780,,AllTriggers)</f>
        <v>0.93652199741424047</v>
      </c>
      <c r="V780" s="34">
        <f>_xll.qlYieldTSDiscount(OisCurve,R780,,AllTriggers)</f>
        <v>0.93431635278820646</v>
      </c>
      <c r="W780" s="33">
        <f t="shared" si="56"/>
        <v>9.2375385419586689E-3</v>
      </c>
      <c r="X780" s="35">
        <f t="shared" si="57"/>
        <v>3.0698688946752793E-4</v>
      </c>
      <c r="Y780" s="33">
        <f t="shared" si="58"/>
        <v>1.2042736876247007E-3</v>
      </c>
      <c r="Z780" s="54"/>
    </row>
    <row r="781" spans="15:26" x14ac:dyDescent="0.25">
      <c r="O781" s="37" t="s">
        <v>19</v>
      </c>
      <c r="P781" s="31">
        <f>_xll.qlCalendarAdvance(Calendar,P780,O780,"f",,Trigger)</f>
        <v>47437</v>
      </c>
      <c r="Q781" s="31">
        <f>_xll.qlInterestRateIndexValueDate(Index,P781,Trigger)</f>
        <v>47441</v>
      </c>
      <c r="R781" s="31">
        <f>_xll.qlInterestRateIndexMaturity(Index,Q781,Trigger)</f>
        <v>47533</v>
      </c>
      <c r="S781" s="32">
        <f>_xll.qlDayCounterYearFraction(DayCounter,Q781,R781,,,Trigger)</f>
        <v>0.25555555555555554</v>
      </c>
      <c r="T781" s="33">
        <f>_xll.qlIndexFixing(Index,P781,,AllTriggers)</f>
        <v>1.0441340082572316E-2</v>
      </c>
      <c r="U781" s="34">
        <f>_xll.qlYieldTSDiscount(OisCurve,Q781,,AllTriggers)</f>
        <v>0.93573058185913383</v>
      </c>
      <c r="V781" s="34">
        <f>_xll.qlYieldTSDiscount(OisCurve,R781,,AllTriggers)</f>
        <v>0.93352604003777073</v>
      </c>
      <c r="W781" s="33">
        <f t="shared" si="56"/>
        <v>9.2407363337065895E-3</v>
      </c>
      <c r="X781" s="35">
        <f t="shared" si="57"/>
        <v>3.0605126232917173E-4</v>
      </c>
      <c r="Y781" s="33">
        <f t="shared" si="58"/>
        <v>1.2006037488657261E-3</v>
      </c>
      <c r="Z781" s="54"/>
    </row>
    <row r="782" spans="15:26" x14ac:dyDescent="0.25">
      <c r="O782" s="37" t="s">
        <v>19</v>
      </c>
      <c r="P782" s="31">
        <f>_xll.qlCalendarAdvance(Calendar,P781,O781,"f",,Trigger)</f>
        <v>47469</v>
      </c>
      <c r="Q782" s="31">
        <f>_xll.qlInterestRateIndexValueDate(Index,P782,Trigger)</f>
        <v>47471</v>
      </c>
      <c r="R782" s="31">
        <f>_xll.qlInterestRateIndexMaturity(Index,Q782,Trigger)</f>
        <v>47561</v>
      </c>
      <c r="S782" s="32">
        <f>_xll.qlDayCounterYearFraction(DayCounter,Q782,R782,,,Trigger)</f>
        <v>0.25</v>
      </c>
      <c r="T782" s="33">
        <f>_xll.qlIndexFixing(Index,P782,,AllTriggers)</f>
        <v>1.0439939739684156E-2</v>
      </c>
      <c r="U782" s="34">
        <f>_xll.qlYieldTSDiscount(OisCurve,Q782,,AllTriggers)</f>
        <v>0.93501132392111075</v>
      </c>
      <c r="V782" s="34">
        <f>_xll.qlYieldTSDiscount(OisCurve,R782,,AllTriggers)</f>
        <v>0.93285601997297474</v>
      </c>
      <c r="W782" s="33">
        <f t="shared" si="56"/>
        <v>9.2417432143427902E-3</v>
      </c>
      <c r="X782" s="35">
        <f t="shared" si="57"/>
        <v>2.9881398829170524E-4</v>
      </c>
      <c r="Y782" s="33">
        <f t="shared" si="58"/>
        <v>1.1981965253413662E-3</v>
      </c>
      <c r="Z782" s="54"/>
    </row>
    <row r="783" spans="15:26" x14ac:dyDescent="0.25">
      <c r="O783" s="37" t="s">
        <v>19</v>
      </c>
      <c r="P783" s="31">
        <f>_xll.qlCalendarAdvance(Calendar,P782,O782,"f",,Trigger)</f>
        <v>47500</v>
      </c>
      <c r="Q783" s="31">
        <f>_xll.qlInterestRateIndexValueDate(Index,P783,Trigger)</f>
        <v>47504</v>
      </c>
      <c r="R783" s="31">
        <f>_xll.qlInterestRateIndexMaturity(Index,Q783,Trigger)</f>
        <v>47596</v>
      </c>
      <c r="S783" s="32">
        <f>_xll.qlDayCounterYearFraction(DayCounter,Q783,R783,,,Trigger)</f>
        <v>0.25555555555555554</v>
      </c>
      <c r="T783" s="33">
        <f>_xll.qlIndexFixing(Index,P783,,AllTriggers)</f>
        <v>1.0438102106301729E-2</v>
      </c>
      <c r="U783" s="34">
        <f>_xll.qlYieldTSDiscount(OisCurve,Q783,,AllTriggers)</f>
        <v>0.93422052509917974</v>
      </c>
      <c r="V783" s="34">
        <f>_xll.qlYieldTSDiscount(OisCurve,R783,,AllTriggers)</f>
        <v>0.93201936362222748</v>
      </c>
      <c r="W783" s="33">
        <f t="shared" si="56"/>
        <v>9.241482417824555E-3</v>
      </c>
      <c r="X783" s="35">
        <f t="shared" si="57"/>
        <v>3.0503576457323637E-4</v>
      </c>
      <c r="Y783" s="33">
        <f t="shared" si="58"/>
        <v>1.196619688477174E-3</v>
      </c>
      <c r="Z783" s="54"/>
    </row>
    <row r="784" spans="15:26" x14ac:dyDescent="0.25">
      <c r="O784" s="37" t="s">
        <v>19</v>
      </c>
      <c r="P784" s="31">
        <f>_xll.qlCalendarAdvance(Calendar,P783,O783,"f",,Trigger)</f>
        <v>47532</v>
      </c>
      <c r="Q784" s="31">
        <f>_xll.qlInterestRateIndexValueDate(Index,P784,Trigger)</f>
        <v>47534</v>
      </c>
      <c r="R784" s="31">
        <f>_xll.qlInterestRateIndexMaturity(Index,Q784,Trigger)</f>
        <v>47623</v>
      </c>
      <c r="S784" s="32">
        <f>_xll.qlDayCounterYearFraction(DayCounter,Q784,R784,,,Trigger)</f>
        <v>0.24722222222222223</v>
      </c>
      <c r="T784" s="33">
        <f>_xll.qlIndexFixing(Index,P784,,AllTriggers)</f>
        <v>1.0435198429441092E-2</v>
      </c>
      <c r="U784" s="34">
        <f>_xll.qlYieldTSDiscount(OisCurve,Q784,,AllTriggers)</f>
        <v>0.93350210138311129</v>
      </c>
      <c r="V784" s="34">
        <f>_xll.qlYieldTSDiscount(OisCurve,R784,,AllTriggers)</f>
        <v>0.93137471078834422</v>
      </c>
      <c r="W784" s="33">
        <f t="shared" si="56"/>
        <v>9.2392195534530576E-3</v>
      </c>
      <c r="X784" s="35">
        <f t="shared" si="57"/>
        <v>2.9495523335079838E-4</v>
      </c>
      <c r="Y784" s="33">
        <f t="shared" si="58"/>
        <v>1.1959788759880342E-3</v>
      </c>
      <c r="Z784" s="54"/>
    </row>
    <row r="785" spans="15:26" x14ac:dyDescent="0.25">
      <c r="O785" s="37" t="s">
        <v>19</v>
      </c>
      <c r="P785" s="31">
        <f>_xll.qlCalendarAdvance(Calendar,P784,O784,"f",,Trigger)</f>
        <v>47560</v>
      </c>
      <c r="Q785" s="31">
        <f>_xll.qlInterestRateIndexValueDate(Index,P785,Trigger)</f>
        <v>47562</v>
      </c>
      <c r="R785" s="31">
        <f>_xll.qlInterestRateIndexMaturity(Index,Q785,Trigger)</f>
        <v>47654</v>
      </c>
      <c r="S785" s="32">
        <f>_xll.qlDayCounterYearFraction(DayCounter,Q785,R785,,,Trigger)</f>
        <v>0.25555555555555554</v>
      </c>
      <c r="T785" s="33">
        <f>_xll.qlIndexFixing(Index,P785,,AllTriggers)</f>
        <v>1.0432475429683185E-2</v>
      </c>
      <c r="U785" s="34">
        <f>_xll.qlYieldTSDiscount(OisCurve,Q785,,AllTriggers)</f>
        <v>0.93283210136240269</v>
      </c>
      <c r="V785" s="34">
        <f>_xll.qlYieldTSDiscount(OisCurve,R785,,AllTriggers)</f>
        <v>0.93063543467947962</v>
      </c>
      <c r="W785" s="33">
        <f t="shared" si="56"/>
        <v>9.2363259738605652E-3</v>
      </c>
      <c r="X785" s="35">
        <f t="shared" si="57"/>
        <v>3.0491631450084693E-4</v>
      </c>
      <c r="Y785" s="33">
        <f t="shared" si="58"/>
        <v>1.1961494558226198E-3</v>
      </c>
      <c r="Z785" s="54"/>
    </row>
    <row r="786" spans="15:26" x14ac:dyDescent="0.25">
      <c r="O786" s="37" t="s">
        <v>19</v>
      </c>
      <c r="P786" s="31">
        <f>_xll.qlCalendarAdvance(Calendar,P785,O785,"f",,Trigger)</f>
        <v>47591</v>
      </c>
      <c r="Q786" s="31">
        <f>_xll.qlInterestRateIndexValueDate(Index,P786,Trigger)</f>
        <v>47597</v>
      </c>
      <c r="R786" s="31">
        <f>_xll.qlInterestRateIndexMaturity(Index,Q786,Trigger)</f>
        <v>47688</v>
      </c>
      <c r="S786" s="32">
        <f>_xll.qlDayCounterYearFraction(DayCounter,Q786,R786,,,Trigger)</f>
        <v>0.25277777777777777</v>
      </c>
      <c r="T786" s="33">
        <f>_xll.qlIndexFixing(Index,P786,,AllTriggers)</f>
        <v>1.042794620331417E-2</v>
      </c>
      <c r="U786" s="34">
        <f>_xll.qlYieldTSDiscount(OisCurve,Q786,,AllTriggers)</f>
        <v>0.93199547508475133</v>
      </c>
      <c r="V786" s="34">
        <f>_xll.qlYieldTSDiscount(OisCurve,R786,,AllTriggers)</f>
        <v>0.92982572332260072</v>
      </c>
      <c r="W786" s="33">
        <f t="shared" si="56"/>
        <v>9.2314431935685073E-3</v>
      </c>
      <c r="X786" s="35">
        <f t="shared" si="57"/>
        <v>3.0169973231437358E-4</v>
      </c>
      <c r="Y786" s="33">
        <f t="shared" si="58"/>
        <v>1.1965030097456624E-3</v>
      </c>
      <c r="Z786" s="54"/>
    </row>
    <row r="787" spans="15:26" x14ac:dyDescent="0.25">
      <c r="O787" s="37" t="s">
        <v>19</v>
      </c>
      <c r="P787" s="31">
        <f>_xll.qlCalendarAdvance(Calendar,P786,O786,"f",,Trigger)</f>
        <v>47623</v>
      </c>
      <c r="Q787" s="31">
        <f>_xll.qlInterestRateIndexValueDate(Index,P787,Trigger)</f>
        <v>47625</v>
      </c>
      <c r="R787" s="31">
        <f>_xll.qlInterestRateIndexMaturity(Index,Q787,Trigger)</f>
        <v>47717</v>
      </c>
      <c r="S787" s="32">
        <f>_xll.qlDayCounterYearFraction(DayCounter,Q787,R787,,,Trigger)</f>
        <v>0.25555555555555554</v>
      </c>
      <c r="T787" s="33">
        <f>_xll.qlIndexFixing(Index,P787,,AllTriggers)</f>
        <v>1.0423986241273562E-2</v>
      </c>
      <c r="U787" s="34">
        <f>_xll.qlYieldTSDiscount(OisCurve,Q787,,AllTriggers)</f>
        <v>0.93132698693114502</v>
      </c>
      <c r="V787" s="34">
        <f>_xll.qlYieldTSDiscount(OisCurve,R787,,AllTriggers)</f>
        <v>0.92913602362835634</v>
      </c>
      <c r="W787" s="33">
        <f t="shared" si="56"/>
        <v>9.2272115654351804E-3</v>
      </c>
      <c r="X787" s="35">
        <f t="shared" si="57"/>
        <v>3.0507637690167544E-4</v>
      </c>
      <c r="Y787" s="33">
        <f t="shared" si="58"/>
        <v>1.1967746758383812E-3</v>
      </c>
      <c r="Z787" s="54"/>
    </row>
    <row r="788" spans="15:26" x14ac:dyDescent="0.25">
      <c r="O788" s="37" t="s">
        <v>19</v>
      </c>
      <c r="P788" s="31">
        <f>_xll.qlCalendarAdvance(Calendar,P787,O787,"f",,Trigger)</f>
        <v>47654</v>
      </c>
      <c r="Q788" s="31">
        <f>_xll.qlInterestRateIndexValueDate(Index,P788,Trigger)</f>
        <v>47658</v>
      </c>
      <c r="R788" s="31">
        <f>_xll.qlInterestRateIndexMaturity(Index,Q788,Trigger)</f>
        <v>47750</v>
      </c>
      <c r="S788" s="32">
        <f>_xll.qlDayCounterYearFraction(DayCounter,Q788,R788,,,Trigger)</f>
        <v>0.25555555555555554</v>
      </c>
      <c r="T788" s="33">
        <f>_xll.qlIndexFixing(Index,P788,,AllTriggers)</f>
        <v>1.0418708305651099E-2</v>
      </c>
      <c r="U788" s="34">
        <f>_xll.qlYieldTSDiscount(OisCurve,Q788,,AllTriggers)</f>
        <v>0.93054011386881963</v>
      </c>
      <c r="V788" s="34">
        <f>_xll.qlYieldTSDiscount(OisCurve,R788,,AllTriggers)</f>
        <v>0.92835226538119864</v>
      </c>
      <c r="W788" s="33">
        <f t="shared" si="56"/>
        <v>9.221872531751326E-3</v>
      </c>
      <c r="X788" s="35">
        <f t="shared" si="57"/>
        <v>3.0509236459837696E-4</v>
      </c>
      <c r="Y788" s="33">
        <f t="shared" si="58"/>
        <v>1.1968357738997727E-3</v>
      </c>
      <c r="Z788" s="54"/>
    </row>
    <row r="789" spans="15:26" x14ac:dyDescent="0.25">
      <c r="O789" s="37" t="s">
        <v>19</v>
      </c>
      <c r="P789" s="31">
        <f>_xll.qlCalendarAdvance(Calendar,P788,O788,"f",,Trigger)</f>
        <v>47686</v>
      </c>
      <c r="Q789" s="31">
        <f>_xll.qlInterestRateIndexValueDate(Index,P789,Trigger)</f>
        <v>47688</v>
      </c>
      <c r="R789" s="31">
        <f>_xll.qlInterestRateIndexMaturity(Index,Q789,Trigger)</f>
        <v>47780</v>
      </c>
      <c r="S789" s="32">
        <f>_xll.qlDayCounterYearFraction(DayCounter,Q789,R789,,,Trigger)</f>
        <v>0.25555555555555554</v>
      </c>
      <c r="T789" s="33">
        <f>_xll.qlIndexFixing(Index,P789,,AllTriggers)</f>
        <v>1.0413423628507381E-2</v>
      </c>
      <c r="U789" s="34">
        <f>_xll.qlYieldTSDiscount(OisCurve,Q789,,AllTriggers)</f>
        <v>0.92982572332260072</v>
      </c>
      <c r="V789" s="34">
        <f>_xll.qlYieldTSDiscount(OisCurve,R789,,AllTriggers)</f>
        <v>0.92764076948571006</v>
      </c>
      <c r="W789" s="33">
        <f t="shared" si="56"/>
        <v>9.2167352309083361E-3</v>
      </c>
      <c r="X789" s="35">
        <f t="shared" si="57"/>
        <v>3.0505520127231694E-4</v>
      </c>
      <c r="Y789" s="33">
        <f t="shared" si="58"/>
        <v>1.1966883975990453E-3</v>
      </c>
      <c r="Z789" s="54"/>
    </row>
    <row r="790" spans="15:26" x14ac:dyDescent="0.25">
      <c r="O790" s="37" t="s">
        <v>19</v>
      </c>
      <c r="P790" s="31">
        <f>_xll.qlCalendarAdvance(Calendar,P789,O789,"f",,Trigger)</f>
        <v>47717</v>
      </c>
      <c r="Q790" s="31">
        <f>_xll.qlInterestRateIndexValueDate(Index,P790,Trigger)</f>
        <v>47721</v>
      </c>
      <c r="R790" s="31">
        <f>_xll.qlInterestRateIndexMaturity(Index,Q790,Trigger)</f>
        <v>47813</v>
      </c>
      <c r="S790" s="32">
        <f>_xll.qlDayCounterYearFraction(DayCounter,Q790,R790,,,Trigger)</f>
        <v>0.25555555555555554</v>
      </c>
      <c r="T790" s="33">
        <f>_xll.qlIndexFixing(Index,P790,,AllTriggers)</f>
        <v>1.0407075276720516E-2</v>
      </c>
      <c r="U790" s="34">
        <f>_xll.qlYieldTSDiscount(OisCurve,Q790,,AllTriggers)</f>
        <v>0.92904096136414394</v>
      </c>
      <c r="V790" s="34">
        <f>_xll.qlYieldTSDiscount(OisCurve,R790,,AllTriggers)</f>
        <v>0.92685926071015434</v>
      </c>
      <c r="W790" s="33">
        <f t="shared" si="56"/>
        <v>9.2107722040456145E-3</v>
      </c>
      <c r="X790" s="35">
        <f t="shared" si="57"/>
        <v>3.049574542585795E-4</v>
      </c>
      <c r="Y790" s="33">
        <f t="shared" si="58"/>
        <v>1.1963030726749018E-3</v>
      </c>
      <c r="Z790" s="54"/>
    </row>
    <row r="791" spans="15:26" x14ac:dyDescent="0.25">
      <c r="O791" s="37" t="s">
        <v>19</v>
      </c>
      <c r="P791" s="31">
        <f>_xll.qlCalendarAdvance(Calendar,P790,O790,"f",,Trigger)</f>
        <v>47749</v>
      </c>
      <c r="Q791" s="31">
        <f>_xll.qlInterestRateIndexValueDate(Index,P791,Trigger)</f>
        <v>47751</v>
      </c>
      <c r="R791" s="31">
        <f>_xll.qlInterestRateIndexMaturity(Index,Q791,Trigger)</f>
        <v>47844</v>
      </c>
      <c r="S791" s="32">
        <f>_xll.qlDayCounterYearFraction(DayCounter,Q791,R791,,,Trigger)</f>
        <v>0.25833333333333336</v>
      </c>
      <c r="T791" s="33">
        <f>_xll.qlIndexFixing(Index,P791,,AllTriggers)</f>
        <v>1.0400855418396991E-2</v>
      </c>
      <c r="U791" s="34">
        <f>_xll.qlYieldTSDiscount(OisCurve,Q791,,AllTriggers)</f>
        <v>0.92832853321091457</v>
      </c>
      <c r="V791" s="34">
        <f>_xll.qlYieldTSDiscount(OisCurve,R791,,AllTriggers)</f>
        <v>0.92612622317250426</v>
      </c>
      <c r="W791" s="33">
        <f t="shared" si="56"/>
        <v>9.2050855521876428E-3</v>
      </c>
      <c r="X791" s="35">
        <f t="shared" si="57"/>
        <v>3.0812690681341969E-4</v>
      </c>
      <c r="Y791" s="33">
        <f t="shared" si="58"/>
        <v>1.1957698662093483E-3</v>
      </c>
      <c r="Z791" s="54"/>
    </row>
    <row r="792" spans="15:26" x14ac:dyDescent="0.25">
      <c r="O792" s="37" t="s">
        <v>19</v>
      </c>
      <c r="P792" s="31">
        <f>_xll.qlCalendarAdvance(Calendar,P791,O791,"f",,Trigger)</f>
        <v>47779</v>
      </c>
      <c r="Q792" s="31">
        <f>_xll.qlInterestRateIndexValueDate(Index,P792,Trigger)</f>
        <v>47781</v>
      </c>
      <c r="R792" s="31">
        <f>_xll.qlInterestRateIndexMaturity(Index,Q792,Trigger)</f>
        <v>47875</v>
      </c>
      <c r="S792" s="32">
        <f>_xll.qlDayCounterYearFraction(DayCounter,Q792,R792,,,Trigger)</f>
        <v>0.26111111111111113</v>
      </c>
      <c r="T792" s="33">
        <f>_xll.qlIndexFixing(Index,P792,,AllTriggers)</f>
        <v>1.0394156172127429E-2</v>
      </c>
      <c r="U792" s="34">
        <f>_xll.qlYieldTSDiscount(OisCurve,Q792,,AllTriggers)</f>
        <v>0.92761706978652669</v>
      </c>
      <c r="V792" s="34">
        <f>_xll.qlYieldTSDiscount(OisCurve,R792,,AllTriggers)</f>
        <v>0.92539427987192491</v>
      </c>
      <c r="W792" s="33">
        <f t="shared" si="56"/>
        <v>9.1991193635629284E-3</v>
      </c>
      <c r="X792" s="35">
        <f t="shared" si="57"/>
        <v>3.1124123293292921E-4</v>
      </c>
      <c r="Y792" s="33">
        <f t="shared" si="58"/>
        <v>1.1950368085645001E-3</v>
      </c>
      <c r="Z792" s="54"/>
    </row>
    <row r="793" spans="15:26" x14ac:dyDescent="0.25">
      <c r="O793" s="37" t="s">
        <v>19</v>
      </c>
      <c r="P793" s="31">
        <f>_xll.qlCalendarAdvance(Calendar,P792,O792,"f",,Trigger)</f>
        <v>47812</v>
      </c>
      <c r="Q793" s="31">
        <f>_xll.qlInterestRateIndexValueDate(Index,P793,Trigger)</f>
        <v>47814</v>
      </c>
      <c r="R793" s="31">
        <f>_xll.qlInterestRateIndexMaturity(Index,Q793,Trigger)</f>
        <v>47906</v>
      </c>
      <c r="S793" s="32">
        <f>_xll.qlDayCounterYearFraction(DayCounter,Q793,R793,,,Trigger)</f>
        <v>0.25555555555555554</v>
      </c>
      <c r="T793" s="33">
        <f>_xll.qlIndexFixing(Index,P793,,AllTriggers)</f>
        <v>1.0386167870311765E-2</v>
      </c>
      <c r="U793" s="34">
        <f>_xll.qlYieldTSDiscount(OisCurve,Q793,,AllTriggers)</f>
        <v>0.92683559747623556</v>
      </c>
      <c r="V793" s="34">
        <f>_xll.qlYieldTSDiscount(OisCurve,R793,,AllTriggers)</f>
        <v>0.92466345204297751</v>
      </c>
      <c r="W793" s="33">
        <f t="shared" si="56"/>
        <v>9.1922088005807791E-3</v>
      </c>
      <c r="X793" s="35">
        <f t="shared" si="57"/>
        <v>3.0436146030762216E-4</v>
      </c>
      <c r="Y793" s="33">
        <f t="shared" si="58"/>
        <v>1.1939590697309863E-3</v>
      </c>
      <c r="Z793" s="54"/>
    </row>
    <row r="794" spans="15:26" x14ac:dyDescent="0.25">
      <c r="O794" s="37" t="s">
        <v>19</v>
      </c>
      <c r="P794" s="31">
        <f>_xll.qlCalendarAdvance(Calendar,P793,O793,"f",,Trigger)</f>
        <v>47844</v>
      </c>
      <c r="Q794" s="31">
        <f>_xll.qlInterestRateIndexValueDate(Index,P794,Trigger)</f>
        <v>47848</v>
      </c>
      <c r="R794" s="31">
        <f>_xll.qlInterestRateIndexMaturity(Index,Q794,Trigger)</f>
        <v>47938</v>
      </c>
      <c r="S794" s="32">
        <f>_xll.qlDayCounterYearFraction(DayCounter,Q794,R794,,,Trigger)</f>
        <v>0.25</v>
      </c>
      <c r="T794" s="33">
        <f>_xll.qlIndexFixing(Index,P794,,AllTriggers)</f>
        <v>1.0377387639787017E-2</v>
      </c>
      <c r="U794" s="34">
        <f>_xll.qlYieldTSDiscount(OisCurve,Q794,,AllTriggers)</f>
        <v>0.92603171693912878</v>
      </c>
      <c r="V794" s="34">
        <f>_xll.qlYieldTSDiscount(OisCurve,R794,,AllTriggers)</f>
        <v>0.92391024158785728</v>
      </c>
      <c r="W794" s="33">
        <f t="shared" si="56"/>
        <v>9.1847681983718843E-3</v>
      </c>
      <c r="X794" s="35">
        <f t="shared" si="57"/>
        <v>2.9742757198751867E-4</v>
      </c>
      <c r="Y794" s="33">
        <f t="shared" si="58"/>
        <v>1.1926194414151325E-3</v>
      </c>
      <c r="Z794" s="54"/>
    </row>
    <row r="795" spans="15:26" x14ac:dyDescent="0.25">
      <c r="O795" s="37" t="s">
        <v>19</v>
      </c>
      <c r="P795" s="31">
        <f>_xll.qlCalendarAdvance(Calendar,P794,O794,"f",,Trigger)</f>
        <v>47875</v>
      </c>
      <c r="Q795" s="31">
        <f>_xll.qlInterestRateIndexValueDate(Index,P795,Trigger)</f>
        <v>47877</v>
      </c>
      <c r="R795" s="31">
        <f>_xll.qlInterestRateIndexMaturity(Index,Q795,Trigger)</f>
        <v>47967</v>
      </c>
      <c r="S795" s="32">
        <f>_xll.qlDayCounterYearFraction(DayCounter,Q795,R795,,,Trigger)</f>
        <v>0.25</v>
      </c>
      <c r="T795" s="33">
        <f>_xll.qlIndexFixing(Index,P795,,AllTriggers)</f>
        <v>1.036946507599712E-2</v>
      </c>
      <c r="U795" s="34">
        <f>_xll.qlYieldTSDiscount(OisCurve,Q795,,AllTriggers)</f>
        <v>0.9253470958009421</v>
      </c>
      <c r="V795" s="34">
        <f>_xll.qlYieldTSDiscount(OisCurve,R795,,AllTriggers)</f>
        <v>0.92322871018566244</v>
      </c>
      <c r="W795" s="33">
        <f t="shared" si="56"/>
        <v>9.1781617790189785E-3</v>
      </c>
      <c r="X795" s="35">
        <f t="shared" si="57"/>
        <v>2.9709987674401083E-4</v>
      </c>
      <c r="Y795" s="33">
        <f t="shared" si="58"/>
        <v>1.1913032969781412E-3</v>
      </c>
      <c r="Z795" s="54"/>
    </row>
    <row r="796" spans="15:26" x14ac:dyDescent="0.25">
      <c r="O796" s="37" t="s">
        <v>19</v>
      </c>
      <c r="P796" s="31">
        <f>_xll.qlCalendarAdvance(Calendar,P795,O795,"f",,Trigger)</f>
        <v>47906</v>
      </c>
      <c r="Q796" s="31">
        <f>_xll.qlInterestRateIndexValueDate(Index,P796,Trigger)</f>
        <v>47910</v>
      </c>
      <c r="R796" s="31">
        <f>_xll.qlInterestRateIndexMaturity(Index,Q796,Trigger)</f>
        <v>48002</v>
      </c>
      <c r="S796" s="32">
        <f>_xll.qlDayCounterYearFraction(DayCounter,Q796,R796,,,Trigger)</f>
        <v>0.25555555555555554</v>
      </c>
      <c r="T796" s="33">
        <f>_xll.qlIndexFixing(Index,P796,,AllTriggers)</f>
        <v>1.0359915233395234E-2</v>
      </c>
      <c r="U796" s="34">
        <f>_xll.qlYieldTSDiscount(OisCurve,Q796,,AllTriggers)</f>
        <v>0.92456923402467639</v>
      </c>
      <c r="V796" s="34">
        <f>_xll.qlYieldTSDiscount(OisCurve,R796,,AllTriggers)</f>
        <v>0.92240754686572746</v>
      </c>
      <c r="W796" s="33">
        <f t="shared" si="56"/>
        <v>9.1703237555975856E-3</v>
      </c>
      <c r="X796" s="35">
        <f t="shared" si="57"/>
        <v>3.0324994382705E-4</v>
      </c>
      <c r="Y796" s="33">
        <f t="shared" si="58"/>
        <v>1.1895914777976489E-3</v>
      </c>
      <c r="Z796" s="54"/>
    </row>
    <row r="797" spans="15:26" x14ac:dyDescent="0.25">
      <c r="O797" s="37" t="s">
        <v>19</v>
      </c>
      <c r="P797" s="31">
        <f>_xll.qlCalendarAdvance(Calendar,P796,O796,"f",,Trigger)</f>
        <v>47934</v>
      </c>
      <c r="Q797" s="31">
        <f>_xll.qlInterestRateIndexValueDate(Index,P797,Trigger)</f>
        <v>47938</v>
      </c>
      <c r="R797" s="31">
        <f>_xll.qlInterestRateIndexMaturity(Index,Q797,Trigger)</f>
        <v>48029</v>
      </c>
      <c r="S797" s="32">
        <f>_xll.qlDayCounterYearFraction(DayCounter,Q797,R797,,,Trigger)</f>
        <v>0.25277777777777777</v>
      </c>
      <c r="T797" s="33">
        <f>_xll.qlIndexFixing(Index,P797,,AllTriggers)</f>
        <v>1.0351375898434254E-2</v>
      </c>
      <c r="U797" s="34">
        <f>_xll.qlYieldTSDiscount(OisCurve,Q797,,AllTriggers)</f>
        <v>0.92391024158785728</v>
      </c>
      <c r="V797" s="34">
        <f>_xll.qlYieldTSDiscount(OisCurve,R797,,AllTriggers)</f>
        <v>0.92177512313297694</v>
      </c>
      <c r="W797" s="33">
        <f t="shared" si="56"/>
        <v>9.1634306968043679E-3</v>
      </c>
      <c r="X797" s="35">
        <f t="shared" si="57"/>
        <v>2.9954733050716428E-4</v>
      </c>
      <c r="Y797" s="33">
        <f t="shared" si="58"/>
        <v>1.1879452016298857E-3</v>
      </c>
      <c r="Z797" s="54"/>
    </row>
    <row r="798" spans="15:26" x14ac:dyDescent="0.25">
      <c r="O798" s="37" t="s">
        <v>19</v>
      </c>
      <c r="P798" s="31">
        <f>_xll.qlCalendarAdvance(Calendar,P797,O797,"f",,Trigger)</f>
        <v>47966</v>
      </c>
      <c r="Q798" s="31">
        <f>_xll.qlInterestRateIndexValueDate(Index,P798,Trigger)</f>
        <v>47968</v>
      </c>
      <c r="R798" s="31">
        <f>_xll.qlInterestRateIndexMaturity(Index,Q798,Trigger)</f>
        <v>48060</v>
      </c>
      <c r="S798" s="32">
        <f>_xll.qlDayCounterYearFraction(DayCounter,Q798,R798,,,Trigger)</f>
        <v>0.25555555555555554</v>
      </c>
      <c r="T798" s="33">
        <f>_xll.qlIndexFixing(Index,P798,,AllTriggers)</f>
        <v>1.0341754945278458E-2</v>
      </c>
      <c r="U798" s="34">
        <f>_xll.qlYieldTSDiscount(OisCurve,Q798,,AllTriggers)</f>
        <v>0.92320522739258282</v>
      </c>
      <c r="V798" s="34">
        <f>_xll.qlYieldTSDiscount(OisCurve,R798,,AllTriggers)</f>
        <v>0.92105014906887284</v>
      </c>
      <c r="W798" s="33">
        <f t="shared" si="56"/>
        <v>9.1557611583468982E-3</v>
      </c>
      <c r="X798" s="35">
        <f t="shared" si="57"/>
        <v>3.0233408361194861E-4</v>
      </c>
      <c r="Y798" s="33">
        <f t="shared" si="58"/>
        <v>1.1859937869315596E-3</v>
      </c>
      <c r="Z798" s="54"/>
    </row>
    <row r="799" spans="15:26" x14ac:dyDescent="0.25">
      <c r="O799" s="37" t="s">
        <v>19</v>
      </c>
      <c r="P799" s="31">
        <f>_xll.qlCalendarAdvance(Calendar,P798,O798,"f",,Trigger)</f>
        <v>47996</v>
      </c>
      <c r="Q799" s="31">
        <f>_xll.qlInterestRateIndexValueDate(Index,P799,Trigger)</f>
        <v>47998</v>
      </c>
      <c r="R799" s="31">
        <f>_xll.qlInterestRateIndexMaturity(Index,Q799,Trigger)</f>
        <v>48089</v>
      </c>
      <c r="S799" s="32">
        <f>_xll.qlDayCounterYearFraction(DayCounter,Q799,R799,,,Trigger)</f>
        <v>0.25277777777777777</v>
      </c>
      <c r="T799" s="33">
        <f>_xll.qlIndexFixing(Index,P799,,AllTriggers)</f>
        <v>1.0331709575710965E-2</v>
      </c>
      <c r="U799" s="34">
        <f>_xll.qlYieldTSDiscount(OisCurve,Q799,,AllTriggers)</f>
        <v>0.92250131713644379</v>
      </c>
      <c r="V799" s="34">
        <f>_xll.qlYieldTSDiscount(OisCurve,R799,,AllTriggers)</f>
        <v>0.92037307039391958</v>
      </c>
      <c r="W799" s="33">
        <f t="shared" si="56"/>
        <v>9.1478531190939735E-3</v>
      </c>
      <c r="X799" s="35">
        <f t="shared" si="57"/>
        <v>2.9851765597959713E-4</v>
      </c>
      <c r="Y799" s="33">
        <f t="shared" si="58"/>
        <v>1.1838564566169912E-3</v>
      </c>
      <c r="Z799" s="54"/>
    </row>
    <row r="800" spans="15:26" x14ac:dyDescent="0.25">
      <c r="O800" s="37" t="s">
        <v>19</v>
      </c>
      <c r="P800" s="31">
        <f>_xll.qlCalendarAdvance(Calendar,P799,O799,"f",,Trigger)</f>
        <v>48029</v>
      </c>
      <c r="Q800" s="31">
        <f>_xll.qlInterestRateIndexValueDate(Index,P800,Trigger)</f>
        <v>48031</v>
      </c>
      <c r="R800" s="31">
        <f>_xll.qlInterestRateIndexMaturity(Index,Q800,Trigger)</f>
        <v>48123</v>
      </c>
      <c r="S800" s="32">
        <f>_xll.qlDayCounterYearFraction(DayCounter,Q800,R800,,,Trigger)</f>
        <v>0.25555555555555554</v>
      </c>
      <c r="T800" s="33">
        <f>_xll.qlIndexFixing(Index,P800,,AllTriggers)</f>
        <v>1.0320066797935195E-2</v>
      </c>
      <c r="U800" s="34">
        <f>_xll.qlYieldTSDiscount(OisCurve,Q800,,AllTriggers)</f>
        <v>0.92172831357537299</v>
      </c>
      <c r="V800" s="34">
        <f>_xll.qlYieldTSDiscount(OisCurve,R800,,AllTriggers)</f>
        <v>0.91958065969050218</v>
      </c>
      <c r="W800" s="33">
        <f t="shared" si="56"/>
        <v>9.1387992333197519E-3</v>
      </c>
      <c r="X800" s="35">
        <f t="shared" si="57"/>
        <v>3.0113075629384156E-4</v>
      </c>
      <c r="Y800" s="33">
        <f t="shared" si="58"/>
        <v>1.1812675646154427E-3</v>
      </c>
      <c r="Z800" s="54"/>
    </row>
    <row r="801" spans="15:26" x14ac:dyDescent="0.25">
      <c r="O801" s="37" t="s">
        <v>19</v>
      </c>
      <c r="P801" s="31">
        <f>_xll.qlCalendarAdvance(Calendar,P800,O800,"f",,Trigger)</f>
        <v>48059</v>
      </c>
      <c r="Q801" s="31">
        <f>_xll.qlInterestRateIndexValueDate(Index,P801,Trigger)</f>
        <v>48061</v>
      </c>
      <c r="R801" s="31">
        <f>_xll.qlInterestRateIndexMaturity(Index,Q801,Trigger)</f>
        <v>48155</v>
      </c>
      <c r="S801" s="32">
        <f>_xll.qlDayCounterYearFraction(DayCounter,Q801,R801,,,Trigger)</f>
        <v>0.26111111111111113</v>
      </c>
      <c r="T801" s="33">
        <f>_xll.qlIndexFixing(Index,P801,,AllTriggers)</f>
        <v>1.030893169393794E-2</v>
      </c>
      <c r="U801" s="34">
        <f>_xll.qlYieldTSDiscount(OisCurve,Q801,,AllTriggers)</f>
        <v>0.92102678335497579</v>
      </c>
      <c r="V801" s="34">
        <f>_xll.qlYieldTSDiscount(OisCurve,R801,,AllTriggers)</f>
        <v>0.91883627059314599</v>
      </c>
      <c r="W801" s="33">
        <f t="shared" si="56"/>
        <v>9.1302423290793855E-3</v>
      </c>
      <c r="X801" s="35">
        <f t="shared" si="57"/>
        <v>3.0698978515986684E-4</v>
      </c>
      <c r="Y801" s="33">
        <f t="shared" si="58"/>
        <v>1.178689364858555E-3</v>
      </c>
      <c r="Z801" s="54"/>
    </row>
    <row r="802" spans="15:26" x14ac:dyDescent="0.25">
      <c r="O802" s="37" t="s">
        <v>19</v>
      </c>
      <c r="P802" s="31">
        <f>_xll.qlCalendarAdvance(Calendar,P801,O801,"f",,Trigger)</f>
        <v>48092</v>
      </c>
      <c r="Q802" s="31">
        <f>_xll.qlInterestRateIndexValueDate(Index,P802,Trigger)</f>
        <v>48094</v>
      </c>
      <c r="R802" s="31">
        <f>_xll.qlInterestRateIndexMaturity(Index,Q802,Trigger)</f>
        <v>48185</v>
      </c>
      <c r="S802" s="32">
        <f>_xll.qlDayCounterYearFraction(DayCounter,Q802,R802,,,Trigger)</f>
        <v>0.25277777777777777</v>
      </c>
      <c r="T802" s="33">
        <f>_xll.qlIndexFixing(Index,P802,,AllTriggers)</f>
        <v>1.0296388476664944E-2</v>
      </c>
      <c r="U802" s="34">
        <f>_xll.qlYieldTSDiscount(OisCurve,Q802,,AllTriggers)</f>
        <v>0.92025644368120063</v>
      </c>
      <c r="V802" s="34">
        <f>_xll.qlYieldTSDiscount(OisCurve,R802,,AllTriggers)</f>
        <v>0.91813966748327391</v>
      </c>
      <c r="W802" s="33">
        <f t="shared" si="56"/>
        <v>9.1206817227057306E-3</v>
      </c>
      <c r="X802" s="35">
        <f t="shared" si="57"/>
        <v>2.9646498746355615E-4</v>
      </c>
      <c r="Y802" s="33">
        <f t="shared" si="58"/>
        <v>1.1757067539592131E-3</v>
      </c>
      <c r="Z802" s="54"/>
    </row>
    <row r="803" spans="15:26" x14ac:dyDescent="0.25">
      <c r="O803" s="37" t="s">
        <v>19</v>
      </c>
      <c r="P803" s="31">
        <f>_xll.qlCalendarAdvance(Calendar,P802,O802,"f",,Trigger)</f>
        <v>48122</v>
      </c>
      <c r="Q803" s="31">
        <f>_xll.qlInterestRateIndexValueDate(Index,P803,Trigger)</f>
        <v>48124</v>
      </c>
      <c r="R803" s="31">
        <f>_xll.qlInterestRateIndexMaturity(Index,Q803,Trigger)</f>
        <v>48218</v>
      </c>
      <c r="S803" s="32">
        <f>_xll.qlDayCounterYearFraction(DayCounter,Q803,R803,,,Trigger)</f>
        <v>0.26111111111111113</v>
      </c>
      <c r="T803" s="33">
        <f>_xll.qlIndexFixing(Index,P803,,AllTriggers)</f>
        <v>1.0284193306749829E-2</v>
      </c>
      <c r="U803" s="34">
        <f>_xll.qlYieldTSDiscount(OisCurve,Q803,,AllTriggers)</f>
        <v>0.9195573767213735</v>
      </c>
      <c r="V803" s="34">
        <f>_xll.qlYieldTSDiscount(OisCurve,R803,,AllTriggers)</f>
        <v>0.91737483699369915</v>
      </c>
      <c r="W803" s="33">
        <f t="shared" si="56"/>
        <v>9.1115021360624136E-3</v>
      </c>
      <c r="X803" s="35">
        <f t="shared" si="57"/>
        <v>3.0542928409171041E-4</v>
      </c>
      <c r="Y803" s="33">
        <f t="shared" si="58"/>
        <v>1.1726911706874156E-3</v>
      </c>
      <c r="Z803" s="54"/>
    </row>
    <row r="804" spans="15:26" x14ac:dyDescent="0.25">
      <c r="O804" s="37" t="s">
        <v>19</v>
      </c>
      <c r="P804" s="31">
        <f>_xll.qlCalendarAdvance(Calendar,P803,O803,"f",,Trigger)</f>
        <v>48155</v>
      </c>
      <c r="Q804" s="31">
        <f>_xll.qlInterestRateIndexValueDate(Index,P804,Trigger)</f>
        <v>48157</v>
      </c>
      <c r="R804" s="31">
        <f>_xll.qlInterestRateIndexMaturity(Index,Q804,Trigger)</f>
        <v>48249</v>
      </c>
      <c r="S804" s="32">
        <f>_xll.qlDayCounterYearFraction(DayCounter,Q804,R804,,,Trigger)</f>
        <v>0.25555555555555554</v>
      </c>
      <c r="T804" s="33">
        <f>_xll.qlIndexFixing(Index,P804,,AllTriggers)</f>
        <v>1.027056042558927E-2</v>
      </c>
      <c r="U804" s="34">
        <f>_xll.qlYieldTSDiscount(OisCurve,Q804,,AllTriggers)</f>
        <v>0.91878979218080226</v>
      </c>
      <c r="V804" s="34">
        <f>_xll.qlYieldTSDiscount(OisCurve,R804,,AllTriggers)</f>
        <v>0.91665774869545424</v>
      </c>
      <c r="W804" s="33">
        <f t="shared" si="56"/>
        <v>9.1013018409355859E-3</v>
      </c>
      <c r="X804" s="35">
        <f t="shared" si="57"/>
        <v>2.9807271195172905E-4</v>
      </c>
      <c r="Y804" s="33">
        <f t="shared" si="58"/>
        <v>1.1692585846536842E-3</v>
      </c>
      <c r="Z804" s="54"/>
    </row>
    <row r="805" spans="15:26" x14ac:dyDescent="0.25">
      <c r="O805" s="37" t="s">
        <v>19</v>
      </c>
      <c r="P805" s="31">
        <f>_xll.qlCalendarAdvance(Calendar,P804,O804,"f",,Trigger)</f>
        <v>48185</v>
      </c>
      <c r="Q805" s="31">
        <f>_xll.qlInterestRateIndexValueDate(Index,P805,Trigger)</f>
        <v>48187</v>
      </c>
      <c r="R805" s="31">
        <f>_xll.qlInterestRateIndexMaturity(Index,Q805,Trigger)</f>
        <v>48278</v>
      </c>
      <c r="S805" s="32">
        <f>_xll.qlDayCounterYearFraction(DayCounter,Q805,R805,,,Trigger)</f>
        <v>0.25277777777777777</v>
      </c>
      <c r="T805" s="33">
        <f>_xll.qlIndexFixing(Index,P805,,AllTriggers)</f>
        <v>1.0257646759749968E-2</v>
      </c>
      <c r="U805" s="34">
        <f>_xll.qlYieldTSDiscount(OisCurve,Q805,,AllTriggers)</f>
        <v>0.91809327115959039</v>
      </c>
      <c r="V805" s="34">
        <f>_xll.qlYieldTSDiscount(OisCurve,R805,,AllTriggers)</f>
        <v>0.91598816067074007</v>
      </c>
      <c r="W805" s="33">
        <f t="shared" si="56"/>
        <v>9.0917219062338125E-3</v>
      </c>
      <c r="X805" s="35">
        <f t="shared" si="57"/>
        <v>2.9400090315124053E-4</v>
      </c>
      <c r="Y805" s="33">
        <f t="shared" si="58"/>
        <v>1.1659248535161558E-3</v>
      </c>
      <c r="Z805" s="54"/>
    </row>
    <row r="806" spans="15:26" x14ac:dyDescent="0.25">
      <c r="O806" s="37" t="s">
        <v>19</v>
      </c>
      <c r="P806" s="31">
        <f>_xll.qlCalendarAdvance(Calendar,P805,O805,"f",,Trigger)</f>
        <v>48218</v>
      </c>
      <c r="Q806" s="31">
        <f>_xll.qlInterestRateIndexValueDate(Index,P806,Trigger)</f>
        <v>48220</v>
      </c>
      <c r="R806" s="31">
        <f>_xll.qlInterestRateIndexMaturity(Index,Q806,Trigger)</f>
        <v>48311</v>
      </c>
      <c r="S806" s="32">
        <f>_xll.qlDayCounterYearFraction(DayCounter,Q806,R806,,,Trigger)</f>
        <v>0.25277777777777777</v>
      </c>
      <c r="T806" s="33">
        <f>_xll.qlIndexFixing(Index,P806,,AllTriggers)</f>
        <v>1.0242829434684587E-2</v>
      </c>
      <c r="U806" s="34">
        <f>_xll.qlYieldTSDiscount(OisCurve,Q806,,AllTriggers)</f>
        <v>0.91732853239942236</v>
      </c>
      <c r="V806" s="34">
        <f>_xll.qlYieldTSDiscount(OisCurve,R806,,AllTriggers)</f>
        <v>0.91522769131288839</v>
      </c>
      <c r="W806" s="33">
        <f t="shared" si="56"/>
        <v>9.0808219221044598E-3</v>
      </c>
      <c r="X806" s="35">
        <f t="shared" si="57"/>
        <v>2.9301405218955728E-4</v>
      </c>
      <c r="Y806" s="33">
        <f t="shared" si="58"/>
        <v>1.1620075125801273E-3</v>
      </c>
      <c r="Z806" s="54"/>
    </row>
    <row r="807" spans="15:26" x14ac:dyDescent="0.25">
      <c r="O807" s="37" t="s">
        <v>19</v>
      </c>
      <c r="P807" s="31">
        <f>_xll.qlCalendarAdvance(Calendar,P806,O806,"f",,Trigger)</f>
        <v>48249</v>
      </c>
      <c r="Q807" s="31">
        <f>_xll.qlInterestRateIndexValueDate(Index,P807,Trigger)</f>
        <v>48253</v>
      </c>
      <c r="R807" s="31">
        <f>_xll.qlInterestRateIndexMaturity(Index,Q807,Trigger)</f>
        <v>48344</v>
      </c>
      <c r="S807" s="32">
        <f>_xll.qlDayCounterYearFraction(DayCounter,Q807,R807,,,Trigger)</f>
        <v>0.25277777777777777</v>
      </c>
      <c r="T807" s="33">
        <f>_xll.qlIndexFixing(Index,P807,,AllTriggers)</f>
        <v>1.0227451504943558E-2</v>
      </c>
      <c r="U807" s="34">
        <f>_xll.qlYieldTSDiscount(OisCurve,Q807,,AllTriggers)</f>
        <v>0.91656532026343962</v>
      </c>
      <c r="V807" s="34">
        <f>_xll.qlYieldTSDiscount(OisCurve,R807,,AllTriggers)</f>
        <v>0.91446881627815391</v>
      </c>
      <c r="W807" s="33">
        <f t="shared" si="56"/>
        <v>9.069595126892295E-3</v>
      </c>
      <c r="X807" s="35">
        <f t="shared" si="57"/>
        <v>2.9196827346109918E-4</v>
      </c>
      <c r="Y807" s="33">
        <f t="shared" si="58"/>
        <v>1.1578563780512627E-3</v>
      </c>
      <c r="Z807" s="54"/>
    </row>
    <row r="808" spans="15:26" x14ac:dyDescent="0.25">
      <c r="O808" s="37" t="s">
        <v>19</v>
      </c>
      <c r="P808" s="31">
        <f>_xll.qlCalendarAdvance(Calendar,P807,O807,"f",,Trigger)</f>
        <v>48278</v>
      </c>
      <c r="Q808" s="31">
        <f>_xll.qlInterestRateIndexValueDate(Index,P808,Trigger)</f>
        <v>48282</v>
      </c>
      <c r="R808" s="31">
        <f>_xll.qlInterestRateIndexMaturity(Index,Q808,Trigger)</f>
        <v>48374</v>
      </c>
      <c r="S808" s="32">
        <f>_xll.qlDayCounterYearFraction(DayCounter,Q808,R808,,,Trigger)</f>
        <v>0.25555555555555554</v>
      </c>
      <c r="T808" s="33">
        <f>_xll.qlIndexFixing(Index,P808,,AllTriggers)</f>
        <v>1.0213370828622476E-2</v>
      </c>
      <c r="U808" s="34">
        <f>_xll.qlYieldTSDiscount(OisCurve,Q808,,AllTriggers)</f>
        <v>0.91589589846893404</v>
      </c>
      <c r="V808" s="34">
        <f>_xll.qlYieldTSDiscount(OisCurve,R808,,AllTriggers)</f>
        <v>0.91378033391412661</v>
      </c>
      <c r="W808" s="33">
        <f t="shared" si="56"/>
        <v>9.059394010560079E-3</v>
      </c>
      <c r="X808" s="35">
        <f t="shared" si="57"/>
        <v>2.9418073036030127E-4</v>
      </c>
      <c r="Y808" s="33">
        <f t="shared" si="58"/>
        <v>1.1539768180623966E-3</v>
      </c>
      <c r="Z808" s="54"/>
    </row>
    <row r="809" spans="15:26" x14ac:dyDescent="0.25">
      <c r="O809" s="37" t="s">
        <v>19</v>
      </c>
      <c r="P809" s="31">
        <f>_xll.qlCalendarAdvance(Calendar,P808,O808,"f",,Trigger)</f>
        <v>48309</v>
      </c>
      <c r="Q809" s="31">
        <f>_xll.qlInterestRateIndexValueDate(Index,P809,Trigger)</f>
        <v>48311</v>
      </c>
      <c r="R809" s="31">
        <f>_xll.qlInterestRateIndexMaturity(Index,Q809,Trigger)</f>
        <v>48402</v>
      </c>
      <c r="S809" s="32">
        <f>_xll.qlDayCounterYearFraction(DayCounter,Q809,R809,,,Trigger)</f>
        <v>0.25277777777777777</v>
      </c>
      <c r="T809" s="33">
        <f>_xll.qlIndexFixing(Index,P809,,AllTriggers)</f>
        <v>1.0199065121507202E-2</v>
      </c>
      <c r="U809" s="34">
        <f>_xll.qlYieldTSDiscount(OisCurve,Q809,,AllTriggers)</f>
        <v>0.91522769131288839</v>
      </c>
      <c r="V809" s="34">
        <f>_xll.qlYieldTSDiscount(OisCurve,R809,,AllTriggers)</f>
        <v>0.91313897346766615</v>
      </c>
      <c r="W809" s="33">
        <f t="shared" si="56"/>
        <v>9.0490712230727605E-3</v>
      </c>
      <c r="X809" s="35">
        <f t="shared" si="57"/>
        <v>2.8998743703984281E-4</v>
      </c>
      <c r="Y809" s="33">
        <f t="shared" si="58"/>
        <v>1.1499938984344416E-3</v>
      </c>
      <c r="Z809" s="54"/>
    </row>
    <row r="810" spans="15:26" x14ac:dyDescent="0.25">
      <c r="O810" s="37" t="s">
        <v>19</v>
      </c>
      <c r="P810" s="31">
        <f>_xll.qlCalendarAdvance(Calendar,P809,O809,"f",,Trigger)</f>
        <v>48339</v>
      </c>
      <c r="Q810" s="31">
        <f>_xll.qlInterestRateIndexValueDate(Index,P810,Trigger)</f>
        <v>48341</v>
      </c>
      <c r="R810" s="31">
        <f>_xll.qlInterestRateIndexMaturity(Index,Q810,Trigger)</f>
        <v>48435</v>
      </c>
      <c r="S810" s="32">
        <f>_xll.qlDayCounterYearFraction(DayCounter,Q810,R810,,,Trigger)</f>
        <v>0.26111111111111113</v>
      </c>
      <c r="T810" s="33">
        <f>_xll.qlIndexFixing(Index,P810,,AllTriggers)</f>
        <v>1.0183342526738477E-2</v>
      </c>
      <c r="U810" s="34">
        <f>_xll.qlYieldTSDiscount(OisCurve,Q810,,AllTriggers)</f>
        <v>0.91453773839451902</v>
      </c>
      <c r="V810" s="34">
        <f>_xll.qlYieldTSDiscount(OisCurve,R810,,AllTriggers)</f>
        <v>0.91238462102618534</v>
      </c>
      <c r="W810" s="33">
        <f t="shared" si="56"/>
        <v>9.0378347251896911E-3</v>
      </c>
      <c r="X810" s="35">
        <f t="shared" si="57"/>
        <v>2.9835611284736432E-4</v>
      </c>
      <c r="Y810" s="33">
        <f t="shared" si="58"/>
        <v>1.1455078015487861E-3</v>
      </c>
      <c r="Z810" s="54"/>
    </row>
    <row r="811" spans="15:26" x14ac:dyDescent="0.25">
      <c r="O811" s="37" t="s">
        <v>19</v>
      </c>
      <c r="P811" s="31">
        <f>_xll.qlCalendarAdvance(Calendar,P810,O810,"f",,Trigger)</f>
        <v>48372</v>
      </c>
      <c r="Q811" s="31">
        <f>_xll.qlInterestRateIndexValueDate(Index,P811,Trigger)</f>
        <v>48374</v>
      </c>
      <c r="R811" s="31">
        <f>_xll.qlInterestRateIndexMaturity(Index,Q811,Trigger)</f>
        <v>48466</v>
      </c>
      <c r="S811" s="32">
        <f>_xll.qlDayCounterYearFraction(DayCounter,Q811,R811,,,Trigger)</f>
        <v>0.25555555555555554</v>
      </c>
      <c r="T811" s="33">
        <f>_xll.qlIndexFixing(Index,P811,,AllTriggers)</f>
        <v>1.0166140623320963E-2</v>
      </c>
      <c r="U811" s="34">
        <f>_xll.qlYieldTSDiscount(OisCurve,Q811,,AllTriggers)</f>
        <v>0.91378033391412661</v>
      </c>
      <c r="V811" s="34">
        <f>_xll.qlYieldTSDiscount(OisCurve,R811,,AllTriggers)</f>
        <v>0.91167752188800477</v>
      </c>
      <c r="W811" s="33">
        <f t="shared" si="56"/>
        <v>9.0255541979184679E-3</v>
      </c>
      <c r="X811" s="35">
        <f t="shared" si="57"/>
        <v>2.9077015212033812E-4</v>
      </c>
      <c r="Y811" s="33">
        <f t="shared" si="58"/>
        <v>1.1405864254024952E-3</v>
      </c>
      <c r="Z811" s="54"/>
    </row>
    <row r="812" spans="15:26" x14ac:dyDescent="0.25">
      <c r="O812" s="37" t="s">
        <v>19</v>
      </c>
      <c r="P812" s="31">
        <f>_xll.qlCalendarAdvance(Calendar,P811,O811,"f",,Trigger)</f>
        <v>48402</v>
      </c>
      <c r="Q812" s="31">
        <f>_xll.qlInterestRateIndexValueDate(Index,P812,Trigger)</f>
        <v>48404</v>
      </c>
      <c r="R812" s="31">
        <f>_xll.qlInterestRateIndexMaturity(Index,Q812,Trigger)</f>
        <v>48498</v>
      </c>
      <c r="S812" s="32">
        <f>_xll.qlDayCounterYearFraction(DayCounter,Q812,R812,,,Trigger)</f>
        <v>0.26111111111111113</v>
      </c>
      <c r="T812" s="33">
        <f>_xll.qlIndexFixing(Index,P812,,AllTriggers)</f>
        <v>1.0149522585014748E-2</v>
      </c>
      <c r="U812" s="34">
        <f>_xll.qlYieldTSDiscount(OisCurve,Q812,,AllTriggers)</f>
        <v>0.91309320760040324</v>
      </c>
      <c r="V812" s="34">
        <f>_xll.qlYieldTSDiscount(OisCurve,R812,,AllTriggers)</f>
        <v>0.91094919445116296</v>
      </c>
      <c r="W812" s="33">
        <f t="shared" si="56"/>
        <v>9.013800372837116E-3</v>
      </c>
      <c r="X812" s="35">
        <f t="shared" si="57"/>
        <v>2.9580961125782535E-4</v>
      </c>
      <c r="Y812" s="33">
        <f t="shared" si="58"/>
        <v>1.1357222121776318E-3</v>
      </c>
      <c r="Z812" s="54"/>
    </row>
    <row r="813" spans="15:26" x14ac:dyDescent="0.25">
      <c r="O813" s="37" t="s">
        <v>19</v>
      </c>
      <c r="P813" s="31">
        <f>_xll.qlCalendarAdvance(Calendar,P812,O812,"f",,Trigger)</f>
        <v>48435</v>
      </c>
      <c r="Q813" s="31">
        <f>_xll.qlInterestRateIndexValueDate(Index,P813,Trigger)</f>
        <v>48437</v>
      </c>
      <c r="R813" s="31">
        <f>_xll.qlInterestRateIndexMaturity(Index,Q813,Trigger)</f>
        <v>48529</v>
      </c>
      <c r="S813" s="32">
        <f>_xll.qlDayCounterYearFraction(DayCounter,Q813,R813,,,Trigger)</f>
        <v>0.25555555555555554</v>
      </c>
      <c r="T813" s="33">
        <f>_xll.qlIndexFixing(Index,P813,,AllTriggers)</f>
        <v>1.0131284814844932E-2</v>
      </c>
      <c r="U813" s="34">
        <f>_xll.qlYieldTSDiscount(OisCurve,Q813,,AllTriggers)</f>
        <v>0.9123389566266058</v>
      </c>
      <c r="V813" s="34">
        <f>_xll.qlYieldTSDiscount(OisCurve,R813,,AllTriggers)</f>
        <v>0.91024517962184137</v>
      </c>
      <c r="W813" s="33">
        <f t="shared" si="56"/>
        <v>9.0009160573967725E-3</v>
      </c>
      <c r="X813" s="35">
        <f t="shared" si="57"/>
        <v>2.8816754321126209E-4</v>
      </c>
      <c r="Y813" s="33">
        <f t="shared" si="58"/>
        <v>1.1303687574481594E-3</v>
      </c>
      <c r="Z813" s="54"/>
    </row>
    <row r="814" spans="15:26" x14ac:dyDescent="0.25">
      <c r="O814" s="37" t="s">
        <v>19</v>
      </c>
      <c r="P814" s="31">
        <f>_xll.qlCalendarAdvance(Calendar,P813,O813,"f",,Trigger)</f>
        <v>48466</v>
      </c>
      <c r="Q814" s="31">
        <f>_xll.qlInterestRateIndexValueDate(Index,P814,Trigger)</f>
        <v>48470</v>
      </c>
      <c r="R814" s="31">
        <f>_xll.qlInterestRateIndexMaturity(Index,Q814,Trigger)</f>
        <v>48561</v>
      </c>
      <c r="S814" s="32">
        <f>_xll.qlDayCounterYearFraction(DayCounter,Q814,R814,,,Trigger)</f>
        <v>0.25277777777777777</v>
      </c>
      <c r="T814" s="33">
        <f>_xll.qlIndexFixing(Index,P814,,AllTriggers)</f>
        <v>1.0112366816802986E-2</v>
      </c>
      <c r="U814" s="34">
        <f>_xll.qlYieldTSDiscount(OisCurve,Q814,,AllTriggers)</f>
        <v>0.91158639266842911</v>
      </c>
      <c r="V814" s="34">
        <f>_xll.qlYieldTSDiscount(OisCurve,R814,,AllTriggers)</f>
        <v>0.90952007834532689</v>
      </c>
      <c r="W814" s="33">
        <f t="shared" si="56"/>
        <v>8.9876303820222922E-3</v>
      </c>
      <c r="X814" s="35">
        <f t="shared" si="57"/>
        <v>2.8362370307812734E-4</v>
      </c>
      <c r="Y814" s="33">
        <f t="shared" si="58"/>
        <v>1.1247364347806935E-3</v>
      </c>
      <c r="Z814" s="54"/>
    </row>
    <row r="815" spans="15:26" x14ac:dyDescent="0.25">
      <c r="O815" s="37" t="s">
        <v>19</v>
      </c>
      <c r="P815" s="31">
        <f>_xll.qlCalendarAdvance(Calendar,P814,O814,"f",,Trigger)</f>
        <v>48498</v>
      </c>
      <c r="Q815" s="31">
        <f>_xll.qlInterestRateIndexValueDate(Index,P815,Trigger)</f>
        <v>48500</v>
      </c>
      <c r="R815" s="31">
        <f>_xll.qlInterestRateIndexMaturity(Index,Q815,Trigger)</f>
        <v>48592</v>
      </c>
      <c r="S815" s="32">
        <f>_xll.qlDayCounterYearFraction(DayCounter,Q815,R815,,,Trigger)</f>
        <v>0.25555555555555554</v>
      </c>
      <c r="T815" s="33">
        <f>_xll.qlIndexFixing(Index,P815,,AllTriggers)</f>
        <v>1.0094385929762747E-2</v>
      </c>
      <c r="U815" s="34">
        <f>_xll.qlYieldTSDiscount(OisCurve,Q815,,AllTriggers)</f>
        <v>0.91090372781809881</v>
      </c>
      <c r="V815" s="34">
        <f>_xll.qlYieldTSDiscount(OisCurve,R815,,AllTriggers)</f>
        <v>0.90881922976203855</v>
      </c>
      <c r="W815" s="33">
        <f t="shared" si="56"/>
        <v>8.9750868562162821E-3</v>
      </c>
      <c r="X815" s="35">
        <f t="shared" si="57"/>
        <v>2.8534780440072976E-4</v>
      </c>
      <c r="Y815" s="33">
        <f t="shared" si="58"/>
        <v>1.1192990735464647E-3</v>
      </c>
      <c r="Z815" s="54"/>
    </row>
    <row r="816" spans="15:26" x14ac:dyDescent="0.25">
      <c r="O816" s="37" t="s">
        <v>19</v>
      </c>
      <c r="P816" s="31">
        <f>_xll.qlCalendarAdvance(Calendar,P815,O815,"f",,Trigger)</f>
        <v>48529</v>
      </c>
      <c r="Q816" s="31">
        <f>_xll.qlInterestRateIndexValueDate(Index,P816,Trigger)</f>
        <v>48533</v>
      </c>
      <c r="R816" s="31">
        <f>_xll.qlInterestRateIndexMaturity(Index,Q816,Trigger)</f>
        <v>48625</v>
      </c>
      <c r="S816" s="32">
        <f>_xll.qlDayCounterYearFraction(DayCounter,Q816,R816,,,Trigger)</f>
        <v>0.25555555555555554</v>
      </c>
      <c r="T816" s="33">
        <f>_xll.qlIndexFixing(Index,P816,,AllTriggers)</f>
        <v>1.007424258405479E-2</v>
      </c>
      <c r="U816" s="34">
        <f>_xll.qlYieldTSDiscount(OisCurve,Q816,,AllTriggers)</f>
        <v>0.91015445132190398</v>
      </c>
      <c r="V816" s="34">
        <f>_xll.qlYieldTSDiscount(OisCurve,R816,,AllTriggers)</f>
        <v>0.90807491049275391</v>
      </c>
      <c r="W816" s="33">
        <f t="shared" si="56"/>
        <v>8.9610819385672232E-3</v>
      </c>
      <c r="X816" s="35">
        <f t="shared" si="57"/>
        <v>2.8378414333902211E-4</v>
      </c>
      <c r="Y816" s="33">
        <f t="shared" si="58"/>
        <v>1.1131606454875664E-3</v>
      </c>
      <c r="Z816" s="54"/>
    </row>
    <row r="817" spans="15:26" x14ac:dyDescent="0.25">
      <c r="O817" s="37" t="s">
        <v>19</v>
      </c>
      <c r="P817" s="31">
        <f>_xll.qlCalendarAdvance(Calendar,P816,O816,"f",,Trigger)</f>
        <v>48561</v>
      </c>
      <c r="Q817" s="31">
        <f>_xll.qlInterestRateIndexValueDate(Index,P817,Trigger)</f>
        <v>48563</v>
      </c>
      <c r="R817" s="31">
        <f>_xll.qlInterestRateIndexMaturity(Index,Q817,Trigger)</f>
        <v>48653</v>
      </c>
      <c r="S817" s="32">
        <f>_xll.qlDayCounterYearFraction(DayCounter,Q817,R817,,,Trigger)</f>
        <v>0.25</v>
      </c>
      <c r="T817" s="33">
        <f>_xll.qlIndexFixing(Index,P817,,AllTriggers)</f>
        <v>1.0055805259357342E-2</v>
      </c>
      <c r="U817" s="34">
        <f>_xll.qlYieldTSDiscount(OisCurve,Q817,,AllTriggers)</f>
        <v>0.90947481477286096</v>
      </c>
      <c r="V817" s="34">
        <f>_xll.qlYieldTSDiscount(OisCurve,R817,,AllTriggers)</f>
        <v>0.90744479563199365</v>
      </c>
      <c r="W817" s="33">
        <f t="shared" si="56"/>
        <v>8.9482871052384283E-3</v>
      </c>
      <c r="X817" s="35">
        <f t="shared" si="57"/>
        <v>2.7622336848919882E-4</v>
      </c>
      <c r="Y817" s="33">
        <f t="shared" si="58"/>
        <v>1.1075181541189139E-3</v>
      </c>
      <c r="Z817" s="54"/>
    </row>
    <row r="818" spans="15:26" x14ac:dyDescent="0.25">
      <c r="O818" s="37" t="s">
        <v>19</v>
      </c>
      <c r="P818" s="31">
        <f>_xll.qlCalendarAdvance(Calendar,P817,O817,"f",,Trigger)</f>
        <v>48592</v>
      </c>
      <c r="Q818" s="31">
        <f>_xll.qlInterestRateIndexValueDate(Index,P818,Trigger)</f>
        <v>48596</v>
      </c>
      <c r="R818" s="31">
        <f>_xll.qlInterestRateIndexMaturity(Index,Q818,Trigger)</f>
        <v>48688</v>
      </c>
      <c r="S818" s="32">
        <f>_xll.qlDayCounterYearFraction(DayCounter,Q818,R818,,,Trigger)</f>
        <v>0.25555555555555554</v>
      </c>
      <c r="T818" s="33">
        <f>_xll.qlIndexFixing(Index,P818,,AllTriggers)</f>
        <v>1.003423055131381E-2</v>
      </c>
      <c r="U818" s="34">
        <f>_xll.qlYieldTSDiscount(OisCurve,Q818,,AllTriggers)</f>
        <v>0.90872891293545721</v>
      </c>
      <c r="V818" s="34">
        <f>_xll.qlYieldTSDiscount(OisCurve,R818,,AllTriggers)</f>
        <v>0.9066590197604526</v>
      </c>
      <c r="W818" s="33">
        <f t="shared" si="56"/>
        <v>8.9334378334300461E-3</v>
      </c>
      <c r="X818" s="35">
        <f t="shared" si="57"/>
        <v>2.8063353991537084E-4</v>
      </c>
      <c r="Y818" s="33">
        <f t="shared" si="58"/>
        <v>1.1007927178837643E-3</v>
      </c>
      <c r="Z818" s="54"/>
    </row>
    <row r="819" spans="15:26" x14ac:dyDescent="0.25">
      <c r="O819" s="37" t="s">
        <v>19</v>
      </c>
      <c r="P819" s="31">
        <f>_xll.qlCalendarAdvance(Calendar,P818,O818,"f",,Trigger)</f>
        <v>48624</v>
      </c>
      <c r="Q819" s="31">
        <f>_xll.qlInterestRateIndexValueDate(Index,P819,Trigger)</f>
        <v>48626</v>
      </c>
      <c r="R819" s="31">
        <f>_xll.qlInterestRateIndexMaturity(Index,Q819,Trigger)</f>
        <v>48715</v>
      </c>
      <c r="S819" s="32">
        <f>_xll.qlDayCounterYearFraction(DayCounter,Q819,R819,,,Trigger)</f>
        <v>0.24722222222222223</v>
      </c>
      <c r="T819" s="33">
        <f>_xll.qlIndexFixing(Index,P819,,AllTriggers)</f>
        <v>1.0015052793822145E-2</v>
      </c>
      <c r="U819" s="34">
        <f>_xll.qlYieldTSDiscount(OisCurve,Q819,,AllTriggers)</f>
        <v>0.90805238370401875</v>
      </c>
      <c r="V819" s="34">
        <f>_xll.qlYieldTSDiscount(OisCurve,R819,,AllTriggers)</f>
        <v>0.90605428419192169</v>
      </c>
      <c r="W819" s="33">
        <f t="shared" si="56"/>
        <v>8.9202163873205228E-3</v>
      </c>
      <c r="X819" s="35">
        <f t="shared" si="57"/>
        <v>2.7003584252765882E-4</v>
      </c>
      <c r="Y819" s="33">
        <f t="shared" si="58"/>
        <v>1.0948364065016224E-3</v>
      </c>
      <c r="Z819" s="54"/>
    </row>
    <row r="820" spans="15:26" x14ac:dyDescent="0.25">
      <c r="O820" s="37" t="s">
        <v>19</v>
      </c>
      <c r="P820" s="31">
        <f>_xll.qlCalendarAdvance(Calendar,P819,O819,"f",,Trigger)</f>
        <v>48652</v>
      </c>
      <c r="Q820" s="31">
        <f>_xll.qlInterestRateIndexValueDate(Index,P820,Trigger)</f>
        <v>48654</v>
      </c>
      <c r="R820" s="31">
        <f>_xll.qlInterestRateIndexMaturity(Index,Q820,Trigger)</f>
        <v>48746</v>
      </c>
      <c r="S820" s="32">
        <f>_xll.qlDayCounterYearFraction(DayCounter,Q820,R820,,,Trigger)</f>
        <v>0.25555555555555554</v>
      </c>
      <c r="T820" s="33">
        <f>_xll.qlIndexFixing(Index,P820,,AllTriggers)</f>
        <v>9.9955879215951147E-3</v>
      </c>
      <c r="U820" s="34">
        <f>_xll.qlYieldTSDiscount(OisCurve,Q820,,AllTriggers)</f>
        <v>0.90742231598585621</v>
      </c>
      <c r="V820" s="34">
        <f>_xll.qlYieldTSDiscount(OisCurve,R820,,AllTriggers)</f>
        <v>0.90536151702136292</v>
      </c>
      <c r="W820" s="33">
        <f t="shared" si="56"/>
        <v>8.9069347397799023E-3</v>
      </c>
      <c r="X820" s="35">
        <f t="shared" si="57"/>
        <v>2.7754101944750829E-4</v>
      </c>
      <c r="Y820" s="33">
        <f t="shared" si="58"/>
        <v>1.0886531818152124E-3</v>
      </c>
      <c r="Z820" s="54"/>
    </row>
    <row r="821" spans="15:26" x14ac:dyDescent="0.25">
      <c r="O821" s="37" t="s">
        <v>19</v>
      </c>
      <c r="P821" s="31">
        <f>_xll.qlCalendarAdvance(Calendar,P820,O820,"f",,Trigger)</f>
        <v>48683</v>
      </c>
      <c r="Q821" s="31">
        <f>_xll.qlInterestRateIndexValueDate(Index,P821,Trigger)</f>
        <v>48689</v>
      </c>
      <c r="R821" s="31">
        <f>_xll.qlInterestRateIndexMaturity(Index,Q821,Trigger)</f>
        <v>48780</v>
      </c>
      <c r="S821" s="32">
        <f>_xll.qlDayCounterYearFraction(DayCounter,Q821,R821,,,Trigger)</f>
        <v>0.25277777777777777</v>
      </c>
      <c r="T821" s="33">
        <f>_xll.qlIndexFixing(Index,P821,,AllTriggers)</f>
        <v>9.9716468774043877E-3</v>
      </c>
      <c r="U821" s="34">
        <f>_xll.qlYieldTSDiscount(OisCurve,Q821,,AllTriggers)</f>
        <v>0.90663659976626298</v>
      </c>
      <c r="V821" s="34">
        <f>_xll.qlYieldTSDiscount(OisCurve,R821,,AllTriggers)</f>
        <v>0.90460364599438725</v>
      </c>
      <c r="W821" s="33">
        <f t="shared" si="56"/>
        <v>8.8905837576022141E-3</v>
      </c>
      <c r="X821" s="35">
        <f t="shared" si="57"/>
        <v>2.7261881793318616E-4</v>
      </c>
      <c r="Y821" s="33">
        <f t="shared" si="58"/>
        <v>1.0810631198021736E-3</v>
      </c>
      <c r="Z821" s="54"/>
    </row>
    <row r="822" spans="15:26" x14ac:dyDescent="0.25">
      <c r="O822" s="37" t="s">
        <v>19</v>
      </c>
      <c r="P822" s="31">
        <f>_xll.qlCalendarAdvance(Calendar,P821,O821,"f",,Trigger)</f>
        <v>48715</v>
      </c>
      <c r="Q822" s="31">
        <f>_xll.qlInterestRateIndexValueDate(Index,P822,Trigger)</f>
        <v>48717</v>
      </c>
      <c r="R822" s="31">
        <f>_xll.qlInterestRateIndexMaturity(Index,Q822,Trigger)</f>
        <v>48809</v>
      </c>
      <c r="S822" s="32">
        <f>_xll.qlDayCounterYearFraction(DayCounter,Q822,R822,,,Trigger)</f>
        <v>0.25555555555555554</v>
      </c>
      <c r="T822" s="33">
        <f>_xll.qlIndexFixing(Index,P822,,AllTriggers)</f>
        <v>9.9516522338480174E-3</v>
      </c>
      <c r="U822" s="34">
        <f>_xll.qlYieldTSDiscount(OisCurve,Q822,,AllTriggers)</f>
        <v>0.9060095390672892</v>
      </c>
      <c r="V822" s="34">
        <f>_xll.qlYieldTSDiscount(OisCurve,R822,,AllTriggers)</f>
        <v>0.90395884742262356</v>
      </c>
      <c r="W822" s="33">
        <f t="shared" si="56"/>
        <v>8.8770031832335651E-3</v>
      </c>
      <c r="X822" s="35">
        <f t="shared" si="57"/>
        <v>2.7397338875167836E-4</v>
      </c>
      <c r="Y822" s="33">
        <f t="shared" si="58"/>
        <v>1.0746490506144523E-3</v>
      </c>
      <c r="Z822" s="54"/>
    </row>
    <row r="823" spans="15:26" x14ac:dyDescent="0.25">
      <c r="O823" s="37" t="s">
        <v>19</v>
      </c>
      <c r="P823" s="31">
        <f>_xll.qlCalendarAdvance(Calendar,P822,O822,"f",,Trigger)</f>
        <v>48746</v>
      </c>
      <c r="Q823" s="31">
        <f>_xll.qlInterestRateIndexValueDate(Index,P823,Trigger)</f>
        <v>48750</v>
      </c>
      <c r="R823" s="31">
        <f>_xll.qlInterestRateIndexMaturity(Index,Q823,Trigger)</f>
        <v>48842</v>
      </c>
      <c r="S823" s="32">
        <f>_xll.qlDayCounterYearFraction(DayCounter,Q823,R823,,,Trigger)</f>
        <v>0.25555555555555554</v>
      </c>
      <c r="T823" s="33">
        <f>_xll.qlIndexFixing(Index,P823,,AllTriggers)</f>
        <v>9.9278230321961248E-3</v>
      </c>
      <c r="U823" s="34">
        <f>_xll.qlYieldTSDiscount(OisCurve,Q823,,AllTriggers)</f>
        <v>0.90527225003107381</v>
      </c>
      <c r="V823" s="34">
        <f>_xll.qlYieldTSDiscount(OisCurve,R823,,AllTriggers)</f>
        <v>0.90322694743139331</v>
      </c>
      <c r="W823" s="33">
        <f t="shared" si="56"/>
        <v>8.8608494482030863E-3</v>
      </c>
      <c r="X823" s="35">
        <f t="shared" si="57"/>
        <v>2.7201797479820509E-4</v>
      </c>
      <c r="Y823" s="33">
        <f t="shared" si="58"/>
        <v>1.0669735839930385E-3</v>
      </c>
      <c r="Z823" s="54"/>
    </row>
    <row r="824" spans="15:26" x14ac:dyDescent="0.25">
      <c r="O824" s="37" t="s">
        <v>19</v>
      </c>
      <c r="P824" s="31">
        <f>_xll.qlCalendarAdvance(Calendar,P823,O823,"f",,Trigger)</f>
        <v>48778</v>
      </c>
      <c r="Q824" s="31">
        <f>_xll.qlInterestRateIndexValueDate(Index,P824,Trigger)</f>
        <v>48780</v>
      </c>
      <c r="R824" s="31">
        <f>_xll.qlInterestRateIndexMaturity(Index,Q824,Trigger)</f>
        <v>48872</v>
      </c>
      <c r="S824" s="32">
        <f>_xll.qlDayCounterYearFraction(DayCounter,Q824,R824,,,Trigger)</f>
        <v>0.25555555555555554</v>
      </c>
      <c r="T824" s="33">
        <f>_xll.qlIndexFixing(Index,P824,,AllTriggers)</f>
        <v>9.905673750162429E-3</v>
      </c>
      <c r="U824" s="34">
        <f>_xll.qlYieldTSDiscount(OisCurve,Q824,,AllTriggers)</f>
        <v>0.90460364599438725</v>
      </c>
      <c r="V824" s="34">
        <f>_xll.qlYieldTSDiscount(OisCurve,R824,,AllTriggers)</f>
        <v>0.90256329880918418</v>
      </c>
      <c r="W824" s="33">
        <f t="shared" si="56"/>
        <v>8.845880678929427E-3</v>
      </c>
      <c r="X824" s="35">
        <f t="shared" si="57"/>
        <v>2.7018862815372975E-4</v>
      </c>
      <c r="Y824" s="33">
        <f t="shared" si="58"/>
        <v>1.059793071233002E-3</v>
      </c>
      <c r="Z824" s="54"/>
    </row>
    <row r="825" spans="15:26" x14ac:dyDescent="0.25">
      <c r="O825" s="37" t="s">
        <v>19</v>
      </c>
      <c r="P825" s="31">
        <f>_xll.qlCalendarAdvance(Calendar,P824,O824,"f",,Trigger)</f>
        <v>48809</v>
      </c>
      <c r="Q825" s="31">
        <f>_xll.qlInterestRateIndexValueDate(Index,P825,Trigger)</f>
        <v>48813</v>
      </c>
      <c r="R825" s="31">
        <f>_xll.qlInterestRateIndexMaturity(Index,Q825,Trigger)</f>
        <v>48905</v>
      </c>
      <c r="S825" s="32">
        <f>_xll.qlDayCounterYearFraction(DayCounter,Q825,R825,,,Trigger)</f>
        <v>0.25555555555555554</v>
      </c>
      <c r="T825" s="33">
        <f>_xll.qlIndexFixing(Index,P825,,AllTriggers)</f>
        <v>9.880774541009673E-3</v>
      </c>
      <c r="U825" s="34">
        <f>_xll.qlYieldTSDiscount(OisCurve,Q825,,AllTriggers)</f>
        <v>0.90387002774812675</v>
      </c>
      <c r="V825" s="34">
        <f>_xll.qlYieldTSDiscount(OisCurve,R825,,AllTriggers)</f>
        <v>0.90183519323443229</v>
      </c>
      <c r="W825" s="33">
        <f t="shared" si="56"/>
        <v>8.8291031253673324E-3</v>
      </c>
      <c r="X825" s="35">
        <f t="shared" si="57"/>
        <v>2.6811947948980023E-4</v>
      </c>
      <c r="Y825" s="33">
        <f t="shared" si="58"/>
        <v>1.0516714156423405E-3</v>
      </c>
      <c r="Z825" s="54"/>
    </row>
    <row r="826" spans="15:26" x14ac:dyDescent="0.25">
      <c r="O826" s="37" t="s">
        <v>19</v>
      </c>
      <c r="P826" s="31">
        <f>_xll.qlCalendarAdvance(Calendar,P825,O825,"f",,Trigger)</f>
        <v>48841</v>
      </c>
      <c r="Q826" s="31">
        <f>_xll.qlInterestRateIndexValueDate(Index,P826,Trigger)</f>
        <v>48843</v>
      </c>
      <c r="R826" s="31">
        <f>_xll.qlInterestRateIndexMaturity(Index,Q826,Trigger)</f>
        <v>48934</v>
      </c>
      <c r="S826" s="32">
        <f>_xll.qlDayCounterYearFraction(DayCounter,Q826,R826,,,Trigger)</f>
        <v>0.25277777777777777</v>
      </c>
      <c r="T826" s="33">
        <f>_xll.qlIndexFixing(Index,P826,,AllTriggers)</f>
        <v>9.8579107707169183E-3</v>
      </c>
      <c r="U826" s="34">
        <f>_xll.qlYieldTSDiscount(OisCurve,Q826,,AllTriggers)</f>
        <v>0.90320479938984621</v>
      </c>
      <c r="V826" s="34">
        <f>_xll.qlYieldTSDiscount(OisCurve,R826,,AllTriggers)</f>
        <v>0.90119701059984647</v>
      </c>
      <c r="W826" s="33">
        <f t="shared" si="56"/>
        <v>8.813722875538884E-3</v>
      </c>
      <c r="X826" s="35">
        <f t="shared" si="57"/>
        <v>2.6332607745574817E-4</v>
      </c>
      <c r="Y826" s="33">
        <f t="shared" si="58"/>
        <v>1.0441878951780344E-3</v>
      </c>
      <c r="Z826" s="54"/>
    </row>
    <row r="827" spans="15:26" x14ac:dyDescent="0.25">
      <c r="O827" s="37" t="s">
        <v>19</v>
      </c>
      <c r="P827" s="31">
        <f>_xll.qlCalendarAdvance(Calendar,P826,O826,"f",,Trigger)</f>
        <v>48871</v>
      </c>
      <c r="Q827" s="31">
        <f>_xll.qlInterestRateIndexValueDate(Index,P827,Trigger)</f>
        <v>48873</v>
      </c>
      <c r="R827" s="31">
        <f>_xll.qlInterestRateIndexMaturity(Index,Q827,Trigger)</f>
        <v>48967</v>
      </c>
      <c r="S827" s="32">
        <f>_xll.qlDayCounterYearFraction(DayCounter,Q827,R827,,,Trigger)</f>
        <v>0.26111111111111113</v>
      </c>
      <c r="T827" s="33">
        <f>_xll.qlIndexFixing(Index,P827,,AllTriggers)</f>
        <v>9.8335336008633419E-3</v>
      </c>
      <c r="U827" s="34">
        <f>_xll.qlYieldTSDiscount(OisCurve,Q827,,AllTriggers)</f>
        <v>0.90254120553110107</v>
      </c>
      <c r="V827" s="34">
        <f>_xll.qlYieldTSDiscount(OisCurve,R827,,AllTriggers)</f>
        <v>0.90047272124019651</v>
      </c>
      <c r="W827" s="33">
        <f t="shared" si="56"/>
        <v>8.7974399937545376E-3</v>
      </c>
      <c r="X827" s="35">
        <f t="shared" si="57"/>
        <v>2.6987910684786567E-4</v>
      </c>
      <c r="Y827" s="33">
        <f t="shared" si="58"/>
        <v>1.0360936071088043E-3</v>
      </c>
      <c r="Z827" s="54"/>
    </row>
    <row r="828" spans="15:26" x14ac:dyDescent="0.25">
      <c r="O828" s="37" t="s">
        <v>19</v>
      </c>
      <c r="P828" s="31">
        <f>_xll.qlCalendarAdvance(Calendar,P827,O827,"f",,Trigger)</f>
        <v>48904</v>
      </c>
      <c r="Q828" s="31">
        <f>_xll.qlInterestRateIndexValueDate(Index,P828,Trigger)</f>
        <v>48906</v>
      </c>
      <c r="R828" s="31">
        <f>_xll.qlInterestRateIndexMaturity(Index,Q828,Trigger)</f>
        <v>48998</v>
      </c>
      <c r="S828" s="32">
        <f>_xll.qlDayCounterYearFraction(DayCounter,Q828,R828,,,Trigger)</f>
        <v>0.25555555555555554</v>
      </c>
      <c r="T828" s="33">
        <f>_xll.qlIndexFixing(Index,P828,,AllTriggers)</f>
        <v>9.8075886855172757E-3</v>
      </c>
      <c r="U828" s="34">
        <f>_xll.qlYieldTSDiscount(OisCurve,Q828,,AllTriggers)</f>
        <v>0.90181316086391705</v>
      </c>
      <c r="V828" s="34">
        <f>_xll.qlYieldTSDiscount(OisCurve,R828,,AllTriggers)</f>
        <v>0.89979420814186817</v>
      </c>
      <c r="W828" s="33">
        <f t="shared" si="56"/>
        <v>8.7800629415526674E-3</v>
      </c>
      <c r="X828" s="35">
        <f t="shared" si="57"/>
        <v>2.6196771725213577E-4</v>
      </c>
      <c r="Y828" s="33">
        <f t="shared" si="58"/>
        <v>1.0275257439646083E-3</v>
      </c>
      <c r="Z828" s="54"/>
    </row>
    <row r="829" spans="15:26" x14ac:dyDescent="0.25">
      <c r="O829" s="37" t="s">
        <v>19</v>
      </c>
      <c r="P829" s="31">
        <f>_xll.qlCalendarAdvance(Calendar,P828,O828,"f",,Trigger)</f>
        <v>48934</v>
      </c>
      <c r="Q829" s="31">
        <f>_xll.qlInterestRateIndexValueDate(Index,P829,Trigger)</f>
        <v>48936</v>
      </c>
      <c r="R829" s="31">
        <f>_xll.qlInterestRateIndexMaturity(Index,Q829,Trigger)</f>
        <v>49026</v>
      </c>
      <c r="S829" s="32">
        <f>_xll.qlDayCounterYearFraction(DayCounter,Q829,R829,,,Trigger)</f>
        <v>0.25</v>
      </c>
      <c r="T829" s="33">
        <f>_xll.qlIndexFixing(Index,P829,,AllTriggers)</f>
        <v>9.7835990291867958E-3</v>
      </c>
      <c r="U829" s="34">
        <f>_xll.qlYieldTSDiscount(OisCurve,Q829,,AllTriggers)</f>
        <v>0.90115305593515305</v>
      </c>
      <c r="V829" s="34">
        <f>_xll.qlYieldTSDiscount(OisCurve,R829,,AllTriggers)</f>
        <v>0.8991829390541366</v>
      </c>
      <c r="W829" s="33">
        <f t="shared" si="56"/>
        <v>8.7640314131798291E-3</v>
      </c>
      <c r="X829" s="35">
        <f t="shared" si="57"/>
        <v>2.5430231720048526E-4</v>
      </c>
      <c r="Y829" s="33">
        <f t="shared" si="58"/>
        <v>1.0195676160069667E-3</v>
      </c>
      <c r="Z829" s="54"/>
    </row>
    <row r="830" spans="15:26" x14ac:dyDescent="0.25">
      <c r="O830" s="37" t="s">
        <v>19</v>
      </c>
      <c r="P830" s="31">
        <f>_xll.qlCalendarAdvance(Calendar,P829,O829,"f",,Trigger)</f>
        <v>48967</v>
      </c>
      <c r="Q830" s="31">
        <f>_xll.qlInterestRateIndexValueDate(Index,P830,Trigger)</f>
        <v>48969</v>
      </c>
      <c r="R830" s="31">
        <f>_xll.qlInterestRateIndexMaturity(Index,Q830,Trigger)</f>
        <v>49059</v>
      </c>
      <c r="S830" s="32">
        <f>_xll.qlDayCounterYearFraction(DayCounter,Q830,R830,,,Trigger)</f>
        <v>0.25</v>
      </c>
      <c r="T830" s="33">
        <f>_xll.qlIndexFixing(Index,P830,,AllTriggers)</f>
        <v>9.756068923373995E-3</v>
      </c>
      <c r="U830" s="34">
        <f>_xll.qlYieldTSDiscount(OisCurve,Q830,,AllTriggers)</f>
        <v>0.90042889102840395</v>
      </c>
      <c r="V830" s="34">
        <f>_xll.qlYieldTSDiscount(OisCurve,R830,,AllTriggers)</f>
        <v>0.89846446137076008</v>
      </c>
      <c r="W830" s="33">
        <f t="shared" si="56"/>
        <v>8.7457200239029476E-3</v>
      </c>
      <c r="X830" s="35">
        <f t="shared" si="57"/>
        <v>2.5200440965429297E-4</v>
      </c>
      <c r="Y830" s="33">
        <f t="shared" si="58"/>
        <v>1.0103488994710474E-3</v>
      </c>
      <c r="Z830" s="54"/>
    </row>
    <row r="831" spans="15:26" x14ac:dyDescent="0.25">
      <c r="O831" s="37" t="s">
        <v>19</v>
      </c>
      <c r="P831" s="31">
        <f>_xll.qlCalendarAdvance(Calendar,P830,O830,"f",,Trigger)</f>
        <v>48998</v>
      </c>
      <c r="Q831" s="31">
        <f>_xll.qlInterestRateIndexValueDate(Index,P831,Trigger)</f>
        <v>49002</v>
      </c>
      <c r="R831" s="31">
        <f>_xll.qlInterestRateIndexMaturity(Index,Q831,Trigger)</f>
        <v>49093</v>
      </c>
      <c r="S831" s="32">
        <f>_xll.qlDayCounterYearFraction(DayCounter,Q831,R831,,,Trigger)</f>
        <v>0.25277777777777777</v>
      </c>
      <c r="T831" s="33">
        <f>_xll.qlIndexFixing(Index,P831,,AllTriggers)</f>
        <v>9.7276759455580224E-3</v>
      </c>
      <c r="U831" s="34">
        <f>_xll.qlYieldTSDiscount(OisCurve,Q831,,AllTriggers)</f>
        <v>0.89970679173067891</v>
      </c>
      <c r="V831" s="34">
        <f>_xll.qlYieldTSDiscount(OisCurve,R831,,AllTriggers)</f>
        <v>0.89772643728389534</v>
      </c>
      <c r="W831" s="33">
        <f t="shared" si="56"/>
        <v>8.7269004394323682E-3</v>
      </c>
      <c r="X831" s="35">
        <f t="shared" si="57"/>
        <v>2.5238513327238455E-4</v>
      </c>
      <c r="Y831" s="33">
        <f t="shared" si="58"/>
        <v>1.0007755061256542E-3</v>
      </c>
      <c r="Z831" s="54"/>
    </row>
    <row r="832" spans="15:26" x14ac:dyDescent="0.25">
      <c r="O832" s="37" t="s">
        <v>19</v>
      </c>
      <c r="P832" s="31">
        <f>_xll.qlCalendarAdvance(Calendar,P831,O831,"f",,Trigger)</f>
        <v>49026</v>
      </c>
      <c r="Q832" s="31">
        <f>_xll.qlInterestRateIndexValueDate(Index,P832,Trigger)</f>
        <v>49030</v>
      </c>
      <c r="R832" s="31">
        <f>_xll.qlInterestRateIndexMaturity(Index,Q832,Trigger)</f>
        <v>49122</v>
      </c>
      <c r="S832" s="32">
        <f>_xll.qlDayCounterYearFraction(DayCounter,Q832,R832,,,Trigger)</f>
        <v>0.25555555555555554</v>
      </c>
      <c r="T832" s="33">
        <f>_xll.qlIndexFixing(Index,P832,,AllTriggers)</f>
        <v>9.703083744297427E-3</v>
      </c>
      <c r="U832" s="34">
        <f>_xll.qlYieldTSDiscount(OisCurve,Q832,,AllTriggers)</f>
        <v>0.89909573828499822</v>
      </c>
      <c r="V832" s="34">
        <f>_xll.qlYieldTSDiscount(OisCurve,R832,,AllTriggers)</f>
        <v>0.89709874957940072</v>
      </c>
      <c r="W832" s="33">
        <f t="shared" si="56"/>
        <v>8.7106393072809169E-3</v>
      </c>
      <c r="X832" s="35">
        <f t="shared" si="57"/>
        <v>2.5302934701644438E-4</v>
      </c>
      <c r="Y832" s="33">
        <f t="shared" si="58"/>
        <v>9.924444370165101E-4</v>
      </c>
      <c r="Z832" s="54"/>
    </row>
    <row r="833" spans="15:26" x14ac:dyDescent="0.25">
      <c r="O833" s="37" t="s">
        <v>19</v>
      </c>
      <c r="P833" s="31">
        <f>_xll.qlCalendarAdvance(Calendar,P832,O832,"f",,Trigger)</f>
        <v>49058</v>
      </c>
      <c r="Q833" s="31">
        <f>_xll.qlInterestRateIndexValueDate(Index,P833,Trigger)</f>
        <v>49060</v>
      </c>
      <c r="R833" s="31">
        <f>_xll.qlInterestRateIndexMaturity(Index,Q833,Trigger)</f>
        <v>49151</v>
      </c>
      <c r="S833" s="32">
        <f>_xll.qlDayCounterYearFraction(DayCounter,Q833,R833,,,Trigger)</f>
        <v>0.25277777777777777</v>
      </c>
      <c r="T833" s="33">
        <f>_xll.qlIndexFixing(Index,P833,,AllTriggers)</f>
        <v>9.6769305316984858E-3</v>
      </c>
      <c r="U833" s="34">
        <f>_xll.qlYieldTSDiscount(OisCurve,Q833,,AllTriggers)</f>
        <v>0.89844272242038481</v>
      </c>
      <c r="V833" s="34">
        <f>_xll.qlYieldTSDiscount(OisCurve,R833,,AllTriggers)</f>
        <v>0.89647273837403307</v>
      </c>
      <c r="W833" s="33">
        <f t="shared" si="56"/>
        <v>8.6933412991542468E-3</v>
      </c>
      <c r="X833" s="35">
        <f t="shared" si="57"/>
        <v>2.4805357137675849E-4</v>
      </c>
      <c r="Y833" s="33">
        <f t="shared" si="58"/>
        <v>9.8358923254423906E-4</v>
      </c>
      <c r="Z833" s="54"/>
    </row>
    <row r="834" spans="15:26" x14ac:dyDescent="0.25">
      <c r="O834" s="37" t="s">
        <v>19</v>
      </c>
      <c r="P834" s="31">
        <f>_xll.qlCalendarAdvance(Calendar,P833,O833,"f",,Trigger)</f>
        <v>49088</v>
      </c>
      <c r="Q834" s="31">
        <f>_xll.qlInterestRateIndexValueDate(Index,P834,Trigger)</f>
        <v>49090</v>
      </c>
      <c r="R834" s="31">
        <f>_xll.qlInterestRateIndexMaturity(Index,Q834,Trigger)</f>
        <v>49184</v>
      </c>
      <c r="S834" s="32">
        <f>_xll.qlDayCounterYearFraction(DayCounter,Q834,R834,,,Trigger)</f>
        <v>0.26111111111111113</v>
      </c>
      <c r="T834" s="33">
        <f>_xll.qlIndexFixing(Index,P834,,AllTriggers)</f>
        <v>9.6490208620376664E-3</v>
      </c>
      <c r="U834" s="34">
        <f>_xll.qlYieldTSDiscount(OisCurve,Q834,,AllTriggers)</f>
        <v>0.8977914655681366</v>
      </c>
      <c r="V834" s="34">
        <f>_xll.qlYieldTSDiscount(OisCurve,R834,,AllTriggers)</f>
        <v>0.89576243953832657</v>
      </c>
      <c r="W834" s="33">
        <f t="shared" si="56"/>
        <v>8.674998686606844E-3</v>
      </c>
      <c r="X834" s="35">
        <f t="shared" si="57"/>
        <v>2.537210363551397E-4</v>
      </c>
      <c r="Y834" s="33">
        <f t="shared" si="58"/>
        <v>9.7402217543082238E-4</v>
      </c>
      <c r="Z834" s="54"/>
    </row>
    <row r="835" spans="15:26" x14ac:dyDescent="0.25">
      <c r="O835" s="37" t="s">
        <v>19</v>
      </c>
      <c r="P835" s="31">
        <f>_xll.qlCalendarAdvance(Calendar,P834,O834,"f",,Trigger)</f>
        <v>49121</v>
      </c>
      <c r="Q835" s="31">
        <f>_xll.qlInterestRateIndexValueDate(Index,P835,Trigger)</f>
        <v>49123</v>
      </c>
      <c r="R835" s="31">
        <f>_xll.qlInterestRateIndexMaturity(Index,Q835,Trigger)</f>
        <v>49215</v>
      </c>
      <c r="S835" s="32">
        <f>_xll.qlDayCounterYearFraction(DayCounter,Q835,R835,,,Trigger)</f>
        <v>0.25555555555555554</v>
      </c>
      <c r="T835" s="33">
        <f>_xll.qlIndexFixing(Index,P835,,AllTriggers)</f>
        <v>9.6195125338802995E-3</v>
      </c>
      <c r="U835" s="34">
        <f>_xll.qlYieldTSDiscount(OisCurve,Q835,,AllTriggers)</f>
        <v>0.89707713498987895</v>
      </c>
      <c r="V835" s="34">
        <f>_xll.qlYieldTSDiscount(OisCurve,R835,,AllTriggers)</f>
        <v>0.89509720467786458</v>
      </c>
      <c r="W835" s="33">
        <f t="shared" si="56"/>
        <v>8.655544173693375E-3</v>
      </c>
      <c r="X835" s="35">
        <f t="shared" si="57"/>
        <v>2.4577355390106756E-4</v>
      </c>
      <c r="Y835" s="33">
        <f t="shared" si="58"/>
        <v>9.639683601869245E-4</v>
      </c>
      <c r="Z835" s="54"/>
    </row>
    <row r="836" spans="15:26" x14ac:dyDescent="0.25">
      <c r="O836" s="37" t="s">
        <v>19</v>
      </c>
      <c r="P836" s="31">
        <f>_xll.qlCalendarAdvance(Calendar,P835,O835,"f",,Trigger)</f>
        <v>49151</v>
      </c>
      <c r="Q836" s="31">
        <f>_xll.qlInterestRateIndexValueDate(Index,P836,Trigger)</f>
        <v>49153</v>
      </c>
      <c r="R836" s="31">
        <f>_xll.qlInterestRateIndexMaturity(Index,Q836,Trigger)</f>
        <v>49247</v>
      </c>
      <c r="S836" s="32">
        <f>_xll.qlDayCounterYearFraction(DayCounter,Q836,R836,,,Trigger)</f>
        <v>0.26111111111111113</v>
      </c>
      <c r="T836" s="33">
        <f>_xll.qlIndexFixing(Index,P836,,AllTriggers)</f>
        <v>9.5909137898522786E-3</v>
      </c>
      <c r="U836" s="34">
        <f>_xll.qlYieldTSDiscount(OisCurve,Q836,,AllTriggers)</f>
        <v>0.89642962737326648</v>
      </c>
      <c r="V836" s="34">
        <f>_xll.qlYieldTSDiscount(OisCurve,R836,,AllTriggers)</f>
        <v>0.89441257878315095</v>
      </c>
      <c r="W836" s="33">
        <f t="shared" ref="W836:W899" si="59">(U836/V836-1)/S836</f>
        <v>8.636804897553689E-3</v>
      </c>
      <c r="X836" s="35">
        <f t="shared" ref="X836:X899" si="60">LN((1+T836*S836)/(1+W836*S836))</f>
        <v>2.4853698337090559E-4</v>
      </c>
      <c r="Y836" s="33">
        <f t="shared" ref="Y836:Y899" si="61">T836-W836</f>
        <v>9.5410889229858957E-4</v>
      </c>
      <c r="Z836" s="54"/>
    </row>
    <row r="837" spans="15:26" x14ac:dyDescent="0.25">
      <c r="O837" s="37" t="s">
        <v>19</v>
      </c>
      <c r="P837" s="31">
        <f>_xll.qlCalendarAdvance(Calendar,P836,O836,"f",,Trigger)</f>
        <v>49184</v>
      </c>
      <c r="Q837" s="31">
        <f>_xll.qlInterestRateIndexValueDate(Index,P837,Trigger)</f>
        <v>49186</v>
      </c>
      <c r="R837" s="31">
        <f>_xll.qlInterestRateIndexMaturity(Index,Q837,Trigger)</f>
        <v>49278</v>
      </c>
      <c r="S837" s="32">
        <f>_xll.qlDayCounterYearFraction(DayCounter,Q837,R837,,,Trigger)</f>
        <v>0.25555555555555554</v>
      </c>
      <c r="T837" s="33">
        <f>_xll.qlIndexFixing(Index,P837,,AllTriggers)</f>
        <v>9.5603712273847306E-3</v>
      </c>
      <c r="U837" s="34">
        <f>_xll.qlYieldTSDiscount(OisCurve,Q837,,AllTriggers)</f>
        <v>0.89571946202661423</v>
      </c>
      <c r="V837" s="34">
        <f>_xll.qlYieldTSDiscount(OisCurve,R837,,AllTriggers)</f>
        <v>0.89375136996826243</v>
      </c>
      <c r="W837" s="33">
        <f t="shared" si="59"/>
        <v>8.6167474001456728E-3</v>
      </c>
      <c r="X837" s="35">
        <f t="shared" si="60"/>
        <v>2.4058951171205726E-4</v>
      </c>
      <c r="Y837" s="33">
        <f t="shared" si="61"/>
        <v>9.4362382723905784E-4</v>
      </c>
      <c r="Z837" s="54"/>
    </row>
    <row r="838" spans="15:26" x14ac:dyDescent="0.25">
      <c r="O838" s="37" t="s">
        <v>19</v>
      </c>
      <c r="P838" s="31">
        <f>_xll.qlCalendarAdvance(Calendar,P837,O837,"f",,Trigger)</f>
        <v>49215</v>
      </c>
      <c r="Q838" s="31">
        <f>_xll.qlInterestRateIndexValueDate(Index,P838,Trigger)</f>
        <v>49219</v>
      </c>
      <c r="R838" s="31">
        <f>_xll.qlInterestRateIndexMaturity(Index,Q838,Trigger)</f>
        <v>49311</v>
      </c>
      <c r="S838" s="32">
        <f>_xll.qlDayCounterYearFraction(DayCounter,Q838,R838,,,Trigger)</f>
        <v>0.25555555555555554</v>
      </c>
      <c r="T838" s="33">
        <f>_xll.qlIndexFixing(Index,P838,,AllTriggers)</f>
        <v>9.5285774202889754E-3</v>
      </c>
      <c r="U838" s="34">
        <f>_xll.qlYieldTSDiscount(OisCurve,Q838,,AllTriggers)</f>
        <v>0.89501151113737065</v>
      </c>
      <c r="V838" s="34">
        <f>_xll.qlYieldTSDiscount(OisCurve,R838,,AllTriggers)</f>
        <v>0.89304971061845284</v>
      </c>
      <c r="W838" s="33">
        <f t="shared" si="59"/>
        <v>8.595950074138237E-3</v>
      </c>
      <c r="X838" s="35">
        <f t="shared" si="60"/>
        <v>2.377874060242726E-4</v>
      </c>
      <c r="Y838" s="33">
        <f t="shared" si="61"/>
        <v>9.3262734615073839E-4</v>
      </c>
      <c r="Z838" s="54"/>
    </row>
    <row r="839" spans="15:26" x14ac:dyDescent="0.25">
      <c r="O839" s="37" t="s">
        <v>19</v>
      </c>
      <c r="P839" s="31">
        <f>_xll.qlCalendarAdvance(Calendar,P838,O838,"f",,Trigger)</f>
        <v>49247</v>
      </c>
      <c r="Q839" s="31">
        <f>_xll.qlInterestRateIndexValueDate(Index,P839,Trigger)</f>
        <v>49249</v>
      </c>
      <c r="R839" s="31">
        <f>_xll.qlInterestRateIndexMaturity(Index,Q839,Trigger)</f>
        <v>49341</v>
      </c>
      <c r="S839" s="32">
        <f>_xll.qlDayCounterYearFraction(DayCounter,Q839,R839,,,Trigger)</f>
        <v>0.25555555555555554</v>
      </c>
      <c r="T839" s="33">
        <f>_xll.qlIndexFixing(Index,P839,,AllTriggers)</f>
        <v>9.4991877362799147E-3</v>
      </c>
      <c r="U839" s="34">
        <f>_xll.qlYieldTSDiscount(OisCurve,Q839,,AllTriggers)</f>
        <v>0.89436985988157547</v>
      </c>
      <c r="V839" s="34">
        <f>_xll.qlYieldTSDiscount(OisCurve,R839,,AllTriggers)</f>
        <v>0.89241383275544117</v>
      </c>
      <c r="W839" s="33">
        <f t="shared" si="59"/>
        <v>8.5767599159557121E-3</v>
      </c>
      <c r="X839" s="35">
        <f t="shared" si="60"/>
        <v>2.3518833962138144E-4</v>
      </c>
      <c r="Y839" s="33">
        <f t="shared" si="61"/>
        <v>9.2242782032420263E-4</v>
      </c>
      <c r="Z839" s="54"/>
    </row>
    <row r="840" spans="15:26" x14ac:dyDescent="0.25">
      <c r="O840" s="37" t="s">
        <v>19</v>
      </c>
      <c r="P840" s="31">
        <f>_xll.qlCalendarAdvance(Calendar,P839,O839,"f",,Trigger)</f>
        <v>49278</v>
      </c>
      <c r="Q840" s="31">
        <f>_xll.qlInterestRateIndexValueDate(Index,P840,Trigger)</f>
        <v>49282</v>
      </c>
      <c r="R840" s="31">
        <f>_xll.qlInterestRateIndexMaturity(Index,Q840,Trigger)</f>
        <v>49373</v>
      </c>
      <c r="S840" s="32">
        <f>_xll.qlDayCounterYearFraction(DayCounter,Q840,R840,,,Trigger)</f>
        <v>0.25277777777777777</v>
      </c>
      <c r="T840" s="33">
        <f>_xll.qlIndexFixing(Index,P840,,AllTriggers)</f>
        <v>9.4667059162035633E-3</v>
      </c>
      <c r="U840" s="34">
        <f>_xll.qlYieldTSDiscount(OisCurve,Q840,,AllTriggers)</f>
        <v>0.89366619865375563</v>
      </c>
      <c r="V840" s="34">
        <f>_xll.qlYieldTSDiscount(OisCurve,R840,,AllTriggers)</f>
        <v>0.89173767582768393</v>
      </c>
      <c r="W840" s="33">
        <f t="shared" si="59"/>
        <v>8.5555665942813643E-3</v>
      </c>
      <c r="X840" s="35">
        <f t="shared" si="60"/>
        <v>2.2979234959452381E-4</v>
      </c>
      <c r="Y840" s="33">
        <f t="shared" si="61"/>
        <v>9.1113932192219901E-4</v>
      </c>
      <c r="Z840" s="54"/>
    </row>
    <row r="841" spans="15:26" x14ac:dyDescent="0.25">
      <c r="O841" s="37" t="s">
        <v>19</v>
      </c>
      <c r="P841" s="31">
        <f>_xll.qlCalendarAdvance(Calendar,P840,O840,"f",,Trigger)</f>
        <v>49311</v>
      </c>
      <c r="Q841" s="31">
        <f>_xll.qlInterestRateIndexValueDate(Index,P841,Trigger)</f>
        <v>49313</v>
      </c>
      <c r="R841" s="31">
        <f>_xll.qlInterestRateIndexMaturity(Index,Q841,Trigger)</f>
        <v>49403</v>
      </c>
      <c r="S841" s="32">
        <f>_xll.qlDayCounterYearFraction(DayCounter,Q841,R841,,,Trigger)</f>
        <v>0.25</v>
      </c>
      <c r="T841" s="33">
        <f>_xll.qlIndexFixing(Index,P841,,AllTriggers)</f>
        <v>9.4357228396031445E-3</v>
      </c>
      <c r="U841" s="34">
        <f>_xll.qlYieldTSDiscount(OisCurve,Q841,,AllTriggers)</f>
        <v>0.89300725947001947</v>
      </c>
      <c r="V841" s="34">
        <f>_xll.qlYieldTSDiscount(OisCurve,R841,,AllTriggers)</f>
        <v>0.8911057769542946</v>
      </c>
      <c r="W841" s="33">
        <f t="shared" si="59"/>
        <v>8.5353840807718129E-3</v>
      </c>
      <c r="X841" s="35">
        <f t="shared" si="60"/>
        <v>2.2458019631395296E-4</v>
      </c>
      <c r="Y841" s="33">
        <f t="shared" si="61"/>
        <v>9.0033875883133163E-4</v>
      </c>
      <c r="Z841" s="54"/>
    </row>
    <row r="842" spans="15:26" x14ac:dyDescent="0.25">
      <c r="O842" s="37" t="s">
        <v>19</v>
      </c>
      <c r="P842" s="31">
        <f>_xll.qlCalendarAdvance(Calendar,P841,O841,"f",,Trigger)</f>
        <v>49342</v>
      </c>
      <c r="Q842" s="31">
        <f>_xll.qlInterestRateIndexValueDate(Index,P842,Trigger)</f>
        <v>49346</v>
      </c>
      <c r="R842" s="31">
        <f>_xll.qlInterestRateIndexMaturity(Index,Q842,Trigger)</f>
        <v>49436</v>
      </c>
      <c r="S842" s="32">
        <f>_xll.qlDayCounterYearFraction(DayCounter,Q842,R842,,,Trigger)</f>
        <v>0.25</v>
      </c>
      <c r="T842" s="33">
        <f>_xll.qlIndexFixing(Index,P842,,AllTriggers)</f>
        <v>9.4017922979814372E-3</v>
      </c>
      <c r="U842" s="34">
        <f>_xll.qlYieldTSDiscount(OisCurve,Q842,,AllTriggers)</f>
        <v>0.89230803898793365</v>
      </c>
      <c r="V842" s="34">
        <f>_xll.qlYieldTSDiscount(OisCurve,R842,,AllTriggers)</f>
        <v>0.89041294175158636</v>
      </c>
      <c r="W842" s="33">
        <f t="shared" si="59"/>
        <v>8.5133409342379451E-3</v>
      </c>
      <c r="X842" s="35">
        <f t="shared" si="60"/>
        <v>2.2161655557994463E-4</v>
      </c>
      <c r="Y842" s="33">
        <f t="shared" si="61"/>
        <v>8.884513637434921E-4</v>
      </c>
      <c r="Z842" s="54"/>
    </row>
    <row r="843" spans="15:26" x14ac:dyDescent="0.25">
      <c r="O843" s="37" t="s">
        <v>19</v>
      </c>
      <c r="P843" s="31">
        <f>_xll.qlCalendarAdvance(Calendar,P842,O842,"f",,Trigger)</f>
        <v>49370</v>
      </c>
      <c r="Q843" s="31">
        <f>_xll.qlInterestRateIndexValueDate(Index,P843,Trigger)</f>
        <v>49374</v>
      </c>
      <c r="R843" s="31">
        <f>_xll.qlInterestRateIndexMaturity(Index,Q843,Trigger)</f>
        <v>49466</v>
      </c>
      <c r="S843" s="32">
        <f>_xll.qlDayCounterYearFraction(DayCounter,Q843,R843,,,Trigger)</f>
        <v>0.25555555555555554</v>
      </c>
      <c r="T843" s="33">
        <f>_xll.qlIndexFixing(Index,P843,,AllTriggers)</f>
        <v>9.3718615758700205E-3</v>
      </c>
      <c r="U843" s="34">
        <f>_xll.qlYieldTSDiscount(OisCurve,Q843,,AllTriggers)</f>
        <v>0.89171658127870168</v>
      </c>
      <c r="V843" s="34">
        <f>_xll.qlYieldTSDiscount(OisCurve,R843,,AllTriggers)</f>
        <v>0.88978514207859216</v>
      </c>
      <c r="W843" s="33">
        <f t="shared" si="59"/>
        <v>8.4939669232853496E-3</v>
      </c>
      <c r="X843" s="35">
        <f t="shared" si="60"/>
        <v>2.2383986245474858E-4</v>
      </c>
      <c r="Y843" s="33">
        <f t="shared" si="61"/>
        <v>8.7789465258467092E-4</v>
      </c>
      <c r="Z843" s="54"/>
    </row>
    <row r="844" spans="15:26" x14ac:dyDescent="0.25">
      <c r="O844" s="37" t="s">
        <v>19</v>
      </c>
      <c r="P844" s="31">
        <f>_xll.qlCalendarAdvance(Calendar,P843,O843,"f",,Trigger)</f>
        <v>49401</v>
      </c>
      <c r="Q844" s="31">
        <f>_xll.qlInterestRateIndexValueDate(Index,P844,Trigger)</f>
        <v>49403</v>
      </c>
      <c r="R844" s="31">
        <f>_xll.qlInterestRateIndexMaturity(Index,Q844,Trigger)</f>
        <v>49494</v>
      </c>
      <c r="S844" s="32">
        <f>_xll.qlDayCounterYearFraction(DayCounter,Q844,R844,,,Trigger)</f>
        <v>0.25277777777777777</v>
      </c>
      <c r="T844" s="33">
        <f>_xll.qlIndexFixing(Index,P844,,AllTriggers)</f>
        <v>9.3420779984964026E-3</v>
      </c>
      <c r="U844" s="34">
        <f>_xll.qlYieldTSDiscount(OisCurve,Q844,,AllTriggers)</f>
        <v>0.8911057769542946</v>
      </c>
      <c r="V844" s="34">
        <f>_xll.qlYieldTSDiscount(OisCurve,R844,,AllTriggers)</f>
        <v>0.88920092936735806</v>
      </c>
      <c r="W844" s="33">
        <f t="shared" si="59"/>
        <v>8.4746433956680734E-3</v>
      </c>
      <c r="X844" s="35">
        <f t="shared" si="60"/>
        <v>2.1877554557855447E-4</v>
      </c>
      <c r="Y844" s="33">
        <f t="shared" si="61"/>
        <v>8.6743460282832918E-4</v>
      </c>
      <c r="Z844" s="54"/>
    </row>
    <row r="845" spans="15:26" x14ac:dyDescent="0.25">
      <c r="O845" s="37" t="s">
        <v>19</v>
      </c>
      <c r="P845" s="31">
        <f>_xll.qlCalendarAdvance(Calendar,P844,O844,"f",,Trigger)</f>
        <v>49431</v>
      </c>
      <c r="Q845" s="31">
        <f>_xll.qlInterestRateIndexValueDate(Index,P845,Trigger)</f>
        <v>49433</v>
      </c>
      <c r="R845" s="31">
        <f>_xll.qlInterestRateIndexMaturity(Index,Q845,Trigger)</f>
        <v>49527</v>
      </c>
      <c r="S845" s="32">
        <f>_xll.qlDayCounterYearFraction(DayCounter,Q845,R845,,,Trigger)</f>
        <v>0.26111111111111113</v>
      </c>
      <c r="T845" s="33">
        <f>_xll.qlIndexFixing(Index,P845,,AllTriggers)</f>
        <v>9.3100441137982503E-3</v>
      </c>
      <c r="U845" s="34">
        <f>_xll.qlYieldTSDiscount(OisCurve,Q845,,AllTriggers)</f>
        <v>0.89047582873907027</v>
      </c>
      <c r="V845" s="34">
        <f>_xll.qlYieldTSDiscount(OisCurve,R845,,AllTriggers)</f>
        <v>0.88851450144342969</v>
      </c>
      <c r="W845" s="33">
        <f t="shared" si="59"/>
        <v>8.4539602070878746E-3</v>
      </c>
      <c r="X845" s="35">
        <f t="shared" si="60"/>
        <v>2.2301580510893402E-4</v>
      </c>
      <c r="Y845" s="33">
        <f t="shared" si="61"/>
        <v>8.5608390671037572E-4</v>
      </c>
      <c r="Z845" s="54"/>
    </row>
    <row r="846" spans="15:26" x14ac:dyDescent="0.25">
      <c r="O846" s="37" t="s">
        <v>19</v>
      </c>
      <c r="P846" s="31">
        <f>_xll.qlCalendarAdvance(Calendar,P845,O845,"f",,Trigger)</f>
        <v>49464</v>
      </c>
      <c r="Q846" s="31">
        <f>_xll.qlInterestRateIndexValueDate(Index,P846,Trigger)</f>
        <v>49466</v>
      </c>
      <c r="R846" s="31">
        <f>_xll.qlInterestRateIndexMaturity(Index,Q846,Trigger)</f>
        <v>49558</v>
      </c>
      <c r="S846" s="32">
        <f>_xll.qlDayCounterYearFraction(DayCounter,Q846,R846,,,Trigger)</f>
        <v>0.25555555555555554</v>
      </c>
      <c r="T846" s="33">
        <f>_xll.qlIndexFixing(Index,P846,,AllTriggers)</f>
        <v>9.2775750377790366E-3</v>
      </c>
      <c r="U846" s="34">
        <f>_xll.qlYieldTSDiscount(OisCurve,Q846,,AllTriggers)</f>
        <v>0.88978514207859216</v>
      </c>
      <c r="V846" s="34">
        <f>_xll.qlYieldTSDiscount(OisCurve,R846,,AllTriggers)</f>
        <v>0.88787171315472735</v>
      </c>
      <c r="W846" s="33">
        <f t="shared" si="59"/>
        <v>8.4328968483986921E-3</v>
      </c>
      <c r="X846" s="35">
        <f t="shared" si="60"/>
        <v>2.1537481056971153E-4</v>
      </c>
      <c r="Y846" s="33">
        <f t="shared" si="61"/>
        <v>8.4467818938034449E-4</v>
      </c>
      <c r="Z846" s="54"/>
    </row>
    <row r="847" spans="15:26" x14ac:dyDescent="0.25">
      <c r="O847" s="37" t="s">
        <v>19</v>
      </c>
      <c r="P847" s="31">
        <f>_xll.qlCalendarAdvance(Calendar,P846,O846,"f",,Trigger)</f>
        <v>49494</v>
      </c>
      <c r="Q847" s="31">
        <f>_xll.qlInterestRateIndexValueDate(Index,P847,Trigger)</f>
        <v>49496</v>
      </c>
      <c r="R847" s="31">
        <f>_xll.qlInterestRateIndexMaturity(Index,Q847,Trigger)</f>
        <v>49590</v>
      </c>
      <c r="S847" s="32">
        <f>_xll.qlDayCounterYearFraction(DayCounter,Q847,R847,,,Trigger)</f>
        <v>0.26111111111111113</v>
      </c>
      <c r="T847" s="33">
        <f>_xll.qlIndexFixing(Index,P847,,AllTriggers)</f>
        <v>9.2473354465385186E-3</v>
      </c>
      <c r="U847" s="34">
        <f>_xll.qlYieldTSDiscount(OisCurve,Q847,,AllTriggers)</f>
        <v>0.88915926314397642</v>
      </c>
      <c r="V847" s="34">
        <f>_xll.qlYieldTSDiscount(OisCurve,R847,,AllTriggers)</f>
        <v>0.88721021810876655</v>
      </c>
      <c r="W847" s="33">
        <f t="shared" si="59"/>
        <v>8.4133699568205676E-3</v>
      </c>
      <c r="X847" s="35">
        <f t="shared" si="60"/>
        <v>2.1725672697341352E-4</v>
      </c>
      <c r="Y847" s="33">
        <f t="shared" si="61"/>
        <v>8.3396548971795097E-4</v>
      </c>
      <c r="Z847" s="54"/>
    </row>
    <row r="848" spans="15:26" x14ac:dyDescent="0.25">
      <c r="O848" s="37" t="s">
        <v>19</v>
      </c>
      <c r="P848" s="31">
        <f>_xll.qlCalendarAdvance(Calendar,P847,O847,"f",,Trigger)</f>
        <v>49527</v>
      </c>
      <c r="Q848" s="31">
        <f>_xll.qlInterestRateIndexValueDate(Index,P848,Trigger)</f>
        <v>49529</v>
      </c>
      <c r="R848" s="31">
        <f>_xll.qlInterestRateIndexMaturity(Index,Q848,Trigger)</f>
        <v>49621</v>
      </c>
      <c r="S848" s="32">
        <f>_xll.qlDayCounterYearFraction(DayCounter,Q848,R848,,,Trigger)</f>
        <v>0.25555555555555554</v>
      </c>
      <c r="T848" s="33">
        <f>_xll.qlIndexFixing(Index,P848,,AllTriggers)</f>
        <v>9.2163599164314484E-3</v>
      </c>
      <c r="U848" s="34">
        <f>_xll.qlYieldTSDiscount(OisCurve,Q848,,AllTriggers)</f>
        <v>0.88847297210034881</v>
      </c>
      <c r="V848" s="34">
        <f>_xll.qlYieldTSDiscount(OisCurve,R848,,AllTriggers)</f>
        <v>0.8865713195870405</v>
      </c>
      <c r="W848" s="33">
        <f t="shared" si="59"/>
        <v>8.3932886173054833E-3</v>
      </c>
      <c r="X848" s="35">
        <f t="shared" si="60"/>
        <v>2.0986821484572256E-4</v>
      </c>
      <c r="Y848" s="33">
        <f t="shared" si="61"/>
        <v>8.2307129912596519E-4</v>
      </c>
      <c r="Z848" s="54"/>
    </row>
    <row r="849" spans="15:26" x14ac:dyDescent="0.25">
      <c r="O849" s="37" t="s">
        <v>19</v>
      </c>
      <c r="P849" s="31">
        <f>_xll.qlCalendarAdvance(Calendar,P848,O848,"f",,Trigger)</f>
        <v>49558</v>
      </c>
      <c r="Q849" s="31">
        <f>_xll.qlInterestRateIndexValueDate(Index,P849,Trigger)</f>
        <v>49562</v>
      </c>
      <c r="R849" s="31">
        <f>_xll.qlInterestRateIndexMaturity(Index,Q849,Trigger)</f>
        <v>49653</v>
      </c>
      <c r="S849" s="32">
        <f>_xll.qlDayCounterYearFraction(DayCounter,Q849,R849,,,Trigger)</f>
        <v>0.25277777777777777</v>
      </c>
      <c r="T849" s="33">
        <f>_xll.qlIndexFixing(Index,P849,,AllTriggers)</f>
        <v>9.1858051324571668E-3</v>
      </c>
      <c r="U849" s="34">
        <f>_xll.qlYieldTSDiscount(OisCurve,Q849,,AllTriggers)</f>
        <v>0.88778891444664132</v>
      </c>
      <c r="V849" s="34">
        <f>_xll.qlYieldTSDiscount(OisCurve,R849,,AllTriggers)</f>
        <v>0.88591375655928406</v>
      </c>
      <c r="W849" s="33">
        <f t="shared" si="59"/>
        <v>8.3735092405815281E-3</v>
      </c>
      <c r="X849" s="35">
        <f t="shared" si="60"/>
        <v>2.0487567013227319E-4</v>
      </c>
      <c r="Y849" s="33">
        <f t="shared" si="61"/>
        <v>8.1229589187563865E-4</v>
      </c>
      <c r="Z849" s="54"/>
    </row>
    <row r="850" spans="15:26" x14ac:dyDescent="0.25">
      <c r="O850" s="37" t="s">
        <v>19</v>
      </c>
      <c r="P850" s="31">
        <f>_xll.qlCalendarAdvance(Calendar,P849,O849,"f",,Trigger)</f>
        <v>49590</v>
      </c>
      <c r="Q850" s="31">
        <f>_xll.qlInterestRateIndexValueDate(Index,P850,Trigger)</f>
        <v>49592</v>
      </c>
      <c r="R850" s="31">
        <f>_xll.qlInterestRateIndexMaturity(Index,Q850,Trigger)</f>
        <v>49684</v>
      </c>
      <c r="S850" s="32">
        <f>_xll.qlDayCounterYearFraction(DayCounter,Q850,R850,,,Trigger)</f>
        <v>0.25555555555555554</v>
      </c>
      <c r="T850" s="33">
        <f>_xll.qlIndexFixing(Index,P850,,AllTriggers)</f>
        <v>9.1580787543307195E-3</v>
      </c>
      <c r="U850" s="34">
        <f>_xll.qlYieldTSDiscount(OisCurve,Q850,,AllTriggers)</f>
        <v>0.88716894211737596</v>
      </c>
      <c r="V850" s="34">
        <f>_xll.qlYieldTSDiscount(OisCurve,R850,,AllTriggers)</f>
        <v>0.88527858679376581</v>
      </c>
      <c r="W850" s="33">
        <f t="shared" si="59"/>
        <v>8.3556099526119806E-3</v>
      </c>
      <c r="X850" s="35">
        <f t="shared" si="60"/>
        <v>2.0461745588913876E-4</v>
      </c>
      <c r="Y850" s="33">
        <f t="shared" si="61"/>
        <v>8.024688017187389E-4</v>
      </c>
      <c r="Z850" s="54"/>
    </row>
    <row r="851" spans="15:26" x14ac:dyDescent="0.25">
      <c r="O851" s="37" t="s">
        <v>19</v>
      </c>
      <c r="P851" s="31">
        <f>_xll.qlCalendarAdvance(Calendar,P850,O850,"f",,Trigger)</f>
        <v>49621</v>
      </c>
      <c r="Q851" s="31">
        <f>_xll.qlInterestRateIndexValueDate(Index,P851,Trigger)</f>
        <v>49625</v>
      </c>
      <c r="R851" s="31">
        <f>_xll.qlInterestRateIndexMaturity(Index,Q851,Trigger)</f>
        <v>49717</v>
      </c>
      <c r="S851" s="32">
        <f>_xll.qlDayCounterYearFraction(DayCounter,Q851,R851,,,Trigger)</f>
        <v>0.25555555555555554</v>
      </c>
      <c r="T851" s="33">
        <f>_xll.qlIndexFixing(Index,P851,,AllTriggers)</f>
        <v>9.1287214049088402E-3</v>
      </c>
      <c r="U851" s="34">
        <f>_xll.qlYieldTSDiscount(OisCurve,Q851,,AllTriggers)</f>
        <v>0.88648901699975136</v>
      </c>
      <c r="V851" s="34">
        <f>_xll.qlYieldTSDiscount(OisCurve,R851,,AllTriggers)</f>
        <v>0.88460438895273441</v>
      </c>
      <c r="W851" s="33">
        <f t="shared" si="59"/>
        <v>8.3366435668013918E-3</v>
      </c>
      <c r="X851" s="35">
        <f t="shared" si="60"/>
        <v>2.0196916099604259E-4</v>
      </c>
      <c r="Y851" s="33">
        <f t="shared" si="61"/>
        <v>7.9207783810744843E-4</v>
      </c>
      <c r="Z851" s="54"/>
    </row>
    <row r="852" spans="15:26" x14ac:dyDescent="0.25">
      <c r="O852" s="37" t="s">
        <v>19</v>
      </c>
      <c r="P852" s="31">
        <f>_xll.qlCalendarAdvance(Calendar,P851,O851,"f",,Trigger)</f>
        <v>49653</v>
      </c>
      <c r="Q852" s="31">
        <f>_xll.qlInterestRateIndexValueDate(Index,P852,Trigger)</f>
        <v>49655</v>
      </c>
      <c r="R852" s="31">
        <f>_xll.qlInterestRateIndexMaturity(Index,Q852,Trigger)</f>
        <v>49746</v>
      </c>
      <c r="S852" s="32">
        <f>_xll.qlDayCounterYearFraction(DayCounter,Q852,R852,,,Trigger)</f>
        <v>0.25277777777777777</v>
      </c>
      <c r="T852" s="33">
        <f>_xll.qlIndexFixing(Index,P852,,AllTriggers)</f>
        <v>9.1030384976858707E-3</v>
      </c>
      <c r="U852" s="34">
        <f>_xll.qlYieldTSDiscount(OisCurve,Q852,,AllTriggers)</f>
        <v>0.88587272351757185</v>
      </c>
      <c r="V852" s="34">
        <f>_xll.qlYieldTSDiscount(OisCurve,R852,,AllTriggers)</f>
        <v>0.88401353652645664</v>
      </c>
      <c r="W852" s="33">
        <f t="shared" si="59"/>
        <v>8.32003714361324E-3</v>
      </c>
      <c r="X852" s="35">
        <f t="shared" si="60"/>
        <v>1.9749045252072161E-4</v>
      </c>
      <c r="Y852" s="33">
        <f t="shared" si="61"/>
        <v>7.8300135407263077E-4</v>
      </c>
      <c r="Z852" s="54"/>
    </row>
    <row r="853" spans="15:26" x14ac:dyDescent="0.25">
      <c r="O853" s="37" t="s">
        <v>19</v>
      </c>
      <c r="P853" s="31">
        <f>_xll.qlCalendarAdvance(Calendar,P852,O852,"f",,Trigger)</f>
        <v>49684</v>
      </c>
      <c r="Q853" s="31">
        <f>_xll.qlInterestRateIndexValueDate(Index,P853,Trigger)</f>
        <v>49688</v>
      </c>
      <c r="R853" s="31">
        <f>_xll.qlInterestRateIndexMaturity(Index,Q853,Trigger)</f>
        <v>49780</v>
      </c>
      <c r="S853" s="32">
        <f>_xll.qlDayCounterYearFraction(DayCounter,Q853,R853,,,Trigger)</f>
        <v>0.25555555555555554</v>
      </c>
      <c r="T853" s="33">
        <f>_xll.qlIndexFixing(Index,P853,,AllTriggers)</f>
        <v>9.0749107886207818E-3</v>
      </c>
      <c r="U853" s="34">
        <f>_xll.qlYieldTSDiscount(OisCurve,Q853,,AllTriggers)</f>
        <v>0.88519675958593258</v>
      </c>
      <c r="V853" s="34">
        <f>_xll.qlYieldTSDiscount(OisCurve,R853,,AllTriggers)</f>
        <v>0.88332270393317103</v>
      </c>
      <c r="W853" s="33">
        <f t="shared" si="59"/>
        <v>8.3019050877828158E-3</v>
      </c>
      <c r="X853" s="35">
        <f t="shared" si="60"/>
        <v>1.9710824854217386E-4</v>
      </c>
      <c r="Y853" s="33">
        <f t="shared" si="61"/>
        <v>7.7300570083796601E-4</v>
      </c>
      <c r="Z853" s="54"/>
    </row>
    <row r="854" spans="15:26" x14ac:dyDescent="0.25">
      <c r="O854" s="37" t="s">
        <v>19</v>
      </c>
      <c r="P854" s="31">
        <f>_xll.qlCalendarAdvance(Calendar,P853,O853,"f",,Trigger)</f>
        <v>49716</v>
      </c>
      <c r="Q854" s="31">
        <f>_xll.qlInterestRateIndexValueDate(Index,P854,Trigger)</f>
        <v>49718</v>
      </c>
      <c r="R854" s="31">
        <f>_xll.qlInterestRateIndexMaturity(Index,Q854,Trigger)</f>
        <v>49808</v>
      </c>
      <c r="S854" s="32">
        <f>_xll.qlDayCounterYearFraction(DayCounter,Q854,R854,,,Trigger)</f>
        <v>0.25</v>
      </c>
      <c r="T854" s="33">
        <f>_xll.qlIndexFixing(Index,P854,,AllTriggers)</f>
        <v>9.0508882490940579E-3</v>
      </c>
      <c r="U854" s="34">
        <f>_xll.qlYieldTSDiscount(OisCurve,Q854,,AllTriggers)</f>
        <v>0.88458398963907459</v>
      </c>
      <c r="V854" s="34">
        <f>_xll.qlYieldTSDiscount(OisCurve,R854,,AllTriggers)</f>
        <v>0.88275528154895</v>
      </c>
      <c r="W854" s="33">
        <f t="shared" si="59"/>
        <v>8.2863648775495236E-3</v>
      </c>
      <c r="X854" s="35">
        <f t="shared" si="60"/>
        <v>1.9071752870668487E-4</v>
      </c>
      <c r="Y854" s="33">
        <f t="shared" si="61"/>
        <v>7.6452337154453431E-4</v>
      </c>
      <c r="Z854" s="54"/>
    </row>
    <row r="855" spans="15:26" x14ac:dyDescent="0.25">
      <c r="O855" s="37" t="s">
        <v>19</v>
      </c>
      <c r="P855" s="31">
        <f>_xll.qlCalendarAdvance(Calendar,P854,O854,"f",,Trigger)</f>
        <v>49745</v>
      </c>
      <c r="Q855" s="31">
        <f>_xll.qlInterestRateIndexValueDate(Index,P855,Trigger)</f>
        <v>49747</v>
      </c>
      <c r="R855" s="31">
        <f>_xll.qlInterestRateIndexMaturity(Index,Q855,Trigger)</f>
        <v>49839</v>
      </c>
      <c r="S855" s="32">
        <f>_xll.qlDayCounterYearFraction(DayCounter,Q855,R855,,,Trigger)</f>
        <v>0.25555555555555554</v>
      </c>
      <c r="T855" s="33">
        <f>_xll.qlIndexFixing(Index,P855,,AllTriggers)</f>
        <v>9.0271768821584882E-3</v>
      </c>
      <c r="U855" s="34">
        <f>_xll.qlYieldTSDiscount(OisCurve,Q855,,AllTriggers)</f>
        <v>0.88399318900170032</v>
      </c>
      <c r="V855" s="34">
        <f>_xll.qlYieldTSDiscount(OisCurve,R855,,AllTriggers)</f>
        <v>0.88212860631049539</v>
      </c>
      <c r="W855" s="33">
        <f t="shared" si="59"/>
        <v>8.2711217925621073E-3</v>
      </c>
      <c r="X855" s="35">
        <f t="shared" si="60"/>
        <v>1.9278795248200441E-4</v>
      </c>
      <c r="Y855" s="33">
        <f t="shared" si="61"/>
        <v>7.5605508959638093E-4</v>
      </c>
      <c r="Z855" s="54"/>
    </row>
    <row r="856" spans="15:26" x14ac:dyDescent="0.25">
      <c r="O856" s="37" t="s">
        <v>19</v>
      </c>
      <c r="P856" s="31">
        <f>_xll.qlCalendarAdvance(Calendar,P855,O855,"f",,Trigger)</f>
        <v>49780</v>
      </c>
      <c r="Q856" s="31">
        <f>_xll.qlInterestRateIndexValueDate(Index,P856,Trigger)</f>
        <v>49782</v>
      </c>
      <c r="R856" s="31">
        <f>_xll.qlInterestRateIndexMaturity(Index,Q856,Trigger)</f>
        <v>49873</v>
      </c>
      <c r="S856" s="32">
        <f>_xll.qlDayCounterYearFraction(DayCounter,Q856,R856,,,Trigger)</f>
        <v>0.25277777777777777</v>
      </c>
      <c r="T856" s="33">
        <f>_xll.qlIndexFixing(Index,P856,,AllTriggers)</f>
        <v>9.0003387247116831E-3</v>
      </c>
      <c r="U856" s="34">
        <f>_xll.qlYieldTSDiscount(OisCurve,Q856,,AllTriggers)</f>
        <v>0.88328212927640715</v>
      </c>
      <c r="V856" s="34">
        <f>_xll.qlYieldTSDiscount(OisCurve,R856,,AllTriggers)</f>
        <v>0.88144310486109945</v>
      </c>
      <c r="W856" s="33">
        <f t="shared" si="59"/>
        <v>8.2538071749302857E-3</v>
      </c>
      <c r="X856" s="35">
        <f t="shared" si="60"/>
        <v>1.8829596365683272E-4</v>
      </c>
      <c r="Y856" s="33">
        <f t="shared" si="61"/>
        <v>7.4653154978139742E-4</v>
      </c>
      <c r="Z856" s="54"/>
    </row>
    <row r="857" spans="15:26" x14ac:dyDescent="0.25">
      <c r="O857" s="37" t="s">
        <v>19</v>
      </c>
      <c r="P857" s="31">
        <f>_xll.qlCalendarAdvance(Calendar,P856,O856,"f",,Trigger)</f>
        <v>49810</v>
      </c>
      <c r="Q857" s="31">
        <f>_xll.qlInterestRateIndexValueDate(Index,P857,Trigger)</f>
        <v>49814</v>
      </c>
      <c r="R857" s="31">
        <f>_xll.qlInterestRateIndexMaturity(Index,Q857,Trigger)</f>
        <v>49906</v>
      </c>
      <c r="S857" s="32">
        <f>_xll.qlDayCounterYearFraction(DayCounter,Q857,R857,,,Trigger)</f>
        <v>0.25555555555555554</v>
      </c>
      <c r="T857" s="33">
        <f>_xll.qlIndexFixing(Index,P857,,AllTriggers)</f>
        <v>8.9760903675737708E-3</v>
      </c>
      <c r="U857" s="34">
        <f>_xll.qlYieldTSDiscount(OisCurve,Q857,,AllTriggers)</f>
        <v>0.8826338641631607</v>
      </c>
      <c r="V857" s="34">
        <f>_xll.qlYieldTSDiscount(OisCurve,R857,,AllTriggers)</f>
        <v>0.88077953965400835</v>
      </c>
      <c r="W857" s="33">
        <f t="shared" si="59"/>
        <v>8.2382163758802345E-3</v>
      </c>
      <c r="X857" s="35">
        <f t="shared" si="60"/>
        <v>1.881539339376198E-4</v>
      </c>
      <c r="Y857" s="33">
        <f t="shared" si="61"/>
        <v>7.3787399169353632E-4</v>
      </c>
      <c r="Z857" s="54"/>
    </row>
    <row r="858" spans="15:26" x14ac:dyDescent="0.25">
      <c r="O858" s="37" t="s">
        <v>19</v>
      </c>
      <c r="P858" s="31">
        <f>_xll.qlCalendarAdvance(Calendar,P857,O857,"f",,Trigger)</f>
        <v>49842</v>
      </c>
      <c r="Q858" s="31">
        <f>_xll.qlInterestRateIndexValueDate(Index,P858,Trigger)</f>
        <v>49844</v>
      </c>
      <c r="R858" s="31">
        <f>_xll.qlInterestRateIndexMaturity(Index,Q858,Trigger)</f>
        <v>49936</v>
      </c>
      <c r="S858" s="32">
        <f>_xll.qlDayCounterYearFraction(DayCounter,Q858,R858,,,Trigger)</f>
        <v>0.25555555555555554</v>
      </c>
      <c r="T858" s="33">
        <f>_xll.qlIndexFixing(Index,P858,,AllTriggers)</f>
        <v>8.9542911819345573E-3</v>
      </c>
      <c r="U858" s="34">
        <f>_xll.qlYieldTSDiscount(OisCurve,Q858,,AllTriggers)</f>
        <v>0.88202767899032164</v>
      </c>
      <c r="V858" s="34">
        <f>_xll.qlYieldTSDiscount(OisCurve,R858,,AllTriggers)</f>
        <v>0.88017777642496686</v>
      </c>
      <c r="W858" s="33">
        <f t="shared" si="59"/>
        <v>8.2241898882992482E-3</v>
      </c>
      <c r="X858" s="35">
        <f t="shared" si="60"/>
        <v>1.8617278773829061E-4</v>
      </c>
      <c r="Y858" s="33">
        <f t="shared" si="61"/>
        <v>7.3010129363530914E-4</v>
      </c>
      <c r="Z858" s="54"/>
    </row>
    <row r="859" spans="15:26" x14ac:dyDescent="0.25">
      <c r="O859" s="37" t="s">
        <v>19</v>
      </c>
      <c r="P859" s="31">
        <f>_xll.qlCalendarAdvance(Calendar,P858,O858,"f",,Trigger)</f>
        <v>49872</v>
      </c>
      <c r="Q859" s="31">
        <f>_xll.qlInterestRateIndexValueDate(Index,P859,Trigger)</f>
        <v>49874</v>
      </c>
      <c r="R859" s="31">
        <f>_xll.qlInterestRateIndexMaturity(Index,Q859,Trigger)</f>
        <v>49968</v>
      </c>
      <c r="S859" s="32">
        <f>_xll.qlDayCounterYearFraction(DayCounter,Q859,R859,,,Trigger)</f>
        <v>0.26111111111111113</v>
      </c>
      <c r="T859" s="33">
        <f>_xll.qlIndexFixing(Index,P859,,AllTriggers)</f>
        <v>8.9326970729696354E-3</v>
      </c>
      <c r="U859" s="34">
        <f>_xll.qlYieldTSDiscount(OisCurve,Q859,,AllTriggers)</f>
        <v>0.88142297138124714</v>
      </c>
      <c r="V859" s="34">
        <f>_xll.qlYieldTSDiscount(OisCurve,R859,,AllTriggers)</f>
        <v>0.87953740709303085</v>
      </c>
      <c r="W859" s="33">
        <f t="shared" si="59"/>
        <v>8.2103501019297007E-3</v>
      </c>
      <c r="X859" s="35">
        <f t="shared" si="60"/>
        <v>1.8819162532324275E-4</v>
      </c>
      <c r="Y859" s="33">
        <f t="shared" si="61"/>
        <v>7.2234697103993467E-4</v>
      </c>
      <c r="Z859" s="54"/>
    </row>
    <row r="860" spans="15:26" x14ac:dyDescent="0.25">
      <c r="O860" s="37" t="s">
        <v>19</v>
      </c>
      <c r="P860" s="31">
        <f>_xll.qlCalendarAdvance(Calendar,P859,O859,"f",,Trigger)</f>
        <v>49905</v>
      </c>
      <c r="Q860" s="31">
        <f>_xll.qlInterestRateIndexValueDate(Index,P860,Trigger)</f>
        <v>49907</v>
      </c>
      <c r="R860" s="31">
        <f>_xll.qlInterestRateIndexMaturity(Index,Q860,Trigger)</f>
        <v>49999</v>
      </c>
      <c r="S860" s="32">
        <f>_xll.qlDayCounterYearFraction(DayCounter,Q860,R860,,,Trigger)</f>
        <v>0.25555555555555554</v>
      </c>
      <c r="T860" s="33">
        <f>_xll.qlIndexFixing(Index,P860,,AllTriggers)</f>
        <v>8.9106779863256744E-3</v>
      </c>
      <c r="U860" s="34">
        <f>_xll.qlYieldTSDiscount(OisCurve,Q860,,AllTriggers)</f>
        <v>0.88075945841257186</v>
      </c>
      <c r="V860" s="34">
        <f>_xll.qlYieldTSDiscount(OisCurve,R860,,AllTriggers)</f>
        <v>0.87891849876831607</v>
      </c>
      <c r="W860" s="33">
        <f t="shared" si="59"/>
        <v>8.1961582783746829E-3</v>
      </c>
      <c r="X860" s="35">
        <f t="shared" si="60"/>
        <v>1.8220121261948682E-4</v>
      </c>
      <c r="Y860" s="33">
        <f t="shared" si="61"/>
        <v>7.145197079509915E-4</v>
      </c>
      <c r="Z860" s="54"/>
    </row>
    <row r="861" spans="15:26" x14ac:dyDescent="0.25">
      <c r="O861" s="37" t="s">
        <v>19</v>
      </c>
      <c r="P861" s="31">
        <f>_xll.qlCalendarAdvance(Calendar,P860,O860,"f",,Trigger)</f>
        <v>49936</v>
      </c>
      <c r="Q861" s="31">
        <f>_xll.qlInterestRateIndexValueDate(Index,P861,Trigger)</f>
        <v>49940</v>
      </c>
      <c r="R861" s="31">
        <f>_xll.qlInterestRateIndexMaturity(Index,Q861,Trigger)</f>
        <v>50031</v>
      </c>
      <c r="S861" s="32">
        <f>_xll.qlDayCounterYearFraction(DayCounter,Q861,R861,,,Trigger)</f>
        <v>0.25277777777777777</v>
      </c>
      <c r="T861" s="33">
        <f>_xll.qlIndexFixing(Index,P861,,AllTriggers)</f>
        <v>8.8892107280106533E-3</v>
      </c>
      <c r="U861" s="34">
        <f>_xll.qlYieldTSDiscount(OisCurve,Q861,,AllTriggers)</f>
        <v>0.88009764574033233</v>
      </c>
      <c r="V861" s="34">
        <f>_xll.qlYieldTSDiscount(OisCurve,R861,,AllTriggers)</f>
        <v>0.87828108154300777</v>
      </c>
      <c r="W861" s="33">
        <f t="shared" si="59"/>
        <v>8.1823552443672769E-3</v>
      </c>
      <c r="X861" s="35">
        <f t="shared" si="60"/>
        <v>1.7829266455586792E-4</v>
      </c>
      <c r="Y861" s="33">
        <f t="shared" si="61"/>
        <v>7.0685548364337637E-4</v>
      </c>
      <c r="Z861" s="54"/>
    </row>
    <row r="862" spans="15:26" x14ac:dyDescent="0.25">
      <c r="O862" s="37" t="s">
        <v>19</v>
      </c>
      <c r="P862" s="31">
        <f>_xll.qlCalendarAdvance(Calendar,P861,O861,"f",,Trigger)</f>
        <v>49968</v>
      </c>
      <c r="Q862" s="31">
        <f>_xll.qlInterestRateIndexValueDate(Index,P862,Trigger)</f>
        <v>49970</v>
      </c>
      <c r="R862" s="31">
        <f>_xll.qlInterestRateIndexMaturity(Index,Q862,Trigger)</f>
        <v>50062</v>
      </c>
      <c r="S862" s="32">
        <f>_xll.qlDayCounterYearFraction(DayCounter,Q862,R862,,,Trigger)</f>
        <v>0.25555555555555554</v>
      </c>
      <c r="T862" s="33">
        <f>_xll.qlIndexFixing(Index,P862,,AllTriggers)</f>
        <v>8.8699980641478958E-3</v>
      </c>
      <c r="U862" s="34">
        <f>_xll.qlYieldTSDiscount(OisCurve,Q862,,AllTriggers)</f>
        <v>0.87949743489353105</v>
      </c>
      <c r="V862" s="34">
        <f>_xll.qlYieldTSDiscount(OisCurve,R862,,AllTriggers)</f>
        <v>0.87766495543713008</v>
      </c>
      <c r="W862" s="33">
        <f t="shared" si="59"/>
        <v>8.1700559438938666E-3</v>
      </c>
      <c r="X862" s="35">
        <f t="shared" si="60"/>
        <v>1.7848547426877891E-4</v>
      </c>
      <c r="Y862" s="33">
        <f t="shared" si="61"/>
        <v>6.9994212025402923E-4</v>
      </c>
      <c r="Z862" s="54"/>
    </row>
    <row r="863" spans="15:26" x14ac:dyDescent="0.25">
      <c r="O863" s="37" t="s">
        <v>19</v>
      </c>
      <c r="P863" s="31">
        <f>_xll.qlCalendarAdvance(Calendar,P862,O862,"f",,Trigger)</f>
        <v>49999</v>
      </c>
      <c r="Q863" s="31">
        <f>_xll.qlInterestRateIndexValueDate(Index,P863,Trigger)</f>
        <v>50003</v>
      </c>
      <c r="R863" s="31">
        <f>_xll.qlInterestRateIndexMaturity(Index,Q863,Trigger)</f>
        <v>50095</v>
      </c>
      <c r="S863" s="32">
        <f>_xll.qlDayCounterYearFraction(DayCounter,Q863,R863,,,Trigger)</f>
        <v>0.25555555555555554</v>
      </c>
      <c r="T863" s="33">
        <f>_xll.qlIndexFixing(Index,P863,,AllTriggers)</f>
        <v>8.8498601513844685E-3</v>
      </c>
      <c r="U863" s="34">
        <f>_xll.qlYieldTSDiscount(OisCurve,Q863,,AllTriggers)</f>
        <v>0.87883874155709385</v>
      </c>
      <c r="V863" s="34">
        <f>_xll.qlYieldTSDiscount(OisCurve,R863,,AllTriggers)</f>
        <v>0.87701052031529014</v>
      </c>
      <c r="W863" s="33">
        <f t="shared" si="59"/>
        <v>8.1571532397192135E-3</v>
      </c>
      <c r="X863" s="35">
        <f t="shared" si="60"/>
        <v>1.7664123778800281E-4</v>
      </c>
      <c r="Y863" s="33">
        <f t="shared" si="61"/>
        <v>6.9270691166525497E-4</v>
      </c>
      <c r="Z863" s="54"/>
    </row>
    <row r="864" spans="15:26" x14ac:dyDescent="0.25">
      <c r="O864" s="37" t="s">
        <v>19</v>
      </c>
      <c r="P864" s="31">
        <f>_xll.qlCalendarAdvance(Calendar,P863,O863,"f",,Trigger)</f>
        <v>50031</v>
      </c>
      <c r="Q864" s="31">
        <f>_xll.qlInterestRateIndexValueDate(Index,P864,Trigger)</f>
        <v>50033</v>
      </c>
      <c r="R864" s="31">
        <f>_xll.qlInterestRateIndexMaturity(Index,Q864,Trigger)</f>
        <v>50123</v>
      </c>
      <c r="S864" s="32">
        <f>_xll.qlDayCounterYearFraction(DayCounter,Q864,R864,,,Trigger)</f>
        <v>0.25</v>
      </c>
      <c r="T864" s="33">
        <f>_xll.qlIndexFixing(Index,P864,,AllTriggers)</f>
        <v>8.832599810524755E-3</v>
      </c>
      <c r="U864" s="34">
        <f>_xll.qlYieldTSDiscount(OisCurve,Q864,,AllTriggers)</f>
        <v>0.87824129114471494</v>
      </c>
      <c r="V864" s="34">
        <f>_xll.qlYieldTSDiscount(OisCurve,R864,,AllTriggers)</f>
        <v>0.876456374612825</v>
      </c>
      <c r="W864" s="33">
        <f t="shared" si="59"/>
        <v>8.1460599002589618E-3</v>
      </c>
      <c r="X864" s="35">
        <f t="shared" si="60"/>
        <v>1.7127148295763926E-4</v>
      </c>
      <c r="Y864" s="33">
        <f t="shared" si="61"/>
        <v>6.865399102657932E-4</v>
      </c>
      <c r="Z864" s="54"/>
    </row>
    <row r="865" spans="15:26" x14ac:dyDescent="0.25">
      <c r="O865" s="37" t="s">
        <v>19</v>
      </c>
      <c r="P865" s="31">
        <f>_xll.qlCalendarAdvance(Calendar,P864,O864,"f",,Trigger)</f>
        <v>50062</v>
      </c>
      <c r="Q865" s="31">
        <f>_xll.qlInterestRateIndexValueDate(Index,P865,Trigger)</f>
        <v>50066</v>
      </c>
      <c r="R865" s="31">
        <f>_xll.qlInterestRateIndexMaturity(Index,Q865,Trigger)</f>
        <v>50157</v>
      </c>
      <c r="S865" s="32">
        <f>_xll.qlDayCounterYearFraction(DayCounter,Q865,R865,,,Trigger)</f>
        <v>0.25277777777777777</v>
      </c>
      <c r="T865" s="33">
        <f>_xll.qlIndexFixing(Index,P865,,AllTriggers)</f>
        <v>8.813812194256582E-3</v>
      </c>
      <c r="U865" s="34">
        <f>_xll.qlYieldTSDiscount(OisCurve,Q865,,AllTriggers)</f>
        <v>0.87758555166791608</v>
      </c>
      <c r="V865" s="34">
        <f>_xll.qlYieldTSDiscount(OisCurve,R865,,AllTriggers)</f>
        <v>0.87578483952314867</v>
      </c>
      <c r="W865" s="33">
        <f t="shared" si="59"/>
        <v>8.1340713784912085E-3</v>
      </c>
      <c r="X865" s="35">
        <f t="shared" si="60"/>
        <v>1.7145611016227942E-4</v>
      </c>
      <c r="Y865" s="33">
        <f t="shared" si="61"/>
        <v>6.7974081576537351E-4</v>
      </c>
      <c r="Z865" s="54"/>
    </row>
    <row r="866" spans="15:26" x14ac:dyDescent="0.25">
      <c r="O866" s="37" t="s">
        <v>19</v>
      </c>
      <c r="P866" s="31">
        <f>_xll.qlCalendarAdvance(Calendar,P865,O865,"f",,Trigger)</f>
        <v>50094</v>
      </c>
      <c r="Q866" s="31">
        <f>_xll.qlInterestRateIndexValueDate(Index,P866,Trigger)</f>
        <v>50096</v>
      </c>
      <c r="R866" s="31">
        <f>_xll.qlInterestRateIndexMaturity(Index,Q866,Trigger)</f>
        <v>50185</v>
      </c>
      <c r="S866" s="32">
        <f>_xll.qlDayCounterYearFraction(DayCounter,Q866,R866,,,Trigger)</f>
        <v>0.24722222222222223</v>
      </c>
      <c r="T866" s="33">
        <f>_xll.qlIndexFixing(Index,P866,,AllTriggers)</f>
        <v>8.7978934876567338E-3</v>
      </c>
      <c r="U866" s="34">
        <f>_xll.qlYieldTSDiscount(OisCurve,Q866,,AllTriggers)</f>
        <v>0.87699071168495446</v>
      </c>
      <c r="V866" s="34">
        <f>_xll.qlYieldTSDiscount(OisCurve,R866,,AllTriggers)</f>
        <v>0.87523289498338175</v>
      </c>
      <c r="W866" s="33">
        <f t="shared" si="59"/>
        <v>8.1238603403377529E-3</v>
      </c>
      <c r="X866" s="35">
        <f t="shared" si="60"/>
        <v>1.6628814520984803E-4</v>
      </c>
      <c r="Y866" s="33">
        <f t="shared" si="61"/>
        <v>6.740331473189809E-4</v>
      </c>
      <c r="Z866" s="54"/>
    </row>
    <row r="867" spans="15:26" x14ac:dyDescent="0.25">
      <c r="O867" s="37" t="s">
        <v>19</v>
      </c>
      <c r="P867" s="31">
        <f>_xll.qlCalendarAdvance(Calendar,P866,O866,"f",,Trigger)</f>
        <v>50122</v>
      </c>
      <c r="Q867" s="31">
        <f>_xll.qlInterestRateIndexValueDate(Index,P867,Trigger)</f>
        <v>50124</v>
      </c>
      <c r="R867" s="31">
        <f>_xll.qlInterestRateIndexMaturity(Index,Q867,Trigger)</f>
        <v>50216</v>
      </c>
      <c r="S867" s="32">
        <f>_xll.qlDayCounterYearFraction(DayCounter,Q867,R867,,,Trigger)</f>
        <v>0.25555555555555554</v>
      </c>
      <c r="T867" s="33">
        <f>_xll.qlIndexFixing(Index,P867,,AllTriggers)</f>
        <v>8.7829064190000795E-3</v>
      </c>
      <c r="U867" s="34">
        <f>_xll.qlYieldTSDiscount(OisCurve,Q867,,AllTriggers)</f>
        <v>0.87643660255020428</v>
      </c>
      <c r="V867" s="34">
        <f>_xll.qlYieldTSDiscount(OisCurve,R867,,AllTriggers)</f>
        <v>0.87462292074697745</v>
      </c>
      <c r="W867" s="33">
        <f t="shared" si="59"/>
        <v>8.1143720149660144E-3</v>
      </c>
      <c r="X867" s="35">
        <f t="shared" si="60"/>
        <v>1.7047959950592908E-4</v>
      </c>
      <c r="Y867" s="33">
        <f t="shared" si="61"/>
        <v>6.6853440403406503E-4</v>
      </c>
      <c r="Z867" s="54"/>
    </row>
    <row r="868" spans="15:26" x14ac:dyDescent="0.25">
      <c r="O868" s="37" t="s">
        <v>19</v>
      </c>
      <c r="P868" s="31">
        <f>_xll.qlCalendarAdvance(Calendar,P867,O867,"f",,Trigger)</f>
        <v>50153</v>
      </c>
      <c r="Q868" s="31">
        <f>_xll.qlInterestRateIndexValueDate(Index,P868,Trigger)</f>
        <v>50157</v>
      </c>
      <c r="R868" s="31">
        <f>_xll.qlInterestRateIndexMaturity(Index,Q868,Trigger)</f>
        <v>50248</v>
      </c>
      <c r="S868" s="32">
        <f>_xll.qlDayCounterYearFraction(DayCounter,Q868,R868,,,Trigger)</f>
        <v>0.25277777777777777</v>
      </c>
      <c r="T868" s="33">
        <f>_xll.qlIndexFixing(Index,P868,,AllTriggers)</f>
        <v>8.7666539797126575E-3</v>
      </c>
      <c r="U868" s="34">
        <f>_xll.qlYieldTSDiscount(OisCurve,Q868,,AllTriggers)</f>
        <v>0.87578483952314867</v>
      </c>
      <c r="V868" s="34">
        <f>_xll.qlYieldTSDiscount(OisCurve,R868,,AllTriggers)</f>
        <v>0.87399445245354246</v>
      </c>
      <c r="W868" s="33">
        <f t="shared" si="59"/>
        <v>8.1039987448560374E-3</v>
      </c>
      <c r="X868" s="35">
        <f t="shared" si="60"/>
        <v>1.671481143413276E-4</v>
      </c>
      <c r="Y868" s="33">
        <f t="shared" si="61"/>
        <v>6.626552348566201E-4</v>
      </c>
      <c r="Z868" s="54"/>
    </row>
    <row r="869" spans="15:26" x14ac:dyDescent="0.25">
      <c r="O869" s="37" t="s">
        <v>19</v>
      </c>
      <c r="P869" s="31">
        <f>_xll.qlCalendarAdvance(Calendar,P868,O868,"f",,Trigger)</f>
        <v>50185</v>
      </c>
      <c r="Q869" s="31">
        <f>_xll.qlInterestRateIndexValueDate(Index,P869,Trigger)</f>
        <v>50187</v>
      </c>
      <c r="R869" s="31">
        <f>_xll.qlInterestRateIndexMaturity(Index,Q869,Trigger)</f>
        <v>50279</v>
      </c>
      <c r="S869" s="32">
        <f>_xll.qlDayCounterYearFraction(DayCounter,Q869,R869,,,Trigger)</f>
        <v>0.25555555555555554</v>
      </c>
      <c r="T869" s="33">
        <f>_xll.qlIndexFixing(Index,P869,,AllTriggers)</f>
        <v>8.7523293366635318E-3</v>
      </c>
      <c r="U869" s="34">
        <f>_xll.qlYieldTSDiscount(OisCurve,Q869,,AllTriggers)</f>
        <v>0.87519350705535492</v>
      </c>
      <c r="V869" s="34">
        <f>_xll.qlYieldTSDiscount(OisCurve,R869,,AllTriggers)</f>
        <v>0.87338673155729607</v>
      </c>
      <c r="W869" s="33">
        <f t="shared" si="59"/>
        <v>8.0949146854506059E-3</v>
      </c>
      <c r="X869" s="35">
        <f t="shared" si="60"/>
        <v>1.6764507668750599E-4</v>
      </c>
      <c r="Y869" s="33">
        <f t="shared" si="61"/>
        <v>6.5741465121292586E-4</v>
      </c>
      <c r="Z869" s="54"/>
    </row>
    <row r="870" spans="15:26" x14ac:dyDescent="0.25">
      <c r="O870" s="37" t="s">
        <v>19</v>
      </c>
      <c r="P870" s="31">
        <f>_xll.qlCalendarAdvance(Calendar,P869,O869,"f",,Trigger)</f>
        <v>50216</v>
      </c>
      <c r="Q870" s="31">
        <f>_xll.qlInterestRateIndexValueDate(Index,P870,Trigger)</f>
        <v>50220</v>
      </c>
      <c r="R870" s="31">
        <f>_xll.qlInterestRateIndexMaturity(Index,Q870,Trigger)</f>
        <v>50312</v>
      </c>
      <c r="S870" s="32">
        <f>_xll.qlDayCounterYearFraction(DayCounter,Q870,R870,,,Trigger)</f>
        <v>0.25555555555555554</v>
      </c>
      <c r="T870" s="33">
        <f>_xll.qlIndexFixing(Index,P870,,AllTriggers)</f>
        <v>8.7374832808362335E-3</v>
      </c>
      <c r="U870" s="34">
        <f>_xll.qlYieldTSDiscount(OisCurve,Q870,,AllTriggers)</f>
        <v>0.87454429732261763</v>
      </c>
      <c r="V870" s="34">
        <f>_xll.qlYieldTSDiscount(OisCurve,R870,,AllTriggers)</f>
        <v>0.87274095916582095</v>
      </c>
      <c r="W870" s="33">
        <f t="shared" si="59"/>
        <v>8.0854926532804849E-3</v>
      </c>
      <c r="X870" s="35">
        <f t="shared" si="60"/>
        <v>1.6626242929548062E-4</v>
      </c>
      <c r="Y870" s="33">
        <f t="shared" si="61"/>
        <v>6.5199062755574855E-4</v>
      </c>
      <c r="Z870" s="54"/>
    </row>
    <row r="871" spans="15:26" x14ac:dyDescent="0.25">
      <c r="O871" s="37" t="s">
        <v>19</v>
      </c>
      <c r="P871" s="31">
        <f>_xll.qlCalendarAdvance(Calendar,P870,O870,"f",,Trigger)</f>
        <v>50248</v>
      </c>
      <c r="Q871" s="31">
        <f>_xll.qlInterestRateIndexValueDate(Index,P871,Trigger)</f>
        <v>50250</v>
      </c>
      <c r="R871" s="31">
        <f>_xll.qlInterestRateIndexMaturity(Index,Q871,Trigger)</f>
        <v>50342</v>
      </c>
      <c r="S871" s="32">
        <f>_xll.qlDayCounterYearFraction(DayCounter,Q871,R871,,,Trigger)</f>
        <v>0.25555555555555554</v>
      </c>
      <c r="T871" s="33">
        <f>_xll.qlIndexFixing(Index,P871,,AllTriggers)</f>
        <v>8.72468517250574E-3</v>
      </c>
      <c r="U871" s="34">
        <f>_xll.qlYieldTSDiscount(OisCurve,Q871,,AllTriggers)</f>
        <v>0.87395521216115291</v>
      </c>
      <c r="V871" s="34">
        <f>_xll.qlYieldTSDiscount(OisCurve,R871,,AllTriggers)</f>
        <v>0.87215489172726468</v>
      </c>
      <c r="W871" s="33">
        <f t="shared" si="59"/>
        <v>8.0773864819523901E-3</v>
      </c>
      <c r="X871" s="35">
        <f t="shared" si="60"/>
        <v>1.6506639063688488E-4</v>
      </c>
      <c r="Y871" s="33">
        <f t="shared" si="61"/>
        <v>6.4729869055334989E-4</v>
      </c>
      <c r="Z871" s="54"/>
    </row>
    <row r="872" spans="15:26" x14ac:dyDescent="0.25">
      <c r="O872" s="37" t="s">
        <v>19</v>
      </c>
      <c r="P872" s="31">
        <f>_xll.qlCalendarAdvance(Calendar,P871,O871,"f",,Trigger)</f>
        <v>50279</v>
      </c>
      <c r="Q872" s="31">
        <f>_xll.qlInterestRateIndexValueDate(Index,P872,Trigger)</f>
        <v>50283</v>
      </c>
      <c r="R872" s="31">
        <f>_xll.qlInterestRateIndexMaturity(Index,Q872,Trigger)</f>
        <v>50374</v>
      </c>
      <c r="S872" s="32">
        <f>_xll.qlDayCounterYearFraction(DayCounter,Q872,R872,,,Trigger)</f>
        <v>0.25277777777777777</v>
      </c>
      <c r="T872" s="33">
        <f>_xll.qlIndexFixing(Index,P872,,AllTriggers)</f>
        <v>8.7114600818561302E-3</v>
      </c>
      <c r="U872" s="34">
        <f>_xll.qlYieldTSDiscount(OisCurve,Q872,,AllTriggers)</f>
        <v>0.87330839343943423</v>
      </c>
      <c r="V872" s="34">
        <f>_xll.qlYieldTSDiscount(OisCurve,R872,,AllTriggers)</f>
        <v>0.87153076265462714</v>
      </c>
      <c r="W872" s="33">
        <f t="shared" si="59"/>
        <v>8.0690043583703189E-3</v>
      </c>
      <c r="X872" s="35">
        <f t="shared" si="60"/>
        <v>1.6205483415349719E-4</v>
      </c>
      <c r="Y872" s="33">
        <f t="shared" si="61"/>
        <v>6.424557234858113E-4</v>
      </c>
      <c r="Z872" s="54"/>
    </row>
    <row r="873" spans="15:26" x14ac:dyDescent="0.25">
      <c r="O873" s="37" t="s">
        <v>19</v>
      </c>
      <c r="P873" s="31">
        <f>_xll.qlCalendarAdvance(Calendar,P872,O872,"f",,Trigger)</f>
        <v>50311</v>
      </c>
      <c r="Q873" s="31">
        <f>_xll.qlInterestRateIndexValueDate(Index,P873,Trigger)</f>
        <v>50313</v>
      </c>
      <c r="R873" s="31">
        <f>_xll.qlInterestRateIndexMaturity(Index,Q873,Trigger)</f>
        <v>50405</v>
      </c>
      <c r="S873" s="32">
        <f>_xll.qlDayCounterYearFraction(DayCounter,Q873,R873,,,Trigger)</f>
        <v>0.25555555555555554</v>
      </c>
      <c r="T873" s="33">
        <f>_xll.qlIndexFixing(Index,P873,,AllTriggers)</f>
        <v>8.6999738645093562E-3</v>
      </c>
      <c r="U873" s="34">
        <f>_xll.qlYieldTSDiscount(OisCurve,Q873,,AllTriggers)</f>
        <v>0.87272140846726909</v>
      </c>
      <c r="V873" s="34">
        <f>_xll.qlYieldTSDiscount(OisCurve,R873,,AllTriggers)</f>
        <v>0.87092709437489535</v>
      </c>
      <c r="W873" s="33">
        <f t="shared" si="59"/>
        <v>8.0617873786024922E-3</v>
      </c>
      <c r="X873" s="35">
        <f t="shared" si="60"/>
        <v>1.6274354135383085E-4</v>
      </c>
      <c r="Y873" s="33">
        <f t="shared" si="61"/>
        <v>6.3818648590686401E-4</v>
      </c>
      <c r="Z873" s="54"/>
    </row>
    <row r="874" spans="15:26" x14ac:dyDescent="0.25">
      <c r="O874" s="37" t="s">
        <v>19</v>
      </c>
      <c r="P874" s="31">
        <f>_xll.qlCalendarAdvance(Calendar,P873,O873,"f",,Trigger)</f>
        <v>50341</v>
      </c>
      <c r="Q874" s="31">
        <f>_xll.qlInterestRateIndexValueDate(Index,P874,Trigger)</f>
        <v>50343</v>
      </c>
      <c r="R874" s="31">
        <f>_xll.qlInterestRateIndexMaturity(Index,Q874,Trigger)</f>
        <v>50434</v>
      </c>
      <c r="S874" s="32">
        <f>_xll.qlDayCounterYearFraction(DayCounter,Q874,R874,,,Trigger)</f>
        <v>0.25277777777777777</v>
      </c>
      <c r="T874" s="33">
        <f>_xll.qlIndexFixing(Index,P874,,AllTriggers)</f>
        <v>8.6893004481782207E-3</v>
      </c>
      <c r="U874" s="34">
        <f>_xll.qlYieldTSDiscount(OisCurve,Q874,,AllTriggers)</f>
        <v>0.87213537211587244</v>
      </c>
      <c r="V874" s="34">
        <f>_xll.qlYieldTSDiscount(OisCurve,R874,,AllTriggers)</f>
        <v>0.87036319232995174</v>
      </c>
      <c r="W874" s="33">
        <f t="shared" si="59"/>
        <v>8.0550524113352714E-3</v>
      </c>
      <c r="X874" s="35">
        <f t="shared" si="60"/>
        <v>1.5998523288227135E-4</v>
      </c>
      <c r="Y874" s="33">
        <f t="shared" si="61"/>
        <v>6.3424803684294928E-4</v>
      </c>
      <c r="Z874" s="54"/>
    </row>
    <row r="875" spans="15:26" x14ac:dyDescent="0.25">
      <c r="O875" s="37" t="s">
        <v>19</v>
      </c>
      <c r="P875" s="31">
        <f>_xll.qlCalendarAdvance(Calendar,P874,O874,"f",,Trigger)</f>
        <v>50374</v>
      </c>
      <c r="Q875" s="31">
        <f>_xll.qlInterestRateIndexValueDate(Index,P875,Trigger)</f>
        <v>50376</v>
      </c>
      <c r="R875" s="31">
        <f>_xll.qlInterestRateIndexMaturity(Index,Q875,Trigger)</f>
        <v>50466</v>
      </c>
      <c r="S875" s="32">
        <f>_xll.qlDayCounterYearFraction(DayCounter,Q875,R875,,,Trigger)</f>
        <v>0.25</v>
      </c>
      <c r="T875" s="33">
        <f>_xll.qlIndexFixing(Index,P875,,AllTriggers)</f>
        <v>8.678297880287289E-3</v>
      </c>
      <c r="U875" s="34">
        <f>_xll.qlYieldTSDiscount(OisCurve,Q875,,AllTriggers)</f>
        <v>0.87149178830135399</v>
      </c>
      <c r="V875" s="34">
        <f>_xll.qlYieldTSDiscount(OisCurve,R875,,AllTriggers)</f>
        <v>0.8697418389995728</v>
      </c>
      <c r="W875" s="33">
        <f t="shared" si="59"/>
        <v>8.0481320930543276E-3</v>
      </c>
      <c r="X875" s="35">
        <f t="shared" si="60"/>
        <v>1.5721274613409843E-4</v>
      </c>
      <c r="Y875" s="33">
        <f t="shared" si="61"/>
        <v>6.3016578723296135E-4</v>
      </c>
      <c r="Z875" s="54"/>
    </row>
    <row r="876" spans="15:26" x14ac:dyDescent="0.25">
      <c r="O876" s="37" t="s">
        <v>19</v>
      </c>
      <c r="P876" s="31">
        <f>_xll.qlCalendarAdvance(Calendar,P875,O875,"f",,Trigger)</f>
        <v>50404</v>
      </c>
      <c r="Q876" s="31">
        <f>_xll.qlInterestRateIndexValueDate(Index,P876,Trigger)</f>
        <v>50409</v>
      </c>
      <c r="R876" s="31">
        <f>_xll.qlInterestRateIndexMaturity(Index,Q876,Trigger)</f>
        <v>50500</v>
      </c>
      <c r="S876" s="32">
        <f>_xll.qlDayCounterYearFraction(DayCounter,Q876,R876,,,Trigger)</f>
        <v>0.25277777777777777</v>
      </c>
      <c r="T876" s="33">
        <f>_xll.qlIndexFixing(Index,P876,,AllTriggers)</f>
        <v>8.6679972071204252E-3</v>
      </c>
      <c r="U876" s="34">
        <f>_xll.qlYieldTSDiscount(OisCurve,Q876,,AllTriggers)</f>
        <v>0.87084926837206356</v>
      </c>
      <c r="V876" s="34">
        <f>_xll.qlYieldTSDiscount(OisCurve,R876,,AllTriggers)</f>
        <v>0.86908262357767896</v>
      </c>
      <c r="W876" s="33">
        <f t="shared" si="59"/>
        <v>8.04172615088233E-3</v>
      </c>
      <c r="X876" s="35">
        <f t="shared" si="60"/>
        <v>1.5797377769880089E-4</v>
      </c>
      <c r="Y876" s="33">
        <f t="shared" si="61"/>
        <v>6.262710562380952E-4</v>
      </c>
      <c r="Z876" s="54"/>
    </row>
    <row r="877" spans="15:26" x14ac:dyDescent="0.25">
      <c r="O877" s="37" t="s">
        <v>19</v>
      </c>
      <c r="P877" s="31">
        <f>_xll.qlCalendarAdvance(Calendar,P876,O876,"f",,Trigger)</f>
        <v>50437</v>
      </c>
      <c r="Q877" s="31">
        <f>_xll.qlInterestRateIndexValueDate(Index,P877,Trigger)</f>
        <v>50439</v>
      </c>
      <c r="R877" s="31">
        <f>_xll.qlInterestRateIndexMaturity(Index,Q877,Trigger)</f>
        <v>50528</v>
      </c>
      <c r="S877" s="32">
        <f>_xll.qlDayCounterYearFraction(DayCounter,Q877,R877,,,Trigger)</f>
        <v>0.24722222222222223</v>
      </c>
      <c r="T877" s="33">
        <f>_xll.qlIndexFixing(Index,P877,,AllTriggers)</f>
        <v>8.6594352852334255E-3</v>
      </c>
      <c r="U877" s="34">
        <f>_xll.qlYieldTSDiscount(OisCurve,Q877,,AllTriggers)</f>
        <v>0.87026604570418431</v>
      </c>
      <c r="V877" s="34">
        <f>_xll.qlYieldTSDiscount(OisCurve,R877,,AllTriggers)</f>
        <v>0.86854045974952743</v>
      </c>
      <c r="W877" s="33">
        <f t="shared" si="59"/>
        <v>8.0363535920578849E-3</v>
      </c>
      <c r="X877" s="35">
        <f t="shared" si="60"/>
        <v>1.537223911490157E-4</v>
      </c>
      <c r="Y877" s="33">
        <f t="shared" si="61"/>
        <v>6.2308169317554056E-4</v>
      </c>
      <c r="Z877" s="54"/>
    </row>
    <row r="878" spans="15:26" x14ac:dyDescent="0.25">
      <c r="O878" s="37" t="s">
        <v>19</v>
      </c>
      <c r="P878" s="31">
        <f>_xll.qlCalendarAdvance(Calendar,P877,O877,"f",,Trigger)</f>
        <v>50465</v>
      </c>
      <c r="Q878" s="31">
        <f>_xll.qlInterestRateIndexValueDate(Index,P878,Trigger)</f>
        <v>50467</v>
      </c>
      <c r="R878" s="31">
        <f>_xll.qlInterestRateIndexMaturity(Index,Q878,Trigger)</f>
        <v>50559</v>
      </c>
      <c r="S878" s="32">
        <f>_xll.qlDayCounterYearFraction(DayCounter,Q878,R878,,,Trigger)</f>
        <v>0.25555555555555554</v>
      </c>
      <c r="T878" s="33">
        <f>_xll.qlIndexFixing(Index,P878,,AllTriggers)</f>
        <v>8.6519150763785403E-3</v>
      </c>
      <c r="U878" s="34">
        <f>_xll.qlYieldTSDiscount(OisCurve,Q878,,AllTriggers)</f>
        <v>0.86972243622904455</v>
      </c>
      <c r="V878" s="34">
        <f>_xll.qlYieldTSDiscount(OisCurve,R878,,AllTriggers)</f>
        <v>0.86794093076714918</v>
      </c>
      <c r="W878" s="33">
        <f t="shared" si="59"/>
        <v>8.0317773733686107E-3</v>
      </c>
      <c r="X878" s="35">
        <f t="shared" si="60"/>
        <v>1.5814250653462873E-4</v>
      </c>
      <c r="Y878" s="33">
        <f t="shared" si="61"/>
        <v>6.2013770300992956E-4</v>
      </c>
      <c r="Z878" s="54"/>
    </row>
    <row r="879" spans="15:26" x14ac:dyDescent="0.25">
      <c r="O879" s="37" t="s">
        <v>19</v>
      </c>
      <c r="P879" s="31">
        <f>_xll.qlCalendarAdvance(Calendar,P878,O878,"f",,Trigger)</f>
        <v>50496</v>
      </c>
      <c r="Q879" s="31">
        <f>_xll.qlInterestRateIndexValueDate(Index,P879,Trigger)</f>
        <v>50500</v>
      </c>
      <c r="R879" s="31">
        <f>_xll.qlInterestRateIndexMaturity(Index,Q879,Trigger)</f>
        <v>50591</v>
      </c>
      <c r="S879" s="32">
        <f>_xll.qlDayCounterYearFraction(DayCounter,Q879,R879,,,Trigger)</f>
        <v>0.25277777777777777</v>
      </c>
      <c r="T879" s="33">
        <f>_xll.qlIndexFixing(Index,P879,,AllTriggers)</f>
        <v>8.6439028139444068E-3</v>
      </c>
      <c r="U879" s="34">
        <f>_xll.qlYieldTSDiscount(OisCurve,Q879,,AllTriggers)</f>
        <v>0.86908262357767896</v>
      </c>
      <c r="V879" s="34">
        <f>_xll.qlYieldTSDiscount(OisCurve,R879,,AllTriggers)</f>
        <v>0.86732282321445719</v>
      </c>
      <c r="W879" s="33">
        <f t="shared" si="59"/>
        <v>8.0268239281025954E-3</v>
      </c>
      <c r="X879" s="35">
        <f t="shared" si="60"/>
        <v>1.556558637225891E-4</v>
      </c>
      <c r="Y879" s="33">
        <f t="shared" si="61"/>
        <v>6.1707888584181143E-4</v>
      </c>
      <c r="Z879" s="54"/>
    </row>
    <row r="880" spans="15:26" x14ac:dyDescent="0.25">
      <c r="O880" s="37" t="s">
        <v>19</v>
      </c>
      <c r="P880" s="31">
        <f>_xll.qlCalendarAdvance(Calendar,P879,O879,"f",,Trigger)</f>
        <v>50528</v>
      </c>
      <c r="Q880" s="31">
        <f>_xll.qlInterestRateIndexValueDate(Index,P880,Trigger)</f>
        <v>50530</v>
      </c>
      <c r="R880" s="31">
        <f>_xll.qlInterestRateIndexMaturity(Index,Q880,Trigger)</f>
        <v>50622</v>
      </c>
      <c r="S880" s="32">
        <f>_xll.qlDayCounterYearFraction(DayCounter,Q880,R880,,,Trigger)</f>
        <v>0.25555555555555554</v>
      </c>
      <c r="T880" s="33">
        <f>_xll.qlIndexFixing(Index,P880,,AllTriggers)</f>
        <v>8.637305445188502E-3</v>
      </c>
      <c r="U880" s="34">
        <f>_xll.qlYieldTSDiscount(OisCurve,Q880,,AllTriggers)</f>
        <v>0.86850175785592798</v>
      </c>
      <c r="V880" s="34">
        <f>_xll.qlYieldTSDiscount(OisCurve,R880,,AllTriggers)</f>
        <v>0.86672473212849332</v>
      </c>
      <c r="W880" s="33">
        <f t="shared" si="59"/>
        <v>8.0228227898417603E-3</v>
      </c>
      <c r="X880" s="35">
        <f t="shared" si="60"/>
        <v>1.5670087278431039E-4</v>
      </c>
      <c r="Y880" s="33">
        <f t="shared" si="61"/>
        <v>6.1448265534674168E-4</v>
      </c>
      <c r="Z880" s="54"/>
    </row>
    <row r="881" spans="15:26" x14ac:dyDescent="0.25">
      <c r="O881" s="37" t="s">
        <v>19</v>
      </c>
      <c r="P881" s="31">
        <f>_xll.qlCalendarAdvance(Calendar,P880,O880,"f",,Trigger)</f>
        <v>50559</v>
      </c>
      <c r="Q881" s="31">
        <f>_xll.qlInterestRateIndexValueDate(Index,P881,Trigger)</f>
        <v>50563</v>
      </c>
      <c r="R881" s="31">
        <f>_xll.qlInterestRateIndexMaturity(Index,Q881,Trigger)</f>
        <v>50655</v>
      </c>
      <c r="S881" s="32">
        <f>_xll.qlDayCounterYearFraction(DayCounter,Q881,R881,,,Trigger)</f>
        <v>0.25555555555555554</v>
      </c>
      <c r="T881" s="33">
        <f>_xll.qlIndexFixing(Index,P881,,AllTriggers)</f>
        <v>8.6308231870886425E-3</v>
      </c>
      <c r="U881" s="34">
        <f>_xll.qlYieldTSDiscount(OisCurve,Q881,,AllTriggers)</f>
        <v>0.86786362582550514</v>
      </c>
      <c r="V881" s="34">
        <f>_xll.qlYieldTSDiscount(OisCurve,R881,,AllTriggers)</f>
        <v>0.86608877176246846</v>
      </c>
      <c r="W881" s="33">
        <f t="shared" si="59"/>
        <v>8.0189021526016792E-3</v>
      </c>
      <c r="X881" s="35">
        <f t="shared" si="60"/>
        <v>1.560478339517255E-4</v>
      </c>
      <c r="Y881" s="33">
        <f t="shared" si="61"/>
        <v>6.1192103448696328E-4</v>
      </c>
      <c r="Z881" s="54"/>
    </row>
    <row r="882" spans="15:26" x14ac:dyDescent="0.25">
      <c r="O882" s="37" t="s">
        <v>19</v>
      </c>
      <c r="P882" s="31">
        <f>_xll.qlCalendarAdvance(Calendar,P881,O881,"f",,Trigger)</f>
        <v>50591</v>
      </c>
      <c r="Q882" s="31">
        <f>_xll.qlInterestRateIndexValueDate(Index,P882,Trigger)</f>
        <v>50593</v>
      </c>
      <c r="R882" s="31">
        <f>_xll.qlInterestRateIndexMaturity(Index,Q882,Trigger)</f>
        <v>50685</v>
      </c>
      <c r="S882" s="32">
        <f>_xll.qlDayCounterYearFraction(DayCounter,Q882,R882,,,Trigger)</f>
        <v>0.25555555555555554</v>
      </c>
      <c r="T882" s="33">
        <f>_xll.qlIndexFixing(Index,P882,,AllTriggers)</f>
        <v>8.6256284741297231E-3</v>
      </c>
      <c r="U882" s="34">
        <f>_xll.qlYieldTSDiscount(OisCurve,Q882,,AllTriggers)</f>
        <v>0.86728421627976271</v>
      </c>
      <c r="V882" s="34">
        <f>_xll.qlYieldTSDiscount(OisCurve,R882,,AllTriggers)</f>
        <v>0.86551123252039619</v>
      </c>
      <c r="W882" s="33">
        <f t="shared" si="59"/>
        <v>8.0157972259337316E-3</v>
      </c>
      <c r="X882" s="35">
        <f t="shared" si="60"/>
        <v>1.5551507580127238E-4</v>
      </c>
      <c r="Y882" s="33">
        <f t="shared" si="61"/>
        <v>6.0983124819599145E-4</v>
      </c>
      <c r="Z882" s="54"/>
    </row>
    <row r="883" spans="15:26" x14ac:dyDescent="0.25">
      <c r="O883" s="37" t="s">
        <v>19</v>
      </c>
      <c r="P883" s="31">
        <f>_xll.qlCalendarAdvance(Calendar,P882,O882,"f",,Trigger)</f>
        <v>50622</v>
      </c>
      <c r="Q883" s="31">
        <f>_xll.qlInterestRateIndexValueDate(Index,P883,Trigger)</f>
        <v>50626</v>
      </c>
      <c r="R883" s="31">
        <f>_xll.qlInterestRateIndexMaturity(Index,Q883,Trigger)</f>
        <v>50718</v>
      </c>
      <c r="S883" s="32">
        <f>_xll.qlDayCounterYearFraction(DayCounter,Q883,R883,,,Trigger)</f>
        <v>0.25555555555555554</v>
      </c>
      <c r="T883" s="33">
        <f>_xll.qlIndexFixing(Index,P883,,AllTriggers)</f>
        <v>8.6206823604658665E-3</v>
      </c>
      <c r="U883" s="34">
        <f>_xll.qlYieldTSDiscount(OisCurve,Q883,,AllTriggers)</f>
        <v>0.86664760743741731</v>
      </c>
      <c r="V883" s="34">
        <f>_xll.qlYieldTSDiscount(OisCurve,R883,,AllTriggers)</f>
        <v>0.86487656700330739</v>
      </c>
      <c r="W883" s="33">
        <f t="shared" si="59"/>
        <v>8.012887023222743E-3</v>
      </c>
      <c r="X883" s="35">
        <f t="shared" si="60"/>
        <v>1.5499604670400033E-4</v>
      </c>
      <c r="Y883" s="33">
        <f t="shared" si="61"/>
        <v>6.0779533724312357E-4</v>
      </c>
      <c r="Z883" s="54"/>
    </row>
    <row r="884" spans="15:26" x14ac:dyDescent="0.25">
      <c r="O884" s="37" t="s">
        <v>19</v>
      </c>
      <c r="P884" s="31">
        <f>_xll.qlCalendarAdvance(Calendar,P883,O883,"f",,Trigger)</f>
        <v>50654</v>
      </c>
      <c r="Q884" s="31">
        <f>_xll.qlInterestRateIndexValueDate(Index,P884,Trigger)</f>
        <v>50656</v>
      </c>
      <c r="R884" s="31">
        <f>_xll.qlInterestRateIndexMaturity(Index,Q884,Trigger)</f>
        <v>50747</v>
      </c>
      <c r="S884" s="32">
        <f>_xll.qlDayCounterYearFraction(DayCounter,Q884,R884,,,Trigger)</f>
        <v>0.25277777777777777</v>
      </c>
      <c r="T884" s="33">
        <f>_xll.qlIndexFixing(Index,P884,,AllTriggers)</f>
        <v>8.6168333067828898E-3</v>
      </c>
      <c r="U884" s="34">
        <f>_xll.qlYieldTSDiscount(OisCurve,Q884,,AllTriggers)</f>
        <v>0.86606951134327803</v>
      </c>
      <c r="V884" s="34">
        <f>_xll.qlYieldTSDiscount(OisCurve,R884,,AllTriggers)</f>
        <v>0.86431934076563255</v>
      </c>
      <c r="W884" s="33">
        <f t="shared" si="59"/>
        <v>8.0106407541535498E-3</v>
      </c>
      <c r="X884" s="35">
        <f t="shared" si="60"/>
        <v>1.5291066062724174E-4</v>
      </c>
      <c r="Y884" s="33">
        <f t="shared" si="61"/>
        <v>6.0619255262934005E-4</v>
      </c>
      <c r="Z884" s="54"/>
    </row>
    <row r="885" spans="15:26" x14ac:dyDescent="0.25">
      <c r="O885" s="37" t="s">
        <v>19</v>
      </c>
      <c r="P885" s="31">
        <f>_xll.qlCalendarAdvance(Calendar,P884,O884,"f",,Trigger)</f>
        <v>50684</v>
      </c>
      <c r="Q885" s="31">
        <f>_xll.qlInterestRateIndexValueDate(Index,P885,Trigger)</f>
        <v>50686</v>
      </c>
      <c r="R885" s="31">
        <f>_xll.qlInterestRateIndexMaturity(Index,Q885,Trigger)</f>
        <v>50780</v>
      </c>
      <c r="S885" s="32">
        <f>_xll.qlDayCounterYearFraction(DayCounter,Q885,R885,,,Trigger)</f>
        <v>0.26111111111111113</v>
      </c>
      <c r="T885" s="33">
        <f>_xll.qlIndexFixing(Index,P885,,AllTriggers)</f>
        <v>8.6138753197776158E-3</v>
      </c>
      <c r="U885" s="34">
        <f>_xll.qlYieldTSDiscount(OisCurve,Q885,,AllTriggers)</f>
        <v>0.86549199076751637</v>
      </c>
      <c r="V885" s="34">
        <f>_xll.qlYieldTSDiscount(OisCurve,R885,,AllTriggers)</f>
        <v>0.86368579791865618</v>
      </c>
      <c r="W885" s="33">
        <f t="shared" si="59"/>
        <v>8.0090865583913561E-3</v>
      </c>
      <c r="X885" s="35">
        <f t="shared" si="60"/>
        <v>1.5757509317757909E-4</v>
      </c>
      <c r="Y885" s="33">
        <f t="shared" si="61"/>
        <v>6.047887613862598E-4</v>
      </c>
      <c r="Z885" s="54"/>
    </row>
    <row r="886" spans="15:26" x14ac:dyDescent="0.25">
      <c r="O886" s="37" t="s">
        <v>19</v>
      </c>
      <c r="P886" s="31">
        <f>_xll.qlCalendarAdvance(Calendar,P885,O885,"f",,Trigger)</f>
        <v>50717</v>
      </c>
      <c r="Q886" s="31">
        <f>_xll.qlInterestRateIndexValueDate(Index,P886,Trigger)</f>
        <v>50719</v>
      </c>
      <c r="R886" s="31">
        <f>_xll.qlInterestRateIndexMaturity(Index,Q886,Trigger)</f>
        <v>50811</v>
      </c>
      <c r="S886" s="32">
        <f>_xll.qlDayCounterYearFraction(DayCounter,Q886,R886,,,Trigger)</f>
        <v>0.25555555555555554</v>
      </c>
      <c r="T886" s="33">
        <f>_xll.qlIndexFixing(Index,P886,,AllTriggers)</f>
        <v>8.6110724142044997E-3</v>
      </c>
      <c r="U886" s="34">
        <f>_xll.qlYieldTSDiscount(OisCurve,Q886,,AllTriggers)</f>
        <v>0.86485734454920882</v>
      </c>
      <c r="V886" s="34">
        <f>_xll.qlYieldTSDiscount(OisCurve,R886,,AllTriggers)</f>
        <v>0.86309114109788354</v>
      </c>
      <c r="W886" s="33">
        <f t="shared" si="59"/>
        <v>8.0075331183433081E-3</v>
      </c>
      <c r="X886" s="35">
        <f t="shared" si="60"/>
        <v>1.5391099213842276E-4</v>
      </c>
      <c r="Y886" s="33">
        <f t="shared" si="61"/>
        <v>6.0353929586119161E-4</v>
      </c>
      <c r="Z886" s="54"/>
    </row>
    <row r="887" spans="15:26" x14ac:dyDescent="0.25">
      <c r="O887" s="37" t="s">
        <v>19</v>
      </c>
      <c r="P887" s="31">
        <f>_xll.qlCalendarAdvance(Calendar,P886,O886,"f",,Trigger)</f>
        <v>50747</v>
      </c>
      <c r="Q887" s="31">
        <f>_xll.qlInterestRateIndexValueDate(Index,P887,Trigger)</f>
        <v>50749</v>
      </c>
      <c r="R887" s="31">
        <f>_xll.qlInterestRateIndexMaturity(Index,Q887,Trigger)</f>
        <v>50839</v>
      </c>
      <c r="S887" s="32">
        <f>_xll.qlDayCounterYearFraction(DayCounter,Q887,R887,,,Trigger)</f>
        <v>0.25</v>
      </c>
      <c r="T887" s="33">
        <f>_xll.qlIndexFixing(Index,P887,,AllTriggers)</f>
        <v>8.6091658940672389E-3</v>
      </c>
      <c r="U887" s="34">
        <f>_xll.qlYieldTSDiscount(OisCurve,Q887,,AllTriggers)</f>
        <v>0.86428092817794022</v>
      </c>
      <c r="V887" s="34">
        <f>_xll.qlYieldTSDiscount(OisCurve,R887,,AllTriggers)</f>
        <v>0.86255440950078877</v>
      </c>
      <c r="W887" s="33">
        <f t="shared" si="59"/>
        <v>8.0065380601359593E-3</v>
      </c>
      <c r="X887" s="35">
        <f t="shared" si="60"/>
        <v>1.5034469839175392E-4</v>
      </c>
      <c r="Y887" s="33">
        <f t="shared" si="61"/>
        <v>6.0262783393127961E-4</v>
      </c>
      <c r="Z887" s="54"/>
    </row>
    <row r="888" spans="15:26" x14ac:dyDescent="0.25">
      <c r="O888" s="37" t="s">
        <v>19</v>
      </c>
      <c r="P888" s="31">
        <f>_xll.qlCalendarAdvance(Calendar,P887,O887,"f",,Trigger)</f>
        <v>50780</v>
      </c>
      <c r="Q888" s="31">
        <f>_xll.qlInterestRateIndexValueDate(Index,P888,Trigger)</f>
        <v>50782</v>
      </c>
      <c r="R888" s="31">
        <f>_xll.qlInterestRateIndexMaturity(Index,Q888,Trigger)</f>
        <v>50872</v>
      </c>
      <c r="S888" s="32">
        <f>_xll.qlDayCounterYearFraction(DayCounter,Q888,R888,,,Trigger)</f>
        <v>0.25</v>
      </c>
      <c r="T888" s="33">
        <f>_xll.qlIndexFixing(Index,P888,,AllTriggers)</f>
        <v>8.60799919902977E-3</v>
      </c>
      <c r="U888" s="34">
        <f>_xll.qlYieldTSDiscount(OisCurve,Q888,,AllTriggers)</f>
        <v>0.86364741905118425</v>
      </c>
      <c r="V888" s="34">
        <f>_xll.qlYieldTSDiscount(OisCurve,R888,,AllTriggers)</f>
        <v>0.86192225712092274</v>
      </c>
      <c r="W888" s="33">
        <f t="shared" si="59"/>
        <v>8.0061138507971918E-3</v>
      </c>
      <c r="X888" s="35">
        <f t="shared" si="60"/>
        <v>1.5015949149490044E-4</v>
      </c>
      <c r="Y888" s="33">
        <f t="shared" si="61"/>
        <v>6.0188534823257811E-4</v>
      </c>
      <c r="Z888" s="54"/>
    </row>
    <row r="889" spans="15:26" x14ac:dyDescent="0.25">
      <c r="O889" s="37" t="s">
        <v>19</v>
      </c>
      <c r="P889" s="31">
        <f>_xll.qlCalendarAdvance(Calendar,P888,O888,"f",,Trigger)</f>
        <v>50811</v>
      </c>
      <c r="Q889" s="31">
        <f>_xll.qlInterestRateIndexValueDate(Index,P889,Trigger)</f>
        <v>50815</v>
      </c>
      <c r="R889" s="31">
        <f>_xll.qlInterestRateIndexMaturity(Index,Q889,Trigger)</f>
        <v>50906</v>
      </c>
      <c r="S889" s="32">
        <f>_xll.qlDayCounterYearFraction(DayCounter,Q889,R889,,,Trigger)</f>
        <v>0.25277777777777777</v>
      </c>
      <c r="T889" s="33">
        <f>_xll.qlIndexFixing(Index,P889,,AllTriggers)</f>
        <v>8.6077462058105365E-3</v>
      </c>
      <c r="U889" s="34">
        <f>_xll.qlYieldTSDiscount(OisCurve,Q889,,AllTriggers)</f>
        <v>0.86301444385917481</v>
      </c>
      <c r="V889" s="34">
        <f>_xll.qlYieldTSDiscount(OisCurve,R889,,AllTriggers)</f>
        <v>0.86127138640635015</v>
      </c>
      <c r="W889" s="33">
        <f t="shared" si="59"/>
        <v>8.0063171842461815E-3</v>
      </c>
      <c r="X889" s="35">
        <f t="shared" si="60"/>
        <v>1.5170932759930129E-4</v>
      </c>
      <c r="Y889" s="33">
        <f t="shared" si="61"/>
        <v>6.0142902156435502E-4</v>
      </c>
      <c r="Z889" s="54"/>
    </row>
    <row r="890" spans="15:26" x14ac:dyDescent="0.25">
      <c r="O890" s="37" t="s">
        <v>19</v>
      </c>
      <c r="P890" s="31">
        <f>_xll.qlCalendarAdvance(Calendar,P889,O889,"f",,Trigger)</f>
        <v>50839</v>
      </c>
      <c r="Q890" s="31">
        <f>_xll.qlInterestRateIndexValueDate(Index,P890,Trigger)</f>
        <v>50843</v>
      </c>
      <c r="R890" s="31">
        <f>_xll.qlInterestRateIndexMaturity(Index,Q890,Trigger)</f>
        <v>50935</v>
      </c>
      <c r="S890" s="32">
        <f>_xll.qlDayCounterYearFraction(DayCounter,Q890,R890,,,Trigger)</f>
        <v>0.25555555555555554</v>
      </c>
      <c r="T890" s="33">
        <f>_xll.qlIndexFixing(Index,P890,,AllTriggers)</f>
        <v>8.6081999970594909E-3</v>
      </c>
      <c r="U890" s="34">
        <f>_xll.qlYieldTSDiscount(OisCurve,Q890,,AllTriggers)</f>
        <v>0.86247776125290632</v>
      </c>
      <c r="V890" s="34">
        <f>_xll.qlYieldTSDiscount(OisCurve,R890,,AllTriggers)</f>
        <v>0.86071654900123085</v>
      </c>
      <c r="W890" s="33">
        <f t="shared" si="59"/>
        <v>8.0069334361576594E-3</v>
      </c>
      <c r="X890" s="35">
        <f t="shared" si="60"/>
        <v>1.5333148070223779E-4</v>
      </c>
      <c r="Y890" s="33">
        <f t="shared" si="61"/>
        <v>6.0126656090183153E-4</v>
      </c>
      <c r="Z890" s="54"/>
    </row>
    <row r="891" spans="15:26" x14ac:dyDescent="0.25">
      <c r="O891" s="37" t="s">
        <v>19</v>
      </c>
      <c r="P891" s="31">
        <f>_xll.qlCalendarAdvance(Calendar,P890,O890,"f",,Trigger)</f>
        <v>50872</v>
      </c>
      <c r="Q891" s="31">
        <f>_xll.qlInterestRateIndexValueDate(Index,P891,Trigger)</f>
        <v>50874</v>
      </c>
      <c r="R891" s="31">
        <f>_xll.qlInterestRateIndexMaturity(Index,Q891,Trigger)</f>
        <v>50965</v>
      </c>
      <c r="S891" s="32">
        <f>_xll.qlDayCounterYearFraction(DayCounter,Q891,R891,,,Trigger)</f>
        <v>0.25277777777777777</v>
      </c>
      <c r="T891" s="33">
        <f>_xll.qlIndexFixing(Index,P891,,AllTriggers)</f>
        <v>8.6091258562053432E-3</v>
      </c>
      <c r="U891" s="34">
        <f>_xll.qlYieldTSDiscount(OisCurve,Q891,,AllTriggers)</f>
        <v>0.86188395874446722</v>
      </c>
      <c r="V891" s="34">
        <f>_xll.qlYieldTSDiscount(OisCurve,R891,,AllTriggers)</f>
        <v>0.86014285449933137</v>
      </c>
      <c r="W891" s="33">
        <f t="shared" si="59"/>
        <v>8.0078383372976132E-3</v>
      </c>
      <c r="X891" s="35">
        <f t="shared" si="60"/>
        <v>1.5167357833158527E-4</v>
      </c>
      <c r="Y891" s="33">
        <f t="shared" si="61"/>
        <v>6.0128751890772998E-4</v>
      </c>
      <c r="Z891" s="54"/>
    </row>
    <row r="892" spans="15:26" x14ac:dyDescent="0.25">
      <c r="O892" s="37" t="s">
        <v>19</v>
      </c>
      <c r="P892" s="31">
        <f>_xll.qlCalendarAdvance(Calendar,P891,O891,"f",,Trigger)</f>
        <v>50902</v>
      </c>
      <c r="Q892" s="31">
        <f>_xll.qlInterestRateIndexValueDate(Index,P892,Trigger)</f>
        <v>50906</v>
      </c>
      <c r="R892" s="31">
        <f>_xll.qlInterestRateIndexMaturity(Index,Q892,Trigger)</f>
        <v>50998</v>
      </c>
      <c r="S892" s="32">
        <f>_xll.qlDayCounterYearFraction(DayCounter,Q892,R892,,,Trigger)</f>
        <v>0.25555555555555554</v>
      </c>
      <c r="T892" s="33">
        <f>_xll.qlIndexFixing(Index,P892,,AllTriggers)</f>
        <v>8.6110929669813707E-3</v>
      </c>
      <c r="U892" s="34">
        <f>_xll.qlYieldTSDiscount(OisCurve,Q892,,AllTriggers)</f>
        <v>0.86127138640635015</v>
      </c>
      <c r="V892" s="34">
        <f>_xll.qlYieldTSDiscount(OisCurve,R892,,AllTriggers)</f>
        <v>0.85951207684926056</v>
      </c>
      <c r="W892" s="33">
        <f t="shared" si="59"/>
        <v>8.0094916337270922E-3</v>
      </c>
      <c r="X892" s="35">
        <f t="shared" si="60"/>
        <v>1.5341674575522829E-4</v>
      </c>
      <c r="Y892" s="33">
        <f t="shared" si="61"/>
        <v>6.0160133325427856E-4</v>
      </c>
      <c r="Z892" s="54"/>
    </row>
    <row r="893" spans="15:26" x14ac:dyDescent="0.25">
      <c r="O893" s="37" t="s">
        <v>19</v>
      </c>
      <c r="P893" s="31">
        <f>_xll.qlCalendarAdvance(Calendar,P892,O892,"f",,Trigger)</f>
        <v>50934</v>
      </c>
      <c r="Q893" s="31">
        <f>_xll.qlInterestRateIndexValueDate(Index,P893,Trigger)</f>
        <v>50936</v>
      </c>
      <c r="R893" s="31">
        <f>_xll.qlInterestRateIndexMaturity(Index,Q893,Trigger)</f>
        <v>51028</v>
      </c>
      <c r="S893" s="32">
        <f>_xll.qlDayCounterYearFraction(DayCounter,Q893,R893,,,Trigger)</f>
        <v>0.25555555555555554</v>
      </c>
      <c r="T893" s="33">
        <f>_xll.qlIndexFixing(Index,P893,,AllTriggers)</f>
        <v>8.6135013039503536E-3</v>
      </c>
      <c r="U893" s="34">
        <f>_xll.qlYieldTSDiscount(OisCurve,Q893,,AllTriggers)</f>
        <v>0.86069742151019957</v>
      </c>
      <c r="V893" s="34">
        <f>_xll.qlYieldTSDiscount(OisCurve,R893,,AllTriggers)</f>
        <v>0.85893886901058925</v>
      </c>
      <c r="W893" s="33">
        <f t="shared" si="59"/>
        <v>8.0113878158827312E-3</v>
      </c>
      <c r="X893" s="35">
        <f t="shared" si="60"/>
        <v>1.535472681137528E-4</v>
      </c>
      <c r="Y893" s="33">
        <f t="shared" si="61"/>
        <v>6.0211348806762238E-4</v>
      </c>
      <c r="Z893" s="54"/>
    </row>
    <row r="894" spans="15:26" x14ac:dyDescent="0.25">
      <c r="O894" s="37" t="s">
        <v>19</v>
      </c>
      <c r="P894" s="31">
        <f>_xll.qlCalendarAdvance(Calendar,P893,O893,"f",,Trigger)</f>
        <v>50964</v>
      </c>
      <c r="Q894" s="31">
        <f>_xll.qlInterestRateIndexValueDate(Index,P894,Trigger)</f>
        <v>50966</v>
      </c>
      <c r="R894" s="31">
        <f>_xll.qlInterestRateIndexMaturity(Index,Q894,Trigger)</f>
        <v>51060</v>
      </c>
      <c r="S894" s="32">
        <f>_xll.qlDayCounterYearFraction(DayCounter,Q894,R894,,,Trigger)</f>
        <v>0.26111111111111113</v>
      </c>
      <c r="T894" s="33">
        <f>_xll.qlIndexFixing(Index,P894,,AllTriggers)</f>
        <v>8.6169060756281571E-3</v>
      </c>
      <c r="U894" s="34">
        <f>_xll.qlYieldTSDiscount(OisCurve,Q894,,AllTriggers)</f>
        <v>0.86012373580982837</v>
      </c>
      <c r="V894" s="34">
        <f>_xll.qlYieldTSDiscount(OisCurve,R894,,AllTriggers)</f>
        <v>0.85832764872890221</v>
      </c>
      <c r="W894" s="33">
        <f t="shared" si="59"/>
        <v>8.0139925399655351E-3</v>
      </c>
      <c r="X894" s="35">
        <f t="shared" si="60"/>
        <v>1.5708634881444249E-4</v>
      </c>
      <c r="Y894" s="33">
        <f t="shared" si="61"/>
        <v>6.0291353566262196E-4</v>
      </c>
      <c r="Z894" s="54"/>
    </row>
    <row r="895" spans="15:26" x14ac:dyDescent="0.25">
      <c r="O895" s="37" t="s">
        <v>19</v>
      </c>
      <c r="P895" s="31">
        <f>_xll.qlCalendarAdvance(Calendar,P894,O894,"f",,Trigger)</f>
        <v>50997</v>
      </c>
      <c r="Q895" s="31">
        <f>_xll.qlInterestRateIndexValueDate(Index,P895,Trigger)</f>
        <v>50999</v>
      </c>
      <c r="R895" s="31">
        <f>_xll.qlInterestRateIndexMaturity(Index,Q895,Trigger)</f>
        <v>51091</v>
      </c>
      <c r="S895" s="32">
        <f>_xll.qlDayCounterYearFraction(DayCounter,Q895,R895,,,Trigger)</f>
        <v>0.25555555555555554</v>
      </c>
      <c r="T895" s="33">
        <f>_xll.qlIndexFixing(Index,P895,,AllTriggers)</f>
        <v>8.6207233562117947E-3</v>
      </c>
      <c r="U895" s="34">
        <f>_xll.qlYieldTSDiscount(OisCurve,Q895,,AllTriggers)</f>
        <v>0.85949296663743247</v>
      </c>
      <c r="V895" s="34">
        <f>_xll.qlYieldTSDiscount(OisCurve,R895,,AllTriggers)</f>
        <v>0.85773569252654003</v>
      </c>
      <c r="W895" s="33">
        <f t="shared" si="59"/>
        <v>8.0167935869491641E-3</v>
      </c>
      <c r="X895" s="35">
        <f t="shared" si="60"/>
        <v>1.5401019696663514E-4</v>
      </c>
      <c r="Y895" s="33">
        <f t="shared" si="61"/>
        <v>6.039297692626306E-4</v>
      </c>
      <c r="Z895" s="54"/>
    </row>
    <row r="896" spans="15:26" x14ac:dyDescent="0.25">
      <c r="O896" s="37" t="s">
        <v>19</v>
      </c>
      <c r="P896" s="31">
        <f>_xll.qlCalendarAdvance(Calendar,P895,O895,"f",,Trigger)</f>
        <v>51028</v>
      </c>
      <c r="Q896" s="31">
        <f>_xll.qlInterestRateIndexValueDate(Index,P896,Trigger)</f>
        <v>51032</v>
      </c>
      <c r="R896" s="31">
        <f>_xll.qlInterestRateIndexMaturity(Index,Q896,Trigger)</f>
        <v>51123</v>
      </c>
      <c r="S896" s="32">
        <f>_xll.qlDayCounterYearFraction(DayCounter,Q896,R896,,,Trigger)</f>
        <v>0.25277777777777777</v>
      </c>
      <c r="T896" s="33">
        <f>_xll.qlIndexFixing(Index,P896,,AllTriggers)</f>
        <v>8.6254867776932743E-3</v>
      </c>
      <c r="U896" s="34">
        <f>_xll.qlYieldTSDiscount(OisCurve,Q896,,AllTriggers)</f>
        <v>0.85886245583629228</v>
      </c>
      <c r="V896" s="34">
        <f>_xll.qlYieldTSDiscount(OisCurve,R896,,AllTriggers)</f>
        <v>0.85712477306660206</v>
      </c>
      <c r="W896" s="33">
        <f t="shared" si="59"/>
        <v>8.0202435334584665E-3</v>
      </c>
      <c r="X896" s="35">
        <f t="shared" si="60"/>
        <v>1.5267084826094501E-4</v>
      </c>
      <c r="Y896" s="33">
        <f t="shared" si="61"/>
        <v>6.0524324423480783E-4</v>
      </c>
      <c r="Z896" s="54"/>
    </row>
    <row r="897" spans="15:26" x14ac:dyDescent="0.25">
      <c r="O897" s="37" t="s">
        <v>19</v>
      </c>
      <c r="P897" s="31">
        <f>_xll.qlCalendarAdvance(Calendar,P896,O896,"f",,Trigger)</f>
        <v>51060</v>
      </c>
      <c r="Q897" s="31">
        <f>_xll.qlInterestRateIndexValueDate(Index,P897,Trigger)</f>
        <v>51062</v>
      </c>
      <c r="R897" s="31">
        <f>_xll.qlInterestRateIndexMaturity(Index,Q897,Trigger)</f>
        <v>51154</v>
      </c>
      <c r="S897" s="32">
        <f>_xll.qlDayCounterYearFraction(DayCounter,Q897,R897,,,Trigger)</f>
        <v>0.25555555555555554</v>
      </c>
      <c r="T897" s="33">
        <f>_xll.qlIndexFixing(Index,P897,,AllTriggers)</f>
        <v>8.6308780314046877E-3</v>
      </c>
      <c r="U897" s="34">
        <f>_xll.qlYieldTSDiscount(OisCurve,Q897,,AllTriggers)</f>
        <v>0.85828945352969477</v>
      </c>
      <c r="V897" s="34">
        <f>_xll.qlYieldTSDiscount(OisCurve,R897,,AllTriggers)</f>
        <v>0.85653303781755297</v>
      </c>
      <c r="W897" s="33">
        <f t="shared" si="59"/>
        <v>8.0241283687363194E-3</v>
      </c>
      <c r="X897" s="35">
        <f t="shared" si="60"/>
        <v>1.5472896258656214E-4</v>
      </c>
      <c r="Y897" s="33">
        <f t="shared" si="61"/>
        <v>6.0674966266836827E-4</v>
      </c>
      <c r="Z897" s="54"/>
    </row>
    <row r="898" spans="15:26" x14ac:dyDescent="0.25">
      <c r="O898" s="37" t="s">
        <v>19</v>
      </c>
      <c r="P898" s="31">
        <f>_xll.qlCalendarAdvance(Calendar,P897,O897,"f",,Trigger)</f>
        <v>51091</v>
      </c>
      <c r="Q898" s="31">
        <f>_xll.qlInterestRateIndexValueDate(Index,P898,Trigger)</f>
        <v>51095</v>
      </c>
      <c r="R898" s="31">
        <f>_xll.qlInterestRateIndexMaturity(Index,Q898,Trigger)</f>
        <v>51187</v>
      </c>
      <c r="S898" s="32">
        <f>_xll.qlDayCounterYearFraction(DayCounter,Q898,R898,,,Trigger)</f>
        <v>0.25555555555555554</v>
      </c>
      <c r="T898" s="33">
        <f>_xll.qlIndexFixing(Index,P898,,AllTriggers)</f>
        <v>8.6373675435653767E-3</v>
      </c>
      <c r="U898" s="34">
        <f>_xll.qlYieldTSDiscount(OisCurve,Q898,,AllTriggers)</f>
        <v>0.85765932100323872</v>
      </c>
      <c r="V898" s="34">
        <f>_xll.qlYieldTSDiscount(OisCurve,R898,,AllTriggers)</f>
        <v>0.85590318810584742</v>
      </c>
      <c r="W898" s="33">
        <f t="shared" si="59"/>
        <v>8.0287402554297289E-3</v>
      </c>
      <c r="X898" s="35">
        <f t="shared" si="60"/>
        <v>1.5520756151965557E-4</v>
      </c>
      <c r="Y898" s="33">
        <f t="shared" si="61"/>
        <v>6.0862728813564776E-4</v>
      </c>
      <c r="Z898" s="54"/>
    </row>
    <row r="899" spans="15:26" x14ac:dyDescent="0.25">
      <c r="O899" s="37" t="s">
        <v>19</v>
      </c>
      <c r="P899" s="31">
        <f>_xll.qlCalendarAdvance(Calendar,P898,O898,"f",,Trigger)</f>
        <v>51123</v>
      </c>
      <c r="Q899" s="31">
        <f>_xll.qlInterestRateIndexValueDate(Index,P899,Trigger)</f>
        <v>51125</v>
      </c>
      <c r="R899" s="31">
        <f>_xll.qlInterestRateIndexMaturity(Index,Q899,Trigger)</f>
        <v>51216</v>
      </c>
      <c r="S899" s="32">
        <f>_xll.qlDayCounterYearFraction(DayCounter,Q899,R899,,,Trigger)</f>
        <v>0.25277777777777777</v>
      </c>
      <c r="T899" s="33">
        <f>_xll.qlIndexFixing(Index,P899,,AllTriggers)</f>
        <v>8.6437406103900827E-3</v>
      </c>
      <c r="U899" s="34">
        <f>_xll.qlYieldTSDiscount(OisCurve,Q899,,AllTriggers)</f>
        <v>0.85708659421306843</v>
      </c>
      <c r="V899" s="34">
        <f>_xll.qlYieldTSDiscount(OisCurve,R899,,AllTriggers)</f>
        <v>0.85534970490272022</v>
      </c>
      <c r="W899" s="33">
        <f t="shared" si="59"/>
        <v>8.0332177811434612E-3</v>
      </c>
      <c r="X899" s="35">
        <f t="shared" si="60"/>
        <v>1.5400200168030542E-4</v>
      </c>
      <c r="Y899" s="33">
        <f t="shared" si="61"/>
        <v>6.1052282924662152E-4</v>
      </c>
      <c r="Z899" s="54"/>
    </row>
    <row r="900" spans="15:26" x14ac:dyDescent="0.25">
      <c r="O900" s="37" t="s">
        <v>19</v>
      </c>
      <c r="P900" s="31">
        <f>_xll.qlCalendarAdvance(Calendar,P899,O899,"f",,Trigger)</f>
        <v>51154</v>
      </c>
      <c r="Q900" s="31">
        <f>_xll.qlInterestRateIndexValueDate(Index,P900,Trigger)</f>
        <v>51158</v>
      </c>
      <c r="R900" s="31">
        <f>_xll.qlInterestRateIndexMaturity(Index,Q900,Trigger)</f>
        <v>51249</v>
      </c>
      <c r="S900" s="32">
        <f>_xll.qlDayCounterYearFraction(DayCounter,Q900,R900,,,Trigger)</f>
        <v>0.25277777777777777</v>
      </c>
      <c r="T900" s="33">
        <f>_xll.qlIndexFixing(Index,P900,,AllTriggers)</f>
        <v>8.6517538975052627E-3</v>
      </c>
      <c r="U900" s="34">
        <f>_xll.qlYieldTSDiscount(OisCurve,Q900,,AllTriggers)</f>
        <v>0.85645668976300204</v>
      </c>
      <c r="V900" s="34">
        <f>_xll.qlYieldTSDiscount(OisCurve,R900,,AllTriggers)</f>
        <v>0.85471986644589559</v>
      </c>
      <c r="W900" s="33">
        <f t="shared" ref="W900:W963" si="62">(U900/V900-1)/S900</f>
        <v>8.0388319683333265E-3</v>
      </c>
      <c r="X900" s="35">
        <f t="shared" ref="X900:X963" si="63">LN((1+T900*S900)/(1+W900*S900))</f>
        <v>1.5460689954979547E-4</v>
      </c>
      <c r="Y900" s="33">
        <f t="shared" ref="Y900:Y963" si="64">T900-W900</f>
        <v>6.1292192917193622E-4</v>
      </c>
      <c r="Z900" s="54"/>
    </row>
    <row r="901" spans="15:26" x14ac:dyDescent="0.25">
      <c r="O901" s="37" t="s">
        <v>19</v>
      </c>
      <c r="P901" s="31">
        <f>_xll.qlCalendarAdvance(Calendar,P900,O900,"f",,Trigger)</f>
        <v>51186</v>
      </c>
      <c r="Q901" s="31">
        <f>_xll.qlInterestRateIndexValueDate(Index,P901,Trigger)</f>
        <v>51188</v>
      </c>
      <c r="R901" s="31">
        <f>_xll.qlInterestRateIndexMaturity(Index,Q901,Trigger)</f>
        <v>51278</v>
      </c>
      <c r="S901" s="32">
        <f>_xll.qlDayCounterYearFraction(DayCounter,Q901,R901,,,Trigger)</f>
        <v>0.25</v>
      </c>
      <c r="T901" s="33">
        <f>_xll.qlIndexFixing(Index,P901,,AllTriggers)</f>
        <v>8.6594725517876725E-3</v>
      </c>
      <c r="U901" s="34">
        <f>_xll.qlYieldTSDiscount(OisCurve,Q901,,AllTriggers)</f>
        <v>0.85588410232993706</v>
      </c>
      <c r="V901" s="34">
        <f>_xll.qlYieldTSDiscount(OisCurve,R901,,AllTriggers)</f>
        <v>0.85416633189806279</v>
      </c>
      <c r="W901" s="33">
        <f t="shared" si="62"/>
        <v>8.044196394663139E-3</v>
      </c>
      <c r="X901" s="35">
        <f t="shared" si="63"/>
        <v>1.5349854098160203E-4</v>
      </c>
      <c r="Y901" s="33">
        <f t="shared" si="64"/>
        <v>6.1527615712453354E-4</v>
      </c>
      <c r="Z901" s="54"/>
    </row>
    <row r="902" spans="15:26" x14ac:dyDescent="0.25">
      <c r="O902" s="37" t="s">
        <v>19</v>
      </c>
      <c r="P902" s="31">
        <f>_xll.qlCalendarAdvance(Calendar,P901,O901,"f",,Trigger)</f>
        <v>51215</v>
      </c>
      <c r="Q902" s="31">
        <f>_xll.qlInterestRateIndexValueDate(Index,P902,Trigger)</f>
        <v>51217</v>
      </c>
      <c r="R902" s="31">
        <f>_xll.qlInterestRateIndexMaturity(Index,Q902,Trigger)</f>
        <v>51309</v>
      </c>
      <c r="S902" s="32">
        <f>_xll.qlDayCounterYearFraction(DayCounter,Q902,R902,,,Trigger)</f>
        <v>0.25555555555555554</v>
      </c>
      <c r="T902" s="33">
        <f>_xll.qlIndexFixing(Index,P902,,AllTriggers)</f>
        <v>8.6681230699631913E-3</v>
      </c>
      <c r="U902" s="34">
        <f>_xll.qlYieldTSDiscount(OisCurve,Q902,,AllTriggers)</f>
        <v>0.85533061926938525</v>
      </c>
      <c r="V902" s="34">
        <f>_xll.qlYieldTSDiscount(OisCurve,R902,,AllTriggers)</f>
        <v>0.85357456908343343</v>
      </c>
      <c r="W902" s="33">
        <f t="shared" si="62"/>
        <v>8.0502641204695802E-3</v>
      </c>
      <c r="X902" s="35">
        <f t="shared" si="63"/>
        <v>1.5756070020707112E-4</v>
      </c>
      <c r="Y902" s="33">
        <f t="shared" si="64"/>
        <v>6.1785894949361111E-4</v>
      </c>
      <c r="Z902" s="54"/>
    </row>
    <row r="903" spans="15:26" x14ac:dyDescent="0.25">
      <c r="O903" s="37" t="s">
        <v>19</v>
      </c>
      <c r="P903" s="31">
        <f>_xll.qlCalendarAdvance(Calendar,P902,O902,"f",,Trigger)</f>
        <v>51246</v>
      </c>
      <c r="Q903" s="31">
        <f>_xll.qlInterestRateIndexValueDate(Index,P903,Trigger)</f>
        <v>51250</v>
      </c>
      <c r="R903" s="31">
        <f>_xll.qlInterestRateIndexMaturity(Index,Q903,Trigger)</f>
        <v>51341</v>
      </c>
      <c r="S903" s="32">
        <f>_xll.qlDayCounterYearFraction(DayCounter,Q903,R903,,,Trigger)</f>
        <v>0.25277777777777777</v>
      </c>
      <c r="T903" s="33">
        <f>_xll.qlIndexFixing(Index,P903,,AllTriggers)</f>
        <v>8.6774156768818899E-3</v>
      </c>
      <c r="U903" s="34">
        <f>_xll.qlYieldTSDiscount(OisCurve,Q903,,AllTriggers)</f>
        <v>0.85470077981628012</v>
      </c>
      <c r="V903" s="34">
        <f>_xll.qlYieldTSDiscount(OisCurve,R903,,AllTriggers)</f>
        <v>0.85296365723487799</v>
      </c>
      <c r="W903" s="33">
        <f t="shared" si="62"/>
        <v>8.0567715057651562E-3</v>
      </c>
      <c r="X903" s="35">
        <f t="shared" si="63"/>
        <v>1.565539407022795E-4</v>
      </c>
      <c r="Y903" s="33">
        <f t="shared" si="64"/>
        <v>6.2064417111673369E-4</v>
      </c>
      <c r="Z903" s="54"/>
    </row>
    <row r="904" spans="15:26" x14ac:dyDescent="0.25">
      <c r="O904" s="37" t="s">
        <v>19</v>
      </c>
      <c r="P904" s="31">
        <f>_xll.qlCalendarAdvance(Calendar,P903,O903,"f",,Trigger)</f>
        <v>51277</v>
      </c>
      <c r="Q904" s="31">
        <f>_xll.qlInterestRateIndexValueDate(Index,P904,Trigger)</f>
        <v>51279</v>
      </c>
      <c r="R904" s="31">
        <f>_xll.qlInterestRateIndexMaturity(Index,Q904,Trigger)</f>
        <v>51371</v>
      </c>
      <c r="S904" s="32">
        <f>_xll.qlDayCounterYearFraction(DayCounter,Q904,R904,,,Trigger)</f>
        <v>0.25555555555555554</v>
      </c>
      <c r="T904" s="33">
        <f>_xll.qlIndexFixing(Index,P904,,AllTriggers)</f>
        <v>8.6860504987038376E-3</v>
      </c>
      <c r="U904" s="34">
        <f>_xll.qlYieldTSDiscount(OisCurve,Q904,,AllTriggers)</f>
        <v>0.85414724364765238</v>
      </c>
      <c r="V904" s="34">
        <f>_xll.qlYieldTSDiscount(OisCurve,R904,,AllTriggers)</f>
        <v>0.85239087034999361</v>
      </c>
      <c r="W904" s="33">
        <f t="shared" si="62"/>
        <v>8.0629266652909592E-3</v>
      </c>
      <c r="X904" s="35">
        <f t="shared" si="63"/>
        <v>1.5890268265030655E-4</v>
      </c>
      <c r="Y904" s="33">
        <f t="shared" si="64"/>
        <v>6.2312383341287837E-4</v>
      </c>
      <c r="Z904" s="54"/>
    </row>
    <row r="905" spans="15:26" x14ac:dyDescent="0.25">
      <c r="O905" s="37" t="s">
        <v>19</v>
      </c>
      <c r="P905" s="31">
        <f>_xll.qlCalendarAdvance(Calendar,P904,O904,"f",,Trigger)</f>
        <v>51308</v>
      </c>
      <c r="Q905" s="31">
        <f>_xll.qlInterestRateIndexValueDate(Index,P905,Trigger)</f>
        <v>51312</v>
      </c>
      <c r="R905" s="31">
        <f>_xll.qlInterestRateIndexMaturity(Index,Q905,Trigger)</f>
        <v>51404</v>
      </c>
      <c r="S905" s="32">
        <f>_xll.qlDayCounterYearFraction(DayCounter,Q905,R905,,,Trigger)</f>
        <v>0.25555555555555554</v>
      </c>
      <c r="T905" s="33">
        <f>_xll.qlIndexFixing(Index,P905,,AllTriggers)</f>
        <v>8.6955061449402737E-3</v>
      </c>
      <c r="U905" s="34">
        <f>_xll.qlYieldTSDiscount(OisCurve,Q905,,AllTriggers)</f>
        <v>0.85351729871308124</v>
      </c>
      <c r="V905" s="34">
        <f>_xll.qlYieldTSDiscount(OisCurve,R905,,AllTriggers)</f>
        <v>0.85176073904232119</v>
      </c>
      <c r="W905" s="33">
        <f t="shared" si="62"/>
        <v>8.0697478162376473E-3</v>
      </c>
      <c r="X905" s="35">
        <f t="shared" si="63"/>
        <v>1.5957417358794529E-4</v>
      </c>
      <c r="Y905" s="33">
        <f t="shared" si="64"/>
        <v>6.2575832870262645E-4</v>
      </c>
      <c r="Z905" s="54"/>
    </row>
    <row r="906" spans="15:26" x14ac:dyDescent="0.25">
      <c r="O906" s="37" t="s">
        <v>19</v>
      </c>
      <c r="P906" s="31">
        <f>_xll.qlCalendarAdvance(Calendar,P905,O905,"f",,Trigger)</f>
        <v>51340</v>
      </c>
      <c r="Q906" s="31">
        <f>_xll.qlInterestRateIndexValueDate(Index,P906,Trigger)</f>
        <v>51342</v>
      </c>
      <c r="R906" s="31">
        <f>_xll.qlInterestRateIndexMaturity(Index,Q906,Trigger)</f>
        <v>51434</v>
      </c>
      <c r="S906" s="32">
        <f>_xll.qlDayCounterYearFraction(DayCounter,Q906,R906,,,Trigger)</f>
        <v>0.25555555555555554</v>
      </c>
      <c r="T906" s="33">
        <f>_xll.qlIndexFixing(Index,P906,,AllTriggers)</f>
        <v>8.7040216984321881E-3</v>
      </c>
      <c r="U906" s="34">
        <f>_xll.qlYieldTSDiscount(OisCurve,Q906,,AllTriggers)</f>
        <v>0.85294456523751827</v>
      </c>
      <c r="V906" s="34">
        <f>_xll.qlYieldTSDiscount(OisCurve,R906,,AllTriggers)</f>
        <v>0.85118783087336713</v>
      </c>
      <c r="W906" s="33">
        <f t="shared" si="62"/>
        <v>8.0759824064035191E-3</v>
      </c>
      <c r="X906" s="35">
        <f t="shared" si="63"/>
        <v>1.6015553917302395E-4</v>
      </c>
      <c r="Y906" s="33">
        <f t="shared" si="64"/>
        <v>6.2803929202866898E-4</v>
      </c>
      <c r="Z906" s="54"/>
    </row>
    <row r="907" spans="15:26" x14ac:dyDescent="0.25">
      <c r="O907" s="37" t="s">
        <v>19</v>
      </c>
      <c r="P907" s="31">
        <f>_xll.qlCalendarAdvance(Calendar,P906,O906,"f",,Trigger)</f>
        <v>51371</v>
      </c>
      <c r="Q907" s="31">
        <f>_xll.qlInterestRateIndexValueDate(Index,P907,Trigger)</f>
        <v>51375</v>
      </c>
      <c r="R907" s="31">
        <f>_xll.qlInterestRateIndexMaturity(Index,Q907,Trigger)</f>
        <v>51467</v>
      </c>
      <c r="S907" s="32">
        <f>_xll.qlDayCounterYearFraction(DayCounter,Q907,R907,,,Trigger)</f>
        <v>0.25555555555555554</v>
      </c>
      <c r="T907" s="33">
        <f>_xll.qlIndexFixing(Index,P907,,AllTriggers)</f>
        <v>8.7133002692612437E-3</v>
      </c>
      <c r="U907" s="34">
        <f>_xll.qlYieldTSDiscount(OisCurve,Q907,,AllTriggers)</f>
        <v>0.8523144945049842</v>
      </c>
      <c r="V907" s="34">
        <f>_xll.qlYieldTSDiscount(OisCurve,R907,,AllTriggers)</f>
        <v>0.85055756221019496</v>
      </c>
      <c r="W907" s="33">
        <f t="shared" si="62"/>
        <v>8.0828773540102938E-3</v>
      </c>
      <c r="X907" s="35">
        <f t="shared" si="63"/>
        <v>1.6076305252190454E-4</v>
      </c>
      <c r="Y907" s="33">
        <f t="shared" si="64"/>
        <v>6.3042291525094996E-4</v>
      </c>
      <c r="Z907" s="54"/>
    </row>
    <row r="908" spans="15:26" x14ac:dyDescent="0.25">
      <c r="O908" s="37" t="s">
        <v>19</v>
      </c>
      <c r="P908" s="31">
        <f>_xll.qlCalendarAdvance(Calendar,P907,O907,"f",,Trigger)</f>
        <v>51403</v>
      </c>
      <c r="Q908" s="31">
        <f>_xll.qlInterestRateIndexValueDate(Index,P908,Trigger)</f>
        <v>51405</v>
      </c>
      <c r="R908" s="31">
        <f>_xll.qlInterestRateIndexMaturity(Index,Q908,Trigger)</f>
        <v>51497</v>
      </c>
      <c r="S908" s="32">
        <f>_xll.qlDayCounterYearFraction(DayCounter,Q908,R908,,,Trigger)</f>
        <v>0.25555555555555554</v>
      </c>
      <c r="T908" s="33">
        <f>_xll.qlIndexFixing(Index,P908,,AllTriggers)</f>
        <v>8.7216548440123866E-3</v>
      </c>
      <c r="U908" s="34">
        <f>_xll.qlYieldTSDiscount(OisCurve,Q908,,AllTriggers)</f>
        <v>0.85174164305729427</v>
      </c>
      <c r="V908" s="34">
        <f>_xll.qlYieldTSDiscount(OisCurve,R908,,AllTriggers)</f>
        <v>0.84998452560113935</v>
      </c>
      <c r="W908" s="33">
        <f t="shared" si="62"/>
        <v>8.0891790323859344E-3</v>
      </c>
      <c r="X908" s="35">
        <f t="shared" si="63"/>
        <v>1.612862566618594E-4</v>
      </c>
      <c r="Y908" s="33">
        <f t="shared" si="64"/>
        <v>6.3247581162645221E-4</v>
      </c>
      <c r="Z908" s="54"/>
    </row>
    <row r="909" spans="15:26" x14ac:dyDescent="0.25">
      <c r="O909" s="37" t="s">
        <v>19</v>
      </c>
      <c r="P909" s="31">
        <f>_xll.qlCalendarAdvance(Calendar,P908,O908,"f",,Trigger)</f>
        <v>51433</v>
      </c>
      <c r="Q909" s="31">
        <f>_xll.qlInterestRateIndexValueDate(Index,P909,Trigger)</f>
        <v>51435</v>
      </c>
      <c r="R909" s="31">
        <f>_xll.qlInterestRateIndexMaturity(Index,Q909,Trigger)</f>
        <v>51529</v>
      </c>
      <c r="S909" s="32">
        <f>_xll.qlDayCounterYearFraction(DayCounter,Q909,R909,,,Trigger)</f>
        <v>0.26111111111111113</v>
      </c>
      <c r="T909" s="33">
        <f>_xll.qlIndexFixing(Index,P909,,AllTriggers)</f>
        <v>8.7304176099482853E-3</v>
      </c>
      <c r="U909" s="34">
        <f>_xll.qlYieldTSDiscount(OisCurve,Q909,,AllTriggers)</f>
        <v>0.85116873290535999</v>
      </c>
      <c r="V909" s="34">
        <f>_xll.qlYieldTSDiscount(OisCurve,R909,,AllTriggers)</f>
        <v>0.84937321634283869</v>
      </c>
      <c r="W909" s="33">
        <f t="shared" si="62"/>
        <v>8.0959068138077989E-3</v>
      </c>
      <c r="X909" s="35">
        <f t="shared" si="63"/>
        <v>1.6531466105965364E-4</v>
      </c>
      <c r="Y909" s="33">
        <f t="shared" si="64"/>
        <v>6.3451079614048646E-4</v>
      </c>
      <c r="Z909" s="54"/>
    </row>
    <row r="910" spans="15:26" x14ac:dyDescent="0.25">
      <c r="O910" s="37" t="s">
        <v>19</v>
      </c>
      <c r="P910" s="31">
        <f>_xll.qlCalendarAdvance(Calendar,P909,O909,"f",,Trigger)</f>
        <v>51466</v>
      </c>
      <c r="Q910" s="31">
        <f>_xll.qlInterestRateIndexValueDate(Index,P910,Trigger)</f>
        <v>51468</v>
      </c>
      <c r="R910" s="31">
        <f>_xll.qlInterestRateIndexMaturity(Index,Q910,Trigger)</f>
        <v>51560</v>
      </c>
      <c r="S910" s="32">
        <f>_xll.qlDayCounterYearFraction(DayCounter,Q910,R910,,,Trigger)</f>
        <v>0.25555555555555554</v>
      </c>
      <c r="T910" s="33">
        <f>_xll.qlIndexFixing(Index,P910,,AllTriggers)</f>
        <v>8.7389499308828632E-3</v>
      </c>
      <c r="U910" s="34">
        <f>_xll.qlYieldTSDiscount(OisCurve,Q910,,AllTriggers)</f>
        <v>0.85053846199855798</v>
      </c>
      <c r="V910" s="34">
        <f>_xll.qlYieldTSDiscount(OisCurve,R910,,AllTriggers)</f>
        <v>0.8487809395881859</v>
      </c>
      <c r="W910" s="33">
        <f t="shared" si="62"/>
        <v>8.1025165446579426E-3</v>
      </c>
      <c r="X910" s="35">
        <f t="shared" si="63"/>
        <v>1.6229483511685702E-4</v>
      </c>
      <c r="Y910" s="33">
        <f t="shared" si="64"/>
        <v>6.3643338622492059E-4</v>
      </c>
      <c r="Z910" s="54"/>
    </row>
    <row r="911" spans="15:26" x14ac:dyDescent="0.25">
      <c r="O911" s="37" t="s">
        <v>19</v>
      </c>
      <c r="P911" s="31">
        <f>_xll.qlCalendarAdvance(Calendar,P910,O910,"f",,Trigger)</f>
        <v>51497</v>
      </c>
      <c r="Q911" s="31">
        <f>_xll.qlInterestRateIndexValueDate(Index,P911,Trigger)</f>
        <v>51501</v>
      </c>
      <c r="R911" s="31">
        <f>_xll.qlInterestRateIndexMaturity(Index,Q911,Trigger)</f>
        <v>51589</v>
      </c>
      <c r="S911" s="32">
        <f>_xll.qlDayCounterYearFraction(DayCounter,Q911,R911,,,Trigger)</f>
        <v>0.24444444444444444</v>
      </c>
      <c r="T911" s="33">
        <f>_xll.qlIndexFixing(Index,P911,,AllTriggers)</f>
        <v>8.7469139081734638E-3</v>
      </c>
      <c r="U911" s="34">
        <f>_xll.qlYieldTSDiscount(OisCurve,Q911,,AllTriggers)</f>
        <v>0.84990811594502769</v>
      </c>
      <c r="V911" s="34">
        <f>_xll.qlYieldTSDiscount(OisCurve,R911,,AllTriggers)</f>
        <v>0.84822680948029383</v>
      </c>
      <c r="W911" s="33">
        <f t="shared" si="62"/>
        <v>8.1087650429227543E-3</v>
      </c>
      <c r="X911" s="35">
        <f t="shared" si="63"/>
        <v>1.5567124083152979E-4</v>
      </c>
      <c r="Y911" s="33">
        <f t="shared" si="64"/>
        <v>6.3814886525070946E-4</v>
      </c>
      <c r="Z911" s="54"/>
    </row>
    <row r="912" spans="15:26" x14ac:dyDescent="0.25">
      <c r="O912" s="37" t="s">
        <v>19</v>
      </c>
      <c r="P912" s="31">
        <f>_xll.qlCalendarAdvance(Calendar,P911,O911,"f",,Trigger)</f>
        <v>51529</v>
      </c>
      <c r="Q912" s="31">
        <f>_xll.qlInterestRateIndexValueDate(Index,P912,Trigger)</f>
        <v>51531</v>
      </c>
      <c r="R912" s="31">
        <f>_xll.qlInterestRateIndexMaturity(Index,Q912,Trigger)</f>
        <v>51621</v>
      </c>
      <c r="S912" s="32">
        <f>_xll.qlDayCounterYearFraction(DayCounter,Q912,R912,,,Trigger)</f>
        <v>0.25</v>
      </c>
      <c r="T912" s="33">
        <f>_xll.qlIndexFixing(Index,P912,,AllTriggers)</f>
        <v>8.7554289422131504E-3</v>
      </c>
      <c r="U912" s="34">
        <f>_xll.qlYieldTSDiscount(OisCurve,Q912,,AllTriggers)</f>
        <v>0.84933500706470633</v>
      </c>
      <c r="V912" s="34">
        <f>_xll.qlYieldTSDiscount(OisCurve,R912,,AllTriggers)</f>
        <v>0.84761528115575191</v>
      </c>
      <c r="W912" s="33">
        <f t="shared" si="62"/>
        <v>8.1155965315282685E-3</v>
      </c>
      <c r="X912" s="35">
        <f t="shared" si="63"/>
        <v>1.5962148075225697E-4</v>
      </c>
      <c r="Y912" s="33">
        <f t="shared" si="64"/>
        <v>6.3983241068488184E-4</v>
      </c>
      <c r="Z912" s="54"/>
    </row>
    <row r="913" spans="15:26" x14ac:dyDescent="0.25">
      <c r="O913" s="37" t="s">
        <v>19</v>
      </c>
      <c r="P913" s="31">
        <f>_xll.qlCalendarAdvance(Calendar,P912,O912,"f",,Trigger)</f>
        <v>51560</v>
      </c>
      <c r="Q913" s="31">
        <f>_xll.qlInterestRateIndexValueDate(Index,P913,Trigger)</f>
        <v>51564</v>
      </c>
      <c r="R913" s="31">
        <f>_xll.qlInterestRateIndexMaturity(Index,Q913,Trigger)</f>
        <v>51656</v>
      </c>
      <c r="S913" s="32">
        <f>_xll.qlDayCounterYearFraction(DayCounter,Q913,R913,,,Trigger)</f>
        <v>0.25555555555555554</v>
      </c>
      <c r="T913" s="33">
        <f>_xll.qlIndexFixing(Index,P913,,AllTriggers)</f>
        <v>8.7646542849576566E-3</v>
      </c>
      <c r="U913" s="34">
        <f>_xll.qlYieldTSDiscount(OisCurve,Q913,,AllTriggers)</f>
        <v>0.84870451160529148</v>
      </c>
      <c r="V913" s="34">
        <f>_xll.qlYieldTSDiscount(OisCurve,R913,,AllTriggers)</f>
        <v>0.84694633045183076</v>
      </c>
      <c r="W913" s="33">
        <f t="shared" si="62"/>
        <v>8.1231112867331395E-3</v>
      </c>
      <c r="X913" s="35">
        <f t="shared" si="63"/>
        <v>1.6359685511869006E-4</v>
      </c>
      <c r="Y913" s="33">
        <f t="shared" si="64"/>
        <v>6.4154299822451709E-4</v>
      </c>
      <c r="Z913" s="54"/>
    </row>
    <row r="914" spans="15:26" x14ac:dyDescent="0.25">
      <c r="O914" s="37" t="s">
        <v>19</v>
      </c>
      <c r="P914" s="31">
        <f>_xll.qlCalendarAdvance(Calendar,P913,O913,"f",,Trigger)</f>
        <v>51588</v>
      </c>
      <c r="Q914" s="31">
        <f>_xll.qlInterestRateIndexValueDate(Index,P914,Trigger)</f>
        <v>51592</v>
      </c>
      <c r="R914" s="31">
        <f>_xll.qlInterestRateIndexMaturity(Index,Q914,Trigger)</f>
        <v>51683</v>
      </c>
      <c r="S914" s="32">
        <f>_xll.qlDayCounterYearFraction(DayCounter,Q914,R914,,,Trigger)</f>
        <v>0.25277777777777777</v>
      </c>
      <c r="T914" s="33">
        <f>_xll.qlIndexFixing(Index,P914,,AllTriggers)</f>
        <v>8.7717667310004913E-3</v>
      </c>
      <c r="U914" s="34">
        <f>_xll.qlYieldTSDiscount(OisCurve,Q914,,AllTriggers)</f>
        <v>0.84816948204372478</v>
      </c>
      <c r="V914" s="34">
        <f>_xll.qlYieldTSDiscount(OisCurve,R914,,AllTriggers)</f>
        <v>0.84643021584166478</v>
      </c>
      <c r="W914" s="33">
        <f t="shared" si="62"/>
        <v>8.1289791146797064E-3</v>
      </c>
      <c r="X914" s="35">
        <f t="shared" si="63"/>
        <v>1.6213609211958966E-4</v>
      </c>
      <c r="Y914" s="33">
        <f t="shared" si="64"/>
        <v>6.427876163207849E-4</v>
      </c>
      <c r="Z914" s="54"/>
    </row>
    <row r="915" spans="15:26" x14ac:dyDescent="0.25">
      <c r="O915" s="37" t="s">
        <v>19</v>
      </c>
      <c r="P915" s="31">
        <f>_xll.qlCalendarAdvance(Calendar,P914,O914,"f",,Trigger)</f>
        <v>51620</v>
      </c>
      <c r="Q915" s="31">
        <f>_xll.qlInterestRateIndexValueDate(Index,P915,Trigger)</f>
        <v>51623</v>
      </c>
      <c r="R915" s="31">
        <f>_xll.qlInterestRateIndexMaturity(Index,Q915,Trigger)</f>
        <v>51715</v>
      </c>
      <c r="S915" s="32">
        <f>_xll.qlDayCounterYearFraction(DayCounter,Q915,R915,,,Trigger)</f>
        <v>0.25555555555555554</v>
      </c>
      <c r="T915" s="33">
        <f>_xll.qlIndexFixing(Index,P915,,AllTriggers)</f>
        <v>8.7800622790391442E-3</v>
      </c>
      <c r="U915" s="34">
        <f>_xll.qlYieldTSDiscount(OisCurve,Q915,,AllTriggers)</f>
        <v>0.84757705800123107</v>
      </c>
      <c r="V915" s="34">
        <f>_xll.qlYieldTSDiscount(OisCurve,R915,,AllTriggers)</f>
        <v>0.84581844724692046</v>
      </c>
      <c r="W915" s="33">
        <f t="shared" si="62"/>
        <v>8.1359307843817761E-3</v>
      </c>
      <c r="X915" s="35">
        <f t="shared" si="63"/>
        <v>1.6425634422064455E-4</v>
      </c>
      <c r="Y915" s="33">
        <f t="shared" si="64"/>
        <v>6.4413149465736806E-4</v>
      </c>
      <c r="Z915" s="54"/>
    </row>
    <row r="916" spans="15:26" x14ac:dyDescent="0.25">
      <c r="O916" s="37" t="s">
        <v>19</v>
      </c>
      <c r="P916" s="31">
        <f>_xll.qlCalendarAdvance(Calendar,P915,O915,"f",,Trigger)</f>
        <v>51650</v>
      </c>
      <c r="Q916" s="31">
        <f>_xll.qlInterestRateIndexValueDate(Index,P916,Trigger)</f>
        <v>51652</v>
      </c>
      <c r="R916" s="31">
        <f>_xll.qlInterestRateIndexMaturity(Index,Q916,Trigger)</f>
        <v>51743</v>
      </c>
      <c r="S916" s="32">
        <f>_xll.qlDayCounterYearFraction(DayCounter,Q916,R916,,,Trigger)</f>
        <v>0.25277777777777777</v>
      </c>
      <c r="T916" s="33">
        <f>_xll.qlIndexFixing(Index,P916,,AllTriggers)</f>
        <v>8.7872923997124684E-3</v>
      </c>
      <c r="U916" s="34">
        <f>_xll.qlYieldTSDiscount(OisCurve,Q916,,AllTriggers)</f>
        <v>0.84702278688076549</v>
      </c>
      <c r="V916" s="34">
        <f>_xll.qlYieldTSDiscount(OisCurve,R916,,AllTriggers)</f>
        <v>0.84528307961169002</v>
      </c>
      <c r="W916" s="33">
        <f t="shared" si="62"/>
        <v>8.1420752326824952E-3</v>
      </c>
      <c r="X916" s="35">
        <f t="shared" si="63"/>
        <v>1.6274833202955903E-4</v>
      </c>
      <c r="Y916" s="33">
        <f t="shared" si="64"/>
        <v>6.452171670299732E-4</v>
      </c>
      <c r="Z916" s="54"/>
    </row>
    <row r="917" spans="15:26" x14ac:dyDescent="0.25">
      <c r="O917" s="37" t="s">
        <v>19</v>
      </c>
      <c r="P917" s="31">
        <f>_xll.qlCalendarAdvance(Calendar,P916,O916,"f",,Trigger)</f>
        <v>51683</v>
      </c>
      <c r="Q917" s="31">
        <f>_xll.qlInterestRateIndexValueDate(Index,P917,Trigger)</f>
        <v>51685</v>
      </c>
      <c r="R917" s="31">
        <f>_xll.qlInterestRateIndexMaturity(Index,Q917,Trigger)</f>
        <v>51777</v>
      </c>
      <c r="S917" s="32">
        <f>_xll.qlDayCounterYearFraction(DayCounter,Q917,R917,,,Trigger)</f>
        <v>0.25555555555555554</v>
      </c>
      <c r="T917" s="33">
        <f>_xll.qlIndexFixing(Index,P917,,AllTriggers)</f>
        <v>8.7959342254980179E-3</v>
      </c>
      <c r="U917" s="34">
        <f>_xll.qlYieldTSDiscount(OisCurve,Q917,,AllTriggers)</f>
        <v>0.84639198277492089</v>
      </c>
      <c r="V917" s="34">
        <f>_xll.qlYieldTSDiscount(OisCurve,R917,,AllTriggers)</f>
        <v>0.84463290045094785</v>
      </c>
      <c r="W917" s="33">
        <f t="shared" si="62"/>
        <v>8.1495352736933903E-3</v>
      </c>
      <c r="X917" s="35">
        <f t="shared" si="63"/>
        <v>1.6483393620152925E-4</v>
      </c>
      <c r="Y917" s="33">
        <f t="shared" si="64"/>
        <v>6.4639895180462759E-4</v>
      </c>
      <c r="Z917" s="54"/>
    </row>
    <row r="918" spans="15:26" x14ac:dyDescent="0.25">
      <c r="O918" s="37" t="s">
        <v>19</v>
      </c>
      <c r="P918" s="31">
        <f>_xll.qlCalendarAdvance(Calendar,P917,O917,"f",,Trigger)</f>
        <v>51714</v>
      </c>
      <c r="Q918" s="31">
        <f>_xll.qlInterestRateIndexValueDate(Index,P918,Trigger)</f>
        <v>51718</v>
      </c>
      <c r="R918" s="31">
        <f>_xll.qlInterestRateIndexMaturity(Index,Q918,Trigger)</f>
        <v>51810</v>
      </c>
      <c r="S918" s="32">
        <f>_xll.qlDayCounterYearFraction(DayCounter,Q918,R918,,,Trigger)</f>
        <v>0.25555555555555554</v>
      </c>
      <c r="T918" s="33">
        <f>_xll.qlIndexFixing(Index,P918,,AllTriggers)</f>
        <v>8.804248678191311E-3</v>
      </c>
      <c r="U918" s="34">
        <f>_xll.qlYieldTSDiscount(OisCurve,Q918,,AllTriggers)</f>
        <v>0.84576108958436091</v>
      </c>
      <c r="V918" s="34">
        <f>_xll.qlYieldTSDiscount(OisCurve,R918,,AllTriggers)</f>
        <v>0.84400174790634808</v>
      </c>
      <c r="W918" s="33">
        <f t="shared" si="62"/>
        <v>8.1568320163530449E-3</v>
      </c>
      <c r="X918" s="35">
        <f t="shared" si="63"/>
        <v>1.6509312712014262E-4</v>
      </c>
      <c r="Y918" s="33">
        <f t="shared" si="64"/>
        <v>6.474166618382661E-4</v>
      </c>
      <c r="Z918" s="54"/>
    </row>
    <row r="919" spans="15:26" x14ac:dyDescent="0.25">
      <c r="O919" s="37" t="s">
        <v>19</v>
      </c>
      <c r="P919" s="31">
        <f>_xll.qlCalendarAdvance(Calendar,P918,O918,"f",,Trigger)</f>
        <v>51746</v>
      </c>
      <c r="Q919" s="31">
        <f>_xll.qlInterestRateIndexValueDate(Index,P919,Trigger)</f>
        <v>51748</v>
      </c>
      <c r="R919" s="31">
        <f>_xll.qlInterestRateIndexMaturity(Index,Q919,Trigger)</f>
        <v>51839</v>
      </c>
      <c r="S919" s="32">
        <f>_xll.qlDayCounterYearFraction(DayCounter,Q919,R919,,,Trigger)</f>
        <v>0.25277777777777777</v>
      </c>
      <c r="T919" s="33">
        <f>_xll.qlIndexFixing(Index,P919,,AllTriggers)</f>
        <v>8.8114956615195188E-3</v>
      </c>
      <c r="U919" s="34">
        <f>_xll.qlYieldTSDiscount(OisCurve,Q919,,AllTriggers)</f>
        <v>0.84518747125840021</v>
      </c>
      <c r="V919" s="34">
        <f>_xll.qlYieldTSDiscount(OisCurve,R919,,AllTriggers)</f>
        <v>0.84344701873572914</v>
      </c>
      <c r="W919" s="33">
        <f t="shared" si="62"/>
        <v>8.1632948248660901E-3</v>
      </c>
      <c r="X919" s="35">
        <f t="shared" si="63"/>
        <v>1.6349999045576447E-4</v>
      </c>
      <c r="Y919" s="33">
        <f t="shared" si="64"/>
        <v>6.4820083665342865E-4</v>
      </c>
      <c r="Z919" s="54"/>
    </row>
    <row r="920" spans="15:26" x14ac:dyDescent="0.25">
      <c r="O920" s="37" t="s">
        <v>19</v>
      </c>
      <c r="P920" s="31">
        <f>_xll.qlCalendarAdvance(Calendar,P919,O919,"f",,Trigger)</f>
        <v>51776</v>
      </c>
      <c r="Q920" s="31">
        <f>_xll.qlInterestRateIndexValueDate(Index,P920,Trigger)</f>
        <v>51778</v>
      </c>
      <c r="R920" s="31">
        <f>_xll.qlInterestRateIndexMaturity(Index,Q920,Trigger)</f>
        <v>51872</v>
      </c>
      <c r="S920" s="32">
        <f>_xll.qlDayCounterYearFraction(DayCounter,Q920,R920,,,Trigger)</f>
        <v>0.26111111111111113</v>
      </c>
      <c r="T920" s="33">
        <f>_xll.qlIndexFixing(Index,P920,,AllTriggers)</f>
        <v>8.8195881861316723E-3</v>
      </c>
      <c r="U920" s="34">
        <f>_xll.qlYieldTSDiscount(OisCurve,Q920,,AllTriggers)</f>
        <v>0.84461377602077048</v>
      </c>
      <c r="V920" s="34">
        <f>_xll.qlYieldTSDiscount(OisCurve,R920,,AllTriggers)</f>
        <v>0.84281568234876203</v>
      </c>
      <c r="W920" s="33">
        <f t="shared" si="62"/>
        <v>8.1706075656779713E-3</v>
      </c>
      <c r="X920" s="35">
        <f t="shared" si="63"/>
        <v>1.6908100183337283E-4</v>
      </c>
      <c r="Y920" s="33">
        <f t="shared" si="64"/>
        <v>6.4898062045370096E-4</v>
      </c>
      <c r="Z920" s="54"/>
    </row>
    <row r="921" spans="15:26" x14ac:dyDescent="0.25">
      <c r="O921" s="37" t="s">
        <v>19</v>
      </c>
      <c r="P921" s="31">
        <f>_xll.qlCalendarAdvance(Calendar,P920,O920,"f",,Trigger)</f>
        <v>51809</v>
      </c>
      <c r="Q921" s="31">
        <f>_xll.qlInterestRateIndexValueDate(Index,P921,Trigger)</f>
        <v>51811</v>
      </c>
      <c r="R921" s="31">
        <f>_xll.qlInterestRateIndexMaturity(Index,Q921,Trigger)</f>
        <v>51903</v>
      </c>
      <c r="S921" s="32">
        <f>_xll.qlDayCounterYearFraction(DayCounter,Q921,R921,,,Trigger)</f>
        <v>0.25555555555555554</v>
      </c>
      <c r="T921" s="33">
        <f>_xll.qlIndexFixing(Index,P921,,AllTriggers)</f>
        <v>8.8271812451123921E-3</v>
      </c>
      <c r="U921" s="34">
        <f>_xll.qlYieldTSDiscount(OisCurve,Q921,,AllTriggers)</f>
        <v>0.8439826205686336</v>
      </c>
      <c r="V921" s="34">
        <f>_xll.qlYieldTSDiscount(OisCurve,R921,,AllTriggers)</f>
        <v>0.8422225169860057</v>
      </c>
      <c r="W921" s="33">
        <f t="shared" si="62"/>
        <v>8.1776035503215421E-3</v>
      </c>
      <c r="X921" s="35">
        <f t="shared" si="63"/>
        <v>1.6564327377530924E-4</v>
      </c>
      <c r="Y921" s="33">
        <f t="shared" si="64"/>
        <v>6.4957769479084999E-4</v>
      </c>
      <c r="Z921" s="54"/>
    </row>
    <row r="922" spans="15:26" x14ac:dyDescent="0.25">
      <c r="O922" s="37" t="s">
        <v>19</v>
      </c>
      <c r="P922" s="31">
        <f>_xll.qlCalendarAdvance(Calendar,P921,O921,"f",,Trigger)</f>
        <v>51839</v>
      </c>
      <c r="Q922" s="31">
        <f>_xll.qlInterestRateIndexValueDate(Index,P922,Trigger)</f>
        <v>51841</v>
      </c>
      <c r="R922" s="31">
        <f>_xll.qlInterestRateIndexMaturity(Index,Q922,Trigger)</f>
        <v>51931</v>
      </c>
      <c r="S922" s="32">
        <f>_xll.qlDayCounterYearFraction(DayCounter,Q922,R922,,,Trigger)</f>
        <v>0.25</v>
      </c>
      <c r="T922" s="33">
        <f>_xll.qlIndexFixing(Index,P922,,AllTriggers)</f>
        <v>8.8339662479777203E-3</v>
      </c>
      <c r="U922" s="34">
        <f>_xll.qlYieldTSDiscount(OisCurve,Q922,,AllTriggers)</f>
        <v>0.84340875875626586</v>
      </c>
      <c r="V922" s="34">
        <f>_xll.qlYieldTSDiscount(OisCurve,R922,,AllTriggers)</f>
        <v>0.84168667685701737</v>
      </c>
      <c r="W922" s="33">
        <f t="shared" si="62"/>
        <v>8.1839570310364707E-3</v>
      </c>
      <c r="X922" s="35">
        <f t="shared" si="63"/>
        <v>1.6215735690890967E-4</v>
      </c>
      <c r="Y922" s="33">
        <f t="shared" si="64"/>
        <v>6.5000921694124969E-4</v>
      </c>
      <c r="Z922" s="54"/>
    </row>
    <row r="923" spans="15:26" x14ac:dyDescent="0.25">
      <c r="O923" s="37" t="s">
        <v>19</v>
      </c>
      <c r="P923" s="31">
        <f>_xll.qlCalendarAdvance(Calendar,P922,O922,"f",,Trigger)</f>
        <v>51872</v>
      </c>
      <c r="Q923" s="31">
        <f>_xll.qlInterestRateIndexValueDate(Index,P923,Trigger)</f>
        <v>51874</v>
      </c>
      <c r="R923" s="31">
        <f>_xll.qlInterestRateIndexMaturity(Index,Q923,Trigger)</f>
        <v>51964</v>
      </c>
      <c r="S923" s="32">
        <f>_xll.qlDayCounterYearFraction(DayCounter,Q923,R923,,,Trigger)</f>
        <v>0.25</v>
      </c>
      <c r="T923" s="33">
        <f>_xll.qlIndexFixing(Index,P923,,AllTriggers)</f>
        <v>8.8418446127063177E-3</v>
      </c>
      <c r="U923" s="34">
        <f>_xll.qlYieldTSDiscount(OisCurve,Q923,,AllTriggers)</f>
        <v>0.84277741631821868</v>
      </c>
      <c r="V923" s="34">
        <f>_xll.qlYieldTSDiscount(OisCurve,R923,,AllTriggers)</f>
        <v>0.84105505436366945</v>
      </c>
      <c r="W923" s="33">
        <f t="shared" si="62"/>
        <v>8.1914350106480072E-3</v>
      </c>
      <c r="X923" s="35">
        <f t="shared" si="63"/>
        <v>1.6225692991395622E-4</v>
      </c>
      <c r="Y923" s="33">
        <f t="shared" si="64"/>
        <v>6.5040960205831055E-4</v>
      </c>
      <c r="Z923" s="54"/>
    </row>
    <row r="924" spans="15:26" x14ac:dyDescent="0.25">
      <c r="O924" s="37" t="s">
        <v>19</v>
      </c>
      <c r="P924" s="31">
        <f>_xll.qlCalendarAdvance(Calendar,P923,O923,"f",,Trigger)</f>
        <v>51903</v>
      </c>
      <c r="Q924" s="31">
        <f>_xll.qlInterestRateIndexValueDate(Index,P924,Trigger)</f>
        <v>51907</v>
      </c>
      <c r="R924" s="31">
        <f>_xll.qlInterestRateIndexMaturity(Index,Q924,Trigger)</f>
        <v>51998</v>
      </c>
      <c r="S924" s="32">
        <f>_xll.qlDayCounterYearFraction(DayCounter,Q924,R924,,,Trigger)</f>
        <v>0.25277777777777777</v>
      </c>
      <c r="T924" s="33">
        <f>_xll.qlIndexFixing(Index,P924,,AllTriggers)</f>
        <v>8.8498555213891699E-3</v>
      </c>
      <c r="U924" s="34">
        <f>_xll.qlYieldTSDiscount(OisCurve,Q924,,AllTriggers)</f>
        <v>0.84214597295277138</v>
      </c>
      <c r="V924" s="34">
        <f>_xll.qlYieldTSDiscount(OisCurve,R924,,AllTriggers)</f>
        <v>0.84040418041546872</v>
      </c>
      <c r="W924" s="33">
        <f t="shared" si="62"/>
        <v>8.1991594050280468E-3</v>
      </c>
      <c r="X924" s="35">
        <f t="shared" si="63"/>
        <v>1.6412785497626169E-4</v>
      </c>
      <c r="Y924" s="33">
        <f t="shared" si="64"/>
        <v>6.5069611636112308E-4</v>
      </c>
      <c r="Z924" s="54"/>
    </row>
    <row r="925" spans="15:26" x14ac:dyDescent="0.25">
      <c r="O925" s="37" t="s">
        <v>19</v>
      </c>
      <c r="P925" s="31">
        <f>_xll.qlCalendarAdvance(Calendar,P924,O924,"f",,Trigger)</f>
        <v>51931</v>
      </c>
      <c r="Q925" s="31">
        <f>_xll.qlInterestRateIndexValueDate(Index,P925,Trigger)</f>
        <v>51935</v>
      </c>
      <c r="R925" s="31">
        <f>_xll.qlInterestRateIndexMaturity(Index,Q925,Trigger)</f>
        <v>52027</v>
      </c>
      <c r="S925" s="32">
        <f>_xll.qlDayCounterYearFraction(DayCounter,Q925,R925,,,Trigger)</f>
        <v>0.25555555555555554</v>
      </c>
      <c r="T925" s="33">
        <f>_xll.qlIndexFixing(Index,P925,,AllTriggers)</f>
        <v>8.8566119648258532E-3</v>
      </c>
      <c r="U925" s="34">
        <f>_xll.qlYieldTSDiscount(OisCurve,Q925,,AllTriggers)</f>
        <v>0.84161012215788955</v>
      </c>
      <c r="V925" s="34">
        <f>_xll.qlYieldTSDiscount(OisCurve,R925,,AllTriggers)</f>
        <v>0.83984893225571444</v>
      </c>
      <c r="W925" s="33">
        <f t="shared" si="62"/>
        <v>8.2057765343289835E-3</v>
      </c>
      <c r="X925" s="35">
        <f t="shared" si="63"/>
        <v>1.6596277932756596E-4</v>
      </c>
      <c r="Y925" s="33">
        <f t="shared" si="64"/>
        <v>6.508354304968697E-4</v>
      </c>
      <c r="Z925" s="54"/>
    </row>
    <row r="926" spans="15:26" x14ac:dyDescent="0.25">
      <c r="O926" s="37" t="s">
        <v>19</v>
      </c>
      <c r="P926" s="31">
        <f>_xll.qlCalendarAdvance(Calendar,P925,O925,"f",,Trigger)</f>
        <v>51964</v>
      </c>
      <c r="Q926" s="31">
        <f>_xll.qlInterestRateIndexValueDate(Index,P926,Trigger)</f>
        <v>51966</v>
      </c>
      <c r="R926" s="31">
        <f>_xll.qlInterestRateIndexMaturity(Index,Q926,Trigger)</f>
        <v>52057</v>
      </c>
      <c r="S926" s="32">
        <f>_xll.qlDayCounterYearFraction(DayCounter,Q926,R926,,,Trigger)</f>
        <v>0.25277777777777777</v>
      </c>
      <c r="T926" s="33">
        <f>_xll.qlIndexFixing(Index,P926,,AllTriggers)</f>
        <v>8.8635418861884533E-3</v>
      </c>
      <c r="U926" s="34">
        <f>_xll.qlYieldTSDiscount(OisCurve,Q926,,AllTriggers)</f>
        <v>0.84101677081100479</v>
      </c>
      <c r="V926" s="34">
        <f>_xll.qlYieldTSDiscount(OisCurve,R926,,AllTriggers)</f>
        <v>0.83927444794384276</v>
      </c>
      <c r="W926" s="33">
        <f t="shared" si="62"/>
        <v>8.2126959363533498E-3</v>
      </c>
      <c r="X926" s="35">
        <f t="shared" si="63"/>
        <v>1.6416508448858464E-4</v>
      </c>
      <c r="Y926" s="33">
        <f t="shared" si="64"/>
        <v>6.5084594983510352E-4</v>
      </c>
      <c r="Z926" s="54"/>
    </row>
    <row r="927" spans="15:26" x14ac:dyDescent="0.25">
      <c r="O927" s="37" t="s">
        <v>19</v>
      </c>
      <c r="P927" s="31">
        <f>_xll.qlCalendarAdvance(Calendar,P926,O926,"f",,Trigger)</f>
        <v>51994</v>
      </c>
      <c r="Q927" s="31">
        <f>_xll.qlInterestRateIndexValueDate(Index,P927,Trigger)</f>
        <v>51998</v>
      </c>
      <c r="R927" s="31">
        <f>_xll.qlInterestRateIndexMaturity(Index,Q927,Trigger)</f>
        <v>52090</v>
      </c>
      <c r="S927" s="32">
        <f>_xll.qlDayCounterYearFraction(DayCounter,Q927,R927,,,Trigger)</f>
        <v>0.25555555555555554</v>
      </c>
      <c r="T927" s="33">
        <f>_xll.qlIndexFixing(Index,P927,,AllTriggers)</f>
        <v>8.8710628971687844E-3</v>
      </c>
      <c r="U927" s="34">
        <f>_xll.qlYieldTSDiscount(OisCurve,Q927,,AllTriggers)</f>
        <v>0.84040418041546872</v>
      </c>
      <c r="V927" s="34">
        <f>_xll.qlYieldTSDiscount(OisCurve,R927,,AllTriggers)</f>
        <v>0.83864240810927604</v>
      </c>
      <c r="W927" s="33">
        <f t="shared" si="62"/>
        <v>8.2202993388688049E-3</v>
      </c>
      <c r="X927" s="35">
        <f t="shared" si="63"/>
        <v>1.6594383892476214E-4</v>
      </c>
      <c r="Y927" s="33">
        <f t="shared" si="64"/>
        <v>6.5076355829997955E-4</v>
      </c>
      <c r="Z927" s="54"/>
    </row>
    <row r="928" spans="15:26" x14ac:dyDescent="0.25">
      <c r="O928" s="37" t="s">
        <v>19</v>
      </c>
      <c r="P928" s="31">
        <f>_xll.qlCalendarAdvance(Calendar,P927,O927,"f",,Trigger)</f>
        <v>52026</v>
      </c>
      <c r="Q928" s="31">
        <f>_xll.qlInterestRateIndexValueDate(Index,P928,Trigger)</f>
        <v>52028</v>
      </c>
      <c r="R928" s="31">
        <f>_xll.qlInterestRateIndexMaturity(Index,Q928,Trigger)</f>
        <v>52120</v>
      </c>
      <c r="S928" s="32">
        <f>_xll.qlDayCounterYearFraction(DayCounter,Q928,R928,,,Trigger)</f>
        <v>0.25555555555555554</v>
      </c>
      <c r="T928" s="33">
        <f>_xll.qlIndexFixing(Index,P928,,AllTriggers)</f>
        <v>8.8778254613469908E-3</v>
      </c>
      <c r="U928" s="34">
        <f>_xll.qlYieldTSDiscount(OisCurve,Q928,,AllTriggers)</f>
        <v>0.83982978425580812</v>
      </c>
      <c r="V928" s="34">
        <f>_xll.qlYieldTSDiscount(OisCurve,R928,,AllTriggers)</f>
        <v>0.8380677274612357</v>
      </c>
      <c r="W928" s="33">
        <f t="shared" si="62"/>
        <v>8.2272644828051966E-3</v>
      </c>
      <c r="X928" s="35">
        <f t="shared" si="63"/>
        <v>1.658918910003878E-4</v>
      </c>
      <c r="Y928" s="33">
        <f t="shared" si="64"/>
        <v>6.5056097854179415E-4</v>
      </c>
      <c r="Z928" s="54"/>
    </row>
    <row r="929" spans="15:26" x14ac:dyDescent="0.25">
      <c r="O929" s="37" t="s">
        <v>19</v>
      </c>
      <c r="P929" s="31">
        <f>_xll.qlCalendarAdvance(Calendar,P928,O928,"f",,Trigger)</f>
        <v>52056</v>
      </c>
      <c r="Q929" s="31">
        <f>_xll.qlInterestRateIndexValueDate(Index,P929,Trigger)</f>
        <v>52058</v>
      </c>
      <c r="R929" s="31">
        <f>_xll.qlInterestRateIndexMaturity(Index,Q929,Trigger)</f>
        <v>52152</v>
      </c>
      <c r="S929" s="32">
        <f>_xll.qlDayCounterYearFraction(DayCounter,Q929,R929,,,Trigger)</f>
        <v>0.26111111111111113</v>
      </c>
      <c r="T929" s="33">
        <f>_xll.qlIndexFixing(Index,P929,,AllTriggers)</f>
        <v>8.8849506926971609E-3</v>
      </c>
      <c r="U929" s="34">
        <f>_xll.qlYieldTSDiscount(OisCurve,Q929,,AllTriggers)</f>
        <v>0.83925529687912293</v>
      </c>
      <c r="V929" s="34">
        <f>_xll.qlYieldTSDiscount(OisCurve,R929,,AllTriggers)</f>
        <v>0.83745462913210977</v>
      </c>
      <c r="W929" s="33">
        <f t="shared" si="62"/>
        <v>8.2346841373487235E-3</v>
      </c>
      <c r="X929" s="35">
        <f t="shared" si="63"/>
        <v>1.6941317400068521E-4</v>
      </c>
      <c r="Y929" s="33">
        <f t="shared" si="64"/>
        <v>6.5026655534843741E-4</v>
      </c>
      <c r="Z929" s="54"/>
    </row>
    <row r="930" spans="15:26" x14ac:dyDescent="0.25">
      <c r="O930" s="37" t="s">
        <v>19</v>
      </c>
      <c r="P930" s="31">
        <f>_xll.qlCalendarAdvance(Calendar,P929,O929,"f",,Trigger)</f>
        <v>52089</v>
      </c>
      <c r="Q930" s="31">
        <f>_xll.qlInterestRateIndexValueDate(Index,P930,Trigger)</f>
        <v>52091</v>
      </c>
      <c r="R930" s="31">
        <f>_xll.qlInterestRateIndexMaturity(Index,Q930,Trigger)</f>
        <v>52183</v>
      </c>
      <c r="S930" s="32">
        <f>_xll.qlDayCounterYearFraction(DayCounter,Q930,R930,,,Trigger)</f>
        <v>0.25555555555555554</v>
      </c>
      <c r="T930" s="33">
        <f>_xll.qlIndexFixing(Index,P930,,AllTriggers)</f>
        <v>8.8917772963099766E-3</v>
      </c>
      <c r="U930" s="34">
        <f>_xll.qlYieldTSDiscount(OisCurve,Q930,,AllTriggers)</f>
        <v>0.83862325361551238</v>
      </c>
      <c r="V930" s="34">
        <f>_xll.qlYieldTSDiscount(OisCurve,R930,,AllTriggers)</f>
        <v>0.83686058447352274</v>
      </c>
      <c r="W930" s="33">
        <f t="shared" si="62"/>
        <v>8.2419952837590234E-3</v>
      </c>
      <c r="X930" s="35">
        <f t="shared" si="63"/>
        <v>1.6569265011924519E-4</v>
      </c>
      <c r="Y930" s="33">
        <f t="shared" si="64"/>
        <v>6.4978201255095312E-4</v>
      </c>
      <c r="Z930" s="54"/>
    </row>
    <row r="931" spans="15:26" x14ac:dyDescent="0.25">
      <c r="O931" s="37" t="s">
        <v>19</v>
      </c>
      <c r="P931" s="31">
        <f>_xll.qlCalendarAdvance(Calendar,P930,O930,"f",,Trigger)</f>
        <v>52120</v>
      </c>
      <c r="Q931" s="31">
        <f>_xll.qlInterestRateIndexValueDate(Index,P931,Trigger)</f>
        <v>52124</v>
      </c>
      <c r="R931" s="31">
        <f>_xll.qlInterestRateIndexMaturity(Index,Q931,Trigger)</f>
        <v>52215</v>
      </c>
      <c r="S931" s="32">
        <f>_xll.qlDayCounterYearFraction(DayCounter,Q931,R931,,,Trigger)</f>
        <v>0.25277777777777777</v>
      </c>
      <c r="T931" s="33">
        <f>_xll.qlIndexFixing(Index,P931,,AllTriggers)</f>
        <v>8.8987332224238682E-3</v>
      </c>
      <c r="U931" s="34">
        <f>_xll.qlYieldTSDiscount(OisCurve,Q931,,AllTriggers)</f>
        <v>0.83799109616849765</v>
      </c>
      <c r="V931" s="34">
        <f>_xll.qlYieldTSDiscount(OisCurve,R931,,AllTriggers)</f>
        <v>0.8362472662751107</v>
      </c>
      <c r="W931" s="33">
        <f t="shared" si="62"/>
        <v>8.2495548724851771E-3</v>
      </c>
      <c r="X931" s="35">
        <f t="shared" si="63"/>
        <v>1.6374297221061099E-4</v>
      </c>
      <c r="Y931" s="33">
        <f t="shared" si="64"/>
        <v>6.4917834993869113E-4</v>
      </c>
      <c r="Z931" s="54"/>
    </row>
    <row r="932" spans="15:26" x14ac:dyDescent="0.25">
      <c r="O932" s="37" t="s">
        <v>19</v>
      </c>
      <c r="P932" s="31">
        <f>_xll.qlCalendarAdvance(Calendar,P931,O931,"f",,Trigger)</f>
        <v>52152</v>
      </c>
      <c r="Q932" s="31">
        <f>_xll.qlInterestRateIndexValueDate(Index,P932,Trigger)</f>
        <v>52154</v>
      </c>
      <c r="R932" s="31">
        <f>_xll.qlInterestRateIndexMaturity(Index,Q932,Trigger)</f>
        <v>52246</v>
      </c>
      <c r="S932" s="32">
        <f>_xll.qlDayCounterYearFraction(DayCounter,Q932,R932,,,Trigger)</f>
        <v>0.25555555555555554</v>
      </c>
      <c r="T932" s="33">
        <f>_xll.qlIndexFixing(Index,P932,,AllTriggers)</f>
        <v>8.9053910285619153E-3</v>
      </c>
      <c r="U932" s="34">
        <f>_xll.qlYieldTSDiscount(OisCurve,Q932,,AllTriggers)</f>
        <v>0.8374163068259548</v>
      </c>
      <c r="V932" s="34">
        <f>_xll.qlYieldTSDiscount(OisCurve,R932,,AllTriggers)</f>
        <v>0.83565300525509201</v>
      </c>
      <c r="W932" s="33">
        <f t="shared" si="62"/>
        <v>8.2568669874710076E-3</v>
      </c>
      <c r="X932" s="35">
        <f t="shared" si="63"/>
        <v>1.6537127020439552E-4</v>
      </c>
      <c r="Y932" s="33">
        <f t="shared" si="64"/>
        <v>6.4852404109090774E-4</v>
      </c>
      <c r="Z932" s="54"/>
    </row>
    <row r="933" spans="15:26" x14ac:dyDescent="0.25">
      <c r="O933" s="37" t="s">
        <v>19</v>
      </c>
      <c r="P933" s="31">
        <f>_xll.qlCalendarAdvance(Calendar,P932,O932,"f",,Trigger)</f>
        <v>52183</v>
      </c>
      <c r="Q933" s="31">
        <f>_xll.qlInterestRateIndexValueDate(Index,P933,Trigger)</f>
        <v>52187</v>
      </c>
      <c r="R933" s="31">
        <f>_xll.qlInterestRateIndexMaturity(Index,Q933,Trigger)</f>
        <v>52279</v>
      </c>
      <c r="S933" s="32">
        <f>_xll.qlDayCounterYearFraction(DayCounter,Q933,R933,,,Trigger)</f>
        <v>0.25555555555555554</v>
      </c>
      <c r="T933" s="33">
        <f>_xll.qlIndexFixing(Index,P933,,AllTriggers)</f>
        <v>8.9123870955693692E-3</v>
      </c>
      <c r="U933" s="34">
        <f>_xll.qlYieldTSDiscount(OisCurve,Q933,,AllTriggers)</f>
        <v>0.83678392589048189</v>
      </c>
      <c r="V933" s="34">
        <f>_xll.qlYieldTSDiscount(OisCurve,R933,,AllTriggers)</f>
        <v>0.83502028508799642</v>
      </c>
      <c r="W933" s="33">
        <f t="shared" si="62"/>
        <v>8.2647131613494441E-3</v>
      </c>
      <c r="X933" s="35">
        <f t="shared" si="63"/>
        <v>1.6515418351421943E-4</v>
      </c>
      <c r="Y933" s="33">
        <f t="shared" si="64"/>
        <v>6.4767393421992503E-4</v>
      </c>
      <c r="Z933" s="54"/>
    </row>
    <row r="934" spans="15:26" x14ac:dyDescent="0.25">
      <c r="O934" s="37" t="s">
        <v>19</v>
      </c>
      <c r="P934" s="31">
        <f>_xll.qlCalendarAdvance(Calendar,P933,O933,"f",,Trigger)</f>
        <v>52215</v>
      </c>
      <c r="Q934" s="31">
        <f>_xll.qlInterestRateIndexValueDate(Index,P934,Trigger)</f>
        <v>52217</v>
      </c>
      <c r="R934" s="31">
        <f>_xll.qlInterestRateIndexMaturity(Index,Q934,Trigger)</f>
        <v>52307</v>
      </c>
      <c r="S934" s="32">
        <f>_xll.qlDayCounterYearFraction(DayCounter,Q934,R934,,,Trigger)</f>
        <v>0.25</v>
      </c>
      <c r="T934" s="33">
        <f>_xll.qlIndexFixing(Index,P934,,AllTriggers)</f>
        <v>8.9182390931892286E-3</v>
      </c>
      <c r="U934" s="34">
        <f>_xll.qlYieldTSDiscount(OisCurve,Q934,,AllTriggers)</f>
        <v>0.83620893010988206</v>
      </c>
      <c r="V934" s="34">
        <f>_xll.qlYieldTSDiscount(OisCurve,R934,,AllTriggers)</f>
        <v>0.83448333337165226</v>
      </c>
      <c r="W934" s="33">
        <f t="shared" si="62"/>
        <v>8.2714497424785094E-3</v>
      </c>
      <c r="X934" s="35">
        <f t="shared" si="63"/>
        <v>1.6135064211201186E-4</v>
      </c>
      <c r="Y934" s="33">
        <f t="shared" si="64"/>
        <v>6.4678935071071919E-4</v>
      </c>
      <c r="Z934" s="54"/>
    </row>
    <row r="935" spans="15:26" x14ac:dyDescent="0.25">
      <c r="O935" s="37" t="s">
        <v>19</v>
      </c>
      <c r="P935" s="31">
        <f>_xll.qlCalendarAdvance(Calendar,P934,O934,"f",,Trigger)</f>
        <v>52246</v>
      </c>
      <c r="Q935" s="31">
        <f>_xll.qlInterestRateIndexValueDate(Index,P935,Trigger)</f>
        <v>52250</v>
      </c>
      <c r="R935" s="31">
        <f>_xll.qlInterestRateIndexMaturity(Index,Q935,Trigger)</f>
        <v>52341</v>
      </c>
      <c r="S935" s="32">
        <f>_xll.qlDayCounterYearFraction(DayCounter,Q935,R935,,,Trigger)</f>
        <v>0.25277777777777777</v>
      </c>
      <c r="T935" s="33">
        <f>_xll.qlIndexFixing(Index,P935,,AllTriggers)</f>
        <v>8.9252730837443544E-3</v>
      </c>
      <c r="U935" s="34">
        <f>_xll.qlYieldTSDiscount(OisCurve,Q935,,AllTriggers)</f>
        <v>0.83557631851406899</v>
      </c>
      <c r="V935" s="34">
        <f>_xll.qlYieldTSDiscount(OisCurve,R935,,AllTriggers)</f>
        <v>0.83383119752628188</v>
      </c>
      <c r="W935" s="33">
        <f t="shared" si="62"/>
        <v>8.2795838735493857E-3</v>
      </c>
      <c r="X935" s="35">
        <f t="shared" si="63"/>
        <v>1.6286174074508288E-4</v>
      </c>
      <c r="Y935" s="33">
        <f t="shared" si="64"/>
        <v>6.4568921019496871E-4</v>
      </c>
      <c r="Z935" s="54"/>
    </row>
    <row r="936" spans="15:26" x14ac:dyDescent="0.25">
      <c r="O936" s="37" t="s">
        <v>19</v>
      </c>
      <c r="P936" s="31">
        <f>_xll.qlCalendarAdvance(Calendar,P935,O935,"f",,Trigger)</f>
        <v>52278</v>
      </c>
      <c r="Q936" s="31">
        <f>_xll.qlInterestRateIndexValueDate(Index,P936,Trigger)</f>
        <v>52280</v>
      </c>
      <c r="R936" s="31">
        <f>_xll.qlInterestRateIndexMaturity(Index,Q936,Trigger)</f>
        <v>52369</v>
      </c>
      <c r="S936" s="32">
        <f>_xll.qlDayCounterYearFraction(DayCounter,Q936,R936,,,Trigger)</f>
        <v>0.24722222222222223</v>
      </c>
      <c r="T936" s="33">
        <f>_xll.qlIndexFixing(Index,P936,,AllTriggers)</f>
        <v>8.9309698852616179E-3</v>
      </c>
      <c r="U936" s="34">
        <f>_xll.qlYieldTSDiscount(OisCurve,Q936,,AllTriggers)</f>
        <v>0.83500110980223841</v>
      </c>
      <c r="V936" s="34">
        <f>_xll.qlYieldTSDiscount(OisCurve,R936,,AllTriggers)</f>
        <v>0.8332940417469874</v>
      </c>
      <c r="W936" s="33">
        <f t="shared" si="62"/>
        <v>8.2863839591533067E-3</v>
      </c>
      <c r="X936" s="35">
        <f t="shared" si="63"/>
        <v>1.5901753533972428E-4</v>
      </c>
      <c r="Y936" s="33">
        <f t="shared" si="64"/>
        <v>6.4458592610831117E-4</v>
      </c>
      <c r="Z936" s="54"/>
    </row>
    <row r="937" spans="15:26" x14ac:dyDescent="0.25">
      <c r="O937" s="37" t="s">
        <v>19</v>
      </c>
      <c r="P937" s="31">
        <f>_xll.qlCalendarAdvance(Calendar,P936,O936,"f",,Trigger)</f>
        <v>52306</v>
      </c>
      <c r="Q937" s="31">
        <f>_xll.qlInterestRateIndexValueDate(Index,P937,Trigger)</f>
        <v>52308</v>
      </c>
      <c r="R937" s="31">
        <f>_xll.qlInterestRateIndexMaturity(Index,Q937,Trigger)</f>
        <v>52400</v>
      </c>
      <c r="S937" s="32">
        <f>_xll.qlDayCounterYearFraction(DayCounter,Q937,R937,,,Trigger)</f>
        <v>0.25555555555555554</v>
      </c>
      <c r="T937" s="33">
        <f>_xll.qlIndexFixing(Index,P937,,AllTriggers)</f>
        <v>8.9372456482960747E-3</v>
      </c>
      <c r="U937" s="34">
        <f>_xll.qlYieldTSDiscount(OisCurve,Q937,,AllTriggers)</f>
        <v>0.83446415484044534</v>
      </c>
      <c r="V937" s="34">
        <f>_xll.qlYieldTSDiscount(OisCurve,R937,,AllTriggers)</f>
        <v>0.83269922381399997</v>
      </c>
      <c r="W937" s="33">
        <f t="shared" si="62"/>
        <v>8.2938132342425461E-3</v>
      </c>
      <c r="X937" s="35">
        <f t="shared" si="63"/>
        <v>1.6407148460218982E-4</v>
      </c>
      <c r="Y937" s="33">
        <f t="shared" si="64"/>
        <v>6.4343241405352865E-4</v>
      </c>
      <c r="Z937" s="54"/>
    </row>
    <row r="938" spans="15:26" x14ac:dyDescent="0.25">
      <c r="O938" s="37" t="s">
        <v>19</v>
      </c>
      <c r="P938" s="31">
        <f>_xll.qlCalendarAdvance(Calendar,P937,O937,"f",,Trigger)</f>
        <v>52337</v>
      </c>
      <c r="Q938" s="31">
        <f>_xll.qlInterestRateIndexValueDate(Index,P938,Trigger)</f>
        <v>52341</v>
      </c>
      <c r="R938" s="31">
        <f>_xll.qlInterestRateIndexMaturity(Index,Q938,Trigger)</f>
        <v>52432</v>
      </c>
      <c r="S938" s="32">
        <f>_xll.qlDayCounterYearFraction(DayCounter,Q938,R938,,,Trigger)</f>
        <v>0.25277777777777777</v>
      </c>
      <c r="T938" s="33">
        <f>_xll.qlIndexFixing(Index,P938,,AllTriggers)</f>
        <v>8.9435996783106594E-3</v>
      </c>
      <c r="U938" s="34">
        <f>_xll.qlYieldTSDiscount(OisCurve,Q938,,AllTriggers)</f>
        <v>0.83383119752628188</v>
      </c>
      <c r="V938" s="34">
        <f>_xll.qlYieldTSDiscount(OisCurve,R938,,AllTriggers)</f>
        <v>0.83208509560870425</v>
      </c>
      <c r="W938" s="33">
        <f t="shared" si="62"/>
        <v>8.3016220025150713E-3</v>
      </c>
      <c r="X938" s="35">
        <f t="shared" si="63"/>
        <v>1.6192475870742992E-4</v>
      </c>
      <c r="Y938" s="33">
        <f t="shared" si="64"/>
        <v>6.4197767579558807E-4</v>
      </c>
      <c r="Z938" s="54"/>
    </row>
    <row r="939" spans="15:26" x14ac:dyDescent="0.25">
      <c r="O939" s="37" t="s">
        <v>19</v>
      </c>
      <c r="P939" s="31">
        <f>_xll.qlCalendarAdvance(Calendar,P938,O938,"f",,Trigger)</f>
        <v>52369</v>
      </c>
      <c r="Q939" s="31">
        <f>_xll.qlInterestRateIndexValueDate(Index,P939,Trigger)</f>
        <v>52371</v>
      </c>
      <c r="R939" s="31">
        <f>_xll.qlInterestRateIndexMaturity(Index,Q939,Trigger)</f>
        <v>52463</v>
      </c>
      <c r="S939" s="32">
        <f>_xll.qlDayCounterYearFraction(DayCounter,Q939,R939,,,Trigger)</f>
        <v>0.25555555555555554</v>
      </c>
      <c r="T939" s="33">
        <f>_xll.qlIndexFixing(Index,P939,,AllTriggers)</f>
        <v>8.9496947781361157E-3</v>
      </c>
      <c r="U939" s="34">
        <f>_xll.qlYieldTSDiscount(OisCurve,Q939,,AllTriggers)</f>
        <v>0.83325566989221678</v>
      </c>
      <c r="V939" s="34">
        <f>_xll.qlYieldTSDiscount(OisCurve,R939,,AllTriggers)</f>
        <v>0.83149003852208569</v>
      </c>
      <c r="W939" s="33">
        <f t="shared" si="62"/>
        <v>8.3091702820446648E-3</v>
      </c>
      <c r="X939" s="35">
        <f t="shared" si="63"/>
        <v>1.6332940356990797E-4</v>
      </c>
      <c r="Y939" s="33">
        <f t="shared" si="64"/>
        <v>6.4052449609145086E-4</v>
      </c>
      <c r="Z939" s="54"/>
    </row>
    <row r="940" spans="15:26" x14ac:dyDescent="0.25">
      <c r="O940" s="37" t="s">
        <v>19</v>
      </c>
      <c r="P940" s="31">
        <f>_xll.qlCalendarAdvance(Calendar,P939,O939,"f",,Trigger)</f>
        <v>52400</v>
      </c>
      <c r="Q940" s="31">
        <f>_xll.qlInterestRateIndexValueDate(Index,P940,Trigger)</f>
        <v>52404</v>
      </c>
      <c r="R940" s="31">
        <f>_xll.qlInterestRateIndexMaturity(Index,Q940,Trigger)</f>
        <v>52496</v>
      </c>
      <c r="S940" s="32">
        <f>_xll.qlDayCounterYearFraction(DayCounter,Q940,R940,,,Trigger)</f>
        <v>0.25555555555555554</v>
      </c>
      <c r="T940" s="33">
        <f>_xll.qlIndexFixing(Index,P940,,AllTriggers)</f>
        <v>8.9560808107171166E-3</v>
      </c>
      <c r="U940" s="34">
        <f>_xll.qlYieldTSDiscount(OisCurve,Q940,,AllTriggers)</f>
        <v>0.83262246463398504</v>
      </c>
      <c r="V940" s="34">
        <f>_xll.qlYieldTSDiscount(OisCurve,R940,,AllTriggers)</f>
        <v>0.8308564586832482</v>
      </c>
      <c r="W940" s="33">
        <f t="shared" si="62"/>
        <v>8.3172706860252903E-3</v>
      </c>
      <c r="X940" s="35">
        <f t="shared" si="63"/>
        <v>1.6289194962803579E-4</v>
      </c>
      <c r="Y940" s="33">
        <f t="shared" si="64"/>
        <v>6.3881012469182638E-4</v>
      </c>
      <c r="Z940" s="54"/>
    </row>
    <row r="941" spans="15:26" x14ac:dyDescent="0.25">
      <c r="O941" s="37" t="s">
        <v>19</v>
      </c>
      <c r="P941" s="31">
        <f>_xll.qlCalendarAdvance(Calendar,P940,O940,"f",,Trigger)</f>
        <v>52432</v>
      </c>
      <c r="Q941" s="31">
        <f>_xll.qlInterestRateIndexValueDate(Index,P941,Trigger)</f>
        <v>52434</v>
      </c>
      <c r="R941" s="31">
        <f>_xll.qlInterestRateIndexMaturity(Index,Q941,Trigger)</f>
        <v>52526</v>
      </c>
      <c r="S941" s="32">
        <f>_xll.qlDayCounterYearFraction(DayCounter,Q941,R941,,,Trigger)</f>
        <v>0.25555555555555554</v>
      </c>
      <c r="T941" s="33">
        <f>_xll.qlIndexFixing(Index,P941,,AllTriggers)</f>
        <v>8.961805790285788E-3</v>
      </c>
      <c r="U941" s="34">
        <f>_xll.qlYieldTSDiscount(OisCurve,Q941,,AllTriggers)</f>
        <v>0.83204670842156903</v>
      </c>
      <c r="V941" s="34">
        <f>_xll.qlYieldTSDiscount(OisCurve,R941,,AllTriggers)</f>
        <v>0.83028035735508077</v>
      </c>
      <c r="W941" s="33">
        <f t="shared" si="62"/>
        <v>8.3246682398452343E-3</v>
      </c>
      <c r="X941" s="35">
        <f t="shared" si="63"/>
        <v>1.6246518350381749E-4</v>
      </c>
      <c r="Y941" s="33">
        <f t="shared" si="64"/>
        <v>6.3713755044055367E-4</v>
      </c>
      <c r="Z941" s="54"/>
    </row>
    <row r="942" spans="15:26" x14ac:dyDescent="0.25">
      <c r="O942" s="37" t="s">
        <v>19</v>
      </c>
      <c r="P942" s="31">
        <f>_xll.qlCalendarAdvance(Calendar,P941,O941,"f",,Trigger)</f>
        <v>52463</v>
      </c>
      <c r="Q942" s="31">
        <f>_xll.qlInterestRateIndexValueDate(Index,P942,Trigger)</f>
        <v>52467</v>
      </c>
      <c r="R942" s="31">
        <f>_xll.qlInterestRateIndexMaturity(Index,Q942,Trigger)</f>
        <v>52559</v>
      </c>
      <c r="S942" s="32">
        <f>_xll.qlDayCounterYearFraction(DayCounter,Q942,R942,,,Trigger)</f>
        <v>0.25555555555555554</v>
      </c>
      <c r="T942" s="33">
        <f>_xll.qlIndexFixing(Index,P942,,AllTriggers)</f>
        <v>8.9680147123422822E-3</v>
      </c>
      <c r="U942" s="34">
        <f>_xll.qlYieldTSDiscount(OisCurve,Q942,,AllTriggers)</f>
        <v>0.83141324824998275</v>
      </c>
      <c r="V942" s="34">
        <f>_xll.qlYieldTSDiscount(OisCurve,R942,,AllTriggers)</f>
        <v>0.82964651253129007</v>
      </c>
      <c r="W942" s="33">
        <f t="shared" si="62"/>
        <v>8.3328424544903967E-3</v>
      </c>
      <c r="X942" s="35">
        <f t="shared" si="63"/>
        <v>1.6196375197263723E-4</v>
      </c>
      <c r="Y942" s="33">
        <f t="shared" si="64"/>
        <v>6.351722578518855E-4</v>
      </c>
      <c r="Z942" s="54"/>
    </row>
    <row r="943" spans="15:26" x14ac:dyDescent="0.25">
      <c r="O943" s="37" t="s">
        <v>19</v>
      </c>
      <c r="P943" s="31">
        <f>_xll.qlCalendarAdvance(Calendar,P942,O942,"f",,Trigger)</f>
        <v>52495</v>
      </c>
      <c r="Q943" s="31">
        <f>_xll.qlInterestRateIndexValueDate(Index,P943,Trigger)</f>
        <v>52497</v>
      </c>
      <c r="R943" s="31">
        <f>_xll.qlInterestRateIndexMaturity(Index,Q943,Trigger)</f>
        <v>52588</v>
      </c>
      <c r="S943" s="32">
        <f>_xll.qlDayCounterYearFraction(DayCounter,Q943,R943,,,Trigger)</f>
        <v>0.25277777777777777</v>
      </c>
      <c r="T943" s="33">
        <f>_xll.qlIndexFixing(Index,P943,,AllTriggers)</f>
        <v>8.9733754748845245E-3</v>
      </c>
      <c r="U943" s="34">
        <f>_xll.qlYieldTSDiscount(OisCurve,Q943,,AllTriggers)</f>
        <v>0.83083725715025936</v>
      </c>
      <c r="V943" s="34">
        <f>_xll.qlYieldTSDiscount(OisCurve,R943,,AllTriggers)</f>
        <v>0.82908938060925852</v>
      </c>
      <c r="W943" s="33">
        <f t="shared" si="62"/>
        <v>8.340085626059297E-3</v>
      </c>
      <c r="X943" s="35">
        <f t="shared" si="63"/>
        <v>1.5973207064865616E-4</v>
      </c>
      <c r="Y943" s="33">
        <f t="shared" si="64"/>
        <v>6.3328984882522754E-4</v>
      </c>
      <c r="Z943" s="54"/>
    </row>
    <row r="944" spans="15:26" x14ac:dyDescent="0.25">
      <c r="O944" s="37" t="s">
        <v>19</v>
      </c>
      <c r="P944" s="31">
        <f>_xll.qlCalendarAdvance(Calendar,P943,O943,"f",,Trigger)</f>
        <v>52525</v>
      </c>
      <c r="Q944" s="31">
        <f>_xll.qlInterestRateIndexValueDate(Index,P944,Trigger)</f>
        <v>52527</v>
      </c>
      <c r="R944" s="31">
        <f>_xll.qlInterestRateIndexMaturity(Index,Q944,Trigger)</f>
        <v>52621</v>
      </c>
      <c r="S944" s="32">
        <f>_xll.qlDayCounterYearFraction(DayCounter,Q944,R944,,,Trigger)</f>
        <v>0.26111111111111113</v>
      </c>
      <c r="T944" s="33">
        <f>_xll.qlIndexFixing(Index,P944,,AllTriggers)</f>
        <v>8.9794700437495246E-3</v>
      </c>
      <c r="U944" s="34">
        <f>_xll.qlYieldTSDiscount(OisCurve,Q944,,AllTriggers)</f>
        <v>0.83026115199753314</v>
      </c>
      <c r="V944" s="34">
        <f>_xll.qlYieldTSDiscount(OisCurve,R944,,AllTriggers)</f>
        <v>0.82845526834356098</v>
      </c>
      <c r="W944" s="33">
        <f t="shared" si="62"/>
        <v>8.3482481534299154E-3</v>
      </c>
      <c r="X944" s="35">
        <f t="shared" si="63"/>
        <v>1.6444703252042623E-4</v>
      </c>
      <c r="Y944" s="33">
        <f t="shared" si="64"/>
        <v>6.3122189031960922E-4</v>
      </c>
      <c r="Z944" s="54"/>
    </row>
    <row r="945" spans="15:26" x14ac:dyDescent="0.25">
      <c r="O945" s="37" t="s">
        <v>19</v>
      </c>
      <c r="P945" s="31">
        <f>_xll.qlCalendarAdvance(Calendar,P944,O944,"f",,Trigger)</f>
        <v>52558</v>
      </c>
      <c r="Q945" s="31">
        <f>_xll.qlInterestRateIndexValueDate(Index,P945,Trigger)</f>
        <v>52560</v>
      </c>
      <c r="R945" s="31">
        <f>_xll.qlInterestRateIndexMaturity(Index,Q945,Trigger)</f>
        <v>52652</v>
      </c>
      <c r="S945" s="32">
        <f>_xll.qlDayCounterYearFraction(DayCounter,Q945,R945,,,Trigger)</f>
        <v>0.25555555555555554</v>
      </c>
      <c r="T945" s="33">
        <f>_xll.qlIndexFixing(Index,P945,,AllTriggers)</f>
        <v>8.9850134490657273E-3</v>
      </c>
      <c r="U945" s="34">
        <f>_xll.qlYieldTSDiscount(OisCurve,Q945,,AllTriggers)</f>
        <v>0.82962730291245479</v>
      </c>
      <c r="V945" s="34">
        <f>_xll.qlYieldTSDiscount(OisCurve,R945,,AllTriggers)</f>
        <v>0.82785945505200431</v>
      </c>
      <c r="W945" s="33">
        <f t="shared" si="62"/>
        <v>8.3560868921389829E-3</v>
      </c>
      <c r="X945" s="35">
        <f t="shared" si="63"/>
        <v>1.6037032626931586E-4</v>
      </c>
      <c r="Y945" s="33">
        <f t="shared" si="64"/>
        <v>6.2892655692674444E-4</v>
      </c>
      <c r="Z945" s="54"/>
    </row>
    <row r="946" spans="15:26" x14ac:dyDescent="0.25">
      <c r="O946" s="37" t="s">
        <v>19</v>
      </c>
      <c r="P946" s="31">
        <f>_xll.qlCalendarAdvance(Calendar,P945,O945,"f",,Trigger)</f>
        <v>52588</v>
      </c>
      <c r="Q946" s="31">
        <f>_xll.qlInterestRateIndexValueDate(Index,P946,Trigger)</f>
        <v>52593</v>
      </c>
      <c r="R946" s="31">
        <f>_xll.qlInterestRateIndexMaturity(Index,Q946,Trigger)</f>
        <v>52684</v>
      </c>
      <c r="S946" s="32">
        <f>_xll.qlDayCounterYearFraction(DayCounter,Q946,R946,,,Trigger)</f>
        <v>0.25277777777777777</v>
      </c>
      <c r="T946" s="33">
        <f>_xll.qlIndexFixing(Index,P946,,AllTriggers)</f>
        <v>8.9906685968079818E-3</v>
      </c>
      <c r="U946" s="34">
        <f>_xll.qlYieldTSDiscount(OisCurve,Q946,,AllTriggers)</f>
        <v>0.82899331224182804</v>
      </c>
      <c r="V946" s="34">
        <f>_xll.qlYieldTSDiscount(OisCurve,R946,,AllTriggers)</f>
        <v>0.82724428611533352</v>
      </c>
      <c r="W946" s="33">
        <f t="shared" si="62"/>
        <v>8.3641849847929505E-3</v>
      </c>
      <c r="X946" s="35">
        <f t="shared" si="63"/>
        <v>1.5801453691831037E-4</v>
      </c>
      <c r="Y946" s="33">
        <f t="shared" si="64"/>
        <v>6.2648361201503126E-4</v>
      </c>
      <c r="Z946" s="54"/>
    </row>
    <row r="947" spans="15:26" x14ac:dyDescent="0.25">
      <c r="O947" s="37" t="s">
        <v>19</v>
      </c>
      <c r="P947" s="31">
        <f>_xll.qlCalendarAdvance(Calendar,P946,O946,"f",,Trigger)</f>
        <v>52621</v>
      </c>
      <c r="Q947" s="31">
        <f>_xll.qlInterestRateIndexValueDate(Index,P947,Trigger)</f>
        <v>52623</v>
      </c>
      <c r="R947" s="31">
        <f>_xll.qlInterestRateIndexMaturity(Index,Q947,Trigger)</f>
        <v>52714</v>
      </c>
      <c r="S947" s="32">
        <f>_xll.qlDayCounterYearFraction(DayCounter,Q947,R947,,,Trigger)</f>
        <v>0.25277777777777777</v>
      </c>
      <c r="T947" s="33">
        <f>_xll.qlIndexFixing(Index,P947,,AllTriggers)</f>
        <v>8.9959116882529448E-3</v>
      </c>
      <c r="U947" s="34">
        <f>_xll.qlYieldTSDiscount(OisCurve,Q947,,AllTriggers)</f>
        <v>0.82841683265478594</v>
      </c>
      <c r="V947" s="34">
        <f>_xll.qlYieldTSDiscount(OisCurve,R947,,AllTriggers)</f>
        <v>0.8266674384124334</v>
      </c>
      <c r="W947" s="33">
        <f t="shared" si="62"/>
        <v>8.3717831350504923E-3</v>
      </c>
      <c r="X947" s="35">
        <f t="shared" si="63"/>
        <v>1.5742027837255861E-4</v>
      </c>
      <c r="Y947" s="33">
        <f t="shared" si="64"/>
        <v>6.2412855320245243E-4</v>
      </c>
      <c r="Z947" s="54"/>
    </row>
    <row r="948" spans="15:26" x14ac:dyDescent="0.25">
      <c r="O948" s="37" t="s">
        <v>19</v>
      </c>
      <c r="P948" s="31">
        <f>_xll.qlCalendarAdvance(Calendar,P947,O947,"f",,Trigger)</f>
        <v>52652</v>
      </c>
      <c r="Q948" s="31">
        <f>_xll.qlInterestRateIndexValueDate(Index,P948,Trigger)</f>
        <v>52656</v>
      </c>
      <c r="R948" s="31">
        <f>_xll.qlInterestRateIndexMaturity(Index,Q948,Trigger)</f>
        <v>52748</v>
      </c>
      <c r="S948" s="32">
        <f>_xll.qlDayCounterYearFraction(DayCounter,Q948,R948,,,Trigger)</f>
        <v>0.25555555555555554</v>
      </c>
      <c r="T948" s="33">
        <f>_xll.qlIndexFixing(Index,P948,,AllTriggers)</f>
        <v>9.0017876707321927E-3</v>
      </c>
      <c r="U948" s="34">
        <f>_xll.qlYieldTSDiscount(OisCurve,Q948,,AllTriggers)</f>
        <v>0.82778256651630666</v>
      </c>
      <c r="V948" s="34">
        <f>_xll.qlYieldTSDiscount(OisCurve,R948,,AllTriggers)</f>
        <v>0.82601352753615298</v>
      </c>
      <c r="W948" s="33">
        <f t="shared" si="62"/>
        <v>8.3804032419752764E-3</v>
      </c>
      <c r="X948" s="35">
        <f t="shared" si="63"/>
        <v>1.5844632480260188E-4</v>
      </c>
      <c r="Y948" s="33">
        <f t="shared" si="64"/>
        <v>6.2138442875691625E-4</v>
      </c>
      <c r="Z948" s="54"/>
    </row>
    <row r="949" spans="15:26" x14ac:dyDescent="0.25">
      <c r="O949" s="37" t="s">
        <v>19</v>
      </c>
      <c r="P949" s="31">
        <f>_xll.qlCalendarAdvance(Calendar,P948,O948,"f",,Trigger)</f>
        <v>52681</v>
      </c>
      <c r="Q949" s="31">
        <f>_xll.qlInterestRateIndexValueDate(Index,P949,Trigger)</f>
        <v>52685</v>
      </c>
      <c r="R949" s="31">
        <f>_xll.qlInterestRateIndexMaturity(Index,Q949,Trigger)</f>
        <v>52777</v>
      </c>
      <c r="S949" s="32">
        <f>_xll.qlDayCounterYearFraction(DayCounter,Q949,R949,,,Trigger)</f>
        <v>0.25555555555555554</v>
      </c>
      <c r="T949" s="33">
        <f>_xll.qlIndexFixing(Index,P949,,AllTriggers)</f>
        <v>9.006700471599181E-3</v>
      </c>
      <c r="U949" s="34">
        <f>_xll.qlYieldTSDiscount(OisCurve,Q949,,AllTriggers)</f>
        <v>0.82722505984409533</v>
      </c>
      <c r="V949" s="34">
        <f>_xll.qlYieldTSDiscount(OisCurve,R949,,AllTriggers)</f>
        <v>0.82545565252167907</v>
      </c>
      <c r="W949" s="33">
        <f t="shared" si="62"/>
        <v>8.3878131577588486E-3</v>
      </c>
      <c r="X949" s="35">
        <f t="shared" si="63"/>
        <v>1.5780933950818127E-4</v>
      </c>
      <c r="Y949" s="33">
        <f t="shared" si="64"/>
        <v>6.1888731384033245E-4</v>
      </c>
      <c r="Z949" s="54"/>
    </row>
    <row r="950" spans="15:26" x14ac:dyDescent="0.25">
      <c r="O950" s="37" t="s">
        <v>19</v>
      </c>
      <c r="P950" s="31">
        <f>_xll.qlCalendarAdvance(Calendar,P949,O949,"f",,Trigger)</f>
        <v>52712</v>
      </c>
      <c r="Q950" s="31">
        <f>_xll.qlInterestRateIndexValueDate(Index,P950,Trigger)</f>
        <v>52714</v>
      </c>
      <c r="R950" s="31">
        <f>_xll.qlInterestRateIndexMaturity(Index,Q950,Trigger)</f>
        <v>52805</v>
      </c>
      <c r="S950" s="32">
        <f>_xll.qlDayCounterYearFraction(DayCounter,Q950,R950,,,Trigger)</f>
        <v>0.25277777777777777</v>
      </c>
      <c r="T950" s="33">
        <f>_xll.qlIndexFixing(Index,P950,,AllTriggers)</f>
        <v>9.0113467141046694E-3</v>
      </c>
      <c r="U950" s="34">
        <f>_xll.qlYieldTSDiscount(OisCurve,Q950,,AllTriggers)</f>
        <v>0.8266674384124334</v>
      </c>
      <c r="V950" s="34">
        <f>_xll.qlYieldTSDiscount(OisCurve,R950,,AllTriggers)</f>
        <v>0.82491690197188694</v>
      </c>
      <c r="W950" s="33">
        <f t="shared" si="62"/>
        <v>8.3950263219298524E-3</v>
      </c>
      <c r="X950" s="35">
        <f t="shared" si="63"/>
        <v>1.5545011352663681E-4</v>
      </c>
      <c r="Y950" s="33">
        <f t="shared" si="64"/>
        <v>6.1632039217481699E-4</v>
      </c>
      <c r="Z950" s="54"/>
    </row>
    <row r="951" spans="15:26" x14ac:dyDescent="0.25">
      <c r="O951" s="37" t="s">
        <v>19</v>
      </c>
      <c r="P951" s="31">
        <f>_xll.qlCalendarAdvance(Calendar,P950,O950,"f",,Trigger)</f>
        <v>52742</v>
      </c>
      <c r="Q951" s="31">
        <f>_xll.qlInterestRateIndexValueDate(Index,P951,Trigger)</f>
        <v>52744</v>
      </c>
      <c r="R951" s="31">
        <f>_xll.qlInterestRateIndexMaturity(Index,Q951,Trigger)</f>
        <v>52838</v>
      </c>
      <c r="S951" s="32">
        <f>_xll.qlDayCounterYearFraction(DayCounter,Q951,R951,,,Trigger)</f>
        <v>0.26111111111111113</v>
      </c>
      <c r="T951" s="33">
        <f>_xll.qlIndexFixing(Index,P951,,AllTriggers)</f>
        <v>9.0168617630865047E-3</v>
      </c>
      <c r="U951" s="34">
        <f>_xll.qlYieldTSDiscount(OisCurve,Q951,,AllTriggers)</f>
        <v>0.8260904665685892</v>
      </c>
      <c r="V951" s="34">
        <f>_xll.qlYieldTSDiscount(OisCurve,R951,,AllTriggers)</f>
        <v>0.82428180242140237</v>
      </c>
      <c r="W951" s="33">
        <f t="shared" si="62"/>
        <v>8.4034353800100051E-3</v>
      </c>
      <c r="X951" s="35">
        <f t="shared" si="63"/>
        <v>1.5980898857976021E-4</v>
      </c>
      <c r="Y951" s="33">
        <f t="shared" si="64"/>
        <v>6.1342638307649959E-4</v>
      </c>
      <c r="Z951" s="54"/>
    </row>
    <row r="952" spans="15:26" x14ac:dyDescent="0.25">
      <c r="O952" s="37" t="s">
        <v>19</v>
      </c>
      <c r="P952" s="31">
        <f>_xll.qlCalendarAdvance(Calendar,P951,O951,"f",,Trigger)</f>
        <v>52775</v>
      </c>
      <c r="Q952" s="31">
        <f>_xll.qlInterestRateIndexValueDate(Index,P952,Trigger)</f>
        <v>52777</v>
      </c>
      <c r="R952" s="31">
        <f>_xll.qlInterestRateIndexMaturity(Index,Q952,Trigger)</f>
        <v>52869</v>
      </c>
      <c r="S952" s="32">
        <f>_xll.qlDayCounterYearFraction(DayCounter,Q952,R952,,,Trigger)</f>
        <v>0.25555555555555554</v>
      </c>
      <c r="T952" s="33">
        <f>_xll.qlIndexFixing(Index,P952,,AllTriggers)</f>
        <v>9.0218117213333136E-3</v>
      </c>
      <c r="U952" s="34">
        <f>_xll.qlYieldTSDiscount(OisCurve,Q952,,AllTriggers)</f>
        <v>0.82545565252167907</v>
      </c>
      <c r="V952" s="34">
        <f>_xll.qlYieldTSDiscount(OisCurve,R952,,AllTriggers)</f>
        <v>0.82368505075114085</v>
      </c>
      <c r="W952" s="33">
        <f t="shared" si="62"/>
        <v>8.4115180972188994E-3</v>
      </c>
      <c r="X952" s="35">
        <f t="shared" si="63"/>
        <v>1.5561727465889717E-4</v>
      </c>
      <c r="Y952" s="33">
        <f t="shared" si="64"/>
        <v>6.1029362411441426E-4</v>
      </c>
      <c r="Z952" s="54"/>
    </row>
    <row r="953" spans="15:26" x14ac:dyDescent="0.25">
      <c r="O953" s="37" t="s">
        <v>19</v>
      </c>
      <c r="P953" s="31">
        <f>_xll.qlCalendarAdvance(Calendar,P952,O952,"f",,Trigger)</f>
        <v>52805</v>
      </c>
      <c r="Q953" s="31">
        <f>_xll.qlInterestRateIndexValueDate(Index,P953,Trigger)</f>
        <v>52807</v>
      </c>
      <c r="R953" s="31">
        <f>_xll.qlInterestRateIndexMaturity(Index,Q953,Trigger)</f>
        <v>52901</v>
      </c>
      <c r="S953" s="32">
        <f>_xll.qlDayCounterYearFraction(DayCounter,Q953,R953,,,Trigger)</f>
        <v>0.26111111111111113</v>
      </c>
      <c r="T953" s="33">
        <f>_xll.qlIndexFixing(Index,P953,,AllTriggers)</f>
        <v>9.0269659811717112E-3</v>
      </c>
      <c r="U953" s="34">
        <f>_xll.qlYieldTSDiscount(OisCurve,Q953,,AllTriggers)</f>
        <v>0.82487841552677499</v>
      </c>
      <c r="V953" s="34">
        <f>_xll.qlYieldTSDiscount(OisCurve,R953,,AllTriggers)</f>
        <v>0.82306890210991424</v>
      </c>
      <c r="W953" s="33">
        <f t="shared" si="62"/>
        <v>8.4197706485529458E-3</v>
      </c>
      <c r="X953" s="35">
        <f t="shared" si="63"/>
        <v>1.5818513918183793E-4</v>
      </c>
      <c r="Y953" s="33">
        <f t="shared" si="64"/>
        <v>6.0719533261876547E-4</v>
      </c>
      <c r="Z953" s="54"/>
    </row>
    <row r="954" spans="15:26" x14ac:dyDescent="0.25">
      <c r="O954" s="37" t="s">
        <v>19</v>
      </c>
      <c r="P954" s="31">
        <f>_xll.qlCalendarAdvance(Calendar,P953,O953,"f",,Trigger)</f>
        <v>52838</v>
      </c>
      <c r="Q954" s="31">
        <f>_xll.qlInterestRateIndexValueDate(Index,P954,Trigger)</f>
        <v>52840</v>
      </c>
      <c r="R954" s="31">
        <f>_xll.qlInterestRateIndexMaturity(Index,Q954,Trigger)</f>
        <v>52931</v>
      </c>
      <c r="S954" s="32">
        <f>_xll.qlDayCounterYearFraction(DayCounter,Q954,R954,,,Trigger)</f>
        <v>0.25277777777777777</v>
      </c>
      <c r="T954" s="33">
        <f>_xll.qlIndexFixing(Index,P954,,AllTriggers)</f>
        <v>9.0315536321599749E-3</v>
      </c>
      <c r="U954" s="34">
        <f>_xll.qlYieldTSDiscount(OisCurve,Q954,,AllTriggers)</f>
        <v>0.82424330651104827</v>
      </c>
      <c r="V954" s="34">
        <f>_xll.qlYieldTSDiscount(OisCurve,R954,,AllTriggers)</f>
        <v>0.82249112577867745</v>
      </c>
      <c r="W954" s="33">
        <f t="shared" si="62"/>
        <v>8.4276945719382879E-3</v>
      </c>
      <c r="X954" s="35">
        <f t="shared" si="63"/>
        <v>1.5230606469250583E-4</v>
      </c>
      <c r="Y954" s="33">
        <f t="shared" si="64"/>
        <v>6.0385906022168701E-4</v>
      </c>
      <c r="Z954" s="54"/>
    </row>
    <row r="955" spans="15:26" x14ac:dyDescent="0.25">
      <c r="O955" s="37" t="s">
        <v>19</v>
      </c>
      <c r="P955" s="31">
        <f>_xll.qlCalendarAdvance(Calendar,P954,O954,"f",,Trigger)</f>
        <v>52869</v>
      </c>
      <c r="Q955" s="31">
        <f>_xll.qlInterestRateIndexValueDate(Index,P955,Trigger)</f>
        <v>52873</v>
      </c>
      <c r="R955" s="31">
        <f>_xll.qlInterestRateIndexMaturity(Index,Q955,Trigger)</f>
        <v>52965</v>
      </c>
      <c r="S955" s="32">
        <f>_xll.qlDayCounterYearFraction(DayCounter,Q955,R955,,,Trigger)</f>
        <v>0.25555555555555554</v>
      </c>
      <c r="T955" s="33">
        <f>_xll.qlIndexFixing(Index,P955,,AllTriggers)</f>
        <v>9.0368111880724106E-3</v>
      </c>
      <c r="U955" s="34">
        <f>_xll.qlYieldTSDiscount(OisCurve,Q955,,AllTriggers)</f>
        <v>0.82360804036555768</v>
      </c>
      <c r="V955" s="34">
        <f>_xll.qlYieldTSDiscount(OisCurve,R955,,AllTriggers)</f>
        <v>0.82183615063039384</v>
      </c>
      <c r="W955" s="33">
        <f t="shared" si="62"/>
        <v>8.4365740872581908E-3</v>
      </c>
      <c r="X955" s="35">
        <f t="shared" si="63"/>
        <v>1.5305220482277125E-4</v>
      </c>
      <c r="Y955" s="33">
        <f t="shared" si="64"/>
        <v>6.0023710081421981E-4</v>
      </c>
      <c r="Z955" s="54"/>
    </row>
    <row r="956" spans="15:26" x14ac:dyDescent="0.25">
      <c r="O956" s="37" t="s">
        <v>19</v>
      </c>
      <c r="P956" s="31">
        <f>_xll.qlCalendarAdvance(Calendar,P955,O955,"f",,Trigger)</f>
        <v>52901</v>
      </c>
      <c r="Q956" s="31">
        <f>_xll.qlInterestRateIndexValueDate(Index,P956,Trigger)</f>
        <v>52903</v>
      </c>
      <c r="R956" s="31">
        <f>_xll.qlInterestRateIndexMaturity(Index,Q956,Trigger)</f>
        <v>52995</v>
      </c>
      <c r="S956" s="32">
        <f>_xll.qlDayCounterYearFraction(DayCounter,Q956,R956,,,Trigger)</f>
        <v>0.25555555555555554</v>
      </c>
      <c r="T956" s="33">
        <f>_xll.qlIndexFixing(Index,P956,,AllTriggers)</f>
        <v>9.0413375026903078E-3</v>
      </c>
      <c r="U956" s="34">
        <f>_xll.qlYieldTSDiscount(OisCurve,Q956,,AllTriggers)</f>
        <v>0.82303038782768401</v>
      </c>
      <c r="V956" s="34">
        <f>_xll.qlYieldTSDiscount(OisCurve,R956,,AllTriggers)</f>
        <v>0.82125808698463387</v>
      </c>
      <c r="W956" s="33">
        <f t="shared" si="62"/>
        <v>8.4444711903861411E-3</v>
      </c>
      <c r="X956" s="35">
        <f t="shared" si="63"/>
        <v>1.5219245905469231E-4</v>
      </c>
      <c r="Y956" s="33">
        <f t="shared" si="64"/>
        <v>5.9686631230416662E-4</v>
      </c>
      <c r="Z956" s="54"/>
    </row>
    <row r="957" spans="15:26" x14ac:dyDescent="0.25">
      <c r="O957" s="37" t="s">
        <v>19</v>
      </c>
      <c r="P957" s="31">
        <f>_xll.qlCalendarAdvance(Calendar,P956,O956,"f",,Trigger)</f>
        <v>52931</v>
      </c>
      <c r="Q957" s="31">
        <f>_xll.qlInterestRateIndexValueDate(Index,P957,Trigger)</f>
        <v>52933</v>
      </c>
      <c r="R957" s="31">
        <f>_xll.qlInterestRateIndexMaturity(Index,Q957,Trigger)</f>
        <v>53023</v>
      </c>
      <c r="S957" s="32">
        <f>_xll.qlDayCounterYearFraction(DayCounter,Q957,R957,,,Trigger)</f>
        <v>0.25</v>
      </c>
      <c r="T957" s="33">
        <f>_xll.qlIndexFixing(Index,P957,,AllTriggers)</f>
        <v>9.0454142384102099E-3</v>
      </c>
      <c r="U957" s="34">
        <f>_xll.qlYieldTSDiscount(OisCurve,Q957,,AllTriggers)</f>
        <v>0.82245260260951925</v>
      </c>
      <c r="V957" s="34">
        <f>_xll.qlYieldTSDiscount(OisCurve,R957,,AllTriggers)</f>
        <v>0.82071843755945295</v>
      </c>
      <c r="W957" s="33">
        <f t="shared" si="62"/>
        <v>8.451936599465526E-3</v>
      </c>
      <c r="X957" s="35">
        <f t="shared" si="63"/>
        <v>1.4804560926140494E-4</v>
      </c>
      <c r="Y957" s="33">
        <f t="shared" si="64"/>
        <v>5.9347763894468386E-4</v>
      </c>
      <c r="Z957" s="54"/>
    </row>
    <row r="958" spans="15:26" x14ac:dyDescent="0.25">
      <c r="O958" s="37" t="s">
        <v>19</v>
      </c>
      <c r="P958" s="31">
        <f>_xll.qlCalendarAdvance(Calendar,P957,O957,"f",,Trigger)</f>
        <v>52961</v>
      </c>
      <c r="Q958" s="31">
        <f>_xll.qlInterestRateIndexValueDate(Index,P958,Trigger)</f>
        <v>52965</v>
      </c>
      <c r="R958" s="31">
        <f>_xll.qlInterestRateIndexMaturity(Index,Q958,Trigger)</f>
        <v>53055</v>
      </c>
      <c r="S958" s="32">
        <f>_xll.qlDayCounterYearFraction(DayCounter,Q958,R958,,,Trigger)</f>
        <v>0.25</v>
      </c>
      <c r="T958" s="33">
        <f>_xll.qlIndexFixing(Index,P958,,AllTriggers)</f>
        <v>9.0500784972826764E-3</v>
      </c>
      <c r="U958" s="34">
        <f>_xll.qlYieldTSDiscount(OisCurve,Q958,,AllTriggers)</f>
        <v>0.82183615063039384</v>
      </c>
      <c r="V958" s="34">
        <f>_xll.qlYieldTSDiscount(OisCurve,R958,,AllTriggers)</f>
        <v>0.82010154811552072</v>
      </c>
      <c r="W958" s="33">
        <f t="shared" si="62"/>
        <v>8.4604279499727042E-3</v>
      </c>
      <c r="X958" s="35">
        <f t="shared" si="63"/>
        <v>1.4709068304911944E-4</v>
      </c>
      <c r="Y958" s="33">
        <f t="shared" si="64"/>
        <v>5.8965054730997224E-4</v>
      </c>
      <c r="Z958" s="54"/>
    </row>
    <row r="959" spans="15:26" x14ac:dyDescent="0.25">
      <c r="O959" s="37" t="s">
        <v>19</v>
      </c>
      <c r="P959" s="31">
        <f>_xll.qlCalendarAdvance(Calendar,P958,O958,"f",,Trigger)</f>
        <v>52992</v>
      </c>
      <c r="Q959" s="31">
        <f>_xll.qlInterestRateIndexValueDate(Index,P959,Trigger)</f>
        <v>52994</v>
      </c>
      <c r="R959" s="31">
        <f>_xll.qlInterestRateIndexMaturity(Index,Q959,Trigger)</f>
        <v>53084</v>
      </c>
      <c r="S959" s="32">
        <f>_xll.qlDayCounterYearFraction(DayCounter,Q959,R959,,,Trigger)</f>
        <v>0.25</v>
      </c>
      <c r="T959" s="33">
        <f>_xll.qlIndexFixing(Index,P959,,AllTriggers)</f>
        <v>9.0542300955593902E-3</v>
      </c>
      <c r="U959" s="34">
        <f>_xll.qlYieldTSDiscount(OisCurve,Q959,,AllTriggers)</f>
        <v>0.82127735796875789</v>
      </c>
      <c r="V959" s="34">
        <f>_xll.qlYieldTSDiscount(OisCurve,R959,,AllTriggers)</f>
        <v>0.81954235513023788</v>
      </c>
      <c r="W959" s="33">
        <f t="shared" si="62"/>
        <v>8.4681545872964392E-3</v>
      </c>
      <c r="X959" s="35">
        <f t="shared" si="63"/>
        <v>1.4619865868449109E-4</v>
      </c>
      <c r="Y959" s="33">
        <f t="shared" si="64"/>
        <v>5.8607550826295096E-4</v>
      </c>
      <c r="Z959" s="54"/>
    </row>
    <row r="960" spans="15:26" x14ac:dyDescent="0.25">
      <c r="O960" s="37" t="s">
        <v>19</v>
      </c>
      <c r="P960" s="31">
        <f>_xll.qlCalendarAdvance(Calendar,P959,O959,"f",,Trigger)</f>
        <v>53021</v>
      </c>
      <c r="Q960" s="31">
        <f>_xll.qlInterestRateIndexValueDate(Index,P960,Trigger)</f>
        <v>53023</v>
      </c>
      <c r="R960" s="31">
        <f>_xll.qlInterestRateIndexMaturity(Index,Q960,Trigger)</f>
        <v>53115</v>
      </c>
      <c r="S960" s="32">
        <f>_xll.qlDayCounterYearFraction(DayCounter,Q960,R960,,,Trigger)</f>
        <v>0.25555555555555554</v>
      </c>
      <c r="T960" s="33">
        <f>_xll.qlIndexFixing(Index,P960,,AllTriggers)</f>
        <v>9.0586537299980098E-3</v>
      </c>
      <c r="U960" s="34">
        <f>_xll.qlYieldTSDiscount(OisCurve,Q960,,AllTriggers)</f>
        <v>0.82071843755945295</v>
      </c>
      <c r="V960" s="34">
        <f>_xll.qlYieldTSDiscount(OisCurve,R960,,AllTriggers)</f>
        <v>0.81894445897918411</v>
      </c>
      <c r="W960" s="33">
        <f t="shared" si="62"/>
        <v>8.4763444431241348E-3</v>
      </c>
      <c r="X960" s="35">
        <f t="shared" si="63"/>
        <v>1.4847969249595259E-4</v>
      </c>
      <c r="Y960" s="33">
        <f t="shared" si="64"/>
        <v>5.8230928687387495E-4</v>
      </c>
      <c r="Z960" s="54"/>
    </row>
    <row r="961" spans="15:26" x14ac:dyDescent="0.25">
      <c r="O961" s="37" t="s">
        <v>19</v>
      </c>
      <c r="P961" s="31">
        <f>_xll.qlCalendarAdvance(Calendar,P960,O960,"f",,Trigger)</f>
        <v>53049</v>
      </c>
      <c r="Q961" s="31">
        <f>_xll.qlInterestRateIndexValueDate(Index,P961,Trigger)</f>
        <v>53051</v>
      </c>
      <c r="R961" s="31">
        <f>_xll.qlInterestRateIndexMaturity(Index,Q961,Trigger)</f>
        <v>53143</v>
      </c>
      <c r="S961" s="32">
        <f>_xll.qlDayCounterYearFraction(DayCounter,Q961,R961,,,Trigger)</f>
        <v>0.25555555555555554</v>
      </c>
      <c r="T961" s="33">
        <f>_xll.qlIndexFixing(Index,P961,,AllTriggers)</f>
        <v>9.0624152526027103E-3</v>
      </c>
      <c r="U961" s="34">
        <f>_xll.qlYieldTSDiscount(OisCurve,Q961,,AllTriggers)</f>
        <v>0.82017866793604111</v>
      </c>
      <c r="V961" s="34">
        <f>_xll.qlYieldTSDiscount(OisCurve,R961,,AllTriggers)</f>
        <v>0.81840432194223101</v>
      </c>
      <c r="W961" s="33">
        <f t="shared" si="62"/>
        <v>8.483695446255558E-3</v>
      </c>
      <c r="X961" s="35">
        <f t="shared" si="63"/>
        <v>1.4756422245605695E-4</v>
      </c>
      <c r="Y961" s="33">
        <f t="shared" si="64"/>
        <v>5.7871980634715235E-4</v>
      </c>
      <c r="Z961" s="54"/>
    </row>
    <row r="962" spans="15:26" x14ac:dyDescent="0.25">
      <c r="O962" s="37" t="s">
        <v>19</v>
      </c>
      <c r="P962" s="31">
        <f>_xll.qlCalendarAdvance(Calendar,P961,O961,"f",,Trigger)</f>
        <v>53080</v>
      </c>
      <c r="Q962" s="31">
        <f>_xll.qlInterestRateIndexValueDate(Index,P962,Trigger)</f>
        <v>53085</v>
      </c>
      <c r="R962" s="31">
        <f>_xll.qlInterestRateIndexMaturity(Index,Q962,Trigger)</f>
        <v>53177</v>
      </c>
      <c r="S962" s="32">
        <f>_xll.qlDayCounterYearFraction(DayCounter,Q962,R962,,,Trigger)</f>
        <v>0.25555555555555554</v>
      </c>
      <c r="T962" s="33">
        <f>_xll.qlIndexFixing(Index,P962,,AllTriggers)</f>
        <v>9.0666795897113555E-3</v>
      </c>
      <c r="U962" s="34">
        <f>_xll.qlYieldTSDiscount(OisCurve,Q962,,AllTriggers)</f>
        <v>0.81952307028616544</v>
      </c>
      <c r="V962" s="34">
        <f>_xll.qlYieldTSDiscount(OisCurve,R962,,AllTriggers)</f>
        <v>0.8177483428089366</v>
      </c>
      <c r="W962" s="33">
        <f t="shared" si="62"/>
        <v>8.4923263269552577E-3</v>
      </c>
      <c r="X962" s="35">
        <f t="shared" si="63"/>
        <v>1.4645058344878078E-4</v>
      </c>
      <c r="Y962" s="33">
        <f t="shared" si="64"/>
        <v>5.743532627560978E-4</v>
      </c>
      <c r="Z962" s="54"/>
    </row>
    <row r="963" spans="15:26" x14ac:dyDescent="0.25">
      <c r="O963" s="37" t="s">
        <v>19</v>
      </c>
      <c r="P963" s="31">
        <f>_xll.qlCalendarAdvance(Calendar,P962,O962,"f",,Trigger)</f>
        <v>53111</v>
      </c>
      <c r="Q963" s="31">
        <f>_xll.qlInterestRateIndexValueDate(Index,P963,Trigger)</f>
        <v>53113</v>
      </c>
      <c r="R963" s="31">
        <f>_xll.qlInterestRateIndexMaturity(Index,Q963,Trigger)</f>
        <v>53205</v>
      </c>
      <c r="S963" s="32">
        <f>_xll.qlDayCounterYearFraction(DayCounter,Q963,R963,,,Trigger)</f>
        <v>0.25555555555555554</v>
      </c>
      <c r="T963" s="33">
        <f>_xll.qlIndexFixing(Index,P963,,AllTriggers)</f>
        <v>9.0698790265398704E-3</v>
      </c>
      <c r="U963" s="34">
        <f>_xll.qlYieldTSDiscount(OisCurve,Q963,,AllTriggers)</f>
        <v>0.81898303677826323</v>
      </c>
      <c r="V963" s="34">
        <f>_xll.qlYieldTSDiscount(OisCurve,R963,,AllTriggers)</f>
        <v>0.81720806862830564</v>
      </c>
      <c r="W963" s="33">
        <f t="shared" si="62"/>
        <v>8.4990932051982222E-3</v>
      </c>
      <c r="X963" s="35">
        <f t="shared" si="63"/>
        <v>1.4554075995515292E-4</v>
      </c>
      <c r="Y963" s="33">
        <f t="shared" si="64"/>
        <v>5.7078582134164821E-4</v>
      </c>
      <c r="Z963" s="54"/>
    </row>
    <row r="964" spans="15:26" x14ac:dyDescent="0.25">
      <c r="O964" s="37" t="s">
        <v>19</v>
      </c>
      <c r="P964" s="31">
        <f>_xll.qlCalendarAdvance(Calendar,P963,O963,"f",,Trigger)</f>
        <v>53142</v>
      </c>
      <c r="Q964" s="31">
        <f>_xll.qlInterestRateIndexValueDate(Index,P964,Trigger)</f>
        <v>53146</v>
      </c>
      <c r="R964" s="31">
        <f>_xll.qlInterestRateIndexMaturity(Index,Q964,Trigger)</f>
        <v>53238</v>
      </c>
      <c r="S964" s="32">
        <f>_xll.qlDayCounterYearFraction(DayCounter,Q964,R964,,,Trigger)</f>
        <v>0.25555555555555554</v>
      </c>
      <c r="T964" s="33">
        <f>_xll.qlIndexFixing(Index,P964,,AllTriggers)</f>
        <v>9.0732754815588436E-3</v>
      </c>
      <c r="U964" s="34">
        <f>_xll.qlYieldTSDiscount(OisCurve,Q964,,AllTriggers)</f>
        <v>0.81834644531168366</v>
      </c>
      <c r="V964" s="34">
        <f>_xll.qlYieldTSDiscount(OisCurve,R964,,AllTriggers)</f>
        <v>0.81657128241297128</v>
      </c>
      <c r="W964" s="33">
        <f t="shared" ref="W964:W1027" si="65">(U964/V964-1)/S964</f>
        <v>8.5066542912589603E-3</v>
      </c>
      <c r="X964" s="35">
        <f t="shared" ref="X964:X1027" si="66">LN((1+T964*S964)/(1+W964*S964))</f>
        <v>1.4447864742334014E-4</v>
      </c>
      <c r="Y964" s="33">
        <f t="shared" ref="Y964:Y1027" si="67">T964-W964</f>
        <v>5.6662119029988328E-4</v>
      </c>
      <c r="Z964" s="54"/>
    </row>
    <row r="965" spans="15:26" x14ac:dyDescent="0.25">
      <c r="O965" s="37" t="s">
        <v>19</v>
      </c>
      <c r="P965" s="31">
        <f>_xll.qlCalendarAdvance(Calendar,P964,O964,"f",,Trigger)</f>
        <v>53174</v>
      </c>
      <c r="Q965" s="31">
        <f>_xll.qlInterestRateIndexValueDate(Index,P965,Trigger)</f>
        <v>53176</v>
      </c>
      <c r="R965" s="31">
        <f>_xll.qlInterestRateIndexMaturity(Index,Q965,Trigger)</f>
        <v>53268</v>
      </c>
      <c r="S965" s="32">
        <f>_xll.qlDayCounterYearFraction(DayCounter,Q965,R965,,,Trigger)</f>
        <v>0.25555555555555554</v>
      </c>
      <c r="T965" s="33">
        <f>_xll.qlIndexFixing(Index,P965,,AllTriggers)</f>
        <v>9.0760117286772923E-3</v>
      </c>
      <c r="U965" s="34">
        <f>_xll.qlYieldTSDiscount(OisCurve,Q965,,AllTriggers)</f>
        <v>0.81776763753164661</v>
      </c>
      <c r="V965" s="34">
        <f>_xll.qlYieldTSDiscount(OisCurve,R965,,AllTriggers)</f>
        <v>0.81599238082430925</v>
      </c>
      <c r="W965" s="33">
        <f t="shared" si="65"/>
        <v>8.513139147044364E-3</v>
      </c>
      <c r="X965" s="35">
        <f t="shared" si="66"/>
        <v>1.4352264802671176E-4</v>
      </c>
      <c r="Y965" s="33">
        <f t="shared" si="67"/>
        <v>5.628725816329283E-4</v>
      </c>
      <c r="Z965" s="54"/>
    </row>
    <row r="966" spans="15:26" x14ac:dyDescent="0.25">
      <c r="O966" s="37" t="s">
        <v>19</v>
      </c>
      <c r="P966" s="31">
        <f>_xll.qlCalendarAdvance(Calendar,P965,O965,"f",,Trigger)</f>
        <v>53205</v>
      </c>
      <c r="Q966" s="31">
        <f>_xll.qlInterestRateIndexValueDate(Index,P966,Trigger)</f>
        <v>53209</v>
      </c>
      <c r="R966" s="31">
        <f>_xll.qlInterestRateIndexMaturity(Index,Q966,Trigger)</f>
        <v>53300</v>
      </c>
      <c r="S966" s="32">
        <f>_xll.qlDayCounterYearFraction(DayCounter,Q966,R966,,,Trigger)</f>
        <v>0.25277777777777777</v>
      </c>
      <c r="T966" s="33">
        <f>_xll.qlIndexFixing(Index,P966,,AllTriggers)</f>
        <v>9.0784867428035428E-3</v>
      </c>
      <c r="U966" s="34">
        <f>_xll.qlYieldTSDiscount(OisCurve,Q966,,AllTriggers)</f>
        <v>0.81713088381718801</v>
      </c>
      <c r="V966" s="34">
        <f>_xll.qlYieldTSDiscount(OisCurve,R966,,AllTriggers)</f>
        <v>0.81537491042014532</v>
      </c>
      <c r="W966" s="33">
        <f t="shared" si="65"/>
        <v>8.5196488824577001E-3</v>
      </c>
      <c r="X966" s="35">
        <f t="shared" si="66"/>
        <v>1.4094829427259225E-4</v>
      </c>
      <c r="Y966" s="33">
        <f t="shared" si="67"/>
        <v>5.5883786034584271E-4</v>
      </c>
      <c r="Z966" s="54"/>
    </row>
    <row r="967" spans="15:26" x14ac:dyDescent="0.25">
      <c r="O967" s="37" t="s">
        <v>19</v>
      </c>
      <c r="P967" s="31">
        <f>_xll.qlCalendarAdvance(Calendar,P966,O966,"f",,Trigger)</f>
        <v>53237</v>
      </c>
      <c r="Q967" s="31">
        <f>_xll.qlInterestRateIndexValueDate(Index,P967,Trigger)</f>
        <v>53239</v>
      </c>
      <c r="R967" s="31">
        <f>_xll.qlInterestRateIndexMaturity(Index,Q967,Trigger)</f>
        <v>53331</v>
      </c>
      <c r="S967" s="32">
        <f>_xll.qlDayCounterYearFraction(DayCounter,Q967,R967,,,Trigger)</f>
        <v>0.25555555555555554</v>
      </c>
      <c r="T967" s="33">
        <f>_xll.qlIndexFixing(Index,P967,,AllTriggers)</f>
        <v>9.0806683828169744E-3</v>
      </c>
      <c r="U967" s="34">
        <f>_xll.qlYieldTSDiscount(OisCurve,Q967,,AllTriggers)</f>
        <v>0.816551985613863</v>
      </c>
      <c r="V967" s="34">
        <f>_xll.qlYieldTSDiscount(OisCurve,R967,,AllTriggers)</f>
        <v>0.81477678893687899</v>
      </c>
      <c r="W967" s="33">
        <f t="shared" si="65"/>
        <v>8.5255518736196533E-3</v>
      </c>
      <c r="X967" s="35">
        <f t="shared" si="66"/>
        <v>1.4154467738934927E-4</v>
      </c>
      <c r="Y967" s="33">
        <f t="shared" si="67"/>
        <v>5.5511650919732106E-4</v>
      </c>
      <c r="Z967" s="54"/>
    </row>
    <row r="968" spans="15:26" x14ac:dyDescent="0.25">
      <c r="O968" s="37" t="s">
        <v>19</v>
      </c>
      <c r="P968" s="31">
        <f>_xll.qlCalendarAdvance(Calendar,P967,O967,"f",,Trigger)</f>
        <v>53268</v>
      </c>
      <c r="Q968" s="31">
        <f>_xll.qlInterestRateIndexValueDate(Index,P968,Trigger)</f>
        <v>53272</v>
      </c>
      <c r="R968" s="31">
        <f>_xll.qlInterestRateIndexMaturity(Index,Q968,Trigger)</f>
        <v>53364</v>
      </c>
      <c r="S968" s="32">
        <f>_xll.qlDayCounterYearFraction(DayCounter,Q968,R968,,,Trigger)</f>
        <v>0.25555555555555554</v>
      </c>
      <c r="T968" s="33">
        <f>_xll.qlIndexFixing(Index,P968,,AllTriggers)</f>
        <v>9.0825185003926365E-3</v>
      </c>
      <c r="U968" s="34">
        <f>_xll.qlYieldTSDiscount(OisCurve,Q968,,AllTriggers)</f>
        <v>0.8159151950305249</v>
      </c>
      <c r="V968" s="34">
        <f>_xll.qlYieldTSDiscount(OisCurve,R968,,AllTriggers)</f>
        <v>0.81414016823307844</v>
      </c>
      <c r="W968" s="33">
        <f t="shared" si="65"/>
        <v>8.5314019679929298E-3</v>
      </c>
      <c r="X968" s="35">
        <f t="shared" si="66"/>
        <v>1.4052461763901518E-4</v>
      </c>
      <c r="Y968" s="33">
        <f t="shared" si="67"/>
        <v>5.5111653239970672E-4</v>
      </c>
      <c r="Z968" s="54"/>
    </row>
    <row r="969" spans="15:26" x14ac:dyDescent="0.25">
      <c r="O969" s="37" t="s">
        <v>19</v>
      </c>
      <c r="P969" s="31">
        <f>_xll.qlCalendarAdvance(Calendar,P968,O968,"f",,Trigger)</f>
        <v>53300</v>
      </c>
      <c r="Q969" s="31">
        <f>_xll.qlInterestRateIndexValueDate(Index,P969,Trigger)</f>
        <v>53302</v>
      </c>
      <c r="R969" s="31">
        <f>_xll.qlInterestRateIndexMaturity(Index,Q969,Trigger)</f>
        <v>53392</v>
      </c>
      <c r="S969" s="32">
        <f>_xll.qlDayCounterYearFraction(DayCounter,Q969,R969,,,Trigger)</f>
        <v>0.25</v>
      </c>
      <c r="T969" s="33">
        <f>_xll.qlIndexFixing(Index,P969,,AllTriggers)</f>
        <v>9.0835866379004315E-3</v>
      </c>
      <c r="U969" s="34">
        <f>_xll.qlYieldTSDiscount(OisCurve,Q969,,AllTriggers)</f>
        <v>0.81533632005274947</v>
      </c>
      <c r="V969" s="34">
        <f>_xll.qlYieldTSDiscount(OisCurve,R969,,AllTriggers)</f>
        <v>0.8136001021114917</v>
      </c>
      <c r="W969" s="33">
        <f t="shared" si="65"/>
        <v>8.5359770076323116E-3</v>
      </c>
      <c r="X969" s="35">
        <f t="shared" si="66"/>
        <v>1.3660155031618214E-4</v>
      </c>
      <c r="Y969" s="33">
        <f t="shared" si="67"/>
        <v>5.4760963026811993E-4</v>
      </c>
      <c r="Z969" s="54"/>
    </row>
    <row r="970" spans="15:26" x14ac:dyDescent="0.25">
      <c r="O970" s="37" t="s">
        <v>19</v>
      </c>
      <c r="P970" s="31">
        <f>_xll.qlCalendarAdvance(Calendar,P969,O969,"f",,Trigger)</f>
        <v>53331</v>
      </c>
      <c r="Q970" s="31">
        <f>_xll.qlInterestRateIndexValueDate(Index,P970,Trigger)</f>
        <v>53335</v>
      </c>
      <c r="R970" s="31">
        <f>_xll.qlInterestRateIndexMaturity(Index,Q970,Trigger)</f>
        <v>53426</v>
      </c>
      <c r="S970" s="32">
        <f>_xll.qlDayCounterYearFraction(DayCounter,Q970,R970,,,Trigger)</f>
        <v>0.25277777777777777</v>
      </c>
      <c r="T970" s="33">
        <f>_xll.qlIndexFixing(Index,P970,,AllTriggers)</f>
        <v>9.0848009256803176E-3</v>
      </c>
      <c r="U970" s="34">
        <f>_xll.qlYieldTSDiscount(OisCurve,Q970,,AllTriggers)</f>
        <v>0.81469961724894358</v>
      </c>
      <c r="V970" s="34">
        <f>_xll.qlYieldTSDiscount(OisCurve,R970,,AllTriggers)</f>
        <v>0.81294445852959363</v>
      </c>
      <c r="W970" s="33">
        <f t="shared" si="65"/>
        <v>8.5411555128147437E-3</v>
      </c>
      <c r="X970" s="35">
        <f t="shared" si="66"/>
        <v>1.3711602277981363E-4</v>
      </c>
      <c r="Y970" s="33">
        <f t="shared" si="67"/>
        <v>5.4364541286557391E-4</v>
      </c>
      <c r="Z970" s="54"/>
    </row>
    <row r="971" spans="15:26" x14ac:dyDescent="0.25">
      <c r="O971" s="37" t="s">
        <v>19</v>
      </c>
      <c r="P971" s="31">
        <f>_xll.qlCalendarAdvance(Calendar,P970,O970,"f",,Trigger)</f>
        <v>53363</v>
      </c>
      <c r="Q971" s="31">
        <f>_xll.qlInterestRateIndexValueDate(Index,P971,Trigger)</f>
        <v>53365</v>
      </c>
      <c r="R971" s="31">
        <f>_xll.qlInterestRateIndexMaturity(Index,Q971,Trigger)</f>
        <v>53454</v>
      </c>
      <c r="S971" s="32">
        <f>_xll.qlDayCounterYearFraction(DayCounter,Q971,R971,,,Trigger)</f>
        <v>0.24722222222222223</v>
      </c>
      <c r="T971" s="33">
        <f>_xll.qlIndexFixing(Index,P971,,AllTriggers)</f>
        <v>9.0851948399473595E-3</v>
      </c>
      <c r="U971" s="34">
        <f>_xll.qlYieldTSDiscount(OisCurve,Q971,,AllTriggers)</f>
        <v>0.81412087848136738</v>
      </c>
      <c r="V971" s="34">
        <f>_xll.qlYieldTSDiscount(OisCurve,R971,,AllTriggers)</f>
        <v>0.81240466553258883</v>
      </c>
      <c r="W971" s="33">
        <f t="shared" si="65"/>
        <v>8.5449841142901765E-3</v>
      </c>
      <c r="X971" s="35">
        <f t="shared" si="66"/>
        <v>1.3326168094600214E-4</v>
      </c>
      <c r="Y971" s="33">
        <f t="shared" si="67"/>
        <v>5.4021072565718295E-4</v>
      </c>
      <c r="Z971" s="54"/>
    </row>
    <row r="972" spans="15:26" x14ac:dyDescent="0.25">
      <c r="O972" s="37" t="s">
        <v>19</v>
      </c>
      <c r="P972" s="31">
        <f>_xll.qlCalendarAdvance(Calendar,P971,O971,"f",,Trigger)</f>
        <v>53391</v>
      </c>
      <c r="Q972" s="31">
        <f>_xll.qlInterestRateIndexValueDate(Index,P972,Trigger)</f>
        <v>53393</v>
      </c>
      <c r="R972" s="31">
        <f>_xll.qlInterestRateIndexMaturity(Index,Q972,Trigger)</f>
        <v>53485</v>
      </c>
      <c r="S972" s="32">
        <f>_xll.qlDayCounterYearFraction(DayCounter,Q972,R972,,,Trigger)</f>
        <v>0.25555555555555554</v>
      </c>
      <c r="T972" s="33">
        <f>_xll.qlIndexFixing(Index,P972,,AllTriggers)</f>
        <v>9.0858373062792687E-3</v>
      </c>
      <c r="U972" s="34">
        <f>_xll.qlYieldTSDiscount(OisCurve,Q972,,AllTriggers)</f>
        <v>0.81358081596312537</v>
      </c>
      <c r="V972" s="34">
        <f>_xll.qlYieldTSDiscount(OisCurve,R972,,AllTriggers)</f>
        <v>0.81180722083691781</v>
      </c>
      <c r="W972" s="33">
        <f t="shared" si="65"/>
        <v>8.5490183673495885E-3</v>
      </c>
      <c r="X972" s="35">
        <f t="shared" si="66"/>
        <v>1.368786279322934E-4</v>
      </c>
      <c r="Y972" s="33">
        <f t="shared" si="67"/>
        <v>5.368189389296802E-4</v>
      </c>
      <c r="Z972" s="54"/>
    </row>
    <row r="973" spans="15:26" x14ac:dyDescent="0.25">
      <c r="O973" s="37" t="s">
        <v>19</v>
      </c>
      <c r="P973" s="31">
        <f>_xll.qlCalendarAdvance(Calendar,P972,O972,"f",,Trigger)</f>
        <v>53422</v>
      </c>
      <c r="Q973" s="31">
        <f>_xll.qlInterestRateIndexValueDate(Index,P973,Trigger)</f>
        <v>53426</v>
      </c>
      <c r="R973" s="31">
        <f>_xll.qlInterestRateIndexMaturity(Index,Q973,Trigger)</f>
        <v>53517</v>
      </c>
      <c r="S973" s="32">
        <f>_xll.qlDayCounterYearFraction(DayCounter,Q973,R973,,,Trigger)</f>
        <v>0.25277777777777777</v>
      </c>
      <c r="T973" s="33">
        <f>_xll.qlIndexFixing(Index,P973,,AllTriggers)</f>
        <v>9.0856893408353852E-3</v>
      </c>
      <c r="U973" s="34">
        <f>_xll.qlYieldTSDiscount(OisCurve,Q973,,AllTriggers)</f>
        <v>0.81294445852959363</v>
      </c>
      <c r="V973" s="34">
        <f>_xll.qlYieldTSDiscount(OisCurve,R973,,AllTriggers)</f>
        <v>0.81119073425151744</v>
      </c>
      <c r="W973" s="33">
        <f t="shared" si="65"/>
        <v>8.552625218595929E-3</v>
      </c>
      <c r="X973" s="35">
        <f t="shared" si="66"/>
        <v>1.3444704339249657E-4</v>
      </c>
      <c r="Y973" s="33">
        <f t="shared" si="67"/>
        <v>5.3306412223945616E-4</v>
      </c>
      <c r="Z973" s="54"/>
    </row>
    <row r="974" spans="15:26" x14ac:dyDescent="0.25">
      <c r="O974" s="37" t="s">
        <v>19</v>
      </c>
      <c r="P974" s="31">
        <f>_xll.qlCalendarAdvance(Calendar,P973,O973,"f",,Trigger)</f>
        <v>53454</v>
      </c>
      <c r="Q974" s="31">
        <f>_xll.qlInterestRateIndexValueDate(Index,P974,Trigger)</f>
        <v>53456</v>
      </c>
      <c r="R974" s="31">
        <f>_xll.qlInterestRateIndexMaturity(Index,Q974,Trigger)</f>
        <v>53548</v>
      </c>
      <c r="S974" s="32">
        <f>_xll.qlDayCounterYearFraction(DayCounter,Q974,R974,,,Trigger)</f>
        <v>0.25555555555555554</v>
      </c>
      <c r="T974" s="33">
        <f>_xll.qlIndexFixing(Index,P974,,AllTriggers)</f>
        <v>9.0854097652462561E-3</v>
      </c>
      <c r="U974" s="34">
        <f>_xll.qlYieldTSDiscount(OisCurve,Q974,,AllTriggers)</f>
        <v>0.81236611463106589</v>
      </c>
      <c r="V974" s="34">
        <f>_xll.qlYieldTSDiscount(OisCurve,R974,,AllTriggers)</f>
        <v>0.81059376464238519</v>
      </c>
      <c r="W974" s="33">
        <f t="shared" si="65"/>
        <v>8.5558054686766302E-3</v>
      </c>
      <c r="X974" s="35">
        <f t="shared" si="66"/>
        <v>1.3503892174175796E-4</v>
      </c>
      <c r="Y974" s="33">
        <f t="shared" si="67"/>
        <v>5.2960429656962599E-4</v>
      </c>
      <c r="Z974" s="54"/>
    </row>
    <row r="975" spans="15:26" x14ac:dyDescent="0.25">
      <c r="O975" s="37" t="s">
        <v>19</v>
      </c>
      <c r="P975" s="31">
        <f>_xll.qlCalendarAdvance(Calendar,P974,O974,"f",,Trigger)</f>
        <v>53485</v>
      </c>
      <c r="Q975" s="31">
        <f>_xll.qlInterestRateIndexValueDate(Index,P975,Trigger)</f>
        <v>53489</v>
      </c>
      <c r="R975" s="31">
        <f>_xll.qlInterestRateIndexMaturity(Index,Q975,Trigger)</f>
        <v>53581</v>
      </c>
      <c r="S975" s="32">
        <f>_xll.qlDayCounterYearFraction(DayCounter,Q975,R975,,,Trigger)</f>
        <v>0.25555555555555554</v>
      </c>
      <c r="T975" s="33">
        <f>_xll.qlIndexFixing(Index,P975,,AllTriggers)</f>
        <v>9.0845967304684933E-3</v>
      </c>
      <c r="U975" s="34">
        <f>_xll.qlYieldTSDiscount(OisCurve,Q975,,AllTriggers)</f>
        <v>0.81173014659865395</v>
      </c>
      <c r="V975" s="34">
        <f>_xll.qlYieldTSDiscount(OisCurve,R975,,AllTriggers)</f>
        <v>0.80995858446394609</v>
      </c>
      <c r="W975" s="33">
        <f t="shared" si="65"/>
        <v>8.5587087914379655E-3</v>
      </c>
      <c r="X975" s="35">
        <f t="shared" si="66"/>
        <v>1.3409128622474223E-4</v>
      </c>
      <c r="Y975" s="33">
        <f t="shared" si="67"/>
        <v>5.2588793903052787E-4</v>
      </c>
      <c r="Z975" s="54"/>
    </row>
    <row r="976" spans="15:26" x14ac:dyDescent="0.25">
      <c r="O976" s="37" t="s">
        <v>19</v>
      </c>
      <c r="P976" s="31">
        <f>_xll.qlCalendarAdvance(Calendar,P975,O975,"f",,Trigger)</f>
        <v>53517</v>
      </c>
      <c r="Q976" s="31">
        <f>_xll.qlInterestRateIndexValueDate(Index,P976,Trigger)</f>
        <v>53519</v>
      </c>
      <c r="R976" s="31">
        <f>_xll.qlInterestRateIndexMaturity(Index,Q976,Trigger)</f>
        <v>53611</v>
      </c>
      <c r="S976" s="32">
        <f>_xll.qlDayCounterYearFraction(DayCounter,Q976,R976,,,Trigger)</f>
        <v>0.25555555555555554</v>
      </c>
      <c r="T976" s="33">
        <f>_xll.qlIndexFixing(Index,P976,,AllTriggers)</f>
        <v>9.0835061656031231E-3</v>
      </c>
      <c r="U976" s="34">
        <f>_xll.qlYieldTSDiscount(OisCurve,Q976,,AllTriggers)</f>
        <v>0.81115221230095147</v>
      </c>
      <c r="V976" s="34">
        <f>_xll.qlYieldTSDiscount(OisCurve,R976,,AllTriggers)</f>
        <v>0.80938144699625736</v>
      </c>
      <c r="W976" s="33">
        <f t="shared" si="65"/>
        <v>8.5609593014258981E-3</v>
      </c>
      <c r="X976" s="35">
        <f t="shared" si="66"/>
        <v>1.332393568411583E-4</v>
      </c>
      <c r="Y976" s="33">
        <f t="shared" si="67"/>
        <v>5.2254686417722504E-4</v>
      </c>
      <c r="Z976" s="54"/>
    </row>
    <row r="977" spans="15:26" x14ac:dyDescent="0.25">
      <c r="O977" s="37" t="s">
        <v>19</v>
      </c>
      <c r="P977" s="31">
        <f>_xll.qlCalendarAdvance(Calendar,P976,O976,"f",,Trigger)</f>
        <v>53548</v>
      </c>
      <c r="Q977" s="31">
        <f>_xll.qlInterestRateIndexValueDate(Index,P977,Trigger)</f>
        <v>53552</v>
      </c>
      <c r="R977" s="31">
        <f>_xll.qlInterestRateIndexMaturity(Index,Q977,Trigger)</f>
        <v>53644</v>
      </c>
      <c r="S977" s="32">
        <f>_xll.qlDayCounterYearFraction(DayCounter,Q977,R977,,,Trigger)</f>
        <v>0.25555555555555554</v>
      </c>
      <c r="T977" s="33">
        <f>_xll.qlIndexFixing(Index,P977,,AllTriggers)</f>
        <v>9.0819199580213193E-3</v>
      </c>
      <c r="U977" s="34">
        <f>_xll.qlYieldTSDiscount(OisCurve,Q977,,AllTriggers)</f>
        <v>0.81051675580426819</v>
      </c>
      <c r="V977" s="34">
        <f>_xll.qlYieldTSDiscount(OisCurve,R977,,AllTriggers)</f>
        <v>0.80874695540221131</v>
      </c>
      <c r="W977" s="33">
        <f t="shared" si="65"/>
        <v>8.5630070998515117E-3</v>
      </c>
      <c r="X977" s="35">
        <f t="shared" si="66"/>
        <v>1.3231274771471061E-4</v>
      </c>
      <c r="Y977" s="33">
        <f t="shared" si="67"/>
        <v>5.1891285816980763E-4</v>
      </c>
      <c r="Z977" s="54"/>
    </row>
    <row r="978" spans="15:26" x14ac:dyDescent="0.25">
      <c r="O978" s="37" t="s">
        <v>19</v>
      </c>
      <c r="P978" s="31">
        <f>_xll.qlCalendarAdvance(Calendar,P977,O977,"f",,Trigger)</f>
        <v>53580</v>
      </c>
      <c r="Q978" s="31">
        <f>_xll.qlInterestRateIndexValueDate(Index,P978,Trigger)</f>
        <v>53582</v>
      </c>
      <c r="R978" s="31">
        <f>_xll.qlInterestRateIndexMaturity(Index,Q978,Trigger)</f>
        <v>53673</v>
      </c>
      <c r="S978" s="32">
        <f>_xll.qlDayCounterYearFraction(DayCounter,Q978,R978,,,Trigger)</f>
        <v>0.25277777777777777</v>
      </c>
      <c r="T978" s="33">
        <f>_xll.qlIndexFixing(Index,P978,,AllTriggers)</f>
        <v>9.0800475552112146E-3</v>
      </c>
      <c r="U978" s="34">
        <f>_xll.qlYieldTSDiscount(OisCurve,Q978,,AllTriggers)</f>
        <v>0.80993934180795812</v>
      </c>
      <c r="V978" s="34">
        <f>_xll.qlYieldTSDiscount(OisCurve,R978,,AllTriggers)</f>
        <v>0.80818970822638947</v>
      </c>
      <c r="W978" s="33">
        <f t="shared" si="65"/>
        <v>8.5643596858540338E-3</v>
      </c>
      <c r="X978" s="35">
        <f t="shared" si="66"/>
        <v>1.3006438283594924E-4</v>
      </c>
      <c r="Y978" s="33">
        <f t="shared" si="67"/>
        <v>5.1568786935718078E-4</v>
      </c>
      <c r="Z978" s="54"/>
    </row>
    <row r="979" spans="15:26" x14ac:dyDescent="0.25">
      <c r="O979" s="37" t="s">
        <v>19</v>
      </c>
      <c r="P979" s="31">
        <f>_xll.qlCalendarAdvance(Calendar,P978,O978,"f",,Trigger)</f>
        <v>53610</v>
      </c>
      <c r="Q979" s="31">
        <f>_xll.qlInterestRateIndexValueDate(Index,P979,Trigger)</f>
        <v>53612</v>
      </c>
      <c r="R979" s="31">
        <f>_xll.qlInterestRateIndexMaturity(Index,Q979,Trigger)</f>
        <v>53706</v>
      </c>
      <c r="S979" s="32">
        <f>_xll.qlDayCounterYearFraction(DayCounter,Q979,R979,,,Trigger)</f>
        <v>0.26111111111111113</v>
      </c>
      <c r="T979" s="33">
        <f>_xll.qlIndexFixing(Index,P979,,AllTriggers)</f>
        <v>9.0781446275861235E-3</v>
      </c>
      <c r="U979" s="34">
        <f>_xll.qlYieldTSDiscount(OisCurve,Q979,,AllTriggers)</f>
        <v>0.80936221429083266</v>
      </c>
      <c r="V979" s="34">
        <f>_xll.qlYieldTSDiscount(OisCurve,R979,,AllTriggers)</f>
        <v>0.80755601178782166</v>
      </c>
      <c r="W979" s="33">
        <f t="shared" si="65"/>
        <v>8.565809909349657E-3</v>
      </c>
      <c r="X979" s="35">
        <f t="shared" si="66"/>
        <v>1.3346884009117407E-4</v>
      </c>
      <c r="Y979" s="33">
        <f t="shared" si="67"/>
        <v>5.1233471823646654E-4</v>
      </c>
      <c r="Z979" s="54"/>
    </row>
    <row r="980" spans="15:26" x14ac:dyDescent="0.25">
      <c r="O980" s="37" t="s">
        <v>19</v>
      </c>
      <c r="P980" s="31">
        <f>_xll.qlCalendarAdvance(Calendar,P979,O979,"f",,Trigger)</f>
        <v>53643</v>
      </c>
      <c r="Q980" s="31">
        <f>_xll.qlInterestRateIndexValueDate(Index,P980,Trigger)</f>
        <v>53645</v>
      </c>
      <c r="R980" s="31">
        <f>_xll.qlInterestRateIndexMaturity(Index,Q980,Trigger)</f>
        <v>53737</v>
      </c>
      <c r="S980" s="32">
        <f>_xll.qlDayCounterYearFraction(DayCounter,Q980,R980,,,Trigger)</f>
        <v>0.25555555555555554</v>
      </c>
      <c r="T980" s="33">
        <f>_xll.qlIndexFixing(Index,P980,,AllTriggers)</f>
        <v>9.0752708007582738E-3</v>
      </c>
      <c r="U980" s="34">
        <f>_xll.qlYieldTSDiscount(OisCurve,Q980,,AllTriggers)</f>
        <v>0.80872773459891278</v>
      </c>
      <c r="V980" s="34">
        <f>_xll.qlYieldTSDiscount(OisCurve,R980,,AllTriggers)</f>
        <v>0.80696114920109308</v>
      </c>
      <c r="W980" s="33">
        <f t="shared" si="65"/>
        <v>8.5663671374674767E-3</v>
      </c>
      <c r="X980" s="35">
        <f t="shared" si="66"/>
        <v>1.2976065091393203E-4</v>
      </c>
      <c r="Y980" s="33">
        <f t="shared" si="67"/>
        <v>5.0890366329079707E-4</v>
      </c>
      <c r="Z980" s="54"/>
    </row>
    <row r="981" spans="15:26" x14ac:dyDescent="0.25">
      <c r="O981" s="37" t="s">
        <v>19</v>
      </c>
      <c r="P981" s="31">
        <f>_xll.qlCalendarAdvance(Calendar,P980,O980,"f",,Trigger)</f>
        <v>53673</v>
      </c>
      <c r="Q981" s="31">
        <f>_xll.qlInterestRateIndexValueDate(Index,P981,Trigger)</f>
        <v>53675</v>
      </c>
      <c r="R981" s="31">
        <f>_xll.qlInterestRateIndexMaturity(Index,Q981,Trigger)</f>
        <v>53765</v>
      </c>
      <c r="S981" s="32">
        <f>_xll.qlDayCounterYearFraction(DayCounter,Q981,R981,,,Trigger)</f>
        <v>0.25</v>
      </c>
      <c r="T981" s="33">
        <f>_xll.qlIndexFixing(Index,P981,,AllTriggers)</f>
        <v>9.0723167051702802E-3</v>
      </c>
      <c r="U981" s="34">
        <f>_xll.qlYieldTSDiscount(OisCurve,Q981,,AllTriggers)</f>
        <v>0.80815128959113625</v>
      </c>
      <c r="V981" s="34">
        <f>_xll.qlYieldTSDiscount(OisCurve,R981,,AllTriggers)</f>
        <v>0.80642423341562453</v>
      </c>
      <c r="W981" s="33">
        <f t="shared" si="65"/>
        <v>8.5664894676922287E-3</v>
      </c>
      <c r="X981" s="35">
        <f t="shared" si="66"/>
        <v>1.261786045438073E-4</v>
      </c>
      <c r="Y981" s="33">
        <f t="shared" si="67"/>
        <v>5.0582723747805147E-4</v>
      </c>
      <c r="Z981" s="54"/>
    </row>
    <row r="982" spans="15:26" x14ac:dyDescent="0.25">
      <c r="O982" s="37" t="s">
        <v>19</v>
      </c>
      <c r="P982" s="31">
        <f>_xll.qlCalendarAdvance(Calendar,P981,O981,"f",,Trigger)</f>
        <v>53706</v>
      </c>
      <c r="Q982" s="31">
        <f>_xll.qlInterestRateIndexValueDate(Index,P982,Trigger)</f>
        <v>53708</v>
      </c>
      <c r="R982" s="31">
        <f>_xll.qlInterestRateIndexMaturity(Index,Q982,Trigger)</f>
        <v>53798</v>
      </c>
      <c r="S982" s="32">
        <f>_xll.qlDayCounterYearFraction(DayCounter,Q982,R982,,,Trigger)</f>
        <v>0.25</v>
      </c>
      <c r="T982" s="33">
        <f>_xll.qlIndexFixing(Index,P982,,AllTriggers)</f>
        <v>9.0688284320510348E-3</v>
      </c>
      <c r="U982" s="34">
        <f>_xll.qlYieldTSDiscount(OisCurve,Q982,,AllTriggers)</f>
        <v>0.80751762073556699</v>
      </c>
      <c r="V982" s="34">
        <f>_xll.qlYieldTSDiscount(OisCurve,R982,,AllTriggers)</f>
        <v>0.80579193021117534</v>
      </c>
      <c r="W982" s="33">
        <f t="shared" si="65"/>
        <v>8.5664323986929247E-3</v>
      </c>
      <c r="X982" s="35">
        <f t="shared" si="66"/>
        <v>1.253227460895644E-4</v>
      </c>
      <c r="Y982" s="33">
        <f t="shared" si="67"/>
        <v>5.0239603335811012E-4</v>
      </c>
      <c r="Z982" s="54"/>
    </row>
    <row r="983" spans="15:26" x14ac:dyDescent="0.25">
      <c r="O983" s="37" t="s">
        <v>19</v>
      </c>
      <c r="P983" s="31">
        <f>_xll.qlCalendarAdvance(Calendar,P982,O982,"f",,Trigger)</f>
        <v>53737</v>
      </c>
      <c r="Q983" s="31">
        <f>_xll.qlInterestRateIndexValueDate(Index,P983,Trigger)</f>
        <v>53741</v>
      </c>
      <c r="R983" s="31">
        <f>_xll.qlInterestRateIndexMaturity(Index,Q983,Trigger)</f>
        <v>53832</v>
      </c>
      <c r="S983" s="32">
        <f>_xll.qlDayCounterYearFraction(DayCounter,Q983,R983,,,Trigger)</f>
        <v>0.25277777777777777</v>
      </c>
      <c r="T983" s="33">
        <f>_xll.qlIndexFixing(Index,P983,,AllTriggers)</f>
        <v>9.0649843235074846E-3</v>
      </c>
      <c r="U983" s="34">
        <f>_xll.qlYieldTSDiscount(OisCurve,Q983,,AllTriggers)</f>
        <v>0.80688442438624741</v>
      </c>
      <c r="V983" s="34">
        <f>_xll.qlYieldTSDiscount(OisCurve,R983,,AllTriggers)</f>
        <v>0.80514105391277035</v>
      </c>
      <c r="W983" s="33">
        <f t="shared" si="65"/>
        <v>8.56601485072425E-3</v>
      </c>
      <c r="X983" s="35">
        <f t="shared" si="66"/>
        <v>1.2584795981423992E-4</v>
      </c>
      <c r="Y983" s="33">
        <f t="shared" si="67"/>
        <v>4.9896947278323459E-4</v>
      </c>
      <c r="Z983" s="54"/>
    </row>
    <row r="984" spans="15:26" x14ac:dyDescent="0.25">
      <c r="O984" s="37" t="s">
        <v>19</v>
      </c>
      <c r="P984" s="31">
        <f>_xll.qlCalendarAdvance(Calendar,P983,O983,"f",,Trigger)</f>
        <v>53765</v>
      </c>
      <c r="Q984" s="31">
        <f>_xll.qlInterestRateIndexValueDate(Index,P984,Trigger)</f>
        <v>53769</v>
      </c>
      <c r="R984" s="31">
        <f>_xll.qlInterestRateIndexMaturity(Index,Q984,Trigger)</f>
        <v>53861</v>
      </c>
      <c r="S984" s="32">
        <f>_xll.qlDayCounterYearFraction(DayCounter,Q984,R984,,,Trigger)</f>
        <v>0.25555555555555554</v>
      </c>
      <c r="T984" s="33">
        <f>_xll.qlIndexFixing(Index,P984,,AllTriggers)</f>
        <v>9.0614018008089194E-3</v>
      </c>
      <c r="U984" s="34">
        <f>_xll.qlYieldTSDiscount(OisCurve,Q984,,AllTriggers)</f>
        <v>0.80634756178256106</v>
      </c>
      <c r="V984" s="34">
        <f>_xll.qlYieldTSDiscount(OisCurve,R984,,AllTriggers)</f>
        <v>0.80458639237464713</v>
      </c>
      <c r="W984" s="33">
        <f t="shared" si="65"/>
        <v>8.5653107373722514E-3</v>
      </c>
      <c r="X984" s="35">
        <f t="shared" si="66"/>
        <v>1.2649392495169362E-4</v>
      </c>
      <c r="Y984" s="33">
        <f t="shared" si="67"/>
        <v>4.9609106343666796E-4</v>
      </c>
      <c r="Z984" s="54"/>
    </row>
    <row r="985" spans="15:26" x14ac:dyDescent="0.25">
      <c r="O985" s="37" t="s">
        <v>19</v>
      </c>
      <c r="P985" s="31">
        <f>_xll.qlCalendarAdvance(Calendar,P984,O984,"f",,Trigger)</f>
        <v>53798</v>
      </c>
      <c r="Q985" s="31">
        <f>_xll.qlInterestRateIndexValueDate(Index,P985,Trigger)</f>
        <v>53800</v>
      </c>
      <c r="R985" s="31">
        <f>_xll.qlInterestRateIndexMaturity(Index,Q985,Trigger)</f>
        <v>53891</v>
      </c>
      <c r="S985" s="32">
        <f>_xll.qlDayCounterYearFraction(DayCounter,Q985,R985,,,Trigger)</f>
        <v>0.25277777777777777</v>
      </c>
      <c r="T985" s="33">
        <f>_xll.qlIndexFixing(Index,P985,,AllTriggers)</f>
        <v>9.0570032441777554E-3</v>
      </c>
      <c r="U985" s="34">
        <f>_xll.qlYieldTSDiscount(OisCurve,Q985,,AllTriggers)</f>
        <v>0.80575362652386762</v>
      </c>
      <c r="V985" s="34">
        <f>_xll.qlYieldTSDiscount(OisCurve,R985,,AllTriggers)</f>
        <v>0.80401311139470155</v>
      </c>
      <c r="W985" s="33">
        <f t="shared" si="65"/>
        <v>8.5639826758501583E-3</v>
      </c>
      <c r="X985" s="35">
        <f t="shared" si="66"/>
        <v>1.2434770943137705E-4</v>
      </c>
      <c r="Y985" s="33">
        <f t="shared" si="67"/>
        <v>4.9302056832759705E-4</v>
      </c>
      <c r="Z985" s="54"/>
    </row>
    <row r="986" spans="15:26" x14ac:dyDescent="0.25">
      <c r="O986" s="37" t="s">
        <v>19</v>
      </c>
      <c r="P986" s="31">
        <f>_xll.qlCalendarAdvance(Calendar,P985,O985,"f",,Trigger)</f>
        <v>53828</v>
      </c>
      <c r="Q986" s="31">
        <f>_xll.qlInterestRateIndexValueDate(Index,P986,Trigger)</f>
        <v>53832</v>
      </c>
      <c r="R986" s="31">
        <f>_xll.qlInterestRateIndexMaturity(Index,Q986,Trigger)</f>
        <v>53924</v>
      </c>
      <c r="S986" s="32">
        <f>_xll.qlDayCounterYearFraction(DayCounter,Q986,R986,,,Trigger)</f>
        <v>0.25555555555555554</v>
      </c>
      <c r="T986" s="33">
        <f>_xll.qlIndexFixing(Index,P986,,AllTriggers)</f>
        <v>9.0521648316749977E-3</v>
      </c>
      <c r="U986" s="34">
        <f>_xll.qlYieldTSDiscount(OisCurve,Q986,,AllTriggers)</f>
        <v>0.80514105391277035</v>
      </c>
      <c r="V986" s="34">
        <f>_xll.qlYieldTSDiscount(OisCurve,R986,,AllTriggers)</f>
        <v>0.80338312621115926</v>
      </c>
      <c r="W986" s="33">
        <f t="shared" si="65"/>
        <v>8.5623500215701604E-3</v>
      </c>
      <c r="X986" s="35">
        <f t="shared" si="66"/>
        <v>1.2489379217936377E-4</v>
      </c>
      <c r="Y986" s="33">
        <f t="shared" si="67"/>
        <v>4.8981481010483725E-4</v>
      </c>
      <c r="Z986" s="54"/>
    </row>
    <row r="987" spans="15:26" x14ac:dyDescent="0.25">
      <c r="O987" s="37" t="s">
        <v>19</v>
      </c>
      <c r="P987" s="31">
        <f>_xll.qlCalendarAdvance(Calendar,P986,O986,"f",,Trigger)</f>
        <v>53860</v>
      </c>
      <c r="Q987" s="31">
        <f>_xll.qlInterestRateIndexValueDate(Index,P987,Trigger)</f>
        <v>53862</v>
      </c>
      <c r="R987" s="31">
        <f>_xll.qlInterestRateIndexMaturity(Index,Q987,Trigger)</f>
        <v>53954</v>
      </c>
      <c r="S987" s="32">
        <f>_xll.qlDayCounterYearFraction(DayCounter,Q987,R987,,,Trigger)</f>
        <v>0.25555555555555554</v>
      </c>
      <c r="T987" s="33">
        <f>_xll.qlIndexFixing(Index,P987,,AllTriggers)</f>
        <v>9.0472474913227009E-3</v>
      </c>
      <c r="U987" s="34">
        <f>_xll.qlYieldTSDiscount(OisCurve,Q987,,AllTriggers)</f>
        <v>0.804567274574575</v>
      </c>
      <c r="V987" s="34">
        <f>_xll.qlYieldTSDiscount(OisCurve,R987,,AllTriggers)</f>
        <v>0.80281100578820186</v>
      </c>
      <c r="W987" s="33">
        <f t="shared" si="65"/>
        <v>8.5603661024090342E-3</v>
      </c>
      <c r="X987" s="35">
        <f t="shared" si="66"/>
        <v>1.2414593280923853E-4</v>
      </c>
      <c r="Y987" s="33">
        <f t="shared" si="67"/>
        <v>4.8688138891366667E-4</v>
      </c>
      <c r="Z987" s="54"/>
    </row>
    <row r="988" spans="15:26" x14ac:dyDescent="0.25">
      <c r="O988" s="37" t="s">
        <v>19</v>
      </c>
      <c r="P988" s="31">
        <f>_xll.qlCalendarAdvance(Calendar,P987,O987,"f",,Trigger)</f>
        <v>53890</v>
      </c>
      <c r="Q988" s="31">
        <f>_xll.qlInterestRateIndexValueDate(Index,P988,Trigger)</f>
        <v>53892</v>
      </c>
      <c r="R988" s="31">
        <f>_xll.qlInterestRateIndexMaturity(Index,Q988,Trigger)</f>
        <v>53986</v>
      </c>
      <c r="S988" s="32">
        <f>_xll.qlDayCounterYearFraction(DayCounter,Q988,R988,,,Trigger)</f>
        <v>0.26111111111111113</v>
      </c>
      <c r="T988" s="33">
        <f>_xll.qlIndexFixing(Index,P988,,AllTriggers)</f>
        <v>9.042035781449154E-3</v>
      </c>
      <c r="U988" s="34">
        <f>_xll.qlYieldTSDiscount(OisCurve,Q988,,AllTriggers)</f>
        <v>0.80399401118349512</v>
      </c>
      <c r="V988" s="34">
        <f>_xll.qlYieldTSDiscount(OisCurve,R988,,AllTriggers)</f>
        <v>0.80220139490982545</v>
      </c>
      <c r="W988" s="33">
        <f t="shared" si="65"/>
        <v>8.5581238875918862E-3</v>
      </c>
      <c r="X988" s="35">
        <f t="shared" si="66"/>
        <v>1.2606510023846943E-4</v>
      </c>
      <c r="Y988" s="33">
        <f t="shared" si="67"/>
        <v>4.8391189385726778E-4</v>
      </c>
      <c r="Z988" s="54"/>
    </row>
    <row r="989" spans="15:26" x14ac:dyDescent="0.25">
      <c r="O989" s="37" t="s">
        <v>19</v>
      </c>
      <c r="P989" s="31">
        <f>_xll.qlCalendarAdvance(Calendar,P988,O988,"f",,Trigger)</f>
        <v>53923</v>
      </c>
      <c r="Q989" s="31">
        <f>_xll.qlInterestRateIndexValueDate(Index,P989,Trigger)</f>
        <v>53925</v>
      </c>
      <c r="R989" s="31">
        <f>_xll.qlInterestRateIndexMaturity(Index,Q989,Trigger)</f>
        <v>54017</v>
      </c>
      <c r="S989" s="32">
        <f>_xll.qlDayCounterYearFraction(DayCounter,Q989,R989,,,Trigger)</f>
        <v>0.25555555555555554</v>
      </c>
      <c r="T989" s="33">
        <f>_xll.qlIndexFixing(Index,P989,,AllTriggers)</f>
        <v>9.0358316380860695E-3</v>
      </c>
      <c r="U989" s="34">
        <f>_xll.qlYieldTSDiscount(OisCurve,Q989,,AllTriggers)</f>
        <v>0.80336404627885261</v>
      </c>
      <c r="V989" s="34">
        <f>_xll.qlYieldTSDiscount(OisCurve,R989,,AllTriggers)</f>
        <v>0.80161150202077713</v>
      </c>
      <c r="W989" s="33">
        <f t="shared" si="65"/>
        <v>8.5549943609069846E-3</v>
      </c>
      <c r="X989" s="35">
        <f t="shared" si="66"/>
        <v>1.2260505622823655E-4</v>
      </c>
      <c r="Y989" s="33">
        <f t="shared" si="67"/>
        <v>4.8083727717908482E-4</v>
      </c>
      <c r="Z989" s="54"/>
    </row>
    <row r="990" spans="15:26" x14ac:dyDescent="0.25">
      <c r="O990" s="37" t="s">
        <v>19</v>
      </c>
      <c r="P990" s="31">
        <f>_xll.qlCalendarAdvance(Calendar,P989,O989,"f",,Trigger)</f>
        <v>53954</v>
      </c>
      <c r="Q990" s="31">
        <f>_xll.qlInterestRateIndexValueDate(Index,P990,Trigger)</f>
        <v>53958</v>
      </c>
      <c r="R990" s="31">
        <f>_xll.qlInterestRateIndexMaturity(Index,Q990,Trigger)</f>
        <v>54049</v>
      </c>
      <c r="S990" s="32">
        <f>_xll.qlDayCounterYearFraction(DayCounter,Q990,R990,,,Trigger)</f>
        <v>0.25277777777777777</v>
      </c>
      <c r="T990" s="33">
        <f>_xll.qlIndexFixing(Index,P990,,AllTriggers)</f>
        <v>9.0292550792383502E-3</v>
      </c>
      <c r="U990" s="34">
        <f>_xll.qlYieldTSDiscount(OisCurve,Q990,,AllTriggers)</f>
        <v>0.80273476711863501</v>
      </c>
      <c r="V990" s="34">
        <f>_xll.qlYieldTSDiscount(OisCurve,R990,,AllTriggers)</f>
        <v>0.80100329780922075</v>
      </c>
      <c r="W990" s="33">
        <f t="shared" si="65"/>
        <v>8.5514862614405277E-3</v>
      </c>
      <c r="X990" s="35">
        <f t="shared" si="66"/>
        <v>1.205015844311088E-4</v>
      </c>
      <c r="Y990" s="33">
        <f t="shared" si="67"/>
        <v>4.7776881779782246E-4</v>
      </c>
      <c r="Z990" s="54"/>
    </row>
    <row r="991" spans="15:26" x14ac:dyDescent="0.25">
      <c r="O991" s="37" t="s">
        <v>19</v>
      </c>
      <c r="P991" s="31">
        <f>_xll.qlCalendarAdvance(Calendar,P990,O990,"f",,Trigger)</f>
        <v>53986</v>
      </c>
      <c r="Q991" s="31">
        <f>_xll.qlInterestRateIndexValueDate(Index,P991,Trigger)</f>
        <v>53988</v>
      </c>
      <c r="R991" s="31">
        <f>_xll.qlInterestRateIndexMaturity(Index,Q991,Trigger)</f>
        <v>54080</v>
      </c>
      <c r="S991" s="32">
        <f>_xll.qlDayCounterYearFraction(DayCounter,Q991,R991,,,Trigger)</f>
        <v>0.25555555555555554</v>
      </c>
      <c r="T991" s="33">
        <f>_xll.qlIndexFixing(Index,P991,,AllTriggers)</f>
        <v>9.0229397822145403E-3</v>
      </c>
      <c r="U991" s="34">
        <f>_xll.qlYieldTSDiscount(OisCurve,Q991,,AllTriggers)</f>
        <v>0.8021633171845366</v>
      </c>
      <c r="V991" s="34">
        <f>_xll.qlYieldTSDiscount(OisCurve,R991,,AllTriggers)</f>
        <v>0.80041482207729298</v>
      </c>
      <c r="W991" s="33">
        <f t="shared" si="65"/>
        <v>8.5479893518385277E-3</v>
      </c>
      <c r="X991" s="35">
        <f t="shared" si="66"/>
        <v>1.2110432093815177E-4</v>
      </c>
      <c r="Y991" s="33">
        <f t="shared" si="67"/>
        <v>4.7495043037601263E-4</v>
      </c>
      <c r="Z991" s="54"/>
    </row>
    <row r="992" spans="15:26" x14ac:dyDescent="0.25">
      <c r="O992" s="37" t="s">
        <v>19</v>
      </c>
      <c r="P992" s="31">
        <f>_xll.qlCalendarAdvance(Calendar,P991,O991,"f",,Trigger)</f>
        <v>54017</v>
      </c>
      <c r="Q992" s="31">
        <f>_xll.qlInterestRateIndexValueDate(Index,P992,Trigger)</f>
        <v>54021</v>
      </c>
      <c r="R992" s="31">
        <f>_xll.qlInterestRateIndexMaturity(Index,Q992,Trigger)</f>
        <v>54113</v>
      </c>
      <c r="S992" s="32">
        <f>_xll.qlDayCounterYearFraction(DayCounter,Q992,R992,,,Trigger)</f>
        <v>0.25555555555555554</v>
      </c>
      <c r="T992" s="33">
        <f>_xll.qlIndexFixing(Index,P992,,AllTriggers)</f>
        <v>9.0155978478740524E-3</v>
      </c>
      <c r="U992" s="34">
        <f>_xll.qlYieldTSDiscount(OisCurve,Q992,,AllTriggers)</f>
        <v>0.80153543605613276</v>
      </c>
      <c r="V992" s="34">
        <f>_xll.qlYieldTSDiscount(OisCurve,R992,,AllTriggers)</f>
        <v>0.79978919082649924</v>
      </c>
      <c r="W992" s="33">
        <f t="shared" si="65"/>
        <v>8.5436682386269315E-3</v>
      </c>
      <c r="X992" s="35">
        <f t="shared" si="66"/>
        <v>1.2033424160725123E-4</v>
      </c>
      <c r="Y992" s="33">
        <f t="shared" si="67"/>
        <v>4.7192960924712091E-4</v>
      </c>
      <c r="Z992" s="54"/>
    </row>
    <row r="993" spans="15:26" x14ac:dyDescent="0.25">
      <c r="O993" s="37" t="s">
        <v>19</v>
      </c>
      <c r="P993" s="31">
        <f>_xll.qlCalendarAdvance(Calendar,P992,O992,"f",,Trigger)</f>
        <v>54049</v>
      </c>
      <c r="Q993" s="31">
        <f>_xll.qlInterestRateIndexValueDate(Index,P993,Trigger)</f>
        <v>54053</v>
      </c>
      <c r="R993" s="31">
        <f>_xll.qlInterestRateIndexMaturity(Index,Q993,Trigger)</f>
        <v>54144</v>
      </c>
      <c r="S993" s="32">
        <f>_xll.qlDayCounterYearFraction(DayCounter,Q993,R993,,,Trigger)</f>
        <v>0.25277777777777777</v>
      </c>
      <c r="T993" s="33">
        <f>_xll.qlIndexFixing(Index,P993,,AllTriggers)</f>
        <v>9.0081020747448427E-3</v>
      </c>
      <c r="U993" s="34">
        <f>_xll.qlYieldTSDiscount(OisCurve,Q993,,AllTriggers)</f>
        <v>0.80092732495330632</v>
      </c>
      <c r="V993" s="34">
        <f>_xll.qlYieldTSDiscount(OisCurve,R993,,AllTriggers)</f>
        <v>0.7992022657386465</v>
      </c>
      <c r="W993" s="33">
        <f t="shared" si="65"/>
        <v>8.5390274434035043E-3</v>
      </c>
      <c r="X993" s="35">
        <f t="shared" si="66"/>
        <v>1.1830926125287401E-4</v>
      </c>
      <c r="Y993" s="33">
        <f t="shared" si="67"/>
        <v>4.6907463134133846E-4</v>
      </c>
      <c r="Z993" s="54"/>
    </row>
    <row r="994" spans="15:26" x14ac:dyDescent="0.25">
      <c r="O994" s="37" t="s">
        <v>19</v>
      </c>
      <c r="P994" s="31">
        <f>_xll.qlCalendarAdvance(Calendar,P993,O993,"f",,Trigger)</f>
        <v>54080</v>
      </c>
      <c r="Q994" s="31">
        <f>_xll.qlInterestRateIndexValueDate(Index,P994,Trigger)</f>
        <v>54084</v>
      </c>
      <c r="R994" s="31">
        <f>_xll.qlInterestRateIndexMaturity(Index,Q994,Trigger)</f>
        <v>54175</v>
      </c>
      <c r="S994" s="32">
        <f>_xll.qlDayCounterYearFraction(DayCounter,Q994,R994,,,Trigger)</f>
        <v>0.25277777777777777</v>
      </c>
      <c r="T994" s="33">
        <f>_xll.qlIndexFixing(Index,P994,,AllTriggers)</f>
        <v>9.0004732587913843E-3</v>
      </c>
      <c r="U994" s="34">
        <f>_xll.qlYieldTSDiscount(OisCurve,Q994,,AllTriggers)</f>
        <v>0.80033894286635832</v>
      </c>
      <c r="V994" s="34">
        <f>_xll.qlYieldTSDiscount(OisCurve,R994,,AllTriggers)</f>
        <v>0.79861613175583457</v>
      </c>
      <c r="W994" s="33">
        <f t="shared" si="65"/>
        <v>8.5341582898009905E-3</v>
      </c>
      <c r="X994" s="35">
        <f t="shared" si="66"/>
        <v>1.1761340895148827E-4</v>
      </c>
      <c r="Y994" s="33">
        <f t="shared" si="67"/>
        <v>4.6631496899039379E-4</v>
      </c>
      <c r="Z994" s="54"/>
    </row>
    <row r="995" spans="15:26" x14ac:dyDescent="0.25">
      <c r="O995" s="37" t="s">
        <v>19</v>
      </c>
      <c r="P995" s="31">
        <f>_xll.qlCalendarAdvance(Calendar,P994,O994,"f",,Trigger)</f>
        <v>54112</v>
      </c>
      <c r="Q995" s="31">
        <f>_xll.qlInterestRateIndexValueDate(Index,P995,Trigger)</f>
        <v>54114</v>
      </c>
      <c r="R995" s="31">
        <f>_xll.qlInterestRateIndexMaturity(Index,Q995,Trigger)</f>
        <v>54204</v>
      </c>
      <c r="S995" s="32">
        <f>_xll.qlDayCounterYearFraction(DayCounter,Q995,R995,,,Trigger)</f>
        <v>0.25</v>
      </c>
      <c r="T995" s="33">
        <f>_xll.qlIndexFixing(Index,P995,,AllTriggers)</f>
        <v>8.992772305597363E-3</v>
      </c>
      <c r="U995" s="34">
        <f>_xll.qlYieldTSDiscount(OisCurve,Q995,,AllTriggers)</f>
        <v>0.79977024567785016</v>
      </c>
      <c r="V995" s="34">
        <f>_xll.qlYieldTSDiscount(OisCurve,R995,,AllTriggers)</f>
        <v>0.79806855210107575</v>
      </c>
      <c r="W995" s="33">
        <f t="shared" si="65"/>
        <v>8.5290596768627935E-3</v>
      </c>
      <c r="X995" s="35">
        <f t="shared" si="66"/>
        <v>1.156748030049783E-4</v>
      </c>
      <c r="Y995" s="33">
        <f t="shared" si="67"/>
        <v>4.6371262873456942E-4</v>
      </c>
      <c r="Z995" s="54"/>
    </row>
    <row r="996" spans="15:26" x14ac:dyDescent="0.25">
      <c r="O996" s="37" t="s">
        <v>19</v>
      </c>
      <c r="P996" s="31">
        <f>_xll.qlCalendarAdvance(Calendar,P995,O995,"f",,Trigger)</f>
        <v>54141</v>
      </c>
      <c r="Q996" s="31">
        <f>_xll.qlInterestRateIndexValueDate(Index,P996,Trigger)</f>
        <v>54143</v>
      </c>
      <c r="R996" s="31">
        <f>_xll.qlInterestRateIndexMaturity(Index,Q996,Trigger)</f>
        <v>54235</v>
      </c>
      <c r="S996" s="32">
        <f>_xll.qlDayCounterYearFraction(DayCounter,Q996,R996,,,Trigger)</f>
        <v>0.25555555555555554</v>
      </c>
      <c r="T996" s="33">
        <f>_xll.qlIndexFixing(Index,P996,,AllTriggers)</f>
        <v>8.9849388610291105E-3</v>
      </c>
      <c r="U996" s="34">
        <f>_xll.qlYieldTSDiscount(OisCurve,Q996,,AllTriggers)</f>
        <v>0.79922118659773445</v>
      </c>
      <c r="V996" s="34">
        <f>_xll.qlYieldTSDiscount(OisCurve,R996,,AllTriggers)</f>
        <v>0.79748402310226774</v>
      </c>
      <c r="W996" s="33">
        <f t="shared" si="65"/>
        <v>8.5238024708830674E-3</v>
      </c>
      <c r="X996" s="35">
        <f t="shared" si="66"/>
        <v>1.1758290672816017E-4</v>
      </c>
      <c r="Y996" s="33">
        <f t="shared" si="67"/>
        <v>4.6113639014604309E-4</v>
      </c>
      <c r="Z996" s="54"/>
    </row>
    <row r="997" spans="15:26" x14ac:dyDescent="0.25">
      <c r="O997" s="37" t="s">
        <v>19</v>
      </c>
      <c r="P997" s="31">
        <f>_xll.qlCalendarAdvance(Calendar,P996,O996,"f",,Trigger)</f>
        <v>54172</v>
      </c>
      <c r="Q997" s="31">
        <f>_xll.qlInterestRateIndexValueDate(Index,P997,Trigger)</f>
        <v>54176</v>
      </c>
      <c r="R997" s="31">
        <f>_xll.qlInterestRateIndexMaturity(Index,Q997,Trigger)</f>
        <v>54267</v>
      </c>
      <c r="S997" s="32">
        <f>_xll.qlDayCounterYearFraction(DayCounter,Q997,R997,,,Trigger)</f>
        <v>0.25277777777777777</v>
      </c>
      <c r="T997" s="33">
        <f>_xll.qlIndexFixing(Index,P997,,AllTriggers)</f>
        <v>8.9757289057272576E-3</v>
      </c>
      <c r="U997" s="34">
        <f>_xll.qlYieldTSDiscount(OisCurve,Q997,,AllTriggers)</f>
        <v>0.79859723767290436</v>
      </c>
      <c r="V997" s="34">
        <f>_xll.qlYieldTSDiscount(OisCurve,R997,,AllTriggers)</f>
        <v>0.79688154826354241</v>
      </c>
      <c r="W997" s="33">
        <f t="shared" si="65"/>
        <v>8.5173796948181495E-3</v>
      </c>
      <c r="X997" s="35">
        <f t="shared" si="66"/>
        <v>1.1560490023965928E-4</v>
      </c>
      <c r="Y997" s="33">
        <f t="shared" si="67"/>
        <v>4.5834921090910814E-4</v>
      </c>
      <c r="Z997" s="54"/>
    </row>
    <row r="998" spans="15:26" x14ac:dyDescent="0.25">
      <c r="O998" s="37" t="s">
        <v>19</v>
      </c>
      <c r="P998" s="31">
        <f>_xll.qlCalendarAdvance(Calendar,P997,O997,"f",,Trigger)</f>
        <v>54203</v>
      </c>
      <c r="Q998" s="31">
        <f>_xll.qlInterestRateIndexValueDate(Index,P998,Trigger)</f>
        <v>54205</v>
      </c>
      <c r="R998" s="31">
        <f>_xll.qlInterestRateIndexMaturity(Index,Q998,Trigger)</f>
        <v>54297</v>
      </c>
      <c r="S998" s="32">
        <f>_xll.qlDayCounterYearFraction(DayCounter,Q998,R998,,,Trigger)</f>
        <v>0.25555555555555554</v>
      </c>
      <c r="T998" s="33">
        <f>_xll.qlIndexFixing(Index,P998,,AllTriggers)</f>
        <v>8.9672369192775447E-3</v>
      </c>
      <c r="U998" s="34">
        <f>_xll.qlYieldTSDiscount(OisCurve,Q998,,AllTriggers)</f>
        <v>0.79804968305508817</v>
      </c>
      <c r="V998" s="34">
        <f>_xll.qlYieldTSDiscount(OisCurve,R998,,AllTriggers)</f>
        <v>0.79631759257320955</v>
      </c>
      <c r="W998" s="33">
        <f t="shared" si="65"/>
        <v>8.5113595719657608E-3</v>
      </c>
      <c r="X998" s="35">
        <f t="shared" si="66"/>
        <v>1.1624237593065945E-4</v>
      </c>
      <c r="Y998" s="33">
        <f t="shared" si="67"/>
        <v>4.5587734731178386E-4</v>
      </c>
      <c r="Z998" s="54"/>
    </row>
    <row r="999" spans="15:26" x14ac:dyDescent="0.25">
      <c r="O999" s="37" t="s">
        <v>19</v>
      </c>
      <c r="P999" s="31">
        <f>_xll.qlCalendarAdvance(Calendar,P998,O998,"f",,Trigger)</f>
        <v>54234</v>
      </c>
      <c r="Q999" s="31">
        <f>_xll.qlInterestRateIndexValueDate(Index,P999,Trigger)</f>
        <v>54238</v>
      </c>
      <c r="R999" s="31">
        <f>_xll.qlInterestRateIndexMaturity(Index,Q999,Trigger)</f>
        <v>54330</v>
      </c>
      <c r="S999" s="32">
        <f>_xll.qlDayCounterYearFraction(DayCounter,Q999,R999,,,Trigger)</f>
        <v>0.25555555555555554</v>
      </c>
      <c r="T999" s="33">
        <f>_xll.qlIndexFixing(Index,P999,,AllTriggers)</f>
        <v>8.9572320211032657E-3</v>
      </c>
      <c r="U999" s="34">
        <f>_xll.qlYieldTSDiscount(OisCurve,Q999,,AllTriggers)</f>
        <v>0.79742750139091423</v>
      </c>
      <c r="V999" s="34">
        <f>_xll.qlYieldTSDiscount(OisCurve,R999,,AllTriggers)</f>
        <v>0.79569823596863432</v>
      </c>
      <c r="W999" s="33">
        <f t="shared" si="65"/>
        <v>8.504091723412344E-3</v>
      </c>
      <c r="X999" s="35">
        <f t="shared" si="66"/>
        <v>1.1554472083383443E-4</v>
      </c>
      <c r="Y999" s="33">
        <f t="shared" si="67"/>
        <v>4.5314029769092171E-4</v>
      </c>
      <c r="Z999" s="54"/>
    </row>
    <row r="1000" spans="15:26" x14ac:dyDescent="0.25">
      <c r="O1000" s="37" t="s">
        <v>19</v>
      </c>
      <c r="P1000" s="31">
        <f>_xll.qlCalendarAdvance(Calendar,P999,O999,"f",,Trigger)</f>
        <v>54266</v>
      </c>
      <c r="Q1000" s="31">
        <f>_xll.qlInterestRateIndexValueDate(Index,P1000,Trigger)</f>
        <v>54268</v>
      </c>
      <c r="R1000" s="31">
        <f>_xll.qlInterestRateIndexMaturity(Index,Q1000,Trigger)</f>
        <v>54360</v>
      </c>
      <c r="S1000" s="32">
        <f>_xll.qlDayCounterYearFraction(DayCounter,Q1000,R1000,,,Trigger)</f>
        <v>0.25555555555555554</v>
      </c>
      <c r="T1000" s="33">
        <f>_xll.qlIndexFixing(Index,P1000,,AllTriggers)</f>
        <v>8.9477852509475698E-3</v>
      </c>
      <c r="U1000" s="34">
        <f>_xll.qlYieldTSDiscount(OisCurve,Q1000,,AllTriggers)</f>
        <v>0.79686273612440794</v>
      </c>
      <c r="V1000" s="34">
        <f>_xll.qlYieldTSDiscount(OisCurve,R1000,,AllTriggers)</f>
        <v>0.79513611393985928</v>
      </c>
      <c r="W1000" s="33">
        <f t="shared" si="65"/>
        <v>8.4970957301780514E-3</v>
      </c>
      <c r="X1000" s="35">
        <f t="shared" si="66"/>
        <v>1.149200463776854E-4</v>
      </c>
      <c r="Y1000" s="33">
        <f t="shared" si="67"/>
        <v>4.5068952076951843E-4</v>
      </c>
      <c r="Z1000" s="54"/>
    </row>
    <row r="1001" spans="15:26" x14ac:dyDescent="0.25">
      <c r="O1001" s="37" t="s">
        <v>19</v>
      </c>
      <c r="P1001" s="31">
        <f>_xll.qlCalendarAdvance(Calendar,P1000,O1000,"f",,Trigger)</f>
        <v>54297</v>
      </c>
      <c r="Q1001" s="31">
        <f>_xll.qlInterestRateIndexValueDate(Index,P1001,Trigger)</f>
        <v>54301</v>
      </c>
      <c r="R1001" s="31">
        <f>_xll.qlInterestRateIndexMaturity(Index,Q1001,Trigger)</f>
        <v>54392</v>
      </c>
      <c r="S1001" s="32">
        <f>_xll.qlDayCounterYearFraction(DayCounter,Q1001,R1001,,,Trigger)</f>
        <v>0.25277777777777777</v>
      </c>
      <c r="T1001" s="33">
        <f>_xll.qlIndexFixing(Index,P1001,,AllTriggers)</f>
        <v>8.9370655680081641E-3</v>
      </c>
      <c r="U1001" s="34">
        <f>_xll.qlYieldTSDiscount(OisCurve,Q1001,,AllTriggers)</f>
        <v>0.79624246298135726</v>
      </c>
      <c r="V1001" s="34">
        <f>_xll.qlYieldTSDiscount(OisCurve,R1001,,AllTriggers)</f>
        <v>0.79453751970422359</v>
      </c>
      <c r="W1001" s="33">
        <f t="shared" si="65"/>
        <v>8.4890019409193159E-3</v>
      </c>
      <c r="X1001" s="35">
        <f t="shared" si="66"/>
        <v>1.1301162434879371E-4</v>
      </c>
      <c r="Y1001" s="33">
        <f t="shared" si="67"/>
        <v>4.4806362708884814E-4</v>
      </c>
      <c r="Z1001" s="54"/>
    </row>
    <row r="1002" spans="15:26" x14ac:dyDescent="0.25">
      <c r="O1002" s="37" t="s">
        <v>19</v>
      </c>
      <c r="P1002" s="31">
        <f>_xll.qlCalendarAdvance(Calendar,P1001,O1001,"f",,Trigger)</f>
        <v>54329</v>
      </c>
      <c r="Q1002" s="31">
        <f>_xll.qlInterestRateIndexValueDate(Index,P1002,Trigger)</f>
        <v>54331</v>
      </c>
      <c r="R1002" s="31">
        <f>_xll.qlInterestRateIndexMaturity(Index,Q1002,Trigger)</f>
        <v>54423</v>
      </c>
      <c r="S1002" s="32">
        <f>_xll.qlDayCounterYearFraction(DayCounter,Q1002,R1002,,,Trigger)</f>
        <v>0.25555555555555554</v>
      </c>
      <c r="T1002" s="33">
        <f>_xll.qlIndexFixing(Index,P1002,,AllTriggers)</f>
        <v>8.9268576793892686E-3</v>
      </c>
      <c r="U1002" s="34">
        <f>_xll.qlYieldTSDiscount(OisCurve,Q1002,,AllTriggers)</f>
        <v>0.79567948416544554</v>
      </c>
      <c r="V1002" s="34">
        <f>_xll.qlYieldTSDiscount(OisCurve,R1002,,AllTriggers)</f>
        <v>0.79395864435001839</v>
      </c>
      <c r="W1002" s="33">
        <f t="shared" si="65"/>
        <v>8.4811986931651959E-3</v>
      </c>
      <c r="X1002" s="35">
        <f t="shared" si="66"/>
        <v>1.1363785811573057E-4</v>
      </c>
      <c r="Y1002" s="33">
        <f t="shared" si="67"/>
        <v>4.4565898622407271E-4</v>
      </c>
      <c r="Z1002" s="54"/>
    </row>
    <row r="1003" spans="15:26" x14ac:dyDescent="0.25">
      <c r="O1003" s="37" t="s">
        <v>19</v>
      </c>
      <c r="P1003" s="31">
        <f>_xll.qlCalendarAdvance(Calendar,P1002,O1002,"f",,Trigger)</f>
        <v>54359</v>
      </c>
      <c r="Q1003" s="31">
        <f>_xll.qlInterestRateIndexValueDate(Index,P1003,Trigger)</f>
        <v>54361</v>
      </c>
      <c r="R1003" s="31">
        <f>_xll.qlInterestRateIndexMaturity(Index,Q1003,Trigger)</f>
        <v>54452</v>
      </c>
      <c r="S1003" s="32">
        <f>_xll.qlDayCounterYearFraction(DayCounter,Q1003,R1003,,,Trigger)</f>
        <v>0.25277777777777777</v>
      </c>
      <c r="T1003" s="33">
        <f>_xll.qlIndexFixing(Index,P1003,,AllTriggers)</f>
        <v>8.916443410991402E-3</v>
      </c>
      <c r="U1003" s="34">
        <f>_xll.qlYieldTSDiscount(OisCurve,Q1003,,AllTriggers)</f>
        <v>0.79511739206730248</v>
      </c>
      <c r="V1003" s="34">
        <f>_xll.qlYieldTSDiscount(OisCurve,R1003,,AllTriggers)</f>
        <v>0.79341804088903134</v>
      </c>
      <c r="W1003" s="33">
        <f t="shared" si="65"/>
        <v>8.4730969193276811E-3</v>
      </c>
      <c r="X1003" s="35">
        <f t="shared" si="66"/>
        <v>1.1182237285783323E-4</v>
      </c>
      <c r="Y1003" s="33">
        <f t="shared" si="67"/>
        <v>4.4334649166372087E-4</v>
      </c>
      <c r="Z1003" s="54"/>
    </row>
    <row r="1004" spans="15:26" x14ac:dyDescent="0.25">
      <c r="O1004" s="37" t="s">
        <v>19</v>
      </c>
      <c r="P1004" s="31">
        <f>_xll.qlCalendarAdvance(Calendar,P1003,O1003,"f",,Trigger)</f>
        <v>54392</v>
      </c>
      <c r="Q1004" s="31">
        <f>_xll.qlInterestRateIndexValueDate(Index,P1004,Trigger)</f>
        <v>54394</v>
      </c>
      <c r="R1004" s="31">
        <f>_xll.qlInterestRateIndexMaturity(Index,Q1004,Trigger)</f>
        <v>54484</v>
      </c>
      <c r="S1004" s="32">
        <f>_xll.qlDayCounterYearFraction(DayCounter,Q1004,R1004,,,Trigger)</f>
        <v>0.25</v>
      </c>
      <c r="T1004" s="33">
        <f>_xll.qlIndexFixing(Index,P1004,,AllTriggers)</f>
        <v>8.9046069100300329E-3</v>
      </c>
      <c r="U1004" s="34">
        <f>_xll.qlYieldTSDiscount(OisCurve,Q1004,,AllTriggers)</f>
        <v>0.79450014254822199</v>
      </c>
      <c r="V1004" s="34">
        <f>_xll.qlYieldTSDiscount(OisCurve,R1004,,AllTriggers)</f>
        <v>0.7928225761817187</v>
      </c>
      <c r="W1004" s="33">
        <f t="shared" si="65"/>
        <v>8.4637668850575665E-3</v>
      </c>
      <c r="X1004" s="35">
        <f t="shared" si="66"/>
        <v>1.0997125362431671E-4</v>
      </c>
      <c r="Y1004" s="33">
        <f t="shared" si="67"/>
        <v>4.4084002497246644E-4</v>
      </c>
      <c r="Z1004" s="54"/>
    </row>
    <row r="1005" spans="15:26" x14ac:dyDescent="0.25">
      <c r="O1005" s="37" t="s">
        <v>19</v>
      </c>
      <c r="P1005" s="31">
        <f>_xll.qlCalendarAdvance(Calendar,P1004,O1004,"f",,Trigger)</f>
        <v>54422</v>
      </c>
      <c r="Q1005" s="31">
        <f>_xll.qlInterestRateIndexValueDate(Index,P1005,Trigger)</f>
        <v>54427</v>
      </c>
      <c r="R1005" s="31">
        <f>_xll.qlInterestRateIndexMaturity(Index,Q1005,Trigger)</f>
        <v>54518</v>
      </c>
      <c r="S1005" s="32">
        <f>_xll.qlDayCounterYearFraction(DayCounter,Q1005,R1005,,,Trigger)</f>
        <v>0.25277777777777777</v>
      </c>
      <c r="T1005" s="33">
        <f>_xll.qlIndexFixing(Index,P1005,,AllTriggers)</f>
        <v>8.8922129285094065E-3</v>
      </c>
      <c r="U1005" s="34">
        <f>_xll.qlYieldTSDiscount(OisCurve,Q1005,,AllTriggers)</f>
        <v>0.79388402469245378</v>
      </c>
      <c r="V1005" s="34">
        <f>_xll.qlYieldTSDiscount(OisCurve,R1005,,AllTriggers)</f>
        <v>0.7921911473408646</v>
      </c>
      <c r="W1005" s="33">
        <f t="shared" si="65"/>
        <v>8.453890500490795E-3</v>
      </c>
      <c r="X1005" s="35">
        <f t="shared" si="66"/>
        <v>1.105557919032892E-4</v>
      </c>
      <c r="Y1005" s="33">
        <f t="shared" si="67"/>
        <v>4.3832242801861154E-4</v>
      </c>
      <c r="Z1005" s="54"/>
    </row>
    <row r="1006" spans="15:26" x14ac:dyDescent="0.25">
      <c r="O1006" s="37" t="s">
        <v>19</v>
      </c>
      <c r="P1006" s="31">
        <f>_xll.qlCalendarAdvance(Calendar,P1005,O1005,"f",,Trigger)</f>
        <v>54455</v>
      </c>
      <c r="Q1006" s="31">
        <f>_xll.qlInterestRateIndexValueDate(Index,P1006,Trigger)</f>
        <v>54457</v>
      </c>
      <c r="R1006" s="31">
        <f>_xll.qlInterestRateIndexMaturity(Index,Q1006,Trigger)</f>
        <v>54546</v>
      </c>
      <c r="S1006" s="32">
        <f>_xll.qlDayCounterYearFraction(DayCounter,Q1006,R1006,,,Trigger)</f>
        <v>0.24722222222222223</v>
      </c>
      <c r="T1006" s="33">
        <f>_xll.qlIndexFixing(Index,P1006,,AllTriggers)</f>
        <v>8.8808406524815333E-3</v>
      </c>
      <c r="U1006" s="34">
        <f>_xll.qlYieldTSDiscount(OisCurve,Q1006,,AllTriggers)</f>
        <v>0.79332492534511312</v>
      </c>
      <c r="V1006" s="34">
        <f>_xll.qlYieldTSDiscount(OisCurve,R1006,,AllTriggers)</f>
        <v>0.79167213898765776</v>
      </c>
      <c r="W1006" s="33">
        <f t="shared" si="65"/>
        <v>8.4446927376898191E-3</v>
      </c>
      <c r="X1006" s="35">
        <f t="shared" si="66"/>
        <v>1.0759502824462584E-4</v>
      </c>
      <c r="Y1006" s="33">
        <f t="shared" si="67"/>
        <v>4.3614791479171418E-4</v>
      </c>
      <c r="Z1006" s="54"/>
    </row>
    <row r="1007" spans="15:26" x14ac:dyDescent="0.25">
      <c r="O1007" s="37" t="s">
        <v>19</v>
      </c>
      <c r="P1007" s="31">
        <f>_xll.qlCalendarAdvance(Calendar,P1006,O1006,"f",,Trigger)</f>
        <v>54483</v>
      </c>
      <c r="Q1007" s="31">
        <f>_xll.qlInterestRateIndexValueDate(Index,P1007,Trigger)</f>
        <v>54485</v>
      </c>
      <c r="R1007" s="31">
        <f>_xll.qlInterestRateIndexMaturity(Index,Q1007,Trigger)</f>
        <v>54577</v>
      </c>
      <c r="S1007" s="32">
        <f>_xll.qlDayCounterYearFraction(DayCounter,Q1007,R1007,,,Trigger)</f>
        <v>0.25555555555555554</v>
      </c>
      <c r="T1007" s="33">
        <f>_xll.qlIndexFixing(Index,P1007,,AllTriggers)</f>
        <v>8.8694881740864172E-3</v>
      </c>
      <c r="U1007" s="34">
        <f>_xll.qlYieldTSDiscount(OisCurve,Q1007,,AllTriggers)</f>
        <v>0.79280398617383685</v>
      </c>
      <c r="V1007" s="34">
        <f>_xll.qlYieldTSDiscount(OisCurve,R1007,,AllTriggers)</f>
        <v>0.79109859148415473</v>
      </c>
      <c r="W1007" s="33">
        <f t="shared" si="65"/>
        <v>8.4354638475614904E-3</v>
      </c>
      <c r="X1007" s="35">
        <f t="shared" si="66"/>
        <v>1.1067261002100733E-4</v>
      </c>
      <c r="Y1007" s="33">
        <f t="shared" si="67"/>
        <v>4.3402432652492676E-4</v>
      </c>
      <c r="Z1007" s="54"/>
    </row>
    <row r="1008" spans="15:26" x14ac:dyDescent="0.25">
      <c r="O1008" s="37" t="s">
        <v>19</v>
      </c>
      <c r="P1008" s="31">
        <f>_xll.qlCalendarAdvance(Calendar,P1007,O1007,"f",,Trigger)</f>
        <v>54514</v>
      </c>
      <c r="Q1008" s="31">
        <f>_xll.qlInterestRateIndexValueDate(Index,P1008,Trigger)</f>
        <v>54518</v>
      </c>
      <c r="R1008" s="31">
        <f>_xll.qlInterestRateIndexMaturity(Index,Q1008,Trigger)</f>
        <v>54609</v>
      </c>
      <c r="S1008" s="32">
        <f>_xll.qlDayCounterYearFraction(DayCounter,Q1008,R1008,,,Trigger)</f>
        <v>0.25277777777777777</v>
      </c>
      <c r="T1008" s="33">
        <f>_xll.qlIndexFixing(Index,P1008,,AllTriggers)</f>
        <v>8.8561480493603833E-3</v>
      </c>
      <c r="U1008" s="34">
        <f>_xll.qlYieldTSDiscount(OisCurve,Q1008,,AllTriggers)</f>
        <v>0.7921911473408646</v>
      </c>
      <c r="V1008" s="34">
        <f>_xll.qlYieldTSDiscount(OisCurve,R1008,,AllTriggers)</f>
        <v>0.79050774630320109</v>
      </c>
      <c r="W1008" s="33">
        <f t="shared" si="65"/>
        <v>8.4244696295390081E-3</v>
      </c>
      <c r="X1008" s="35">
        <f t="shared" si="66"/>
        <v>1.0888090738308866E-4</v>
      </c>
      <c r="Y1008" s="33">
        <f t="shared" si="67"/>
        <v>4.3167841982137516E-4</v>
      </c>
      <c r="Z1008" s="54"/>
    </row>
    <row r="1009" spans="15:26" x14ac:dyDescent="0.25">
      <c r="O1009" s="37" t="s">
        <v>19</v>
      </c>
      <c r="P1009" s="31">
        <f>_xll.qlCalendarAdvance(Calendar,P1008,O1008,"f",,Trigger)</f>
        <v>54546</v>
      </c>
      <c r="Q1009" s="31">
        <f>_xll.qlInterestRateIndexValueDate(Index,P1009,Trigger)</f>
        <v>54548</v>
      </c>
      <c r="R1009" s="31">
        <f>_xll.qlInterestRateIndexMaturity(Index,Q1009,Trigger)</f>
        <v>54640</v>
      </c>
      <c r="S1009" s="32">
        <f>_xll.qlDayCounterYearFraction(DayCounter,Q1009,R1009,,,Trigger)</f>
        <v>0.25555555555555554</v>
      </c>
      <c r="T1009" s="33">
        <f>_xll.qlIndexFixing(Index,P1009,,AllTriggers)</f>
        <v>8.8434771270927363E-3</v>
      </c>
      <c r="U1009" s="34">
        <f>_xll.qlYieldTSDiscount(OisCurve,Q1009,,AllTriggers)</f>
        <v>0.79163510178314322</v>
      </c>
      <c r="V1009" s="34">
        <f>_xll.qlYieldTSDiscount(OisCurve,R1009,,AllTriggers)</f>
        <v>0.78993655689470388</v>
      </c>
      <c r="W1009" s="33">
        <f t="shared" si="65"/>
        <v>8.4139415250877158E-3</v>
      </c>
      <c r="X1009" s="35">
        <f t="shared" si="66"/>
        <v>1.0952868620533077E-4</v>
      </c>
      <c r="Y1009" s="33">
        <f t="shared" si="67"/>
        <v>4.2953560200502047E-4</v>
      </c>
      <c r="Z1009" s="54"/>
    </row>
    <row r="1010" spans="15:26" x14ac:dyDescent="0.25">
      <c r="O1010" s="37" t="s">
        <v>19</v>
      </c>
      <c r="P1010" s="31">
        <f>_xll.qlCalendarAdvance(Calendar,P1009,O1009,"f",,Trigger)</f>
        <v>54577</v>
      </c>
      <c r="Q1010" s="31">
        <f>_xll.qlInterestRateIndexValueDate(Index,P1010,Trigger)</f>
        <v>54581</v>
      </c>
      <c r="R1010" s="31">
        <f>_xll.qlInterestRateIndexMaturity(Index,Q1010,Trigger)</f>
        <v>54673</v>
      </c>
      <c r="S1010" s="32">
        <f>_xll.qlDayCounterYearFraction(DayCounter,Q1010,R1010,,,Trigger)</f>
        <v>0.25555555555555554</v>
      </c>
      <c r="T1010" s="33">
        <f>_xll.qlIndexFixing(Index,P1010,,AllTriggers)</f>
        <v>8.8292633154207299E-3</v>
      </c>
      <c r="U1010" s="34">
        <f>_xll.qlYieldTSDiscount(OisCurve,Q1010,,AllTriggers)</f>
        <v>0.79102466840775287</v>
      </c>
      <c r="V1010" s="34">
        <f>_xll.qlYieldTSDiscount(OisCurve,R1010,,AllTriggers)</f>
        <v>0.78932983366768061</v>
      </c>
      <c r="W1010" s="33">
        <f t="shared" si="65"/>
        <v>8.4020161705455898E-3</v>
      </c>
      <c r="X1010" s="35">
        <f t="shared" si="66"/>
        <v>1.0894550812351578E-4</v>
      </c>
      <c r="Y1010" s="33">
        <f t="shared" si="67"/>
        <v>4.2724714487514005E-4</v>
      </c>
      <c r="Z1010" s="54"/>
    </row>
    <row r="1011" spans="15:26" x14ac:dyDescent="0.25">
      <c r="O1011" s="37" t="s">
        <v>19</v>
      </c>
      <c r="P1011" s="31">
        <f>_xll.qlCalendarAdvance(Calendar,P1010,O1010,"f",,Trigger)</f>
        <v>54609</v>
      </c>
      <c r="Q1011" s="31">
        <f>_xll.qlInterestRateIndexValueDate(Index,P1011,Trigger)</f>
        <v>54611</v>
      </c>
      <c r="R1011" s="31">
        <f>_xll.qlInterestRateIndexMaturity(Index,Q1011,Trigger)</f>
        <v>54703</v>
      </c>
      <c r="S1011" s="32">
        <f>_xll.qlDayCounterYearFraction(DayCounter,Q1011,R1011,,,Trigger)</f>
        <v>0.25555555555555554</v>
      </c>
      <c r="T1011" s="33">
        <f>_xll.qlIndexFixing(Index,P1011,,AllTriggers)</f>
        <v>8.815990294632179E-3</v>
      </c>
      <c r="U1011" s="34">
        <f>_xll.qlYieldTSDiscount(OisCurve,Q1011,,AllTriggers)</f>
        <v>0.79047085970301678</v>
      </c>
      <c r="V1011" s="34">
        <f>_xll.qlYieldTSDiscount(OisCurve,R1011,,AllTriggers)</f>
        <v>0.78877947041434993</v>
      </c>
      <c r="W1011" s="33">
        <f t="shared" si="65"/>
        <v>8.3907861112830773E-3</v>
      </c>
      <c r="X1011" s="35">
        <f t="shared" si="66"/>
        <v>1.0842490368052232E-4</v>
      </c>
      <c r="Y1011" s="33">
        <f t="shared" si="67"/>
        <v>4.2520418334910173E-4</v>
      </c>
      <c r="Z1011" s="54"/>
    </row>
    <row r="1012" spans="15:26" x14ac:dyDescent="0.25">
      <c r="O1012" s="37" t="s">
        <v>19</v>
      </c>
      <c r="P1012" s="31">
        <f>_xll.qlCalendarAdvance(Calendar,P1011,O1011,"f",,Trigger)</f>
        <v>54640</v>
      </c>
      <c r="Q1012" s="31">
        <f>_xll.qlInterestRateIndexValueDate(Index,P1012,Trigger)</f>
        <v>54644</v>
      </c>
      <c r="R1012" s="31">
        <f>_xll.qlInterestRateIndexMaturity(Index,Q1012,Trigger)</f>
        <v>54736</v>
      </c>
      <c r="S1012" s="32">
        <f>_xll.qlDayCounterYearFraction(DayCounter,Q1012,R1012,,,Trigger)</f>
        <v>0.25555555555555554</v>
      </c>
      <c r="T1012" s="33">
        <f>_xll.qlIndexFixing(Index,P1012,,AllTriggers)</f>
        <v>8.8010034647576802E-3</v>
      </c>
      <c r="U1012" s="34">
        <f>_xll.qlYieldTSDiscount(OisCurve,Q1012,,AllTriggers)</f>
        <v>0.78986294177989635</v>
      </c>
      <c r="V1012" s="34">
        <f>_xll.qlYieldTSDiscount(OisCurve,R1012,,AllTriggers)</f>
        <v>0.78817542209570168</v>
      </c>
      <c r="W1012" s="33">
        <f t="shared" si="65"/>
        <v>8.3780053393657586E-3</v>
      </c>
      <c r="X1012" s="35">
        <f t="shared" si="66"/>
        <v>1.0786275198936952E-4</v>
      </c>
      <c r="Y1012" s="33">
        <f t="shared" si="67"/>
        <v>4.2299812539192162E-4</v>
      </c>
      <c r="Z1012" s="54"/>
    </row>
    <row r="1013" spans="15:26" x14ac:dyDescent="0.25">
      <c r="O1013" s="37" t="s">
        <v>19</v>
      </c>
      <c r="P1013" s="31">
        <f>_xll.qlCalendarAdvance(Calendar,P1012,O1012,"f",,Trigger)</f>
        <v>54672</v>
      </c>
      <c r="Q1013" s="31">
        <f>_xll.qlInterestRateIndexValueDate(Index,P1013,Trigger)</f>
        <v>54674</v>
      </c>
      <c r="R1013" s="31">
        <f>_xll.qlInterestRateIndexMaturity(Index,Q1013,Trigger)</f>
        <v>54765</v>
      </c>
      <c r="S1013" s="32">
        <f>_xll.qlDayCounterYearFraction(DayCounter,Q1013,R1013,,,Trigger)</f>
        <v>0.25277777777777777</v>
      </c>
      <c r="T1013" s="33">
        <f>_xll.qlIndexFixing(Index,P1013,,AllTriggers)</f>
        <v>8.7871590511916699E-3</v>
      </c>
      <c r="U1013" s="34">
        <f>_xll.qlYieldTSDiscount(OisCurve,Q1013,,AllTriggers)</f>
        <v>0.78931146962570586</v>
      </c>
      <c r="V1013" s="34">
        <f>_xll.qlYieldTSDiscount(OisCurve,R1013,,AllTriggers)</f>
        <v>0.78764578319500422</v>
      </c>
      <c r="W1013" s="33">
        <f t="shared" si="65"/>
        <v>8.3661067924615581E-3</v>
      </c>
      <c r="X1013" s="35">
        <f t="shared" si="66"/>
        <v>1.0620240945566127E-4</v>
      </c>
      <c r="Y1013" s="33">
        <f t="shared" si="67"/>
        <v>4.2105225873011187E-4</v>
      </c>
      <c r="Z1013" s="54"/>
    </row>
    <row r="1014" spans="15:26" x14ac:dyDescent="0.25">
      <c r="O1014" s="37" t="s">
        <v>19</v>
      </c>
      <c r="P1014" s="31">
        <f>_xll.qlCalendarAdvance(Calendar,P1013,O1013,"f",,Trigger)</f>
        <v>54702</v>
      </c>
      <c r="Q1014" s="31">
        <f>_xll.qlInterestRateIndexValueDate(Index,P1014,Trigger)</f>
        <v>54704</v>
      </c>
      <c r="R1014" s="31">
        <f>_xll.qlInterestRateIndexMaturity(Index,Q1014,Trigger)</f>
        <v>54798</v>
      </c>
      <c r="S1014" s="32">
        <f>_xll.qlDayCounterYearFraction(DayCounter,Q1014,R1014,,,Trigger)</f>
        <v>0.26111111111111113</v>
      </c>
      <c r="T1014" s="33">
        <f>_xll.qlIndexFixing(Index,P1014,,AllTriggers)</f>
        <v>8.7724423794645137E-3</v>
      </c>
      <c r="U1014" s="34">
        <f>_xll.qlYieldTSDiscount(OisCurve,Q1014,,AllTriggers)</f>
        <v>0.78876114498419714</v>
      </c>
      <c r="V1014" s="34">
        <f>_xll.qlYieldTSDiscount(OisCurve,R1014,,AllTriggers)</f>
        <v>0.78704447316288573</v>
      </c>
      <c r="W1014" s="33">
        <f t="shared" si="65"/>
        <v>8.353387960248369E-3</v>
      </c>
      <c r="X1014" s="35">
        <f t="shared" si="66"/>
        <v>1.0917566228771311E-4</v>
      </c>
      <c r="Y1014" s="33">
        <f t="shared" si="67"/>
        <v>4.1905441921614474E-4</v>
      </c>
      <c r="Z1014" s="54"/>
    </row>
    <row r="1015" spans="15:26" x14ac:dyDescent="0.25">
      <c r="O1015" s="37" t="s">
        <v>19</v>
      </c>
      <c r="P1015" s="31">
        <f>_xll.qlCalendarAdvance(Calendar,P1014,O1014,"f",,Trigger)</f>
        <v>54735</v>
      </c>
      <c r="Q1015" s="31">
        <f>_xll.qlInterestRateIndexValueDate(Index,P1015,Trigger)</f>
        <v>54737</v>
      </c>
      <c r="R1015" s="31">
        <f>_xll.qlInterestRateIndexMaturity(Index,Q1015,Trigger)</f>
        <v>54829</v>
      </c>
      <c r="S1015" s="32">
        <f>_xll.qlDayCounterYearFraction(DayCounter,Q1015,R1015,,,Trigger)</f>
        <v>0.25555555555555554</v>
      </c>
      <c r="T1015" s="33">
        <f>_xll.qlIndexFixing(Index,P1015,,AllTriggers)</f>
        <v>8.7565893991072077E-3</v>
      </c>
      <c r="U1015" s="34">
        <f>_xll.qlYieldTSDiscount(OisCurve,Q1015,,AllTriggers)</f>
        <v>0.78815714000008297</v>
      </c>
      <c r="V1015" s="34">
        <f>_xll.qlYieldTSDiscount(OisCurve,R1015,,AllTriggers)</f>
        <v>0.78648097208221901</v>
      </c>
      <c r="W1015" s="33">
        <f t="shared" si="65"/>
        <v>8.339576127446147E-3</v>
      </c>
      <c r="X1015" s="35">
        <f t="shared" si="66"/>
        <v>1.0633776250395753E-4</v>
      </c>
      <c r="Y1015" s="33">
        <f t="shared" si="67"/>
        <v>4.1701327166106077E-4</v>
      </c>
      <c r="Z1015" s="54"/>
    </row>
    <row r="1016" spans="15:26" x14ac:dyDescent="0.25">
      <c r="O1016" s="37" t="s">
        <v>19</v>
      </c>
      <c r="P1016" s="31">
        <f>_xll.qlCalendarAdvance(Calendar,P1015,O1015,"f",,Trigger)</f>
        <v>54765</v>
      </c>
      <c r="Q1016" s="31">
        <f>_xll.qlInterestRateIndexValueDate(Index,P1016,Trigger)</f>
        <v>54767</v>
      </c>
      <c r="R1016" s="31">
        <f>_xll.qlInterestRateIndexMaturity(Index,Q1016,Trigger)</f>
        <v>54857</v>
      </c>
      <c r="S1016" s="32">
        <f>_xll.qlDayCounterYearFraction(DayCounter,Q1016,R1016,,,Trigger)</f>
        <v>0.25</v>
      </c>
      <c r="T1016" s="33">
        <f>_xll.qlIndexFixing(Index,P1016,,AllTriggers)</f>
        <v>8.7418756385417851E-3</v>
      </c>
      <c r="U1016" s="34">
        <f>_xll.qlYieldTSDiscount(OisCurve,Q1016,,AllTriggers)</f>
        <v>0.78760929800455359</v>
      </c>
      <c r="V1016" s="34">
        <f>_xll.qlYieldTSDiscount(OisCurve,R1016,,AllTriggers)</f>
        <v>0.78597316149641228</v>
      </c>
      <c r="W1016" s="33">
        <f t="shared" si="65"/>
        <v>8.3266787635665196E-3</v>
      </c>
      <c r="X1016" s="35">
        <f t="shared" si="66"/>
        <v>1.035782275102692E-4</v>
      </c>
      <c r="Y1016" s="33">
        <f t="shared" si="67"/>
        <v>4.1519687497526547E-4</v>
      </c>
      <c r="Z1016" s="54"/>
    </row>
    <row r="1017" spans="15:26" x14ac:dyDescent="0.25">
      <c r="O1017" s="37" t="s">
        <v>19</v>
      </c>
      <c r="P1017" s="31">
        <f>_xll.qlCalendarAdvance(Calendar,P1016,O1016,"f",,Trigger)</f>
        <v>54798</v>
      </c>
      <c r="Q1017" s="31">
        <f>_xll.qlInterestRateIndexValueDate(Index,P1017,Trigger)</f>
        <v>54800</v>
      </c>
      <c r="R1017" s="31">
        <f>_xll.qlInterestRateIndexMaturity(Index,Q1017,Trigger)</f>
        <v>54890</v>
      </c>
      <c r="S1017" s="32">
        <f>_xll.qlDayCounterYearFraction(DayCounter,Q1017,R1017,,,Trigger)</f>
        <v>0.25</v>
      </c>
      <c r="T1017" s="33">
        <f>_xll.qlIndexFixing(Index,P1017,,AllTriggers)</f>
        <v>8.7249878307975592E-3</v>
      </c>
      <c r="U1017" s="34">
        <f>_xll.qlYieldTSDiscount(OisCurve,Q1017,,AllTriggers)</f>
        <v>0.78700807804537587</v>
      </c>
      <c r="V1017" s="34">
        <f>_xll.qlYieldTSDiscount(OisCurve,R1017,,AllTriggers)</f>
        <v>0.78537610691248294</v>
      </c>
      <c r="W1017" s="33">
        <f t="shared" si="65"/>
        <v>8.3117941507468984E-3</v>
      </c>
      <c r="X1017" s="35">
        <f t="shared" si="66"/>
        <v>1.0307890350338874E-4</v>
      </c>
      <c r="Y1017" s="33">
        <f t="shared" si="67"/>
        <v>4.1319368005066082E-4</v>
      </c>
      <c r="Z1017" s="54"/>
    </row>
    <row r="1018" spans="15:26" x14ac:dyDescent="0.25">
      <c r="O1018" s="37" t="s">
        <v>19</v>
      </c>
      <c r="P1018" s="31">
        <f>_xll.qlCalendarAdvance(Calendar,P1017,O1017,"f",,Trigger)</f>
        <v>54829</v>
      </c>
      <c r="Q1018" s="31">
        <f>_xll.qlInterestRateIndexValueDate(Index,P1018,Trigger)</f>
        <v>54833</v>
      </c>
      <c r="R1018" s="31">
        <f>_xll.qlInterestRateIndexMaturity(Index,Q1018,Trigger)</f>
        <v>54924</v>
      </c>
      <c r="S1018" s="32">
        <f>_xll.qlDayCounterYearFraction(DayCounter,Q1018,R1018,,,Trigger)</f>
        <v>0.25277777777777777</v>
      </c>
      <c r="T1018" s="33">
        <f>_xll.qlIndexFixing(Index,P1018,,AllTriggers)</f>
        <v>8.7075324578683305E-3</v>
      </c>
      <c r="U1018" s="34">
        <f>_xll.qlYieldTSDiscount(OisCurve,Q1018,,AllTriggers)</f>
        <v>0.78640835995339198</v>
      </c>
      <c r="V1018" s="34">
        <f>_xll.qlYieldTSDiscount(OisCurve,R1018,,AllTriggers)</f>
        <v>0.78476261475490472</v>
      </c>
      <c r="W1018" s="33">
        <f t="shared" si="65"/>
        <v>8.2963181773092302E-3</v>
      </c>
      <c r="X1018" s="35">
        <f t="shared" si="66"/>
        <v>1.0372292142229489E-4</v>
      </c>
      <c r="Y1018" s="33">
        <f t="shared" si="67"/>
        <v>4.1121428055910028E-4</v>
      </c>
      <c r="Z1018" s="54"/>
    </row>
    <row r="1019" spans="15:26" x14ac:dyDescent="0.25">
      <c r="O1019" s="37" t="s">
        <v>19</v>
      </c>
      <c r="P1019" s="31">
        <f>_xll.qlCalendarAdvance(Calendar,P1018,O1018,"f",,Trigger)</f>
        <v>54857</v>
      </c>
      <c r="Q1019" s="31">
        <f>_xll.qlInterestRateIndexValueDate(Index,P1019,Trigger)</f>
        <v>54861</v>
      </c>
      <c r="R1019" s="31">
        <f>_xll.qlInterestRateIndexMaturity(Index,Q1019,Trigger)</f>
        <v>54953</v>
      </c>
      <c r="S1019" s="32">
        <f>_xll.qlDayCounterYearFraction(DayCounter,Q1019,R1019,,,Trigger)</f>
        <v>0.25555555555555554</v>
      </c>
      <c r="T1019" s="33">
        <f>_xll.qlIndexFixing(Index,P1019,,AllTriggers)</f>
        <v>8.6923684236348848E-3</v>
      </c>
      <c r="U1019" s="34">
        <f>_xll.qlYieldTSDiscount(OisCurve,Q1019,,AllTriggers)</f>
        <v>0.78590070796154987</v>
      </c>
      <c r="V1019" s="34">
        <f>_xll.qlYieldTSDiscount(OisCurve,R1019,,AllTriggers)</f>
        <v>0.78424069314472777</v>
      </c>
      <c r="W1019" s="33">
        <f t="shared" si="65"/>
        <v>8.2828017081524614E-3</v>
      </c>
      <c r="X1019" s="35">
        <f t="shared" si="66"/>
        <v>1.0444051296313369E-4</v>
      </c>
      <c r="Y1019" s="33">
        <f t="shared" si="67"/>
        <v>4.095667154824234E-4</v>
      </c>
      <c r="Z1019" s="54"/>
    </row>
    <row r="1020" spans="15:26" x14ac:dyDescent="0.25">
      <c r="O1020" s="37" t="s">
        <v>19</v>
      </c>
      <c r="P1020" s="31">
        <f>_xll.qlCalendarAdvance(Calendar,P1019,O1019,"f",,Trigger)</f>
        <v>54890</v>
      </c>
      <c r="Q1020" s="31">
        <f>_xll.qlInterestRateIndexValueDate(Index,P1020,Trigger)</f>
        <v>54892</v>
      </c>
      <c r="R1020" s="31">
        <f>_xll.qlInterestRateIndexMaturity(Index,Q1020,Trigger)</f>
        <v>54983</v>
      </c>
      <c r="S1020" s="32">
        <f>_xll.qlDayCounterYearFraction(DayCounter,Q1020,R1020,,,Trigger)</f>
        <v>0.25277777777777777</v>
      </c>
      <c r="T1020" s="33">
        <f>_xll.qlIndexFixing(Index,P1020,,AllTriggers)</f>
        <v>8.6755945270206459E-3</v>
      </c>
      <c r="U1020" s="34">
        <f>_xll.qlYieldTSDiscount(OisCurve,Q1020,,AllTriggers)</f>
        <v>0.78533997233776098</v>
      </c>
      <c r="V1020" s="34">
        <f>_xll.qlYieldTSDiscount(OisCurve,R1020,,AllTriggers)</f>
        <v>0.78370210545009966</v>
      </c>
      <c r="W1020" s="33">
        <f t="shared" si="65"/>
        <v>8.2677759274559573E-3</v>
      </c>
      <c r="X1020" s="35">
        <f t="shared" si="66"/>
        <v>1.0286719408520734E-4</v>
      </c>
      <c r="Y1020" s="33">
        <f t="shared" si="67"/>
        <v>4.0781859956468859E-4</v>
      </c>
      <c r="Z1020" s="54"/>
    </row>
    <row r="1021" spans="15:26" x14ac:dyDescent="0.25">
      <c r="O1021" s="37" t="s">
        <v>19</v>
      </c>
      <c r="P1021" s="31">
        <f>_xll.qlCalendarAdvance(Calendar,P1020,O1020,"f",,Trigger)</f>
        <v>54920</v>
      </c>
      <c r="Q1021" s="31">
        <f>_xll.qlInterestRateIndexValueDate(Index,P1021,Trigger)</f>
        <v>54924</v>
      </c>
      <c r="R1021" s="31">
        <f>_xll.qlInterestRateIndexMaturity(Index,Q1021,Trigger)</f>
        <v>55016</v>
      </c>
      <c r="S1021" s="32">
        <f>_xll.qlDayCounterYearFraction(DayCounter,Q1021,R1021,,,Trigger)</f>
        <v>0.25555555555555554</v>
      </c>
      <c r="T1021" s="33">
        <f>_xll.qlIndexFixing(Index,P1021,,AllTriggers)</f>
        <v>8.6575500069224522E-3</v>
      </c>
      <c r="U1021" s="34">
        <f>_xll.qlYieldTSDiscount(OisCurve,Q1021,,AllTriggers)</f>
        <v>0.78476261475490472</v>
      </c>
      <c r="V1021" s="34">
        <f>_xll.qlYieldTSDiscount(OisCurve,R1021,,AllTriggers)</f>
        <v>0.78311124837917578</v>
      </c>
      <c r="W1021" s="33">
        <f t="shared" si="65"/>
        <v>8.2515331508004053E-3</v>
      </c>
      <c r="X1021" s="35">
        <f t="shared" si="66"/>
        <v>1.0353616256613471E-4</v>
      </c>
      <c r="Y1021" s="33">
        <f t="shared" si="67"/>
        <v>4.0601685612204688E-4</v>
      </c>
      <c r="Z1021" s="54"/>
    </row>
    <row r="1022" spans="15:26" x14ac:dyDescent="0.25">
      <c r="O1022" s="37" t="s">
        <v>19</v>
      </c>
      <c r="P1022" s="31">
        <f>_xll.qlCalendarAdvance(Calendar,P1021,O1021,"f",,Trigger)</f>
        <v>54952</v>
      </c>
      <c r="Q1022" s="31">
        <f>_xll.qlInterestRateIndexValueDate(Index,P1022,Trigger)</f>
        <v>54954</v>
      </c>
      <c r="R1022" s="31">
        <f>_xll.qlInterestRateIndexMaturity(Index,Q1022,Trigger)</f>
        <v>55046</v>
      </c>
      <c r="S1022" s="32">
        <f>_xll.qlDayCounterYearFraction(DayCounter,Q1022,R1022,,,Trigger)</f>
        <v>0.25555555555555554</v>
      </c>
      <c r="T1022" s="33">
        <f>_xll.qlIndexFixing(Index,P1022,,AllTriggers)</f>
        <v>8.6404511796813951E-3</v>
      </c>
      <c r="U1022" s="34">
        <f>_xll.qlYieldTSDiscount(OisCurve,Q1022,,AllTriggers)</f>
        <v>0.78422271829330814</v>
      </c>
      <c r="V1022" s="34">
        <f>_xll.qlYieldTSDiscount(OisCurve,R1022,,AllTriggers)</f>
        <v>0.78257557411834577</v>
      </c>
      <c r="W1022" s="33">
        <f t="shared" si="65"/>
        <v>8.2360694414126377E-3</v>
      </c>
      <c r="X1022" s="35">
        <f t="shared" si="66"/>
        <v>1.0311962813679925E-4</v>
      </c>
      <c r="Y1022" s="33">
        <f t="shared" si="67"/>
        <v>4.0438173826875742E-4</v>
      </c>
      <c r="Z1022" s="54"/>
    </row>
    <row r="1023" spans="15:26" x14ac:dyDescent="0.25">
      <c r="O1023" s="37" t="s">
        <v>19</v>
      </c>
      <c r="P1023" s="31">
        <f>_xll.qlCalendarAdvance(Calendar,P1022,O1022,"f",,Trigger)</f>
        <v>54982</v>
      </c>
      <c r="Q1023" s="31">
        <f>_xll.qlInterestRateIndexValueDate(Index,P1023,Trigger)</f>
        <v>54984</v>
      </c>
      <c r="R1023" s="31">
        <f>_xll.qlInterestRateIndexMaturity(Index,Q1023,Trigger)</f>
        <v>55078</v>
      </c>
      <c r="S1023" s="32">
        <f>_xll.qlDayCounterYearFraction(DayCounter,Q1023,R1023,,,Trigger)</f>
        <v>0.26111111111111113</v>
      </c>
      <c r="T1023" s="33">
        <f>_xll.qlIndexFixing(Index,P1023,,AllTriggers)</f>
        <v>8.6226314880667749E-3</v>
      </c>
      <c r="U1023" s="34">
        <f>_xll.qlYieldTSDiscount(OisCurve,Q1023,,AllTriggers)</f>
        <v>0.78368417609287289</v>
      </c>
      <c r="V1023" s="34">
        <f>_xll.qlYieldTSDiscount(OisCurve,R1023,,AllTriggers)</f>
        <v>0.78200575507427039</v>
      </c>
      <c r="W1023" s="33">
        <f t="shared" si="65"/>
        <v>8.2198824608166136E-3</v>
      </c>
      <c r="X1023" s="35">
        <f t="shared" si="66"/>
        <v>1.0493151389830395E-4</v>
      </c>
      <c r="Y1023" s="33">
        <f t="shared" si="67"/>
        <v>4.0274902725016132E-4</v>
      </c>
      <c r="Z1023" s="54"/>
    </row>
    <row r="1024" spans="15:26" x14ac:dyDescent="0.25">
      <c r="O1024" s="37" t="s">
        <v>19</v>
      </c>
      <c r="P1024" s="31">
        <f>_xll.qlCalendarAdvance(Calendar,P1023,O1023,"f",,Trigger)</f>
        <v>55015</v>
      </c>
      <c r="Q1024" s="31">
        <f>_xll.qlInterestRateIndexValueDate(Index,P1024,Trigger)</f>
        <v>55017</v>
      </c>
      <c r="R1024" s="31">
        <f>_xll.qlInterestRateIndexMaturity(Index,Q1024,Trigger)</f>
        <v>55109</v>
      </c>
      <c r="S1024" s="32">
        <f>_xll.qlDayCounterYearFraction(DayCounter,Q1024,R1024,,,Trigger)</f>
        <v>0.25555555555555554</v>
      </c>
      <c r="T1024" s="33">
        <f>_xll.qlIndexFixing(Index,P1024,,AllTriggers)</f>
        <v>8.6034545466755399E-3</v>
      </c>
      <c r="U1024" s="34">
        <f>_xll.qlYieldTSDiscount(OisCurve,Q1024,,AllTriggers)</f>
        <v>0.78309336990511524</v>
      </c>
      <c r="V1024" s="34">
        <f>_xll.qlYieldTSDiscount(OisCurve,R1024,,AllTriggers)</f>
        <v>0.78145530950564546</v>
      </c>
      <c r="W1024" s="33">
        <f t="shared" si="65"/>
        <v>8.2023904440521184E-3</v>
      </c>
      <c r="X1024" s="35">
        <f t="shared" si="66"/>
        <v>1.022745339309989E-4</v>
      </c>
      <c r="Y1024" s="33">
        <f t="shared" si="67"/>
        <v>4.010641026234215E-4</v>
      </c>
      <c r="Z1024" s="54"/>
    </row>
    <row r="1025" spans="15:26" x14ac:dyDescent="0.25">
      <c r="O1025" s="37" t="s">
        <v>19</v>
      </c>
      <c r="P1025" s="31">
        <f>_xll.qlCalendarAdvance(Calendar,P1024,O1024,"f",,Trigger)</f>
        <v>55046</v>
      </c>
      <c r="Q1025" s="31">
        <f>_xll.qlInterestRateIndexValueDate(Index,P1025,Trigger)</f>
        <v>55050</v>
      </c>
      <c r="R1025" s="31">
        <f>_xll.qlInterestRateIndexMaturity(Index,Q1025,Trigger)</f>
        <v>55141</v>
      </c>
      <c r="S1025" s="32">
        <f>_xll.qlDayCounterYearFraction(DayCounter,Q1025,R1025,,,Trigger)</f>
        <v>0.25277777777777777</v>
      </c>
      <c r="T1025" s="33">
        <f>_xll.qlIndexFixing(Index,P1025,,AllTriggers)</f>
        <v>8.5836926300955785E-3</v>
      </c>
      <c r="U1025" s="34">
        <f>_xll.qlYieldTSDiscount(OisCurve,Q1025,,AllTriggers)</f>
        <v>0.78250425777784072</v>
      </c>
      <c r="V1025" s="34">
        <f>_xll.qlYieldTSDiscount(OisCurve,R1025,,AllTriggers)</f>
        <v>0.78088875032372818</v>
      </c>
      <c r="W1025" s="33">
        <f t="shared" si="65"/>
        <v>8.1842880911483663E-3</v>
      </c>
      <c r="X1025" s="35">
        <f t="shared" si="66"/>
        <v>1.0074707995313442E-4</v>
      </c>
      <c r="Y1025" s="33">
        <f t="shared" si="67"/>
        <v>3.9940453894721228E-4</v>
      </c>
      <c r="Z1025" s="54"/>
    </row>
    <row r="1026" spans="15:26" x14ac:dyDescent="0.25">
      <c r="O1026" s="37" t="s">
        <v>19</v>
      </c>
      <c r="P1026" s="31">
        <f>_xll.qlCalendarAdvance(Calendar,P1025,O1025,"f",,Trigger)</f>
        <v>55078</v>
      </c>
      <c r="Q1026" s="31">
        <f>_xll.qlInterestRateIndexValueDate(Index,P1026,Trigger)</f>
        <v>55080</v>
      </c>
      <c r="R1026" s="31">
        <f>_xll.qlInterestRateIndexMaturity(Index,Q1026,Trigger)</f>
        <v>55172</v>
      </c>
      <c r="S1026" s="32">
        <f>_xll.qlDayCounterYearFraction(DayCounter,Q1026,R1026,,,Trigger)</f>
        <v>0.25555555555555554</v>
      </c>
      <c r="T1026" s="33">
        <f>_xll.qlIndexFixing(Index,P1026,,AllTriggers)</f>
        <v>8.5649823991790948E-3</v>
      </c>
      <c r="U1026" s="34">
        <f>_xll.qlYieldTSDiscount(OisCurve,Q1026,,AllTriggers)</f>
        <v>0.781970195668093</v>
      </c>
      <c r="V1026" s="34">
        <f>_xll.qlYieldTSDiscount(OisCurve,R1026,,AllTriggers)</f>
        <v>0.78034151187934442</v>
      </c>
      <c r="W1026" s="33">
        <f t="shared" si="65"/>
        <v>8.1670786196710501E-3</v>
      </c>
      <c r="X1026" s="35">
        <f t="shared" si="66"/>
        <v>1.014695810166599E-4</v>
      </c>
      <c r="Y1026" s="33">
        <f t="shared" si="67"/>
        <v>3.9790377950804472E-4</v>
      </c>
      <c r="Z1026" s="54"/>
    </row>
    <row r="1027" spans="15:26" x14ac:dyDescent="0.25">
      <c r="O1027" s="37" t="s">
        <v>19</v>
      </c>
      <c r="P1027" s="31">
        <f>_xll.qlCalendarAdvance(Calendar,P1026,O1026,"f",,Trigger)</f>
        <v>55109</v>
      </c>
      <c r="Q1027" s="31">
        <f>_xll.qlInterestRateIndexValueDate(Index,P1027,Trigger)</f>
        <v>55113</v>
      </c>
      <c r="R1027" s="31">
        <f>_xll.qlInterestRateIndexMaturity(Index,Q1027,Trigger)</f>
        <v>55205</v>
      </c>
      <c r="S1027" s="32">
        <f>_xll.qlDayCounterYearFraction(DayCounter,Q1027,R1027,,,Trigger)</f>
        <v>0.25555555555555554</v>
      </c>
      <c r="T1027" s="33">
        <f>_xll.qlIndexFixing(Index,P1027,,AllTriggers)</f>
        <v>8.5442414689736006E-3</v>
      </c>
      <c r="U1027" s="34">
        <f>_xll.qlYieldTSDiscount(OisCurve,Q1027,,AllTriggers)</f>
        <v>0.78138439782531732</v>
      </c>
      <c r="V1027" s="34">
        <f>_xll.qlYieldTSDiscount(OisCurve,R1027,,AllTriggers)</f>
        <v>0.77976074191080302</v>
      </c>
      <c r="W1027" s="33">
        <f t="shared" si="65"/>
        <v>8.1479303147024649E-3</v>
      </c>
      <c r="X1027" s="35">
        <f t="shared" si="66"/>
        <v>1.0106395912087993E-4</v>
      </c>
      <c r="Y1027" s="33">
        <f t="shared" si="67"/>
        <v>3.9631115427113568E-4</v>
      </c>
      <c r="Z1027" s="54"/>
    </row>
    <row r="1028" spans="15:26" x14ac:dyDescent="0.25">
      <c r="O1028" s="37" t="s">
        <v>19</v>
      </c>
      <c r="P1028" s="31">
        <f>_xll.qlCalendarAdvance(Calendar,P1027,O1027,"f",,Trigger)</f>
        <v>55141</v>
      </c>
      <c r="Q1028" s="31">
        <f>_xll.qlInterestRateIndexValueDate(Index,P1028,Trigger)</f>
        <v>55143</v>
      </c>
      <c r="R1028" s="31">
        <f>_xll.qlInterestRateIndexMaturity(Index,Q1028,Trigger)</f>
        <v>55233</v>
      </c>
      <c r="S1028" s="32">
        <f>_xll.qlDayCounterYearFraction(DayCounter,Q1028,R1028,,,Trigger)</f>
        <v>0.25</v>
      </c>
      <c r="T1028" s="33">
        <f>_xll.qlIndexFixing(Index,P1028,,AllTriggers)</f>
        <v>8.5254842738544667E-3</v>
      </c>
      <c r="U1028" s="34">
        <f>_xll.qlYieldTSDiscount(OisCurve,Q1028,,AllTriggers)</f>
        <v>0.78085339637112416</v>
      </c>
      <c r="V1028" s="34">
        <f>_xll.qlYieldTSDiscount(OisCurve,R1028,,AllTriggers)</f>
        <v>0.77926942296572133</v>
      </c>
      <c r="W1028" s="33">
        <f t="shared" ref="W1028:W1091" si="68">(U1028/V1028-1)/S1028</f>
        <v>8.1305559218511902E-3</v>
      </c>
      <c r="X1028" s="35">
        <f t="shared" ref="X1028:X1091" si="69">LN((1+T1028*S1028)/(1+W1028*S1028))</f>
        <v>9.8526954466341099E-5</v>
      </c>
      <c r="Y1028" s="33">
        <f t="shared" ref="Y1028:Y1091" si="70">T1028-W1028</f>
        <v>3.9492835200327647E-4</v>
      </c>
      <c r="Z1028" s="54"/>
    </row>
    <row r="1029" spans="15:26" x14ac:dyDescent="0.25">
      <c r="O1029" s="37" t="s">
        <v>19</v>
      </c>
      <c r="P1029" s="31">
        <f>_xll.qlCalendarAdvance(Calendar,P1028,O1028,"f",,Trigger)</f>
        <v>55172</v>
      </c>
      <c r="Q1029" s="31">
        <f>_xll.qlInterestRateIndexValueDate(Index,P1029,Trigger)</f>
        <v>55176</v>
      </c>
      <c r="R1029" s="31">
        <f>_xll.qlInterestRateIndexMaturity(Index,Q1029,Trigger)</f>
        <v>55267</v>
      </c>
      <c r="S1029" s="32">
        <f>_xll.qlDayCounterYearFraction(DayCounter,Q1029,R1029,,,Trigger)</f>
        <v>0.25277777777777777</v>
      </c>
      <c r="T1029" s="33">
        <f>_xll.qlIndexFixing(Index,P1029,,AllTriggers)</f>
        <v>8.5037524597353729E-3</v>
      </c>
      <c r="U1029" s="34">
        <f>_xll.qlYieldTSDiscount(OisCurve,Q1029,,AllTriggers)</f>
        <v>0.78027101753657346</v>
      </c>
      <c r="V1029" s="34">
        <f>_xll.qlYieldTSDiscount(OisCurve,R1029,,AllTriggers)</f>
        <v>0.77867464424569033</v>
      </c>
      <c r="W1029" s="33">
        <f t="shared" si="68"/>
        <v>8.1103487260790769E-3</v>
      </c>
      <c r="X1029" s="35">
        <f t="shared" si="69"/>
        <v>9.9235343520380674E-5</v>
      </c>
      <c r="Y1029" s="33">
        <f t="shared" si="70"/>
        <v>3.9340373365629594E-4</v>
      </c>
      <c r="Z1029" s="54"/>
    </row>
    <row r="1030" spans="15:26" x14ac:dyDescent="0.25">
      <c r="O1030" s="37" t="s">
        <v>19</v>
      </c>
      <c r="P1030" s="31">
        <f>_xll.qlCalendarAdvance(Calendar,P1029,O1029,"f",,Trigger)</f>
        <v>55204</v>
      </c>
      <c r="Q1030" s="31">
        <f>_xll.qlInterestRateIndexValueDate(Index,P1030,Trigger)</f>
        <v>55206</v>
      </c>
      <c r="R1030" s="31">
        <f>_xll.qlInterestRateIndexMaturity(Index,Q1030,Trigger)</f>
        <v>55295</v>
      </c>
      <c r="S1030" s="32">
        <f>_xll.qlDayCounterYearFraction(DayCounter,Q1030,R1030,,,Trigger)</f>
        <v>0.24722222222222223</v>
      </c>
      <c r="T1030" s="33">
        <f>_xll.qlIndexFixing(Index,P1030,,AllTriggers)</f>
        <v>8.4843238281171688E-3</v>
      </c>
      <c r="U1030" s="34">
        <f>_xll.qlYieldTSDiscount(OisCurve,Q1030,,AllTriggers)</f>
        <v>0.77974317167479323</v>
      </c>
      <c r="V1030" s="34">
        <f>_xll.qlYieldTSDiscount(OisCurve,R1030,,AllTriggers)</f>
        <v>0.77818634819267274</v>
      </c>
      <c r="W1030" s="33">
        <f t="shared" si="68"/>
        <v>8.0922307848362782E-3</v>
      </c>
      <c r="X1030" s="35">
        <f t="shared" si="69"/>
        <v>9.6735897217721384E-5</v>
      </c>
      <c r="Y1030" s="33">
        <f t="shared" si="70"/>
        <v>3.9209304328089063E-4</v>
      </c>
      <c r="Z1030" s="54"/>
    </row>
    <row r="1031" spans="15:26" x14ac:dyDescent="0.25">
      <c r="O1031" s="37" t="s">
        <v>19</v>
      </c>
      <c r="P1031" s="31">
        <f>_xll.qlCalendarAdvance(Calendar,P1030,O1030,"f",,Trigger)</f>
        <v>55232</v>
      </c>
      <c r="Q1031" s="31">
        <f>_xll.qlInterestRateIndexValueDate(Index,P1031,Trigger)</f>
        <v>55234</v>
      </c>
      <c r="R1031" s="31">
        <f>_xll.qlInterestRateIndexMaturity(Index,Q1031,Trigger)</f>
        <v>55326</v>
      </c>
      <c r="S1031" s="32">
        <f>_xll.qlDayCounterYearFraction(DayCounter,Q1031,R1031,,,Trigger)</f>
        <v>0.25555555555555554</v>
      </c>
      <c r="T1031" s="33">
        <f>_xll.qlIndexFixing(Index,P1031,,AllTriggers)</f>
        <v>8.4647279127482503E-3</v>
      </c>
      <c r="U1031" s="34">
        <f>_xll.qlYieldTSDiscount(OisCurve,Q1031,,AllTriggers)</f>
        <v>0.77925190081179974</v>
      </c>
      <c r="V1031" s="34">
        <f>_xll.qlYieldTSDiscount(OisCurve,R1031,,AllTriggers)</f>
        <v>0.77764736024637082</v>
      </c>
      <c r="W1031" s="33">
        <f t="shared" si="68"/>
        <v>8.0738871063196459E-3</v>
      </c>
      <c r="X1031" s="35">
        <f t="shared" si="69"/>
        <v>9.9670908214726664E-5</v>
      </c>
      <c r="Y1031" s="33">
        <f t="shared" si="70"/>
        <v>3.9084080642860439E-4</v>
      </c>
      <c r="Z1031" s="54"/>
    </row>
    <row r="1032" spans="15:26" x14ac:dyDescent="0.25">
      <c r="O1032" s="37" t="s">
        <v>19</v>
      </c>
      <c r="P1032" s="31">
        <f>_xll.qlCalendarAdvance(Calendar,P1031,O1031,"f",,Trigger)</f>
        <v>55263</v>
      </c>
      <c r="Q1032" s="31">
        <f>_xll.qlInterestRateIndexValueDate(Index,P1032,Trigger)</f>
        <v>55267</v>
      </c>
      <c r="R1032" s="31">
        <f>_xll.qlInterestRateIndexMaturity(Index,Q1032,Trigger)</f>
        <v>55358</v>
      </c>
      <c r="S1032" s="32">
        <f>_xll.qlDayCounterYearFraction(DayCounter,Q1032,R1032,,,Trigger)</f>
        <v>0.25277777777777777</v>
      </c>
      <c r="T1032" s="33">
        <f>_xll.qlIndexFixing(Index,P1032,,AllTriggers)</f>
        <v>8.4423476561620824E-3</v>
      </c>
      <c r="U1032" s="34">
        <f>_xll.qlYieldTSDiscount(OisCurve,Q1032,,AllTriggers)</f>
        <v>0.77867464424569033</v>
      </c>
      <c r="V1032" s="34">
        <f>_xll.qlYieldTSDiscount(OisCurve,R1032,,AllTriggers)</f>
        <v>0.77709280132218683</v>
      </c>
      <c r="W1032" s="33">
        <f t="shared" si="68"/>
        <v>8.0528865101950741E-3</v>
      </c>
      <c r="X1032" s="35">
        <f t="shared" si="69"/>
        <v>9.8242306121138081E-5</v>
      </c>
      <c r="Y1032" s="33">
        <f t="shared" si="70"/>
        <v>3.8946114596700825E-4</v>
      </c>
      <c r="Z1032" s="54"/>
    </row>
    <row r="1033" spans="15:26" x14ac:dyDescent="0.25">
      <c r="O1033" s="37" t="s">
        <v>19</v>
      </c>
      <c r="P1033" s="31">
        <f>_xll.qlCalendarAdvance(Calendar,P1032,O1032,"f",,Trigger)</f>
        <v>55295</v>
      </c>
      <c r="Q1033" s="31">
        <f>_xll.qlInterestRateIndexValueDate(Index,P1033,Trigger)</f>
        <v>55297</v>
      </c>
      <c r="R1033" s="31">
        <f>_xll.qlInterestRateIndexMaturity(Index,Q1033,Trigger)</f>
        <v>55389</v>
      </c>
      <c r="S1033" s="32">
        <f>_xll.qlDayCounterYearFraction(DayCounter,Q1033,R1033,,,Trigger)</f>
        <v>0.25555555555555554</v>
      </c>
      <c r="T1033" s="33">
        <f>_xll.qlIndexFixing(Index,P1033,,AllTriggers)</f>
        <v>8.4211737803893093E-3</v>
      </c>
      <c r="U1033" s="34">
        <f>_xll.qlYieldTSDiscount(OisCurve,Q1033,,AllTriggers)</f>
        <v>0.7781515230008933</v>
      </c>
      <c r="V1033" s="34">
        <f>_xll.qlYieldTSDiscount(OisCurve,R1033,,AllTriggers)</f>
        <v>0.7765573552978744</v>
      </c>
      <c r="W1033" s="33">
        <f t="shared" si="68"/>
        <v>8.0329514503911705E-3</v>
      </c>
      <c r="X1033" s="35">
        <f t="shared" si="69"/>
        <v>9.9004219746660636E-5</v>
      </c>
      <c r="Y1033" s="33">
        <f t="shared" si="70"/>
        <v>3.8822232999813876E-4</v>
      </c>
      <c r="Z1033" s="54"/>
    </row>
    <row r="1034" spans="15:26" x14ac:dyDescent="0.25">
      <c r="O1034" s="37" t="s">
        <v>19</v>
      </c>
      <c r="P1034" s="31">
        <f>_xll.qlCalendarAdvance(Calendar,P1033,O1033,"f",,Trigger)</f>
        <v>55326</v>
      </c>
      <c r="Q1034" s="31">
        <f>_xll.qlInterestRateIndexValueDate(Index,P1034,Trigger)</f>
        <v>55330</v>
      </c>
      <c r="R1034" s="31">
        <f>_xll.qlInterestRateIndexMaturity(Index,Q1034,Trigger)</f>
        <v>55422</v>
      </c>
      <c r="S1034" s="32">
        <f>_xll.qlDayCounterYearFraction(DayCounter,Q1034,R1034,,,Trigger)</f>
        <v>0.25555555555555554</v>
      </c>
      <c r="T1034" s="33">
        <f>_xll.qlIndexFixing(Index,P1034,,AllTriggers)</f>
        <v>8.3977709225402861E-3</v>
      </c>
      <c r="U1034" s="34">
        <f>_xll.qlYieldTSDiscount(OisCurve,Q1034,,AllTriggers)</f>
        <v>0.7775779389950177</v>
      </c>
      <c r="V1034" s="34">
        <f>_xll.qlYieldTSDiscount(OisCurve,R1034,,AllTriggers)</f>
        <v>0.77598931883069111</v>
      </c>
      <c r="W1034" s="33">
        <f t="shared" si="68"/>
        <v>8.010857395330034E-3</v>
      </c>
      <c r="X1034" s="35">
        <f t="shared" si="69"/>
        <v>9.8671022084302571E-5</v>
      </c>
      <c r="Y1034" s="33">
        <f t="shared" si="70"/>
        <v>3.8691352721025203E-4</v>
      </c>
      <c r="Z1034" s="54"/>
    </row>
    <row r="1035" spans="15:26" x14ac:dyDescent="0.25">
      <c r="O1035" s="37" t="s">
        <v>19</v>
      </c>
      <c r="P1035" s="31">
        <f>_xll.qlCalendarAdvance(Calendar,P1034,O1034,"f",,Trigger)</f>
        <v>55358</v>
      </c>
      <c r="Q1035" s="31">
        <f>_xll.qlInterestRateIndexValueDate(Index,P1035,Trigger)</f>
        <v>55360</v>
      </c>
      <c r="R1035" s="31">
        <f>_xll.qlInterestRateIndexMaturity(Index,Q1035,Trigger)</f>
        <v>55452</v>
      </c>
      <c r="S1035" s="32">
        <f>_xll.qlDayCounterYearFraction(DayCounter,Q1035,R1035,,,Trigger)</f>
        <v>0.25555555555555554</v>
      </c>
      <c r="T1035" s="33">
        <f>_xll.qlIndexFixing(Index,P1035,,AllTriggers)</f>
        <v>8.3761443393177808E-3</v>
      </c>
      <c r="U1035" s="34">
        <f>_xll.qlYieldTSDiscount(OisCurve,Q1035,,AllTriggers)</f>
        <v>0.77705820321115471</v>
      </c>
      <c r="V1035" s="34">
        <f>_xll.qlYieldTSDiscount(OisCurve,R1035,,AllTriggers)</f>
        <v>0.77547469411239234</v>
      </c>
      <c r="W1035" s="33">
        <f t="shared" si="68"/>
        <v>7.9903831791328095E-3</v>
      </c>
      <c r="X1035" s="35">
        <f t="shared" si="69"/>
        <v>9.8377672569126081E-5</v>
      </c>
      <c r="Y1035" s="33">
        <f t="shared" si="70"/>
        <v>3.8576116018497128E-4</v>
      </c>
      <c r="Z1035" s="54"/>
    </row>
    <row r="1036" spans="15:26" x14ac:dyDescent="0.25">
      <c r="O1036" s="37" t="s">
        <v>19</v>
      </c>
      <c r="P1036" s="31">
        <f>_xll.qlCalendarAdvance(Calendar,P1035,O1035,"f",,Trigger)</f>
        <v>55389</v>
      </c>
      <c r="Q1036" s="31">
        <f>_xll.qlInterestRateIndexValueDate(Index,P1036,Trigger)</f>
        <v>55393</v>
      </c>
      <c r="R1036" s="31">
        <f>_xll.qlInterestRateIndexMaturity(Index,Q1036,Trigger)</f>
        <v>55485</v>
      </c>
      <c r="S1036" s="32">
        <f>_xll.qlDayCounterYearFraction(DayCounter,Q1036,R1036,,,Trigger)</f>
        <v>0.25555555555555554</v>
      </c>
      <c r="T1036" s="33">
        <f>_xll.qlIndexFixing(Index,P1036,,AllTriggers)</f>
        <v>8.3519687208967047E-3</v>
      </c>
      <c r="U1036" s="34">
        <f>_xll.qlYieldTSDiscount(OisCurve,Q1036,,AllTriggers)</f>
        <v>0.7764883945180423</v>
      </c>
      <c r="V1036" s="34">
        <f>_xll.qlYieldTSDiscount(OisCurve,R1036,,AllTriggers)</f>
        <v>0.77491058202352214</v>
      </c>
      <c r="W1036" s="33">
        <f t="shared" si="68"/>
        <v>7.9674339657075533E-3</v>
      </c>
      <c r="X1036" s="35">
        <f t="shared" si="69"/>
        <v>9.8065501297618586E-5</v>
      </c>
      <c r="Y1036" s="33">
        <f t="shared" si="70"/>
        <v>3.8453475518915141E-4</v>
      </c>
      <c r="Z1036" s="54"/>
    </row>
    <row r="1037" spans="15:26" x14ac:dyDescent="0.25">
      <c r="O1037" s="37" t="s">
        <v>19</v>
      </c>
      <c r="P1037" s="31">
        <f>_xll.qlCalendarAdvance(Calendar,P1036,O1036,"f",,Trigger)</f>
        <v>55421</v>
      </c>
      <c r="Q1037" s="31">
        <f>_xll.qlInterestRateIndexValueDate(Index,P1037,Trigger)</f>
        <v>55423</v>
      </c>
      <c r="R1037" s="31">
        <f>_xll.qlInterestRateIndexMaturity(Index,Q1037,Trigger)</f>
        <v>55514</v>
      </c>
      <c r="S1037" s="32">
        <f>_xll.qlDayCounterYearFraction(DayCounter,Q1037,R1037,,,Trigger)</f>
        <v>0.25277777777777777</v>
      </c>
      <c r="T1037" s="33">
        <f>_xll.qlIndexFixing(Index,P1037,,AllTriggers)</f>
        <v>8.3299210632291881E-3</v>
      </c>
      <c r="U1037" s="34">
        <f>_xll.qlYieldTSDiscount(OisCurve,Q1037,,AllTriggers)</f>
        <v>0.77597213735517767</v>
      </c>
      <c r="V1037" s="34">
        <f>_xll.qlYieldTSDiscount(OisCurve,R1037,,AllTriggers)</f>
        <v>0.77441657664947461</v>
      </c>
      <c r="W1037" s="33">
        <f t="shared" si="68"/>
        <v>7.946455065155027E-3</v>
      </c>
      <c r="X1037" s="35">
        <f t="shared" si="69"/>
        <v>9.6732688971774266E-5</v>
      </c>
      <c r="Y1037" s="33">
        <f t="shared" si="70"/>
        <v>3.8346599807416101E-4</v>
      </c>
      <c r="Z1037" s="54"/>
    </row>
    <row r="1038" spans="15:26" x14ac:dyDescent="0.25">
      <c r="O1038" s="37" t="s">
        <v>19</v>
      </c>
      <c r="P1038" s="31">
        <f>_xll.qlCalendarAdvance(Calendar,P1037,O1037,"f",,Trigger)</f>
        <v>55451</v>
      </c>
      <c r="Q1038" s="31">
        <f>_xll.qlInterestRateIndexValueDate(Index,P1038,Trigger)</f>
        <v>55453</v>
      </c>
      <c r="R1038" s="31">
        <f>_xll.qlInterestRateIndexMaturity(Index,Q1038,Trigger)</f>
        <v>55547</v>
      </c>
      <c r="S1038" s="32">
        <f>_xll.qlDayCounterYearFraction(DayCounter,Q1038,R1038,,,Trigger)</f>
        <v>0.26111111111111113</v>
      </c>
      <c r="T1038" s="33">
        <f>_xll.qlIndexFixing(Index,P1038,,AllTriggers)</f>
        <v>8.3064005837293602E-3</v>
      </c>
      <c r="U1038" s="34">
        <f>_xll.qlYieldTSDiscount(OisCurve,Q1038,,AllTriggers)</f>
        <v>0.77545756927769638</v>
      </c>
      <c r="V1038" s="34">
        <f>_xll.qlYieldTSDiscount(OisCurve,R1038,,AllTriggers)</f>
        <v>0.77385642566523916</v>
      </c>
      <c r="W1038" s="33">
        <f t="shared" si="68"/>
        <v>7.9240013566934855E-3</v>
      </c>
      <c r="X1038" s="35">
        <f t="shared" si="69"/>
        <v>9.9637558230688056E-5</v>
      </c>
      <c r="Y1038" s="33">
        <f t="shared" si="70"/>
        <v>3.8239922703587476E-4</v>
      </c>
      <c r="Z1038" s="54"/>
    </row>
    <row r="1039" spans="15:26" x14ac:dyDescent="0.25">
      <c r="O1039" s="37" t="s">
        <v>19</v>
      </c>
      <c r="P1039" s="31">
        <f>_xll.qlCalendarAdvance(Calendar,P1038,O1038,"f",,Trigger)</f>
        <v>55484</v>
      </c>
      <c r="Q1039" s="31">
        <f>_xll.qlInterestRateIndexValueDate(Index,P1039,Trigger)</f>
        <v>55486</v>
      </c>
      <c r="R1039" s="31">
        <f>_xll.qlInterestRateIndexMaturity(Index,Q1039,Trigger)</f>
        <v>55578</v>
      </c>
      <c r="S1039" s="32">
        <f>_xll.qlDayCounterYearFraction(DayCounter,Q1039,R1039,,,Trigger)</f>
        <v>0.25555555555555554</v>
      </c>
      <c r="T1039" s="33">
        <f>_xll.qlIndexFixing(Index,P1039,,AllTriggers)</f>
        <v>8.2816597360355921E-3</v>
      </c>
      <c r="U1039" s="34">
        <f>_xll.qlYieldTSDiscount(OisCurve,Q1039,,AllTriggers)</f>
        <v>0.77489352029962144</v>
      </c>
      <c r="V1039" s="34">
        <f>_xll.qlYieldTSDiscount(OisCurve,R1039,,AllTriggers)</f>
        <v>0.77333217958114175</v>
      </c>
      <c r="W1039" s="33">
        <f t="shared" si="68"/>
        <v>7.9003490053902968E-3</v>
      </c>
      <c r="X1039" s="35">
        <f t="shared" si="69"/>
        <v>9.7245002086667002E-5</v>
      </c>
      <c r="Y1039" s="33">
        <f t="shared" si="70"/>
        <v>3.8131073064529529E-4</v>
      </c>
      <c r="Z1039" s="54"/>
    </row>
    <row r="1040" spans="15:26" x14ac:dyDescent="0.25">
      <c r="O1040" s="37" t="s">
        <v>19</v>
      </c>
      <c r="P1040" s="31">
        <f>_xll.qlCalendarAdvance(Calendar,P1039,O1039,"f",,Trigger)</f>
        <v>55514</v>
      </c>
      <c r="Q1040" s="31">
        <f>_xll.qlInterestRateIndexValueDate(Index,P1040,Trigger)</f>
        <v>55516</v>
      </c>
      <c r="R1040" s="31">
        <f>_xll.qlInterestRateIndexMaturity(Index,Q1040,Trigger)</f>
        <v>55607</v>
      </c>
      <c r="S1040" s="32">
        <f>_xll.qlDayCounterYearFraction(DayCounter,Q1040,R1040,,,Trigger)</f>
        <v>0.25277777777777777</v>
      </c>
      <c r="T1040" s="33">
        <f>_xll.qlIndexFixing(Index,P1040,,AllTriggers)</f>
        <v>8.2585940291716262E-3</v>
      </c>
      <c r="U1040" s="34">
        <f>_xll.qlYieldTSDiscount(OisCurve,Q1040,,AllTriggers)</f>
        <v>0.77438256746207756</v>
      </c>
      <c r="V1040" s="34">
        <f>_xll.qlYieldTSDiscount(OisCurve,R1040,,AllTriggers)</f>
        <v>0.77284349230497729</v>
      </c>
      <c r="W1040" s="33">
        <f t="shared" si="68"/>
        <v>7.8782431808865783E-3</v>
      </c>
      <c r="X1040" s="35">
        <f t="shared" si="69"/>
        <v>9.5948553580206696E-5</v>
      </c>
      <c r="Y1040" s="33">
        <f t="shared" si="70"/>
        <v>3.8035084828504789E-4</v>
      </c>
      <c r="Z1040" s="54"/>
    </row>
    <row r="1041" spans="15:26" x14ac:dyDescent="0.25">
      <c r="O1041" s="37" t="s">
        <v>19</v>
      </c>
      <c r="P1041" s="31">
        <f>_xll.qlCalendarAdvance(Calendar,P1040,O1040,"f",,Trigger)</f>
        <v>55547</v>
      </c>
      <c r="Q1041" s="31">
        <f>_xll.qlInterestRateIndexValueDate(Index,P1041,Trigger)</f>
        <v>55549</v>
      </c>
      <c r="R1041" s="31">
        <f>_xll.qlInterestRateIndexMaturity(Index,Q1041,Trigger)</f>
        <v>55639</v>
      </c>
      <c r="S1041" s="32">
        <f>_xll.qlDayCounterYearFraction(DayCounter,Q1041,R1041,,,Trigger)</f>
        <v>0.25</v>
      </c>
      <c r="T1041" s="33">
        <f>_xll.qlIndexFixing(Index,P1041,,AllTriggers)</f>
        <v>8.2328186923366076E-3</v>
      </c>
      <c r="U1041" s="34">
        <f>_xll.qlYieldTSDiscount(OisCurve,Q1041,,AllTriggers)</f>
        <v>0.77382254588509447</v>
      </c>
      <c r="V1041" s="34">
        <f>_xll.qlYieldTSDiscount(OisCurve,R1041,,AllTriggers)</f>
        <v>0.77230622216531808</v>
      </c>
      <c r="W1041" s="33">
        <f t="shared" si="68"/>
        <v>7.8534844146407323E-3</v>
      </c>
      <c r="X1041" s="35">
        <f t="shared" si="69"/>
        <v>9.4643261969790013E-5</v>
      </c>
      <c r="Y1041" s="33">
        <f t="shared" si="70"/>
        <v>3.7933427769587524E-4</v>
      </c>
      <c r="Z1041" s="54"/>
    </row>
    <row r="1042" spans="15:26" x14ac:dyDescent="0.25">
      <c r="O1042" s="37" t="s">
        <v>19</v>
      </c>
      <c r="P1042" s="31">
        <f>_xll.qlCalendarAdvance(Calendar,P1041,O1041,"f",,Trigger)</f>
        <v>55578</v>
      </c>
      <c r="Q1042" s="31">
        <f>_xll.qlInterestRateIndexValueDate(Index,P1042,Trigger)</f>
        <v>55582</v>
      </c>
      <c r="R1042" s="31">
        <f>_xll.qlInterestRateIndexMaturity(Index,Q1042,Trigger)</f>
        <v>55674</v>
      </c>
      <c r="S1042" s="32">
        <f>_xll.qlDayCounterYearFraction(DayCounter,Q1042,R1042,,,Trigger)</f>
        <v>0.25555555555555554</v>
      </c>
      <c r="T1042" s="33">
        <f>_xll.qlIndexFixing(Index,P1042,,AllTriggers)</f>
        <v>8.2057109475859903E-3</v>
      </c>
      <c r="U1042" s="34">
        <f>_xll.qlYieldTSDiscount(OisCurve,Q1042,,AllTriggers)</f>
        <v>0.77326467419427225</v>
      </c>
      <c r="V1042" s="34">
        <f>_xll.qlYieldTSDiscount(OisCurve,R1042,,AllTriggers)</f>
        <v>0.77172097945239093</v>
      </c>
      <c r="W1042" s="33">
        <f t="shared" si="68"/>
        <v>7.8273687031688265E-3</v>
      </c>
      <c r="X1042" s="35">
        <f t="shared" si="69"/>
        <v>9.6489786681600807E-5</v>
      </c>
      <c r="Y1042" s="33">
        <f t="shared" si="70"/>
        <v>3.7834224441716385E-4</v>
      </c>
      <c r="Z1042" s="54"/>
    </row>
    <row r="1043" spans="15:26" x14ac:dyDescent="0.25">
      <c r="O1043" s="37" t="s">
        <v>19</v>
      </c>
      <c r="P1043" s="31">
        <f>_xll.qlCalendarAdvance(Calendar,P1042,O1042,"f",,Trigger)</f>
        <v>55607</v>
      </c>
      <c r="Q1043" s="31">
        <f>_xll.qlInterestRateIndexValueDate(Index,P1043,Trigger)</f>
        <v>55611</v>
      </c>
      <c r="R1043" s="31">
        <f>_xll.qlInterestRateIndexMaturity(Index,Q1043,Trigger)</f>
        <v>55702</v>
      </c>
      <c r="S1043" s="32">
        <f>_xll.qlDayCounterYearFraction(DayCounter,Q1043,R1043,,,Trigger)</f>
        <v>0.25277777777777777</v>
      </c>
      <c r="T1043" s="33">
        <f>_xll.qlIndexFixing(Index,P1043,,AllTriggers)</f>
        <v>8.1824142039508673E-3</v>
      </c>
      <c r="U1043" s="34">
        <f>_xll.qlYieldTSDiscount(OisCurve,Q1043,,AllTriggers)</f>
        <v>0.77277621997622425</v>
      </c>
      <c r="V1043" s="34">
        <f>_xll.qlYieldTSDiscount(OisCurve,R1043,,AllTriggers)</f>
        <v>0.77125460932548828</v>
      </c>
      <c r="W1043" s="33">
        <f t="shared" si="68"/>
        <v>7.8048915954752008E-3</v>
      </c>
      <c r="X1043" s="35">
        <f t="shared" si="69"/>
        <v>9.5236888749235807E-5</v>
      </c>
      <c r="Y1043" s="33">
        <f t="shared" si="70"/>
        <v>3.7752260847566648E-4</v>
      </c>
      <c r="Z1043" s="54"/>
    </row>
    <row r="1044" spans="15:26" x14ac:dyDescent="0.25">
      <c r="O1044" s="37" t="s">
        <v>19</v>
      </c>
      <c r="P1044" s="31">
        <f>_xll.qlCalendarAdvance(Calendar,P1043,O1043,"f",,Trigger)</f>
        <v>55638</v>
      </c>
      <c r="Q1044" s="31">
        <f>_xll.qlInterestRateIndexValueDate(Index,P1044,Trigger)</f>
        <v>55641</v>
      </c>
      <c r="R1044" s="31">
        <f>_xll.qlInterestRateIndexMaturity(Index,Q1044,Trigger)</f>
        <v>55733</v>
      </c>
      <c r="S1044" s="32">
        <f>_xll.qlDayCounterYearFraction(DayCounter,Q1044,R1044,,,Trigger)</f>
        <v>0.25555555555555554</v>
      </c>
      <c r="T1044" s="33">
        <f>_xll.qlIndexFixing(Index,P1044,,AllTriggers)</f>
        <v>8.1573347209423063E-3</v>
      </c>
      <c r="U1044" s="34">
        <f>_xll.qlYieldTSDiscount(OisCurve,Q1044,,AllTriggers)</f>
        <v>0.77227271198946434</v>
      </c>
      <c r="V1044" s="34">
        <f>_xll.qlYieldTSDiscount(OisCurve,R1044,,AllTriggers)</f>
        <v>0.77074018402640587</v>
      </c>
      <c r="W1044" s="33">
        <f t="shared" si="68"/>
        <v>7.7806356478919408E-3</v>
      </c>
      <c r="X1044" s="35">
        <f t="shared" si="69"/>
        <v>9.6071888791879377E-5</v>
      </c>
      <c r="Y1044" s="33">
        <f t="shared" si="70"/>
        <v>3.7669907305036554E-4</v>
      </c>
      <c r="Z1044" s="54"/>
    </row>
    <row r="1045" spans="15:26" x14ac:dyDescent="0.25">
      <c r="O1045" s="37" t="s">
        <v>19</v>
      </c>
      <c r="P1045" s="31">
        <f>_xll.qlCalendarAdvance(Calendar,P1044,O1044,"f",,Trigger)</f>
        <v>55668</v>
      </c>
      <c r="Q1045" s="31">
        <f>_xll.qlInterestRateIndexValueDate(Index,P1045,Trigger)</f>
        <v>55670</v>
      </c>
      <c r="R1045" s="31">
        <f>_xll.qlInterestRateIndexMaturity(Index,Q1045,Trigger)</f>
        <v>55761</v>
      </c>
      <c r="S1045" s="32">
        <f>_xll.qlDayCounterYearFraction(DayCounter,Q1045,R1045,,,Trigger)</f>
        <v>0.25277777777777777</v>
      </c>
      <c r="T1045" s="33">
        <f>_xll.qlIndexFixing(Index,P1045,,AllTriggers)</f>
        <v>8.1334141797825676E-3</v>
      </c>
      <c r="U1045" s="34">
        <f>_xll.qlYieldTSDiscount(OisCurve,Q1045,,AllTriggers)</f>
        <v>0.77178773661688072</v>
      </c>
      <c r="V1045" s="34">
        <f>_xll.qlYieldTSDiscount(OisCurve,R1045,,AllTriggers)</f>
        <v>0.77027728792265981</v>
      </c>
      <c r="W1045" s="33">
        <f t="shared" si="68"/>
        <v>7.7574680201227863E-3</v>
      </c>
      <c r="X1045" s="35">
        <f t="shared" si="69"/>
        <v>9.4840354571297826E-5</v>
      </c>
      <c r="Y1045" s="33">
        <f t="shared" si="70"/>
        <v>3.7594615965978132E-4</v>
      </c>
      <c r="Z1045" s="54"/>
    </row>
    <row r="1046" spans="15:26" x14ac:dyDescent="0.25">
      <c r="O1046" s="37" t="s">
        <v>19</v>
      </c>
      <c r="P1046" s="31">
        <f>_xll.qlCalendarAdvance(Calendar,P1045,O1045,"f",,Trigger)</f>
        <v>55701</v>
      </c>
      <c r="Q1046" s="31">
        <f>_xll.qlInterestRateIndexValueDate(Index,P1046,Trigger)</f>
        <v>55703</v>
      </c>
      <c r="R1046" s="31">
        <f>_xll.qlInterestRateIndexMaturity(Index,Q1046,Trigger)</f>
        <v>55795</v>
      </c>
      <c r="S1046" s="32">
        <f>_xll.qlDayCounterYearFraction(DayCounter,Q1046,R1046,,,Trigger)</f>
        <v>0.25555555555555554</v>
      </c>
      <c r="T1046" s="33">
        <f>_xll.qlIndexFixing(Index,P1046,,AllTriggers)</f>
        <v>8.1051046921342771E-3</v>
      </c>
      <c r="U1046" s="34">
        <f>_xll.qlYieldTSDiscount(OisCurve,Q1046,,AllTriggers)</f>
        <v>0.77123798347211014</v>
      </c>
      <c r="V1046" s="34">
        <f>_xll.qlYieldTSDiscount(OisCurve,R1046,,AllTriggers)</f>
        <v>0.7697174526145083</v>
      </c>
      <c r="W1046" s="33">
        <f t="shared" si="68"/>
        <v>7.7299836915783295E-3</v>
      </c>
      <c r="X1046" s="35">
        <f t="shared" si="69"/>
        <v>9.5670678360174793E-5</v>
      </c>
      <c r="Y1046" s="33">
        <f t="shared" si="70"/>
        <v>3.7512100055594761E-4</v>
      </c>
      <c r="Z1046" s="54"/>
    </row>
    <row r="1047" spans="15:26" x14ac:dyDescent="0.25">
      <c r="O1047" s="37" t="s">
        <v>19</v>
      </c>
      <c r="P1047" s="31">
        <f>_xll.qlCalendarAdvance(Calendar,P1046,O1046,"f",,Trigger)</f>
        <v>55732</v>
      </c>
      <c r="Q1047" s="31">
        <f>_xll.qlInterestRateIndexValueDate(Index,P1047,Trigger)</f>
        <v>55736</v>
      </c>
      <c r="R1047" s="31">
        <f>_xll.qlInterestRateIndexMaturity(Index,Q1047,Trigger)</f>
        <v>55828</v>
      </c>
      <c r="S1047" s="32">
        <f>_xll.qlDayCounterYearFraction(DayCounter,Q1047,R1047,,,Trigger)</f>
        <v>0.25555555555555554</v>
      </c>
      <c r="T1047" s="33">
        <f>_xll.qlIndexFixing(Index,P1047,,AllTriggers)</f>
        <v>8.0767223231531272E-3</v>
      </c>
      <c r="U1047" s="34">
        <f>_xll.qlYieldTSDiscount(OisCurve,Q1047,,AllTriggers)</f>
        <v>0.77069050842093123</v>
      </c>
      <c r="V1047" s="34">
        <f>_xll.qlYieldTSDiscount(OisCurve,R1047,,AllTriggers)</f>
        <v>0.76917647238888454</v>
      </c>
      <c r="W1047" s="33">
        <f t="shared" si="68"/>
        <v>7.7023791466892732E-3</v>
      </c>
      <c r="X1047" s="35">
        <f t="shared" si="69"/>
        <v>9.5472984103451409E-5</v>
      </c>
      <c r="Y1047" s="33">
        <f t="shared" si="70"/>
        <v>3.7434317646385402E-4</v>
      </c>
      <c r="Z1047" s="54"/>
    </row>
    <row r="1048" spans="15:26" x14ac:dyDescent="0.25">
      <c r="O1048" s="37" t="s">
        <v>19</v>
      </c>
      <c r="P1048" s="31">
        <f>_xll.qlCalendarAdvance(Calendar,P1047,O1047,"f",,Trigger)</f>
        <v>55764</v>
      </c>
      <c r="Q1048" s="31">
        <f>_xll.qlInterestRateIndexValueDate(Index,P1048,Trigger)</f>
        <v>55766</v>
      </c>
      <c r="R1048" s="31">
        <f>_xll.qlInterestRateIndexMaturity(Index,Q1048,Trigger)</f>
        <v>55857</v>
      </c>
      <c r="S1048" s="32">
        <f>_xll.qlDayCounterYearFraction(DayCounter,Q1048,R1048,,,Trigger)</f>
        <v>0.25277777777777777</v>
      </c>
      <c r="T1048" s="33">
        <f>_xll.qlIndexFixing(Index,P1048,,AllTriggers)</f>
        <v>8.0509204984662731E-3</v>
      </c>
      <c r="U1048" s="34">
        <f>_xll.qlYieldTSDiscount(OisCurve,Q1048,,AllTriggers)</f>
        <v>0.77019480363636039</v>
      </c>
      <c r="V1048" s="34">
        <f>_xll.qlYieldTSDiscount(OisCurve,R1048,,AllTriggers)</f>
        <v>0.76870303022991515</v>
      </c>
      <c r="W1048" s="33">
        <f t="shared" si="68"/>
        <v>7.6772445746563518E-3</v>
      </c>
      <c r="X1048" s="35">
        <f t="shared" si="69"/>
        <v>9.4269574483031528E-5</v>
      </c>
      <c r="Y1048" s="33">
        <f t="shared" si="70"/>
        <v>3.7367592380992132E-4</v>
      </c>
      <c r="Z1048" s="54"/>
    </row>
    <row r="1049" spans="15:26" x14ac:dyDescent="0.25">
      <c r="O1049" s="37" t="s">
        <v>19</v>
      </c>
      <c r="P1049" s="31">
        <f>_xll.qlCalendarAdvance(Calendar,P1048,O1048,"f",,Trigger)</f>
        <v>55794</v>
      </c>
      <c r="Q1049" s="31">
        <f>_xll.qlInterestRateIndexValueDate(Index,P1049,Trigger)</f>
        <v>55796</v>
      </c>
      <c r="R1049" s="31">
        <f>_xll.qlInterestRateIndexMaturity(Index,Q1049,Trigger)</f>
        <v>55890</v>
      </c>
      <c r="S1049" s="32">
        <f>_xll.qlDayCounterYearFraction(DayCounter,Q1049,R1049,,,Trigger)</f>
        <v>0.26111111111111113</v>
      </c>
      <c r="T1049" s="33">
        <f>_xll.qlIndexFixing(Index,P1049,,AllTriggers)</f>
        <v>8.0233654724977781E-3</v>
      </c>
      <c r="U1049" s="34">
        <f>_xll.qlYieldTSDiscount(OisCurve,Q1049,,AllTriggers)</f>
        <v>0.76970102455239608</v>
      </c>
      <c r="V1049" s="34">
        <f>_xll.qlYieldTSDiscount(OisCurve,R1049,,AllTriggers)</f>
        <v>0.76816654575879706</v>
      </c>
      <c r="W1049" s="33">
        <f t="shared" si="68"/>
        <v>7.6503296415093517E-3</v>
      </c>
      <c r="X1049" s="35">
        <f t="shared" si="69"/>
        <v>9.7204891190484825E-5</v>
      </c>
      <c r="Y1049" s="33">
        <f t="shared" si="70"/>
        <v>3.7303583098842637E-4</v>
      </c>
      <c r="Z1049" s="54"/>
    </row>
    <row r="1050" spans="15:26" x14ac:dyDescent="0.25">
      <c r="O1050" s="37" t="s">
        <v>19</v>
      </c>
      <c r="P1050" s="31">
        <f>_xll.qlCalendarAdvance(Calendar,P1049,O1049,"f",,Trigger)</f>
        <v>55827</v>
      </c>
      <c r="Q1050" s="31">
        <f>_xll.qlInterestRateIndexValueDate(Index,P1050,Trigger)</f>
        <v>55829</v>
      </c>
      <c r="R1050" s="31">
        <f>_xll.qlInterestRateIndexMaturity(Index,Q1050,Trigger)</f>
        <v>55921</v>
      </c>
      <c r="S1050" s="32">
        <f>_xll.qlDayCounterYearFraction(DayCounter,Q1050,R1050,,,Trigger)</f>
        <v>0.25555555555555554</v>
      </c>
      <c r="T1050" s="33">
        <f>_xll.qlIndexFixing(Index,P1050,,AllTriggers)</f>
        <v>7.9945584132703664E-3</v>
      </c>
      <c r="U1050" s="34">
        <f>_xll.qlYieldTSDiscount(OisCurve,Q1050,,AllTriggers)</f>
        <v>0.76916011608168544</v>
      </c>
      <c r="V1050" s="34">
        <f>_xll.qlYieldTSDiscount(OisCurve,R1050,,AllTriggers)</f>
        <v>0.76766479013179589</v>
      </c>
      <c r="W1050" s="33">
        <f t="shared" si="68"/>
        <v>7.6221751099007622E-3</v>
      </c>
      <c r="X1050" s="35">
        <f t="shared" si="69"/>
        <v>9.4975101934051225E-5</v>
      </c>
      <c r="Y1050" s="33">
        <f t="shared" si="70"/>
        <v>3.7238330336960418E-4</v>
      </c>
      <c r="Z1050" s="54"/>
    </row>
    <row r="1051" spans="15:26" x14ac:dyDescent="0.25">
      <c r="O1051" s="37" t="s">
        <v>19</v>
      </c>
      <c r="P1051" s="31">
        <f>_xll.qlCalendarAdvance(Calendar,P1050,O1050,"f",,Trigger)</f>
        <v>55857</v>
      </c>
      <c r="Q1051" s="31">
        <f>_xll.qlInterestRateIndexValueDate(Index,P1051,Trigger)</f>
        <v>55859</v>
      </c>
      <c r="R1051" s="31">
        <f>_xll.qlInterestRateIndexMaturity(Index,Q1051,Trigger)</f>
        <v>55949</v>
      </c>
      <c r="S1051" s="32">
        <f>_xll.qlDayCounterYearFraction(DayCounter,Q1051,R1051,,,Trigger)</f>
        <v>0.25</v>
      </c>
      <c r="T1051" s="33">
        <f>_xll.qlIndexFixing(Index,P1051,,AllTriggers)</f>
        <v>7.968109452811234E-3</v>
      </c>
      <c r="U1051" s="34">
        <f>_xll.qlYieldTSDiscount(OisCurve,Q1051,,AllTriggers)</f>
        <v>0.76867044729249956</v>
      </c>
      <c r="V1051" s="34">
        <f>_xll.qlYieldTSDiscount(OisCurve,R1051,,AllTriggers)</f>
        <v>0.76721345449806799</v>
      </c>
      <c r="W1051" s="33">
        <f t="shared" si="68"/>
        <v>7.5962838549790135E-3</v>
      </c>
      <c r="X1051" s="35">
        <f t="shared" si="69"/>
        <v>9.2775899451117257E-5</v>
      </c>
      <c r="Y1051" s="33">
        <f t="shared" si="70"/>
        <v>3.7182559783222047E-4</v>
      </c>
      <c r="Z1051" s="54"/>
    </row>
    <row r="1052" spans="15:26" x14ac:dyDescent="0.25">
      <c r="O1052" s="37" t="s">
        <v>19</v>
      </c>
      <c r="P1052" s="31">
        <f>_xll.qlCalendarAdvance(Calendar,P1051,O1051,"f",,Trigger)</f>
        <v>55890</v>
      </c>
      <c r="Q1052" s="31">
        <f>_xll.qlInterestRateIndexValueDate(Index,P1052,Trigger)</f>
        <v>55892</v>
      </c>
      <c r="R1052" s="31">
        <f>_xll.qlInterestRateIndexMaturity(Index,Q1052,Trigger)</f>
        <v>55982</v>
      </c>
      <c r="S1052" s="32">
        <f>_xll.qlDayCounterYearFraction(DayCounter,Q1052,R1052,,,Trigger)</f>
        <v>0.25</v>
      </c>
      <c r="T1052" s="33">
        <f>_xll.qlIndexFixing(Index,P1052,,AllTriggers)</f>
        <v>7.9378277138193454E-3</v>
      </c>
      <c r="U1052" s="34">
        <f>_xll.qlYieldTSDiscount(OisCurve,Q1052,,AllTriggers)</f>
        <v>0.76813410943223603</v>
      </c>
      <c r="V1052" s="34">
        <f>_xll.qlYieldTSDiscount(OisCurve,R1052,,AllTriggers)</f>
        <v>0.76668381636802074</v>
      </c>
      <c r="W1052" s="33">
        <f t="shared" si="68"/>
        <v>7.5665771638986357E-3</v>
      </c>
      <c r="X1052" s="35">
        <f t="shared" si="69"/>
        <v>9.2633109891379327E-5</v>
      </c>
      <c r="Y1052" s="33">
        <f t="shared" si="70"/>
        <v>3.7125054992070972E-4</v>
      </c>
      <c r="Z1052" s="54"/>
    </row>
    <row r="1053" spans="15:26" x14ac:dyDescent="0.25">
      <c r="O1053" s="37" t="s">
        <v>19</v>
      </c>
      <c r="P1053" s="31">
        <f>_xll.qlCalendarAdvance(Calendar,P1052,O1052,"f",,Trigger)</f>
        <v>55921</v>
      </c>
      <c r="Q1053" s="31">
        <f>_xll.qlInterestRateIndexValueDate(Index,P1053,Trigger)</f>
        <v>55925</v>
      </c>
      <c r="R1053" s="31">
        <f>_xll.qlInterestRateIndexMaturity(Index,Q1053,Trigger)</f>
        <v>56016</v>
      </c>
      <c r="S1053" s="32">
        <f>_xll.qlDayCounterYearFraction(DayCounter,Q1053,R1053,,,Trigger)</f>
        <v>0.25277777777777777</v>
      </c>
      <c r="T1053" s="33">
        <f>_xll.qlIndexFixing(Index,P1053,,AllTriggers)</f>
        <v>7.9067572572235848E-3</v>
      </c>
      <c r="U1053" s="34">
        <f>_xll.qlYieldTSDiscount(OisCurve,Q1053,,AllTriggers)</f>
        <v>0.76760020493277581</v>
      </c>
      <c r="V1053" s="34">
        <f>_xll.qlYieldTSDiscount(OisCurve,R1053,,AllTriggers)</f>
        <v>0.76614075050242658</v>
      </c>
      <c r="W1053" s="33">
        <f t="shared" si="68"/>
        <v>7.5360380902837745E-3</v>
      </c>
      <c r="X1053" s="35">
        <f t="shared" si="69"/>
        <v>9.3527021437496852E-5</v>
      </c>
      <c r="Y1053" s="33">
        <f t="shared" si="70"/>
        <v>3.7071916693981032E-4</v>
      </c>
      <c r="Z1053" s="54"/>
    </row>
    <row r="1054" spans="15:26" x14ac:dyDescent="0.25">
      <c r="O1054" s="37" t="s">
        <v>19</v>
      </c>
      <c r="P1054" s="31">
        <f>_xll.qlCalendarAdvance(Calendar,P1053,O1053,"f",,Trigger)</f>
        <v>55949</v>
      </c>
      <c r="Q1054" s="31">
        <f>_xll.qlInterestRateIndexValueDate(Index,P1054,Trigger)</f>
        <v>55953</v>
      </c>
      <c r="R1054" s="31">
        <f>_xll.qlInterestRateIndexMaturity(Index,Q1054,Trigger)</f>
        <v>56045</v>
      </c>
      <c r="S1054" s="32">
        <f>_xll.qlDayCounterYearFraction(DayCounter,Q1054,R1054,,,Trigger)</f>
        <v>0.25555555555555554</v>
      </c>
      <c r="T1054" s="33">
        <f>_xll.qlIndexFixing(Index,P1054,,AllTriggers)</f>
        <v>7.880007244240872E-3</v>
      </c>
      <c r="U1054" s="34">
        <f>_xll.qlYieldTSDiscount(OisCurve,Q1054,,AllTriggers)</f>
        <v>0.76714912333149987</v>
      </c>
      <c r="V1054" s="34">
        <f>_xll.qlYieldTSDiscount(OisCurve,R1054,,AllTriggers)</f>
        <v>0.7656796718132074</v>
      </c>
      <c r="W1054" s="33">
        <f t="shared" si="68"/>
        <v>7.5097039818993816E-3</v>
      </c>
      <c r="X1054" s="35">
        <f t="shared" si="69"/>
        <v>9.4447328815008491E-5</v>
      </c>
      <c r="Y1054" s="33">
        <f t="shared" si="70"/>
        <v>3.7030326234149032E-4</v>
      </c>
      <c r="Z1054" s="54"/>
    </row>
    <row r="1055" spans="15:26" x14ac:dyDescent="0.25">
      <c r="O1055" s="37" t="s">
        <v>19</v>
      </c>
      <c r="P1055" s="31">
        <f>_xll.qlCalendarAdvance(Calendar,P1054,O1054,"f",,Trigger)</f>
        <v>55982</v>
      </c>
      <c r="Q1055" s="31">
        <f>_xll.qlInterestRateIndexValueDate(Index,P1055,Trigger)</f>
        <v>55984</v>
      </c>
      <c r="R1055" s="31">
        <f>_xll.qlInterestRateIndexMaturity(Index,Q1055,Trigger)</f>
        <v>56075</v>
      </c>
      <c r="S1055" s="32">
        <f>_xll.qlDayCounterYearFraction(DayCounter,Q1055,R1055,,,Trigger)</f>
        <v>0.25277777777777777</v>
      </c>
      <c r="T1055" s="33">
        <f>_xll.qlIndexFixing(Index,P1055,,AllTriggers)</f>
        <v>7.8508731895240227E-3</v>
      </c>
      <c r="U1055" s="34">
        <f>_xll.qlYieldTSDiscount(OisCurve,Q1055,,AllTriggers)</f>
        <v>0.76665179737733058</v>
      </c>
      <c r="V1055" s="34">
        <f>_xll.qlYieldTSDiscount(OisCurve,R1055,,AllTriggers)</f>
        <v>0.76520477247493257</v>
      </c>
      <c r="W1055" s="33">
        <f t="shared" si="68"/>
        <v>7.4809963624005724E-3</v>
      </c>
      <c r="X1055" s="35">
        <f t="shared" si="69"/>
        <v>9.3315817146040066E-5</v>
      </c>
      <c r="Y1055" s="33">
        <f t="shared" si="70"/>
        <v>3.6987682712345035E-4</v>
      </c>
      <c r="Z1055" s="54"/>
    </row>
    <row r="1056" spans="15:26" x14ac:dyDescent="0.25">
      <c r="O1056" s="37" t="s">
        <v>19</v>
      </c>
      <c r="P1056" s="31">
        <f>_xll.qlCalendarAdvance(Calendar,P1055,O1055,"f",,Trigger)</f>
        <v>56012</v>
      </c>
      <c r="Q1056" s="31">
        <f>_xll.qlInterestRateIndexValueDate(Index,P1056,Trigger)</f>
        <v>56016</v>
      </c>
      <c r="R1056" s="31">
        <f>_xll.qlInterestRateIndexMaturity(Index,Q1056,Trigger)</f>
        <v>56108</v>
      </c>
      <c r="S1056" s="32">
        <f>_xll.qlDayCounterYearFraction(DayCounter,Q1056,R1056,,,Trigger)</f>
        <v>0.25555555555555554</v>
      </c>
      <c r="T1056" s="33">
        <f>_xll.qlIndexFixing(Index,P1056,,AllTriggers)</f>
        <v>7.8196191892869176E-3</v>
      </c>
      <c r="U1056" s="34">
        <f>_xll.qlYieldTSDiscount(OisCurve,Q1056,,AllTriggers)</f>
        <v>0.76614075050242658</v>
      </c>
      <c r="V1056" s="34">
        <f>_xll.qlYieldTSDiscount(OisCurve,R1056,,AllTriggers)</f>
        <v>0.76468484829048788</v>
      </c>
      <c r="W1056" s="33">
        <f t="shared" si="68"/>
        <v>7.4501393196794215E-3</v>
      </c>
      <c r="X1056" s="35">
        <f t="shared" si="69"/>
        <v>9.4238760793099676E-5</v>
      </c>
      <c r="Y1056" s="33">
        <f t="shared" si="70"/>
        <v>3.6947986960749607E-4</v>
      </c>
      <c r="Z1056" s="54"/>
    </row>
    <row r="1057" spans="15:26" x14ac:dyDescent="0.25">
      <c r="O1057" s="37" t="s">
        <v>19</v>
      </c>
      <c r="P1057" s="31">
        <f>_xll.qlCalendarAdvance(Calendar,P1056,O1056,"f",,Trigger)</f>
        <v>56044</v>
      </c>
      <c r="Q1057" s="31">
        <f>_xll.qlInterestRateIndexValueDate(Index,P1057,Trigger)</f>
        <v>56046</v>
      </c>
      <c r="R1057" s="31">
        <f>_xll.qlInterestRateIndexMaturity(Index,Q1057,Trigger)</f>
        <v>56138</v>
      </c>
      <c r="S1057" s="32">
        <f>_xll.qlDayCounterYearFraction(DayCounter,Q1057,R1057,,,Trigger)</f>
        <v>0.25555555555555554</v>
      </c>
      <c r="T1057" s="33">
        <f>_xll.qlIndexFixing(Index,P1057,,AllTriggers)</f>
        <v>7.7903446745276467E-3</v>
      </c>
      <c r="U1057" s="34">
        <f>_xll.qlYieldTSDiscount(OisCurve,Q1057,,AllTriggers)</f>
        <v>0.76566380767140718</v>
      </c>
      <c r="V1057" s="34">
        <f>_xll.qlYieldTSDiscount(OisCurve,R1057,,AllTriggers)</f>
        <v>0.76421445256757026</v>
      </c>
      <c r="W1057" s="33">
        <f t="shared" si="68"/>
        <v>7.4212016243594466E-3</v>
      </c>
      <c r="X1057" s="35">
        <f t="shared" si="69"/>
        <v>9.4153551304839431E-5</v>
      </c>
      <c r="Y1057" s="33">
        <f t="shared" si="70"/>
        <v>3.6914305016820005E-4</v>
      </c>
      <c r="Z1057" s="54"/>
    </row>
    <row r="1058" spans="15:26" x14ac:dyDescent="0.25">
      <c r="O1058" s="37" t="s">
        <v>19</v>
      </c>
      <c r="P1058" s="31">
        <f>_xll.qlCalendarAdvance(Calendar,P1057,O1057,"f",,Trigger)</f>
        <v>56074</v>
      </c>
      <c r="Q1058" s="31">
        <f>_xll.qlInterestRateIndexValueDate(Index,P1058,Trigger)</f>
        <v>56076</v>
      </c>
      <c r="R1058" s="31">
        <f>_xll.qlInterestRateIndexMaturity(Index,Q1058,Trigger)</f>
        <v>56170</v>
      </c>
      <c r="S1058" s="32">
        <f>_xll.qlDayCounterYearFraction(DayCounter,Q1058,R1058,,,Trigger)</f>
        <v>0.26111111111111113</v>
      </c>
      <c r="T1058" s="33">
        <f>_xll.qlIndexFixing(Index,P1058,,AllTriggers)</f>
        <v>7.759904451755944E-3</v>
      </c>
      <c r="U1058" s="34">
        <f>_xll.qlYieldTSDiscount(OisCurve,Q1058,,AllTriggers)</f>
        <v>0.76518897913170281</v>
      </c>
      <c r="V1058" s="34">
        <f>_xll.qlYieldTSDiscount(OisCurve,R1058,,AllTriggers)</f>
        <v>0.76371509544297367</v>
      </c>
      <c r="W1058" s="33">
        <f t="shared" si="68"/>
        <v>7.3910558652556793E-3</v>
      </c>
      <c r="X1058" s="35">
        <f t="shared" si="69"/>
        <v>9.6120334264809918E-5</v>
      </c>
      <c r="Y1058" s="33">
        <f t="shared" si="70"/>
        <v>3.6884858650026477E-4</v>
      </c>
      <c r="Z1058" s="54"/>
    </row>
    <row r="1059" spans="15:26" x14ac:dyDescent="0.25">
      <c r="O1059" s="37" t="s">
        <v>19</v>
      </c>
      <c r="P1059" s="31">
        <f>_xll.qlCalendarAdvance(Calendar,P1058,O1058,"f",,Trigger)</f>
        <v>56107</v>
      </c>
      <c r="Q1059" s="31">
        <f>_xll.qlInterestRateIndexValueDate(Index,P1059,Trigger)</f>
        <v>56109</v>
      </c>
      <c r="R1059" s="31">
        <f>_xll.qlInterestRateIndexMaturity(Index,Q1059,Trigger)</f>
        <v>56201</v>
      </c>
      <c r="S1059" s="32">
        <f>_xll.qlDayCounterYearFraction(DayCounter,Q1059,R1059,,,Trigger)</f>
        <v>0.25555555555555554</v>
      </c>
      <c r="T1059" s="33">
        <f>_xll.qlIndexFixing(Index,P1059,,AllTriggers)</f>
        <v>7.7277798097630255E-3</v>
      </c>
      <c r="U1059" s="34">
        <f>_xll.qlYieldTSDiscount(OisCurve,Q1059,,AllTriggers)</f>
        <v>0.76466913359425814</v>
      </c>
      <c r="V1059" s="34">
        <f>_xll.qlYieldTSDiscount(OisCurve,R1059,,AllTriggers)</f>
        <v>0.76323372633387077</v>
      </c>
      <c r="W1059" s="33">
        <f t="shared" si="68"/>
        <v>7.3592280124814757E-3</v>
      </c>
      <c r="X1059" s="35">
        <f t="shared" si="69"/>
        <v>9.4004239474485181E-5</v>
      </c>
      <c r="Y1059" s="33">
        <f t="shared" si="70"/>
        <v>3.6855179728154976E-4</v>
      </c>
      <c r="Z1059" s="54"/>
    </row>
    <row r="1060" spans="15:26" x14ac:dyDescent="0.25">
      <c r="O1060" s="37" t="s">
        <v>19</v>
      </c>
      <c r="P1060" s="31">
        <f>_xll.qlCalendarAdvance(Calendar,P1059,O1059,"f",,Trigger)</f>
        <v>56138</v>
      </c>
      <c r="Q1060" s="31">
        <f>_xll.qlInterestRateIndexValueDate(Index,P1060,Trigger)</f>
        <v>56142</v>
      </c>
      <c r="R1060" s="31">
        <f>_xll.qlInterestRateIndexMaturity(Index,Q1060,Trigger)</f>
        <v>56233</v>
      </c>
      <c r="S1060" s="32">
        <f>_xll.qlDayCounterYearFraction(DayCounter,Q1060,R1060,,,Trigger)</f>
        <v>0.25277777777777777</v>
      </c>
      <c r="T1060" s="33">
        <f>_xll.qlIndexFixing(Index,P1060,,AllTriggers)</f>
        <v>7.694848391911248E-3</v>
      </c>
      <c r="U1060" s="34">
        <f>_xll.qlYieldTSDiscount(OisCurve,Q1060,,AllTriggers)</f>
        <v>0.76415189707107478</v>
      </c>
      <c r="V1060" s="34">
        <f>_xll.qlYieldTSDiscount(OisCurve,R1060,,AllTriggers)</f>
        <v>0.76273931259929095</v>
      </c>
      <c r="W1060" s="33">
        <f t="shared" si="68"/>
        <v>7.3265481006320873E-3</v>
      </c>
      <c r="X1060" s="35">
        <f t="shared" si="69"/>
        <v>9.2921713882602731E-5</v>
      </c>
      <c r="Y1060" s="33">
        <f t="shared" si="70"/>
        <v>3.6830029127916074E-4</v>
      </c>
      <c r="Z1060" s="54"/>
    </row>
    <row r="1061" spans="15:26" x14ac:dyDescent="0.25">
      <c r="O1061" s="37" t="s">
        <v>19</v>
      </c>
      <c r="P1061" s="31">
        <f>_xll.qlCalendarAdvance(Calendar,P1060,O1060,"f",,Trigger)</f>
        <v>56170</v>
      </c>
      <c r="Q1061" s="31">
        <f>_xll.qlInterestRateIndexValueDate(Index,P1061,Trigger)</f>
        <v>56172</v>
      </c>
      <c r="R1061" s="31">
        <f>_xll.qlInterestRateIndexMaturity(Index,Q1061,Trigger)</f>
        <v>56264</v>
      </c>
      <c r="S1061" s="32">
        <f>_xll.qlDayCounterYearFraction(DayCounter,Q1061,R1061,,,Trigger)</f>
        <v>0.25555555555555554</v>
      </c>
      <c r="T1061" s="33">
        <f>_xll.qlIndexFixing(Index,P1061,,AllTriggers)</f>
        <v>7.663740419010137E-3</v>
      </c>
      <c r="U1061" s="34">
        <f>_xll.qlYieldTSDiscount(OisCurve,Q1061,,AllTriggers)</f>
        <v>0.76368396835669961</v>
      </c>
      <c r="V1061" s="34">
        <f>_xll.qlYieldTSDiscount(OisCurve,R1061,,AllTriggers)</f>
        <v>0.76226277751172766</v>
      </c>
      <c r="W1061" s="33">
        <f t="shared" si="68"/>
        <v>7.2956226269307997E-3</v>
      </c>
      <c r="X1061" s="35">
        <f t="shared" si="69"/>
        <v>9.3895068935097656E-5</v>
      </c>
      <c r="Y1061" s="33">
        <f t="shared" si="70"/>
        <v>3.6811779207933729E-4</v>
      </c>
      <c r="Z1061" s="54"/>
    </row>
    <row r="1062" spans="15:26" x14ac:dyDescent="0.25">
      <c r="O1062" s="37" t="s">
        <v>19</v>
      </c>
      <c r="P1062" s="31">
        <f>_xll.qlCalendarAdvance(Calendar,P1061,O1061,"f",,Trigger)</f>
        <v>56201</v>
      </c>
      <c r="Q1062" s="31">
        <f>_xll.qlInterestRateIndexValueDate(Index,P1062,Trigger)</f>
        <v>56205</v>
      </c>
      <c r="R1062" s="31">
        <f>_xll.qlInterestRateIndexMaturity(Index,Q1062,Trigger)</f>
        <v>56297</v>
      </c>
      <c r="S1062" s="32">
        <f>_xll.qlDayCounterYearFraction(DayCounter,Q1062,R1062,,,Trigger)</f>
        <v>0.25555555555555554</v>
      </c>
      <c r="T1062" s="33">
        <f>_xll.qlIndexFixing(Index,P1062,,AllTriggers)</f>
        <v>7.6296075274812809E-3</v>
      </c>
      <c r="U1062" s="34">
        <f>_xll.qlYieldTSDiscount(OisCurve,Q1062,,AllTriggers)</f>
        <v>0.76317178617075443</v>
      </c>
      <c r="V1062" s="34">
        <f>_xll.qlYieldTSDiscount(OisCurve,R1062,,AllTriggers)</f>
        <v>0.76175814883678383</v>
      </c>
      <c r="W1062" s="33">
        <f t="shared" si="68"/>
        <v>7.2616543174056211E-3</v>
      </c>
      <c r="X1062" s="35">
        <f t="shared" si="69"/>
        <v>9.3853904474378353E-5</v>
      </c>
      <c r="Y1062" s="33">
        <f t="shared" si="70"/>
        <v>3.6795321007565985E-4</v>
      </c>
      <c r="Z1062" s="54"/>
    </row>
    <row r="1063" spans="15:26" x14ac:dyDescent="0.25">
      <c r="O1063" s="37" t="s">
        <v>19</v>
      </c>
      <c r="P1063" s="31">
        <f>_xll.qlCalendarAdvance(Calendar,P1062,O1062,"f",,Trigger)</f>
        <v>56233</v>
      </c>
      <c r="Q1063" s="31">
        <f>_xll.qlInterestRateIndexValueDate(Index,P1063,Trigger)</f>
        <v>56235</v>
      </c>
      <c r="R1063" s="31">
        <f>_xll.qlInterestRateIndexMaturity(Index,Q1063,Trigger)</f>
        <v>56325</v>
      </c>
      <c r="S1063" s="32">
        <f>_xll.qlDayCounterYearFraction(DayCounter,Q1063,R1063,,,Trigger)</f>
        <v>0.25</v>
      </c>
      <c r="T1063" s="33">
        <f>_xll.qlIndexFixing(Index,P1063,,AllTriggers)</f>
        <v>7.5991233228318578E-3</v>
      </c>
      <c r="U1063" s="34">
        <f>_xll.qlYieldTSDiscount(OisCurve,Q1063,,AllTriggers)</f>
        <v>0.76270849604660318</v>
      </c>
      <c r="V1063" s="34">
        <f>_xll.qlYieldTSDiscount(OisCurve,R1063,,AllTriggers)</f>
        <v>0.76133214174377872</v>
      </c>
      <c r="W1063" s="33">
        <f t="shared" si="68"/>
        <v>7.2312948704462698E-3</v>
      </c>
      <c r="X1063" s="35">
        <f t="shared" si="69"/>
        <v>9.1786958288941911E-5</v>
      </c>
      <c r="Y1063" s="33">
        <f t="shared" si="70"/>
        <v>3.6782845238558792E-4</v>
      </c>
      <c r="Z1063" s="54"/>
    </row>
    <row r="1064" spans="15:26" x14ac:dyDescent="0.25">
      <c r="O1064" s="37" t="s">
        <v>19</v>
      </c>
      <c r="P1064" s="31">
        <f>_xll.qlCalendarAdvance(Calendar,P1063,O1063,"f",,Trigger)</f>
        <v>56264</v>
      </c>
      <c r="Q1064" s="31">
        <f>_xll.qlInterestRateIndexValueDate(Index,P1064,Trigger)</f>
        <v>56268</v>
      </c>
      <c r="R1064" s="31">
        <f>_xll.qlInterestRateIndexMaturity(Index,Q1064,Trigger)</f>
        <v>56359</v>
      </c>
      <c r="S1064" s="32">
        <f>_xll.qlDayCounterYearFraction(DayCounter,Q1064,R1064,,,Trigger)</f>
        <v>0.25277777777777777</v>
      </c>
      <c r="T1064" s="33">
        <f>_xll.qlIndexFixing(Index,P1064,,AllTriggers)</f>
        <v>7.5637766896229988E-3</v>
      </c>
      <c r="U1064" s="34">
        <f>_xll.qlYieldTSDiscount(OisCurve,Q1064,,AllTriggers)</f>
        <v>0.76220146432258096</v>
      </c>
      <c r="V1064" s="34">
        <f>_xll.qlYieldTSDiscount(OisCurve,R1064,,AllTriggers)</f>
        <v>0.7608175409010457</v>
      </c>
      <c r="W1064" s="33">
        <f t="shared" si="68"/>
        <v>7.196024793156475E-3</v>
      </c>
      <c r="X1064" s="35">
        <f t="shared" si="69"/>
        <v>9.2786416497075153E-5</v>
      </c>
      <c r="Y1064" s="33">
        <f t="shared" si="70"/>
        <v>3.6775189646652377E-4</v>
      </c>
      <c r="Z1064" s="54"/>
    </row>
    <row r="1065" spans="15:26" x14ac:dyDescent="0.25">
      <c r="O1065" s="37" t="s">
        <v>19</v>
      </c>
      <c r="P1065" s="31">
        <f>_xll.qlCalendarAdvance(Calendar,P1064,O1064,"f",,Trigger)</f>
        <v>56296</v>
      </c>
      <c r="Q1065" s="31">
        <f>_xll.qlInterestRateIndexValueDate(Index,P1065,Trigger)</f>
        <v>56298</v>
      </c>
      <c r="R1065" s="31">
        <f>_xll.qlInterestRateIndexMaturity(Index,Q1065,Trigger)</f>
        <v>56387</v>
      </c>
      <c r="S1065" s="32">
        <f>_xll.qlDayCounterYearFraction(DayCounter,Q1065,R1065,,,Trigger)</f>
        <v>0.24722222222222223</v>
      </c>
      <c r="T1065" s="33">
        <f>_xll.qlIndexFixing(Index,P1065,,AllTriggers)</f>
        <v>7.5326225758884768E-3</v>
      </c>
      <c r="U1065" s="34">
        <f>_xll.qlYieldTSDiscount(OisCurve,Q1065,,AllTriggers)</f>
        <v>0.76174289999846734</v>
      </c>
      <c r="V1065" s="34">
        <f>_xll.qlYieldTSDiscount(OisCurve,R1065,,AllTriggers)</f>
        <v>0.76039598906476125</v>
      </c>
      <c r="W1065" s="33">
        <f t="shared" si="68"/>
        <v>7.1649234557227791E-3</v>
      </c>
      <c r="X1065" s="35">
        <f t="shared" si="69"/>
        <v>9.0738541691470648E-5</v>
      </c>
      <c r="Y1065" s="33">
        <f t="shared" si="70"/>
        <v>3.6769912016569768E-4</v>
      </c>
      <c r="Z1065" s="54"/>
    </row>
    <row r="1066" spans="15:26" x14ac:dyDescent="0.25">
      <c r="O1066" s="37" t="s">
        <v>19</v>
      </c>
      <c r="P1066" s="31">
        <f>_xll.qlCalendarAdvance(Calendar,P1065,O1065,"f",,Trigger)</f>
        <v>56324</v>
      </c>
      <c r="Q1066" s="31">
        <f>_xll.qlInterestRateIndexValueDate(Index,P1066,Trigger)</f>
        <v>56326</v>
      </c>
      <c r="R1066" s="31">
        <f>_xll.qlInterestRateIndexMaturity(Index,Q1066,Trigger)</f>
        <v>56418</v>
      </c>
      <c r="S1066" s="32">
        <f>_xll.qlDayCounterYearFraction(DayCounter,Q1066,R1066,,,Trigger)</f>
        <v>0.25555555555555554</v>
      </c>
      <c r="T1066" s="33">
        <f>_xll.qlIndexFixing(Index,P1066,,AllTriggers)</f>
        <v>7.500992568263711E-3</v>
      </c>
      <c r="U1066" s="34">
        <f>_xll.qlYieldTSDiscount(OisCurve,Q1066,,AllTriggers)</f>
        <v>0.76131696414326933</v>
      </c>
      <c r="V1066" s="34">
        <f>_xll.qlYieldTSDiscount(OisCurve,R1066,,AllTriggers)</f>
        <v>0.75993164846897576</v>
      </c>
      <c r="W1066" s="33">
        <f t="shared" si="68"/>
        <v>7.1332737300100002E-3</v>
      </c>
      <c r="X1066" s="35">
        <f t="shared" si="69"/>
        <v>9.3797197495890312E-5</v>
      </c>
      <c r="Y1066" s="33">
        <f t="shared" si="70"/>
        <v>3.6771883825371075E-4</v>
      </c>
      <c r="Z1066" s="54"/>
    </row>
    <row r="1067" spans="15:26" x14ac:dyDescent="0.25">
      <c r="O1067" s="37" t="s">
        <v>19</v>
      </c>
      <c r="P1067" s="31">
        <f>_xll.qlCalendarAdvance(Calendar,P1066,O1066,"f",,Trigger)</f>
        <v>56355</v>
      </c>
      <c r="Q1067" s="31">
        <f>_xll.qlInterestRateIndexValueDate(Index,P1067,Trigger)</f>
        <v>56359</v>
      </c>
      <c r="R1067" s="31">
        <f>_xll.qlInterestRateIndexMaturity(Index,Q1067,Trigger)</f>
        <v>56450</v>
      </c>
      <c r="S1067" s="32">
        <f>_xll.qlDayCounterYearFraction(DayCounter,Q1067,R1067,,,Trigger)</f>
        <v>0.25277777777777777</v>
      </c>
      <c r="T1067" s="33">
        <f>_xll.qlIndexFixing(Index,P1067,,AllTriggers)</f>
        <v>7.465446155163538E-3</v>
      </c>
      <c r="U1067" s="34">
        <f>_xll.qlYieldTSDiscount(OisCurve,Q1067,,AllTriggers)</f>
        <v>0.7608175409010457</v>
      </c>
      <c r="V1067" s="34">
        <f>_xll.qlYieldTSDiscount(OisCurve,R1067,,AllTriggers)</f>
        <v>0.75945497188020106</v>
      </c>
      <c r="W1067" s="33">
        <f t="shared" si="68"/>
        <v>7.0976991911189582E-3</v>
      </c>
      <c r="X1067" s="35">
        <f t="shared" si="69"/>
        <v>9.2787473964542084E-5</v>
      </c>
      <c r="Y1067" s="33">
        <f t="shared" si="70"/>
        <v>3.677469640445798E-4</v>
      </c>
      <c r="Z1067" s="54"/>
    </row>
    <row r="1068" spans="15:26" x14ac:dyDescent="0.25">
      <c r="O1068" s="37" t="s">
        <v>19</v>
      </c>
      <c r="P1068" s="31">
        <f>_xll.qlCalendarAdvance(Calendar,P1067,O1067,"f",,Trigger)</f>
        <v>56387</v>
      </c>
      <c r="Q1068" s="31">
        <f>_xll.qlInterestRateIndexValueDate(Index,P1068,Trigger)</f>
        <v>56389</v>
      </c>
      <c r="R1068" s="31">
        <f>_xll.qlInterestRateIndexMaturity(Index,Q1068,Trigger)</f>
        <v>56481</v>
      </c>
      <c r="S1068" s="32">
        <f>_xll.qlDayCounterYearFraction(DayCounter,Q1068,R1068,,,Trigger)</f>
        <v>0.25555555555555554</v>
      </c>
      <c r="T1068" s="33">
        <f>_xll.qlIndexFixing(Index,P1068,,AllTriggers)</f>
        <v>7.4318748183263448E-3</v>
      </c>
      <c r="U1068" s="34">
        <f>_xll.qlYieldTSDiscount(OisCurve,Q1068,,AllTriggers)</f>
        <v>0.76036595600279866</v>
      </c>
      <c r="V1068" s="34">
        <f>_xll.qlYieldTSDiscount(OisCurve,R1068,,AllTriggers)</f>
        <v>0.75899577370877458</v>
      </c>
      <c r="W1068" s="33">
        <f t="shared" si="68"/>
        <v>7.0640484115750465E-3</v>
      </c>
      <c r="X1068" s="35">
        <f t="shared" si="69"/>
        <v>9.3826291402623676E-5</v>
      </c>
      <c r="Y1068" s="33">
        <f t="shared" si="70"/>
        <v>3.6782640675129836E-4</v>
      </c>
      <c r="Z1068" s="54"/>
    </row>
    <row r="1069" spans="15:26" x14ac:dyDescent="0.25">
      <c r="O1069" s="37" t="s">
        <v>19</v>
      </c>
      <c r="P1069" s="31">
        <f>_xll.qlCalendarAdvance(Calendar,P1068,O1068,"f",,Trigger)</f>
        <v>56418</v>
      </c>
      <c r="Q1069" s="31">
        <f>_xll.qlInterestRateIndexValueDate(Index,P1069,Trigger)</f>
        <v>56422</v>
      </c>
      <c r="R1069" s="31">
        <f>_xll.qlInterestRateIndexMaturity(Index,Q1069,Trigger)</f>
        <v>56514</v>
      </c>
      <c r="S1069" s="32">
        <f>_xll.qlDayCounterYearFraction(DayCounter,Q1069,R1069,,,Trigger)</f>
        <v>0.25555555555555554</v>
      </c>
      <c r="T1069" s="33">
        <f>_xll.qlIndexFixing(Index,P1069,,AllTriggers)</f>
        <v>7.3950819379752378E-3</v>
      </c>
      <c r="U1069" s="34">
        <f>_xll.qlYieldTSDiscount(OisCurve,Q1069,,AllTriggers)</f>
        <v>0.75987191660392284</v>
      </c>
      <c r="V1069" s="34">
        <f>_xll.qlYieldTSDiscount(OisCurve,R1069,,AllTriggers)</f>
        <v>0.75850976674445059</v>
      </c>
      <c r="W1069" s="33">
        <f t="shared" si="68"/>
        <v>7.0271364426840411E-3</v>
      </c>
      <c r="X1069" s="35">
        <f t="shared" si="69"/>
        <v>9.3857551175210486E-5</v>
      </c>
      <c r="Y1069" s="33">
        <f t="shared" si="70"/>
        <v>3.6794549529119668E-4</v>
      </c>
      <c r="Z1069" s="54"/>
    </row>
    <row r="1070" spans="15:26" x14ac:dyDescent="0.25">
      <c r="O1070" s="37" t="s">
        <v>19</v>
      </c>
      <c r="P1070" s="31">
        <f>_xll.qlCalendarAdvance(Calendar,P1069,O1069,"f",,Trigger)</f>
        <v>56450</v>
      </c>
      <c r="Q1070" s="31">
        <f>_xll.qlInterestRateIndexValueDate(Index,P1070,Trigger)</f>
        <v>56452</v>
      </c>
      <c r="R1070" s="31">
        <f>_xll.qlInterestRateIndexMaturity(Index,Q1070,Trigger)</f>
        <v>56544</v>
      </c>
      <c r="S1070" s="32">
        <f>_xll.qlDayCounterYearFraction(DayCounter,Q1070,R1070,,,Trigger)</f>
        <v>0.25555555555555554</v>
      </c>
      <c r="T1070" s="33">
        <f>_xll.qlIndexFixing(Index,P1070,,AllTriggers)</f>
        <v>7.3612828763987585E-3</v>
      </c>
      <c r="U1070" s="34">
        <f>_xll.qlYieldTSDiscount(OisCurve,Q1070,,AllTriggers)</f>
        <v>0.75942526926617759</v>
      </c>
      <c r="V1070" s="34">
        <f>_xll.qlYieldTSDiscount(OisCurve,R1070,,AllTriggers)</f>
        <v>0.75807048436797786</v>
      </c>
      <c r="W1070" s="33">
        <f t="shared" si="68"/>
        <v>6.9931916881933072E-3</v>
      </c>
      <c r="X1070" s="35">
        <f t="shared" si="69"/>
        <v>9.3895526600438705E-5</v>
      </c>
      <c r="Y1070" s="33">
        <f t="shared" si="70"/>
        <v>3.680911882054513E-4</v>
      </c>
      <c r="Z1070" s="54"/>
    </row>
    <row r="1071" spans="15:26" x14ac:dyDescent="0.25">
      <c r="O1071" s="37" t="s">
        <v>19</v>
      </c>
      <c r="P1071" s="31">
        <f>_xll.qlCalendarAdvance(Calendar,P1070,O1070,"f",,Trigger)</f>
        <v>56481</v>
      </c>
      <c r="Q1071" s="31">
        <f>_xll.qlInterestRateIndexValueDate(Index,P1071,Trigger)</f>
        <v>56485</v>
      </c>
      <c r="R1071" s="31">
        <f>_xll.qlInterestRateIndexMaturity(Index,Q1071,Trigger)</f>
        <v>56577</v>
      </c>
      <c r="S1071" s="32">
        <f>_xll.qlDayCounterYearFraction(DayCounter,Q1071,R1071,,,Trigger)</f>
        <v>0.25555555555555554</v>
      </c>
      <c r="T1071" s="33">
        <f>_xll.qlIndexFixing(Index,P1071,,AllTriggers)</f>
        <v>7.3237178319367404E-3</v>
      </c>
      <c r="U1071" s="34">
        <f>_xll.qlYieldTSDiscount(OisCurve,Q1071,,AllTriggers)</f>
        <v>0.75893670856989537</v>
      </c>
      <c r="V1071" s="34">
        <f>_xll.qlYieldTSDiscount(OisCurve,R1071,,AllTriggers)</f>
        <v>0.7575900940312571</v>
      </c>
      <c r="W1071" s="33">
        <f t="shared" si="68"/>
        <v>6.955425209047573E-3</v>
      </c>
      <c r="X1071" s="35">
        <f t="shared" si="69"/>
        <v>9.3947812763541745E-5</v>
      </c>
      <c r="Y1071" s="33">
        <f t="shared" si="70"/>
        <v>3.6829262288916743E-4</v>
      </c>
      <c r="Z1071" s="54"/>
    </row>
    <row r="1072" spans="15:26" x14ac:dyDescent="0.25">
      <c r="O1072" s="37" t="s">
        <v>19</v>
      </c>
      <c r="P1072" s="31">
        <f>_xll.qlCalendarAdvance(Calendar,P1071,O1071,"f",,Trigger)</f>
        <v>56513</v>
      </c>
      <c r="Q1072" s="31">
        <f>_xll.qlInterestRateIndexValueDate(Index,P1072,Trigger)</f>
        <v>56515</v>
      </c>
      <c r="R1072" s="31">
        <f>_xll.qlInterestRateIndexMaturity(Index,Q1072,Trigger)</f>
        <v>56606</v>
      </c>
      <c r="S1072" s="32">
        <f>_xll.qlDayCounterYearFraction(DayCounter,Q1072,R1072,,,Trigger)</f>
        <v>0.25277777777777777</v>
      </c>
      <c r="T1072" s="33">
        <f>_xll.qlIndexFixing(Index,P1072,,AllTriggers)</f>
        <v>7.2897236515411749E-3</v>
      </c>
      <c r="U1072" s="34">
        <f>_xll.qlYieldTSDiscount(OisCurve,Q1072,,AllTriggers)</f>
        <v>0.75849508487393591</v>
      </c>
      <c r="V1072" s="34">
        <f>_xll.qlYieldTSDiscount(OisCurve,R1072,,AllTriggers)</f>
        <v>0.75717039171023581</v>
      </c>
      <c r="W1072" s="33">
        <f t="shared" si="68"/>
        <v>6.921222014547407E-3</v>
      </c>
      <c r="X1072" s="35">
        <f t="shared" si="69"/>
        <v>9.2982019444887336E-5</v>
      </c>
      <c r="Y1072" s="33">
        <f t="shared" si="70"/>
        <v>3.6850163699376787E-4</v>
      </c>
      <c r="Z1072" s="54"/>
    </row>
    <row r="1073" spans="15:26" x14ac:dyDescent="0.25">
      <c r="O1073" s="37" t="s">
        <v>19</v>
      </c>
      <c r="P1073" s="31">
        <f>_xll.qlCalendarAdvance(Calendar,P1072,O1072,"f",,Trigger)</f>
        <v>56543</v>
      </c>
      <c r="Q1073" s="31">
        <f>_xll.qlInterestRateIndexValueDate(Index,P1073,Trigger)</f>
        <v>56545</v>
      </c>
      <c r="R1073" s="31">
        <f>_xll.qlInterestRateIndexMaturity(Index,Q1073,Trigger)</f>
        <v>56639</v>
      </c>
      <c r="S1073" s="32">
        <f>_xll.qlDayCounterYearFraction(DayCounter,Q1073,R1073,,,Trigger)</f>
        <v>0.26111111111111113</v>
      </c>
      <c r="T1073" s="33">
        <f>_xll.qlIndexFixing(Index,P1073,,AllTriggers)</f>
        <v>7.253354919609655E-3</v>
      </c>
      <c r="U1073" s="34">
        <f>_xll.qlYieldTSDiscount(OisCurve,Q1073,,AllTriggers)</f>
        <v>0.75805588355646825</v>
      </c>
      <c r="V1073" s="34">
        <f>_xll.qlYieldTSDiscount(OisCurve,R1073,,AllTriggers)</f>
        <v>0.75669562068098306</v>
      </c>
      <c r="W1073" s="33">
        <f t="shared" si="68"/>
        <v>6.8845613124955416E-3</v>
      </c>
      <c r="X1073" s="35">
        <f t="shared" si="69"/>
        <v>9.611869429752559E-5</v>
      </c>
      <c r="Y1073" s="33">
        <f t="shared" si="70"/>
        <v>3.6879360711411339E-4</v>
      </c>
      <c r="Z1073" s="54"/>
    </row>
    <row r="1074" spans="15:26" x14ac:dyDescent="0.25">
      <c r="O1074" s="37" t="s">
        <v>19</v>
      </c>
      <c r="P1074" s="31">
        <f>_xll.qlCalendarAdvance(Calendar,P1073,O1073,"f",,Trigger)</f>
        <v>56576</v>
      </c>
      <c r="Q1074" s="31">
        <f>_xll.qlInterestRateIndexValueDate(Index,P1074,Trigger)</f>
        <v>56578</v>
      </c>
      <c r="R1074" s="31">
        <f>_xll.qlInterestRateIndexMaturity(Index,Q1074,Trigger)</f>
        <v>56670</v>
      </c>
      <c r="S1074" s="32">
        <f>_xll.qlDayCounterYearFraction(DayCounter,Q1074,R1074,,,Trigger)</f>
        <v>0.25555555555555554</v>
      </c>
      <c r="T1074" s="33">
        <f>_xll.qlIndexFixing(Index,P1074,,AllTriggers)</f>
        <v>7.2156767369436145E-3</v>
      </c>
      <c r="U1074" s="34">
        <f>_xll.qlYieldTSDiscount(OisCurve,Q1074,,AllTriggers)</f>
        <v>0.75757558313172635</v>
      </c>
      <c r="V1074" s="34">
        <f>_xll.qlYieldTSDiscount(OisCurve,R1074,,AllTriggers)</f>
        <v>0.75625238144156059</v>
      </c>
      <c r="W1074" s="33">
        <f t="shared" si="68"/>
        <v>6.8465843826594278E-3</v>
      </c>
      <c r="X1074" s="35">
        <f t="shared" si="69"/>
        <v>9.4154420869095522E-5</v>
      </c>
      <c r="Y1074" s="33">
        <f t="shared" si="70"/>
        <v>3.6909235428418674E-4</v>
      </c>
      <c r="Z1074" s="54"/>
    </row>
    <row r="1075" spans="15:26" x14ac:dyDescent="0.25">
      <c r="O1075" s="37" t="s">
        <v>19</v>
      </c>
      <c r="P1075" s="31">
        <f>_xll.qlCalendarAdvance(Calendar,P1074,O1074,"f",,Trigger)</f>
        <v>56606</v>
      </c>
      <c r="Q1075" s="31">
        <f>_xll.qlInterestRateIndexValueDate(Index,P1075,Trigger)</f>
        <v>56611</v>
      </c>
      <c r="R1075" s="31">
        <f>_xll.qlInterestRateIndexMaturity(Index,Q1075,Trigger)</f>
        <v>56702</v>
      </c>
      <c r="S1075" s="32">
        <f>_xll.qlDayCounterYearFraction(DayCounter,Q1075,R1075,,,Trigger)</f>
        <v>0.25277777777777777</v>
      </c>
      <c r="T1075" s="33">
        <f>_xll.qlIndexFixing(Index,P1075,,AllTriggers)</f>
        <v>7.1770944083907936E-3</v>
      </c>
      <c r="U1075" s="34">
        <f>_xll.qlYieldTSDiscount(OisCurve,Q1075,,AllTriggers)</f>
        <v>0.75709826308889949</v>
      </c>
      <c r="V1075" s="34">
        <f>_xll.qlYieldTSDiscount(OisCurve,R1075,,AllTriggers)</f>
        <v>0.7557976694859696</v>
      </c>
      <c r="W1075" s="33">
        <f t="shared" si="68"/>
        <v>6.8076492821674255E-3</v>
      </c>
      <c r="X1075" s="35">
        <f t="shared" si="69"/>
        <v>9.3222745370950884E-5</v>
      </c>
      <c r="Y1075" s="33">
        <f t="shared" si="70"/>
        <v>3.6944512622336806E-4</v>
      </c>
      <c r="Z1075" s="54"/>
    </row>
    <row r="1076" spans="15:26" x14ac:dyDescent="0.25">
      <c r="O1076" s="37" t="s">
        <v>19</v>
      </c>
      <c r="P1076" s="31">
        <f>_xll.qlCalendarAdvance(Calendar,P1075,O1075,"f",,Trigger)</f>
        <v>56639</v>
      </c>
      <c r="Q1076" s="31">
        <f>_xll.qlInterestRateIndexValueDate(Index,P1076,Trigger)</f>
        <v>56641</v>
      </c>
      <c r="R1076" s="31">
        <f>_xll.qlInterestRateIndexMaturity(Index,Q1076,Trigger)</f>
        <v>56731</v>
      </c>
      <c r="S1076" s="32">
        <f>_xll.qlDayCounterYearFraction(DayCounter,Q1076,R1076,,,Trigger)</f>
        <v>0.25</v>
      </c>
      <c r="T1076" s="33">
        <f>_xll.qlIndexFixing(Index,P1076,,AllTriggers)</f>
        <v>7.1417289560056219E-3</v>
      </c>
      <c r="U1076" s="34">
        <f>_xll.qlYieldTSDiscount(OisCurve,Q1076,,AllTriggers)</f>
        <v>0.75666694373819432</v>
      </c>
      <c r="V1076" s="34">
        <f>_xll.qlYieldTSDiscount(OisCurve,R1076,,AllTriggers)</f>
        <v>0.75538808530054868</v>
      </c>
      <c r="W1076" s="33">
        <f t="shared" si="68"/>
        <v>6.7719280329230358E-3</v>
      </c>
      <c r="X1076" s="35">
        <f t="shared" si="69"/>
        <v>9.2289719897908277E-5</v>
      </c>
      <c r="Y1076" s="33">
        <f t="shared" si="70"/>
        <v>3.6980092308258605E-4</v>
      </c>
      <c r="Z1076" s="54"/>
    </row>
    <row r="1077" spans="15:26" x14ac:dyDescent="0.25">
      <c r="O1077" s="37" t="s">
        <v>19</v>
      </c>
      <c r="P1077" s="31">
        <f>_xll.qlCalendarAdvance(Calendar,P1076,O1076,"f",,Trigger)</f>
        <v>56670</v>
      </c>
      <c r="Q1077" s="31">
        <f>_xll.qlInterestRateIndexValueDate(Index,P1077,Trigger)</f>
        <v>56674</v>
      </c>
      <c r="R1077" s="31">
        <f>_xll.qlInterestRateIndexMaturity(Index,Q1077,Trigger)</f>
        <v>56766</v>
      </c>
      <c r="S1077" s="32">
        <f>_xll.qlDayCounterYearFraction(DayCounter,Q1077,R1077,,,Trigger)</f>
        <v>0.25555555555555554</v>
      </c>
      <c r="T1077" s="33">
        <f>_xll.qlIndexFixing(Index,P1077,,AllTriggers)</f>
        <v>7.1008378365145439E-3</v>
      </c>
      <c r="U1077" s="34">
        <f>_xll.qlYieldTSDiscount(OisCurve,Q1077,,AllTriggers)</f>
        <v>0.75619538501808325</v>
      </c>
      <c r="V1077" s="34">
        <f>_xll.qlYieldTSDiscount(OisCurve,R1077,,AllTriggers)</f>
        <v>0.75489693733351226</v>
      </c>
      <c r="W1077" s="33">
        <f t="shared" si="68"/>
        <v>6.7305641243162549E-3</v>
      </c>
      <c r="X1077" s="35">
        <f t="shared" si="69"/>
        <v>9.4458563352940925E-5</v>
      </c>
      <c r="Y1077" s="33">
        <f t="shared" si="70"/>
        <v>3.7027371219828902E-4</v>
      </c>
      <c r="Z1077" s="54"/>
    </row>
    <row r="1078" spans="15:26" x14ac:dyDescent="0.25">
      <c r="O1078" s="37" t="s">
        <v>19</v>
      </c>
      <c r="P1078" s="31">
        <f>_xll.qlCalendarAdvance(Calendar,P1077,O1077,"f",,Trigger)</f>
        <v>56698</v>
      </c>
      <c r="Q1078" s="31">
        <f>_xll.qlInterestRateIndexValueDate(Index,P1078,Trigger)</f>
        <v>56702</v>
      </c>
      <c r="R1078" s="31">
        <f>_xll.qlInterestRateIndexMaturity(Index,Q1078,Trigger)</f>
        <v>56794</v>
      </c>
      <c r="S1078" s="32">
        <f>_xll.qlDayCounterYearFraction(DayCounter,Q1078,R1078,,,Trigger)</f>
        <v>0.25555555555555554</v>
      </c>
      <c r="T1078" s="33">
        <f>_xll.qlIndexFixing(Index,P1078,,AllTriggers)</f>
        <v>7.0669819431561755E-3</v>
      </c>
      <c r="U1078" s="34">
        <f>_xll.qlYieldTSDiscount(OisCurve,Q1078,,AllTriggers)</f>
        <v>0.7557976694859696</v>
      </c>
      <c r="V1078" s="34">
        <f>_xll.qlYieldTSDiscount(OisCurve,R1078,,AllTriggers)</f>
        <v>0.75450649775676337</v>
      </c>
      <c r="W1078" s="33">
        <f t="shared" si="68"/>
        <v>6.6963122641177002E-3</v>
      </c>
      <c r="X1078" s="35">
        <f t="shared" si="69"/>
        <v>9.4560397829093062E-5</v>
      </c>
      <c r="Y1078" s="33">
        <f t="shared" si="70"/>
        <v>3.7066967903847531E-4</v>
      </c>
      <c r="Z1078" s="54"/>
    </row>
    <row r="1079" spans="15:26" x14ac:dyDescent="0.25">
      <c r="O1079" s="37" t="s">
        <v>19</v>
      </c>
      <c r="P1079" s="31">
        <f>_xll.qlCalendarAdvance(Calendar,P1078,O1078,"f",,Trigger)</f>
        <v>56730</v>
      </c>
      <c r="Q1079" s="31">
        <f>_xll.qlInterestRateIndexValueDate(Index,P1079,Trigger)</f>
        <v>56732</v>
      </c>
      <c r="R1079" s="31">
        <f>_xll.qlInterestRateIndexMaturity(Index,Q1079,Trigger)</f>
        <v>56823</v>
      </c>
      <c r="S1079" s="32">
        <f>_xll.qlDayCounterYearFraction(DayCounter,Q1079,R1079,,,Trigger)</f>
        <v>0.25277777777777777</v>
      </c>
      <c r="T1079" s="33">
        <f>_xll.qlIndexFixing(Index,P1079,,AllTriggers)</f>
        <v>7.0314162645702177E-3</v>
      </c>
      <c r="U1079" s="34">
        <f>_xll.qlYieldTSDiscount(OisCurve,Q1079,,AllTriggers)</f>
        <v>0.75537400430076218</v>
      </c>
      <c r="V1079" s="34">
        <f>_xll.qlYieldTSDiscount(OisCurve,R1079,,AllTriggers)</f>
        <v>0.75410440608919138</v>
      </c>
      <c r="W1079" s="33">
        <f t="shared" si="68"/>
        <v>6.6603328278327847E-3</v>
      </c>
      <c r="X1079" s="35">
        <f t="shared" si="69"/>
        <v>9.3639604650084792E-5</v>
      </c>
      <c r="Y1079" s="33">
        <f t="shared" si="70"/>
        <v>3.7108343673743303E-4</v>
      </c>
      <c r="Z1079" s="54"/>
    </row>
    <row r="1080" spans="15:26" x14ac:dyDescent="0.25">
      <c r="O1080" s="37" t="s">
        <v>19</v>
      </c>
      <c r="P1080" s="31">
        <f>_xll.qlCalendarAdvance(Calendar,P1079,O1079,"f",,Trigger)</f>
        <v>56760</v>
      </c>
      <c r="Q1080" s="31">
        <f>_xll.qlInterestRateIndexValueDate(Index,P1080,Trigger)</f>
        <v>56762</v>
      </c>
      <c r="R1080" s="31">
        <f>_xll.qlInterestRateIndexMaturity(Index,Q1080,Trigger)</f>
        <v>56856</v>
      </c>
      <c r="S1080" s="32">
        <f>_xll.qlDayCounterYearFraction(DayCounter,Q1080,R1080,,,Trigger)</f>
        <v>0.26111111111111113</v>
      </c>
      <c r="T1080" s="33">
        <f>_xll.qlIndexFixing(Index,P1080,,AllTriggers)</f>
        <v>6.9941583093147131E-3</v>
      </c>
      <c r="U1080" s="34">
        <f>_xll.qlYieldTSDiscount(OisCurve,Q1080,,AllTriggers)</f>
        <v>0.75495289348282235</v>
      </c>
      <c r="V1080" s="34">
        <f>_xll.qlYieldTSDiscount(OisCurve,R1080,,AllTriggers)</f>
        <v>0.75364965365020076</v>
      </c>
      <c r="W1080" s="33">
        <f t="shared" si="68"/>
        <v>6.6226146986148975E-3</v>
      </c>
      <c r="X1080" s="35">
        <f t="shared" si="69"/>
        <v>9.6842004666918238E-5</v>
      </c>
      <c r="Y1080" s="33">
        <f t="shared" si="70"/>
        <v>3.7154361069981559E-4</v>
      </c>
      <c r="Z1080" s="54"/>
    </row>
    <row r="1081" spans="15:26" x14ac:dyDescent="0.25">
      <c r="O1081" s="37" t="s">
        <v>19</v>
      </c>
      <c r="P1081" s="31">
        <f>_xll.qlCalendarAdvance(Calendar,P1080,O1080,"f",,Trigger)</f>
        <v>56793</v>
      </c>
      <c r="Q1081" s="31">
        <f>_xll.qlInterestRateIndexValueDate(Index,P1081,Trigger)</f>
        <v>56795</v>
      </c>
      <c r="R1081" s="31">
        <f>_xll.qlInterestRateIndexMaturity(Index,Q1081,Trigger)</f>
        <v>56887</v>
      </c>
      <c r="S1081" s="32">
        <f>_xll.qlDayCounterYearFraction(DayCounter,Q1081,R1081,,,Trigger)</f>
        <v>0.25555555555555554</v>
      </c>
      <c r="T1081" s="33">
        <f>_xll.qlIndexFixing(Index,P1081,,AllTriggers)</f>
        <v>6.9564492437350538E-3</v>
      </c>
      <c r="U1081" s="34">
        <f>_xll.qlYieldTSDiscount(OisCurve,Q1081,,AllTriggers)</f>
        <v>0.75449259386321066</v>
      </c>
      <c r="V1081" s="34">
        <f>_xll.qlYieldTSDiscount(OisCurve,R1081,,AllTriggers)</f>
        <v>0.75322514028940357</v>
      </c>
      <c r="W1081" s="33">
        <f t="shared" si="68"/>
        <v>6.5844867300615794E-3</v>
      </c>
      <c r="X1081" s="35">
        <f t="shared" si="69"/>
        <v>9.489290028890465E-5</v>
      </c>
      <c r="Y1081" s="33">
        <f t="shared" si="70"/>
        <v>3.719625136734744E-4</v>
      </c>
      <c r="Z1081" s="54"/>
    </row>
    <row r="1082" spans="15:26" x14ac:dyDescent="0.25">
      <c r="O1082" s="37" t="s">
        <v>19</v>
      </c>
      <c r="P1082" s="31">
        <f>_xll.qlCalendarAdvance(Calendar,P1081,O1081,"f",,Trigger)</f>
        <v>56823</v>
      </c>
      <c r="Q1082" s="31">
        <f>_xll.qlInterestRateIndexValueDate(Index,P1082,Trigger)</f>
        <v>56825</v>
      </c>
      <c r="R1082" s="31">
        <f>_xll.qlInterestRateIndexMaturity(Index,Q1082,Trigger)</f>
        <v>56916</v>
      </c>
      <c r="S1082" s="32">
        <f>_xll.qlDayCounterYearFraction(DayCounter,Q1082,R1082,,,Trigger)</f>
        <v>0.25277777777777777</v>
      </c>
      <c r="T1082" s="33">
        <f>_xll.qlIndexFixing(Index,P1082,,AllTriggers)</f>
        <v>6.9221973053581569E-3</v>
      </c>
      <c r="U1082" s="34">
        <f>_xll.qlYieldTSDiscount(OisCurve,Q1082,,AllTriggers)</f>
        <v>0.75407676086798148</v>
      </c>
      <c r="V1082" s="34">
        <f>_xll.qlYieldTSDiscount(OisCurve,R1082,,AllTriggers)</f>
        <v>0.75283033148430489</v>
      </c>
      <c r="W1082" s="33">
        <f t="shared" si="68"/>
        <v>6.549854892545684E-3</v>
      </c>
      <c r="X1082" s="35">
        <f t="shared" si="69"/>
        <v>9.3959900565865546E-5</v>
      </c>
      <c r="Y1082" s="33">
        <f t="shared" si="70"/>
        <v>3.7234241281247291E-4</v>
      </c>
      <c r="Z1082" s="54"/>
    </row>
    <row r="1083" spans="15:26" x14ac:dyDescent="0.25">
      <c r="O1083" s="37" t="s">
        <v>19</v>
      </c>
      <c r="P1083" s="31">
        <f>_xll.qlCalendarAdvance(Calendar,P1082,O1082,"f",,Trigger)</f>
        <v>56856</v>
      </c>
      <c r="Q1083" s="31">
        <f>_xll.qlInterestRateIndexValueDate(Index,P1083,Trigger)</f>
        <v>56858</v>
      </c>
      <c r="R1083" s="31">
        <f>_xll.qlInterestRateIndexMaturity(Index,Q1083,Trigger)</f>
        <v>56949</v>
      </c>
      <c r="S1083" s="32">
        <f>_xll.qlDayCounterYearFraction(DayCounter,Q1083,R1083,,,Trigger)</f>
        <v>0.25277777777777777</v>
      </c>
      <c r="T1083" s="33">
        <f>_xll.qlIndexFixing(Index,P1083,,AllTriggers)</f>
        <v>6.8844714984577548E-3</v>
      </c>
      <c r="U1083" s="34">
        <f>_xll.qlYieldTSDiscount(OisCurve,Q1083,,AllTriggers)</f>
        <v>0.75362218779982837</v>
      </c>
      <c r="V1083" s="34">
        <f>_xll.qlYieldTSDiscount(OisCurve,R1083,,AllTriggers)</f>
        <v>0.75238375237222543</v>
      </c>
      <c r="W1083" s="33">
        <f t="shared" si="68"/>
        <v>6.511710244767697E-3</v>
      </c>
      <c r="X1083" s="35">
        <f t="shared" si="69"/>
        <v>9.4066494753371969E-5</v>
      </c>
      <c r="Y1083" s="33">
        <f t="shared" si="70"/>
        <v>3.7276125369005778E-4</v>
      </c>
      <c r="Z1083" s="54"/>
    </row>
    <row r="1084" spans="15:26" x14ac:dyDescent="0.25">
      <c r="O1084" s="37" t="s">
        <v>19</v>
      </c>
      <c r="P1084" s="31">
        <f>_xll.qlCalendarAdvance(Calendar,P1083,O1083,"f",,Trigger)</f>
        <v>56887</v>
      </c>
      <c r="Q1084" s="31">
        <f>_xll.qlInterestRateIndexValueDate(Index,P1084,Trigger)</f>
        <v>56891</v>
      </c>
      <c r="R1084" s="31">
        <f>_xll.qlInterestRateIndexMaturity(Index,Q1084,Trigger)</f>
        <v>56983</v>
      </c>
      <c r="S1084" s="32">
        <f>_xll.qlDayCounterYearFraction(DayCounter,Q1084,R1084,,,Trigger)</f>
        <v>0.25555555555555554</v>
      </c>
      <c r="T1084" s="33">
        <f>_xll.qlIndexFixing(Index,P1084,,AllTriggers)</f>
        <v>6.8467943831373038E-3</v>
      </c>
      <c r="U1084" s="34">
        <f>_xll.qlYieldTSDiscount(OisCurve,Q1084,,AllTriggers)</f>
        <v>0.75317055146310119</v>
      </c>
      <c r="V1084" s="34">
        <f>_xll.qlYieldTSDiscount(OisCurve,R1084,,AllTriggers)</f>
        <v>0.75192658775967669</v>
      </c>
      <c r="W1084" s="33">
        <f t="shared" si="68"/>
        <v>6.4736160898120941E-3</v>
      </c>
      <c r="X1084" s="35">
        <f t="shared" si="69"/>
        <v>9.5205740979317937E-5</v>
      </c>
      <c r="Y1084" s="33">
        <f t="shared" si="70"/>
        <v>3.7317829332520966E-4</v>
      </c>
      <c r="Z1084" s="54"/>
    </row>
    <row r="1085" spans="15:26" x14ac:dyDescent="0.25">
      <c r="O1085" s="37" t="s">
        <v>19</v>
      </c>
      <c r="P1085" s="31">
        <f>_xll.qlCalendarAdvance(Calendar,P1084,O1084,"f",,Trigger)</f>
        <v>56919</v>
      </c>
      <c r="Q1085" s="31">
        <f>_xll.qlInterestRateIndexValueDate(Index,P1085,Trigger)</f>
        <v>56921</v>
      </c>
      <c r="R1085" s="31">
        <f>_xll.qlInterestRateIndexMaturity(Index,Q1085,Trigger)</f>
        <v>57013</v>
      </c>
      <c r="S1085" s="32">
        <f>_xll.qlDayCounterYearFraction(DayCounter,Q1085,R1085,,,Trigger)</f>
        <v>0.25555555555555554</v>
      </c>
      <c r="T1085" s="33">
        <f>_xll.qlIndexFixing(Index,P1085,,AllTriggers)</f>
        <v>6.8134629461781143E-3</v>
      </c>
      <c r="U1085" s="34">
        <f>_xll.qlYieldTSDiscount(OisCurve,Q1085,,AllTriggers)</f>
        <v>0.75276248513146615</v>
      </c>
      <c r="V1085" s="34">
        <f>_xll.qlYieldTSDiscount(OisCurve,R1085,,AllTriggers)</f>
        <v>0.75152565433944107</v>
      </c>
      <c r="W1085" s="33">
        <f t="shared" si="68"/>
        <v>6.4399300762396161E-3</v>
      </c>
      <c r="X1085" s="35">
        <f t="shared" si="69"/>
        <v>9.5297015709456975E-5</v>
      </c>
      <c r="Y1085" s="33">
        <f t="shared" si="70"/>
        <v>3.7353286993849818E-4</v>
      </c>
      <c r="Z1085" s="54"/>
    </row>
    <row r="1086" spans="15:26" x14ac:dyDescent="0.25">
      <c r="O1086" s="37" t="s">
        <v>19</v>
      </c>
      <c r="P1086" s="31">
        <f>_xll.qlCalendarAdvance(Calendar,P1085,O1085,"f",,Trigger)</f>
        <v>56949</v>
      </c>
      <c r="Q1086" s="31">
        <f>_xll.qlInterestRateIndexValueDate(Index,P1086,Trigger)</f>
        <v>56951</v>
      </c>
      <c r="R1086" s="31">
        <f>_xll.qlInterestRateIndexMaturity(Index,Q1086,Trigger)</f>
        <v>57042</v>
      </c>
      <c r="S1086" s="32">
        <f>_xll.qlDayCounterYearFraction(DayCounter,Q1086,R1086,,,Trigger)</f>
        <v>0.25277777777777777</v>
      </c>
      <c r="T1086" s="33">
        <f>_xll.qlIndexFixing(Index,P1086,,AllTriggers)</f>
        <v>6.7810539099200954E-3</v>
      </c>
      <c r="U1086" s="34">
        <f>_xll.qlYieldTSDiscount(OisCurve,Q1086,,AllTriggers)</f>
        <v>0.75235677797968326</v>
      </c>
      <c r="V1086" s="34">
        <f>_xll.qlYieldTSDiscount(OisCurve,R1086,,AllTriggers)</f>
        <v>0.75114023465535529</v>
      </c>
      <c r="W1086" s="33">
        <f t="shared" si="68"/>
        <v>6.407190885842586E-3</v>
      </c>
      <c r="X1086" s="35">
        <f t="shared" si="69"/>
        <v>9.434700241459421E-5</v>
      </c>
      <c r="Y1086" s="33">
        <f t="shared" si="70"/>
        <v>3.738630240775094E-4</v>
      </c>
      <c r="Z1086" s="54"/>
    </row>
    <row r="1087" spans="15:26" x14ac:dyDescent="0.25">
      <c r="O1087" s="37" t="s">
        <v>19</v>
      </c>
      <c r="P1087" s="31">
        <f>_xll.qlCalendarAdvance(Calendar,P1086,O1086,"f",,Trigger)</f>
        <v>56982</v>
      </c>
      <c r="Q1087" s="31">
        <f>_xll.qlInterestRateIndexValueDate(Index,P1087,Trigger)</f>
        <v>56984</v>
      </c>
      <c r="R1087" s="31">
        <f>_xll.qlInterestRateIndexMaturity(Index,Q1087,Trigger)</f>
        <v>57075</v>
      </c>
      <c r="S1087" s="32">
        <f>_xll.qlDayCounterYearFraction(DayCounter,Q1087,R1087,,,Trigger)</f>
        <v>0.25277777777777777</v>
      </c>
      <c r="T1087" s="33">
        <f>_xll.qlIndexFixing(Index,P1087,,AllTriggers)</f>
        <v>6.7453865435700136E-3</v>
      </c>
      <c r="U1087" s="34">
        <f>_xll.qlYieldTSDiscount(OisCurve,Q1087,,AllTriggers)</f>
        <v>0.75191318655149553</v>
      </c>
      <c r="V1087" s="34">
        <f>_xll.qlYieldTSDiscount(OisCurve,R1087,,AllTriggers)</f>
        <v>0.75070418663088045</v>
      </c>
      <c r="W1087" s="33">
        <f t="shared" si="68"/>
        <v>6.3711604570534904E-3</v>
      </c>
      <c r="X1087" s="35">
        <f t="shared" si="69"/>
        <v>9.4439478180490357E-5</v>
      </c>
      <c r="Y1087" s="33">
        <f t="shared" si="70"/>
        <v>3.7422608651652318E-4</v>
      </c>
      <c r="Z1087" s="54"/>
    </row>
    <row r="1088" spans="15:26" x14ac:dyDescent="0.25">
      <c r="O1088" s="37" t="s">
        <v>19</v>
      </c>
      <c r="P1088" s="31">
        <f>_xll.qlCalendarAdvance(Calendar,P1087,O1087,"f",,Trigger)</f>
        <v>57013</v>
      </c>
      <c r="Q1088" s="31">
        <f>_xll.qlInterestRateIndexValueDate(Index,P1088,Trigger)</f>
        <v>57017</v>
      </c>
      <c r="R1088" s="31">
        <f>_xll.qlInterestRateIndexMaturity(Index,Q1088,Trigger)</f>
        <v>57108</v>
      </c>
      <c r="S1088" s="32">
        <f>_xll.qlDayCounterYearFraction(DayCounter,Q1088,R1088,,,Trigger)</f>
        <v>0.25277777777777777</v>
      </c>
      <c r="T1088" s="33">
        <f>_xll.qlIndexFixing(Index,P1088,,AllTriggers)</f>
        <v>6.7102582570503768E-3</v>
      </c>
      <c r="U1088" s="34">
        <f>_xll.qlYieldTSDiscount(OisCurve,Q1088,,AllTriggers)</f>
        <v>0.75147236805883433</v>
      </c>
      <c r="V1088" s="34">
        <f>_xll.qlYieldTSDiscount(OisCurve,R1088,,AllTriggers)</f>
        <v>0.75027079433856314</v>
      </c>
      <c r="W1088" s="33">
        <f t="shared" si="68"/>
        <v>6.3356837153851616E-3</v>
      </c>
      <c r="X1088" s="35">
        <f t="shared" si="69"/>
        <v>9.4528256264615811E-5</v>
      </c>
      <c r="Y1088" s="33">
        <f t="shared" si="70"/>
        <v>3.745745416652152E-4</v>
      </c>
      <c r="Z1088" s="54"/>
    </row>
    <row r="1089" spans="15:26" x14ac:dyDescent="0.25">
      <c r="O1089" s="37" t="s">
        <v>19</v>
      </c>
      <c r="P1089" s="31">
        <f>_xll.qlCalendarAdvance(Calendar,P1088,O1088,"f",,Trigger)</f>
        <v>57042</v>
      </c>
      <c r="Q1089" s="31">
        <f>_xll.qlInterestRateIndexValueDate(Index,P1089,Trigger)</f>
        <v>57046</v>
      </c>
      <c r="R1089" s="31">
        <f>_xll.qlInterestRateIndexMaturity(Index,Q1089,Trigger)</f>
        <v>57138</v>
      </c>
      <c r="S1089" s="32">
        <f>_xll.qlDayCounterYearFraction(DayCounter,Q1089,R1089,,,Trigger)</f>
        <v>0.25555555555555554</v>
      </c>
      <c r="T1089" s="33">
        <f>_xll.qlIndexFixing(Index,P1089,,AllTriggers)</f>
        <v>6.6793777360005134E-3</v>
      </c>
      <c r="U1089" s="34">
        <f>_xll.qlYieldTSDiscount(OisCurve,Q1089,,AllTriggers)</f>
        <v>0.75108723749230233</v>
      </c>
      <c r="V1089" s="34">
        <f>_xll.qlYieldTSDiscount(OisCurve,R1089,,AllTriggers)</f>
        <v>0.74987907032462109</v>
      </c>
      <c r="W1089" s="33">
        <f t="shared" si="68"/>
        <v>6.3044974092923744E-3</v>
      </c>
      <c r="X1089" s="35">
        <f t="shared" si="69"/>
        <v>9.5644071866209619E-5</v>
      </c>
      <c r="Y1089" s="33">
        <f t="shared" si="70"/>
        <v>3.7488032670813902E-4</v>
      </c>
      <c r="Z1089" s="54"/>
    </row>
    <row r="1090" spans="15:26" x14ac:dyDescent="0.25">
      <c r="O1090" s="37" t="s">
        <v>19</v>
      </c>
      <c r="P1090" s="31">
        <f>_xll.qlCalendarAdvance(Calendar,P1089,O1089,"f",,Trigger)</f>
        <v>57074</v>
      </c>
      <c r="Q1090" s="31">
        <f>_xll.qlInterestRateIndexValueDate(Index,P1090,Trigger)</f>
        <v>57076</v>
      </c>
      <c r="R1090" s="31">
        <f>_xll.qlInterestRateIndexMaturity(Index,Q1090,Trigger)</f>
        <v>57167</v>
      </c>
      <c r="S1090" s="32">
        <f>_xll.qlDayCounterYearFraction(DayCounter,Q1090,R1090,,,Trigger)</f>
        <v>0.25277777777777777</v>
      </c>
      <c r="T1090" s="33">
        <f>_xll.qlIndexFixing(Index,P1090,,AllTriggers)</f>
        <v>6.6487965856549865E-3</v>
      </c>
      <c r="U1090" s="34">
        <f>_xll.qlYieldTSDiscount(OisCurve,Q1090,,AllTriggers)</f>
        <v>0.75069101472573141</v>
      </c>
      <c r="V1090" s="34">
        <f>_xll.qlYieldTSDiscount(OisCurve,R1090,,AllTriggers)</f>
        <v>0.74950242707369485</v>
      </c>
      <c r="W1090" s="33">
        <f t="shared" si="68"/>
        <v>6.2736354509571627E-3</v>
      </c>
      <c r="X1090" s="35">
        <f t="shared" si="69"/>
        <v>9.4677765375045516E-5</v>
      </c>
      <c r="Y1090" s="33">
        <f t="shared" si="70"/>
        <v>3.751611346978238E-4</v>
      </c>
      <c r="Z1090" s="54"/>
    </row>
    <row r="1091" spans="15:26" x14ac:dyDescent="0.25">
      <c r="O1091" s="37" t="s">
        <v>19</v>
      </c>
      <c r="P1091" s="31">
        <f>_xll.qlCalendarAdvance(Calendar,P1090,O1090,"f",,Trigger)</f>
        <v>57104</v>
      </c>
      <c r="Q1091" s="31">
        <f>_xll.qlInterestRateIndexValueDate(Index,P1091,Trigger)</f>
        <v>57108</v>
      </c>
      <c r="R1091" s="31">
        <f>_xll.qlInterestRateIndexMaturity(Index,Q1091,Trigger)</f>
        <v>57200</v>
      </c>
      <c r="S1091" s="32">
        <f>_xll.qlDayCounterYearFraction(DayCounter,Q1091,R1091,,,Trigger)</f>
        <v>0.25555555555555554</v>
      </c>
      <c r="T1091" s="33">
        <f>_xll.qlIndexFixing(Index,P1091,,AllTriggers)</f>
        <v>6.6157410950828466E-3</v>
      </c>
      <c r="U1091" s="34">
        <f>_xll.qlYieldTSDiscount(OisCurve,Q1091,,AllTriggers)</f>
        <v>0.75027079433856314</v>
      </c>
      <c r="V1091" s="34">
        <f>_xll.qlYieldTSDiscount(OisCurve,R1091,,AllTriggers)</f>
        <v>0.74907621574522709</v>
      </c>
      <c r="W1091" s="33">
        <f t="shared" si="68"/>
        <v>6.2402701830193046E-3</v>
      </c>
      <c r="X1091" s="35">
        <f t="shared" si="69"/>
        <v>9.579631179697023E-5</v>
      </c>
      <c r="Y1091" s="33">
        <f t="shared" si="70"/>
        <v>3.7547091206354202E-4</v>
      </c>
      <c r="Z1091" s="54"/>
    </row>
    <row r="1092" spans="15:26" x14ac:dyDescent="0.25">
      <c r="O1092" s="37" t="s">
        <v>19</v>
      </c>
      <c r="P1092" s="31">
        <f>_xll.qlCalendarAdvance(Calendar,P1091,O1091,"f",,Trigger)</f>
        <v>57136</v>
      </c>
      <c r="Q1092" s="31">
        <f>_xll.qlInterestRateIndexValueDate(Index,P1092,Trigger)</f>
        <v>57138</v>
      </c>
      <c r="R1092" s="31">
        <f>_xll.qlInterestRateIndexMaturity(Index,Q1092,Trigger)</f>
        <v>57230</v>
      </c>
      <c r="S1092" s="32">
        <f>_xll.qlDayCounterYearFraction(DayCounter,Q1092,R1092,,,Trigger)</f>
        <v>0.25555555555555554</v>
      </c>
      <c r="T1092" s="33">
        <f>_xll.qlIndexFixing(Index,P1092,,AllTriggers)</f>
        <v>6.5856322586005621E-3</v>
      </c>
      <c r="U1092" s="34">
        <f>_xll.qlYieldTSDiscount(OisCurve,Q1092,,AllTriggers)</f>
        <v>0.74987907032462109</v>
      </c>
      <c r="V1092" s="34">
        <f>_xll.qlYieldTSDiscount(OisCurve,R1092,,AllTriggers)</f>
        <v>0.74869091810206556</v>
      </c>
      <c r="W1092" s="33">
        <f t="shared" ref="W1092:W1127" si="71">(U1092/V1092-1)/S1092</f>
        <v>6.2098940874534617E-3</v>
      </c>
      <c r="X1092" s="35">
        <f t="shared" ref="X1092:X1127" si="72">LN((1+T1092*S1092)/(1+W1092*S1092))</f>
        <v>9.5865239019949752E-5</v>
      </c>
      <c r="Y1092" s="33">
        <f t="shared" ref="Y1092:Y1155" si="73">T1092-W1092</f>
        <v>3.7573817114710042E-4</v>
      </c>
      <c r="Z1092" s="54"/>
    </row>
    <row r="1093" spans="15:26" x14ac:dyDescent="0.25">
      <c r="O1093" s="37" t="s">
        <v>19</v>
      </c>
      <c r="P1093" s="31">
        <f>_xll.qlCalendarAdvance(Calendar,P1092,O1092,"f",,Trigger)</f>
        <v>57166</v>
      </c>
      <c r="Q1093" s="31">
        <f>_xll.qlInterestRateIndexValueDate(Index,P1093,Trigger)</f>
        <v>57168</v>
      </c>
      <c r="R1093" s="31">
        <f>_xll.qlInterestRateIndexMaturity(Index,Q1093,Trigger)</f>
        <v>57262</v>
      </c>
      <c r="S1093" s="32">
        <f>_xll.qlDayCounterYearFraction(DayCounter,Q1093,R1093,,,Trigger)</f>
        <v>0.26111111111111113</v>
      </c>
      <c r="T1093" s="33">
        <f>_xll.qlIndexFixing(Index,P1093,,AllTriggers)</f>
        <v>6.5551147511646963E-3</v>
      </c>
      <c r="U1093" s="34">
        <f>_xll.qlYieldTSDiscount(OisCurve,Q1093,,AllTriggers)</f>
        <v>0.7494894744996411</v>
      </c>
      <c r="V1093" s="34">
        <f>_xll.qlYieldTSDiscount(OisCurve,R1093,,AllTriggers)</f>
        <v>0.74828217234506367</v>
      </c>
      <c r="W1093" s="33">
        <f t="shared" si="71"/>
        <v>6.179100010818785E-3</v>
      </c>
      <c r="X1093" s="35">
        <f t="shared" si="72"/>
        <v>9.8018668484364837E-5</v>
      </c>
      <c r="Y1093" s="33">
        <f t="shared" si="73"/>
        <v>3.7601474034591135E-4</v>
      </c>
      <c r="Z1093" s="54"/>
    </row>
    <row r="1094" spans="15:26" x14ac:dyDescent="0.25">
      <c r="O1094" s="37" t="s">
        <v>19</v>
      </c>
      <c r="P1094" s="31">
        <f>_xll.qlCalendarAdvance(Calendar,P1093,O1093,"f",,Trigger)</f>
        <v>57199</v>
      </c>
      <c r="Q1094" s="31">
        <f>_xll.qlInterestRateIndexValueDate(Index,P1094,Trigger)</f>
        <v>57201</v>
      </c>
      <c r="R1094" s="31">
        <f>_xll.qlInterestRateIndexMaturity(Index,Q1094,Trigger)</f>
        <v>57293</v>
      </c>
      <c r="S1094" s="32">
        <f>_xll.qlDayCounterYearFraction(DayCounter,Q1094,R1094,,,Trigger)</f>
        <v>0.25555555555555554</v>
      </c>
      <c r="T1094" s="33">
        <f>_xll.qlIndexFixing(Index,P1094,,AllTriggers)</f>
        <v>6.5238537183979258E-3</v>
      </c>
      <c r="U1094" s="34">
        <f>_xll.qlYieldTSDiscount(OisCurve,Q1094,,AllTriggers)</f>
        <v>0.74906333942876535</v>
      </c>
      <c r="V1094" s="34">
        <f>_xll.qlYieldTSDiscount(OisCurve,R1094,,AllTriggers)</f>
        <v>0.74788836814008475</v>
      </c>
      <c r="W1094" s="33">
        <f t="shared" si="71"/>
        <v>6.1475935904035158E-3</v>
      </c>
      <c r="X1094" s="35">
        <f t="shared" si="72"/>
        <v>9.5999929810278942E-5</v>
      </c>
      <c r="Y1094" s="33">
        <f t="shared" si="73"/>
        <v>3.7626012799441E-4</v>
      </c>
      <c r="Z1094" s="54"/>
    </row>
    <row r="1095" spans="15:26" x14ac:dyDescent="0.25">
      <c r="O1095" s="37" t="s">
        <v>19</v>
      </c>
      <c r="P1095" s="31">
        <f>_xll.qlCalendarAdvance(Calendar,P1094,O1094,"f",,Trigger)</f>
        <v>57230</v>
      </c>
      <c r="Q1095" s="31">
        <f>_xll.qlInterestRateIndexValueDate(Index,P1095,Trigger)</f>
        <v>57234</v>
      </c>
      <c r="R1095" s="31">
        <f>_xll.qlInterestRateIndexMaturity(Index,Q1095,Trigger)</f>
        <v>57325</v>
      </c>
      <c r="S1095" s="32">
        <f>_xll.qlDayCounterYearFraction(DayCounter,Q1095,R1095,,,Trigger)</f>
        <v>0.25277777777777777</v>
      </c>
      <c r="T1095" s="33">
        <f>_xll.qlIndexFixing(Index,P1095,,AllTriggers)</f>
        <v>6.4926896558185516E-3</v>
      </c>
      <c r="U1095" s="34">
        <f>_xll.qlYieldTSDiscount(OisCurve,Q1095,,AllTriggers)</f>
        <v>0.74863969925969842</v>
      </c>
      <c r="V1095" s="34">
        <f>_xll.qlYieldTSDiscount(OisCurve,R1095,,AllTriggers)</f>
        <v>0.74748406176632476</v>
      </c>
      <c r="W1095" s="33">
        <f t="shared" si="71"/>
        <v>6.1161875615584364E-3</v>
      </c>
      <c r="X1095" s="35">
        <f t="shared" si="72"/>
        <v>9.5019936927168966E-5</v>
      </c>
      <c r="Y1095" s="33">
        <f t="shared" si="73"/>
        <v>3.7650209426011525E-4</v>
      </c>
      <c r="Z1095" s="54"/>
    </row>
    <row r="1096" spans="15:26" x14ac:dyDescent="0.25">
      <c r="O1096" s="37" t="s">
        <v>19</v>
      </c>
      <c r="P1096" s="31">
        <f>_xll.qlCalendarAdvance(Calendar,P1095,O1095,"f",,Trigger)</f>
        <v>57262</v>
      </c>
      <c r="Q1096" s="31">
        <f>_xll.qlInterestRateIndexValueDate(Index,P1096,Trigger)</f>
        <v>57264</v>
      </c>
      <c r="R1096" s="31">
        <f>_xll.qlInterestRateIndexMaturity(Index,Q1096,Trigger)</f>
        <v>57356</v>
      </c>
      <c r="S1096" s="32">
        <f>_xll.qlDayCounterYearFraction(DayCounter,Q1096,R1096,,,Trigger)</f>
        <v>0.25555555555555554</v>
      </c>
      <c r="T1096" s="33">
        <f>_xll.qlIndexFixing(Index,P1096,,AllTriggers)</f>
        <v>6.4640396402300708E-3</v>
      </c>
      <c r="U1096" s="34">
        <f>_xll.qlYieldTSDiscount(OisCurve,Q1096,,AllTriggers)</f>
        <v>0.74825670161118207</v>
      </c>
      <c r="V1096" s="34">
        <f>_xll.qlYieldTSDiscount(OisCurve,R1096,,AllTriggers)</f>
        <v>0.74709448699485836</v>
      </c>
      <c r="W1096" s="33">
        <f t="shared" si="71"/>
        <v>6.0873107805117909E-3</v>
      </c>
      <c r="X1096" s="35">
        <f t="shared" si="72"/>
        <v>9.6120995830190588E-5</v>
      </c>
      <c r="Y1096" s="33">
        <f t="shared" si="73"/>
        <v>3.7672885971827986E-4</v>
      </c>
      <c r="Z1096" s="54"/>
    </row>
    <row r="1097" spans="15:26" x14ac:dyDescent="0.25">
      <c r="O1097" s="37" t="s">
        <v>19</v>
      </c>
      <c r="P1097" s="31">
        <f>_xll.qlCalendarAdvance(Calendar,P1096,O1096,"f",,Trigger)</f>
        <v>57293</v>
      </c>
      <c r="Q1097" s="31">
        <f>_xll.qlInterestRateIndexValueDate(Index,P1097,Trigger)</f>
        <v>57297</v>
      </c>
      <c r="R1097" s="31">
        <f>_xll.qlInterestRateIndexMaturity(Index,Q1097,Trigger)</f>
        <v>57389</v>
      </c>
      <c r="S1097" s="32">
        <f>_xll.qlDayCounterYearFraction(DayCounter,Q1097,R1097,,,Trigger)</f>
        <v>0.25555555555555554</v>
      </c>
      <c r="T1097" s="33">
        <f>_xll.qlIndexFixing(Index,P1097,,AllTriggers)</f>
        <v>6.4334924291138025E-3</v>
      </c>
      <c r="U1097" s="34">
        <f>_xll.qlYieldTSDiscount(OisCurve,Q1097,,AllTriggers)</f>
        <v>0.74783770831115637</v>
      </c>
      <c r="V1097" s="34">
        <f>_xll.qlYieldTSDiscount(OisCurve,R1097,,AllTriggers)</f>
        <v>0.74668200714554844</v>
      </c>
      <c r="W1097" s="33">
        <f t="shared" si="71"/>
        <v>6.0565392839566062E-3</v>
      </c>
      <c r="X1097" s="35">
        <f t="shared" si="72"/>
        <v>9.6178973814627582E-5</v>
      </c>
      <c r="Y1097" s="33">
        <f t="shared" si="73"/>
        <v>3.7695314515719634E-4</v>
      </c>
      <c r="Z1097" s="54"/>
    </row>
    <row r="1098" spans="15:26" x14ac:dyDescent="0.25">
      <c r="O1098" s="37" t="s">
        <v>19</v>
      </c>
      <c r="P1098" s="31">
        <f>_xll.qlCalendarAdvance(Calendar,P1097,O1097,"f",,Trigger)</f>
        <v>57325</v>
      </c>
      <c r="Q1098" s="31">
        <f>_xll.qlInterestRateIndexValueDate(Index,P1098,Trigger)</f>
        <v>57327</v>
      </c>
      <c r="R1098" s="31">
        <f>_xll.qlInterestRateIndexMaturity(Index,Q1098,Trigger)</f>
        <v>57417</v>
      </c>
      <c r="S1098" s="32">
        <f>_xll.qlDayCounterYearFraction(DayCounter,Q1098,R1098,,,Trigger)</f>
        <v>0.25</v>
      </c>
      <c r="T1098" s="33">
        <f>_xll.qlIndexFixing(Index,P1098,,AllTriggers)</f>
        <v>6.4069713719172583E-3</v>
      </c>
      <c r="U1098" s="34">
        <f>_xll.qlYieldTSDiscount(OisCurve,Q1098,,AllTriggers)</f>
        <v>0.74745886601230438</v>
      </c>
      <c r="V1098" s="34">
        <f>_xll.qlYieldTSDiscount(OisCurve,R1098,,AllTriggers)</f>
        <v>0.74633379654834875</v>
      </c>
      <c r="W1098" s="33">
        <f t="shared" si="71"/>
        <v>6.0298459973751051E-3</v>
      </c>
      <c r="X1098" s="35">
        <f t="shared" si="72"/>
        <v>9.4135001227894393E-5</v>
      </c>
      <c r="Y1098" s="33">
        <f t="shared" si="73"/>
        <v>3.7712537454215322E-4</v>
      </c>
      <c r="Z1098" s="54"/>
    </row>
    <row r="1099" spans="15:26" x14ac:dyDescent="0.25">
      <c r="O1099" s="37" t="s">
        <v>19</v>
      </c>
      <c r="P1099" s="31">
        <f>_xll.qlCalendarAdvance(Calendar,P1098,O1098,"f",,Trigger)</f>
        <v>57356</v>
      </c>
      <c r="Q1099" s="31">
        <f>_xll.qlInterestRateIndexValueDate(Index,P1099,Trigger)</f>
        <v>57360</v>
      </c>
      <c r="R1099" s="31">
        <f>_xll.qlInterestRateIndexMaturity(Index,Q1099,Trigger)</f>
        <v>57451</v>
      </c>
      <c r="S1099" s="32">
        <f>_xll.qlDayCounterYearFraction(DayCounter,Q1099,R1099,,,Trigger)</f>
        <v>0.25277777777777777</v>
      </c>
      <c r="T1099" s="33">
        <f>_xll.qlIndexFixing(Index,P1099,,AllTriggers)</f>
        <v>6.3770546470010379E-3</v>
      </c>
      <c r="U1099" s="34">
        <f>_xll.qlYieldTSDiscount(OisCurve,Q1099,,AllTriggers)</f>
        <v>0.74704436780285977</v>
      </c>
      <c r="V1099" s="34">
        <f>_xll.qlYieldTSDiscount(OisCurve,R1099,,AllTriggers)</f>
        <v>0.74591311844660957</v>
      </c>
      <c r="W1099" s="33">
        <f t="shared" si="71"/>
        <v>5.9997231150619437E-3</v>
      </c>
      <c r="X1099" s="35">
        <f t="shared" si="72"/>
        <v>9.523205591596687E-5</v>
      </c>
      <c r="Y1099" s="33">
        <f t="shared" si="73"/>
        <v>3.7733153193909418E-4</v>
      </c>
      <c r="Z1099" s="54"/>
    </row>
    <row r="1100" spans="15:26" x14ac:dyDescent="0.25">
      <c r="O1100" s="37" t="s">
        <v>19</v>
      </c>
      <c r="P1100" s="31">
        <f>_xll.qlCalendarAdvance(Calendar,P1099,O1099,"f",,Trigger)</f>
        <v>57388</v>
      </c>
      <c r="Q1100" s="31">
        <f>_xll.qlInterestRateIndexValueDate(Index,P1100,Trigger)</f>
        <v>57390</v>
      </c>
      <c r="R1100" s="31">
        <f>_xll.qlInterestRateIndexMaturity(Index,Q1100,Trigger)</f>
        <v>57479</v>
      </c>
      <c r="S1100" s="32">
        <f>_xll.qlDayCounterYearFraction(DayCounter,Q1100,R1100,,,Trigger)</f>
        <v>0.24722222222222223</v>
      </c>
      <c r="T1100" s="33">
        <f>_xll.qlIndexFixing(Index,P1100,,AllTriggers)</f>
        <v>6.3514330979392549E-3</v>
      </c>
      <c r="U1100" s="34">
        <f>_xll.qlYieldTSDiscount(OisCurve,Q1100,,AllTriggers)</f>
        <v>0.746669543212088</v>
      </c>
      <c r="V1100" s="34">
        <f>_xll.qlYieldTSDiscount(OisCurve,R1100,,AllTriggers)</f>
        <v>0.74556841764249449</v>
      </c>
      <c r="W1100" s="33">
        <f t="shared" si="71"/>
        <v>5.9739535133504894E-3</v>
      </c>
      <c r="X1100" s="35">
        <f t="shared" si="72"/>
        <v>9.3179377930625214E-5</v>
      </c>
      <c r="Y1100" s="33">
        <f t="shared" si="73"/>
        <v>3.7747958458876543E-4</v>
      </c>
      <c r="Z1100" s="54"/>
    </row>
    <row r="1101" spans="15:26" x14ac:dyDescent="0.25">
      <c r="O1101" s="37" t="s">
        <v>19</v>
      </c>
      <c r="P1101" s="31">
        <f>_xll.qlCalendarAdvance(Calendar,P1100,O1100,"f",,Trigger)</f>
        <v>57416</v>
      </c>
      <c r="Q1101" s="31">
        <f>_xll.qlInterestRateIndexValueDate(Index,P1101,Trigger)</f>
        <v>57418</v>
      </c>
      <c r="R1101" s="31">
        <f>_xll.qlInterestRateIndexMaturity(Index,Q1101,Trigger)</f>
        <v>57510</v>
      </c>
      <c r="S1101" s="32">
        <f>_xll.qlDayCounterYearFraction(DayCounter,Q1101,R1101,,,Trigger)</f>
        <v>0.25555555555555554</v>
      </c>
      <c r="T1101" s="33">
        <f>_xll.qlIndexFixing(Index,P1101,,AllTriggers)</f>
        <v>6.326097037714749E-3</v>
      </c>
      <c r="U1101" s="34">
        <f>_xll.qlYieldTSDiscount(OisCurve,Q1101,,AllTriggers)</f>
        <v>0.74632139020322363</v>
      </c>
      <c r="V1101" s="34">
        <f>_xll.qlYieldTSDiscount(OisCurve,R1101,,AllTriggers)</f>
        <v>0.74518858541495092</v>
      </c>
      <c r="W1101" s="33">
        <f t="shared" si="71"/>
        <v>5.9484464411444071E-3</v>
      </c>
      <c r="X1101" s="35">
        <f t="shared" si="72"/>
        <v>9.635957638918763E-5</v>
      </c>
      <c r="Y1101" s="33">
        <f t="shared" si="73"/>
        <v>3.7765059657034195E-4</v>
      </c>
      <c r="Z1101" s="54"/>
    </row>
    <row r="1102" spans="15:26" x14ac:dyDescent="0.25">
      <c r="O1102" s="37" t="s">
        <v>19</v>
      </c>
      <c r="P1102" s="31">
        <f>_xll.qlCalendarAdvance(Calendar,P1101,O1101,"f",,Trigger)</f>
        <v>57447</v>
      </c>
      <c r="Q1102" s="31">
        <f>_xll.qlInterestRateIndexValueDate(Index,P1102,Trigger)</f>
        <v>57451</v>
      </c>
      <c r="R1102" s="31">
        <f>_xll.qlInterestRateIndexMaturity(Index,Q1102,Trigger)</f>
        <v>57542</v>
      </c>
      <c r="S1102" s="32">
        <f>_xll.qlDayCounterYearFraction(DayCounter,Q1102,R1102,,,Trigger)</f>
        <v>0.25277777777777777</v>
      </c>
      <c r="T1102" s="33">
        <f>_xll.qlIndexFixing(Index,P1102,,AllTriggers)</f>
        <v>6.298426759322474E-3</v>
      </c>
      <c r="U1102" s="34">
        <f>_xll.qlYieldTSDiscount(OisCurve,Q1102,,AllTriggers)</f>
        <v>0.74591311844660957</v>
      </c>
      <c r="V1102" s="34">
        <f>_xll.qlYieldTSDiscount(OisCurve,R1102,,AllTriggers)</f>
        <v>0.74479845060122041</v>
      </c>
      <c r="W1102" s="33">
        <f t="shared" si="71"/>
        <v>5.9206285797028827E-3</v>
      </c>
      <c r="X1102" s="35">
        <f t="shared" si="72"/>
        <v>9.5351727654850913E-5</v>
      </c>
      <c r="Y1102" s="33">
        <f t="shared" si="73"/>
        <v>3.7779817961959127E-4</v>
      </c>
      <c r="Z1102" s="54"/>
    </row>
    <row r="1103" spans="15:26" x14ac:dyDescent="0.25">
      <c r="O1103" s="37" t="s">
        <v>19</v>
      </c>
      <c r="P1103" s="31">
        <f>_xll.qlCalendarAdvance(Calendar,P1102,O1102,"f",,Trigger)</f>
        <v>57479</v>
      </c>
      <c r="Q1103" s="31">
        <f>_xll.qlInterestRateIndexValueDate(Index,P1103,Trigger)</f>
        <v>57481</v>
      </c>
      <c r="R1103" s="31">
        <f>_xll.qlInterestRateIndexMaturity(Index,Q1103,Trigger)</f>
        <v>57573</v>
      </c>
      <c r="S1103" s="32">
        <f>_xll.qlDayCounterYearFraction(DayCounter,Q1103,R1103,,,Trigger)</f>
        <v>0.25555555555555554</v>
      </c>
      <c r="T1103" s="33">
        <f>_xll.qlIndexFixing(Index,P1103,,AllTriggers)</f>
        <v>6.273048770138674E-3</v>
      </c>
      <c r="U1103" s="34">
        <f>_xll.qlYieldTSDiscount(OisCurve,Q1103,,AllTriggers)</f>
        <v>0.74554385556254665</v>
      </c>
      <c r="V1103" s="34">
        <f>_xll.qlYieldTSDiscount(OisCurve,R1103,,AllTriggers)</f>
        <v>0.74442236182483268</v>
      </c>
      <c r="W1103" s="33">
        <f t="shared" si="71"/>
        <v>5.8951127495882293E-3</v>
      </c>
      <c r="X1103" s="35">
        <f t="shared" si="72"/>
        <v>9.6433712644441481E-5</v>
      </c>
      <c r="Y1103" s="33">
        <f t="shared" si="73"/>
        <v>3.7793602055044475E-4</v>
      </c>
      <c r="Z1103" s="54"/>
    </row>
    <row r="1104" spans="15:26" x14ac:dyDescent="0.25">
      <c r="O1104" s="37" t="s">
        <v>19</v>
      </c>
      <c r="P1104" s="31">
        <f>_xll.qlCalendarAdvance(Calendar,P1103,O1103,"f",,Trigger)</f>
        <v>57510</v>
      </c>
      <c r="Q1104" s="31">
        <f>_xll.qlInterestRateIndexValueDate(Index,P1104,Trigger)</f>
        <v>57514</v>
      </c>
      <c r="R1104" s="31">
        <f>_xll.qlInterestRateIndexMaturity(Index,Q1104,Trigger)</f>
        <v>57606</v>
      </c>
      <c r="S1104" s="32">
        <f>_xll.qlDayCounterYearFraction(DayCounter,Q1104,R1104,,,Trigger)</f>
        <v>0.25555555555555554</v>
      </c>
      <c r="T1104" s="33">
        <f>_xll.qlIndexFixing(Index,P1104,,AllTriggers)</f>
        <v>6.2460454398338217E-3</v>
      </c>
      <c r="U1104" s="34">
        <f>_xll.qlYieldTSDiscount(OisCurve,Q1104,,AllTriggers)</f>
        <v>0.74513971097015064</v>
      </c>
      <c r="V1104" s="34">
        <f>_xll.qlYieldTSDiscount(OisCurve,R1104,,AllTriggers)</f>
        <v>0.74402397619989502</v>
      </c>
      <c r="W1104" s="33">
        <f t="shared" si="71"/>
        <v>5.8679811482912885E-3</v>
      </c>
      <c r="X1104" s="35">
        <f t="shared" si="72"/>
        <v>9.6467108371084211E-5</v>
      </c>
      <c r="Y1104" s="33">
        <f t="shared" si="73"/>
        <v>3.7806429154253317E-4</v>
      </c>
      <c r="Z1104" s="54"/>
    </row>
    <row r="1105" spans="15:26" x14ac:dyDescent="0.25">
      <c r="O1105" s="37" t="s">
        <v>19</v>
      </c>
      <c r="P1105" s="31">
        <f>_xll.qlCalendarAdvance(Calendar,P1104,O1104,"f",,Trigger)</f>
        <v>57542</v>
      </c>
      <c r="Q1105" s="31">
        <f>_xll.qlInterestRateIndexValueDate(Index,P1105,Trigger)</f>
        <v>57544</v>
      </c>
      <c r="R1105" s="31">
        <f>_xll.qlInterestRateIndexMaturity(Index,Q1105,Trigger)</f>
        <v>57636</v>
      </c>
      <c r="S1105" s="32">
        <f>_xll.qlDayCounterYearFraction(DayCounter,Q1105,R1105,,,Trigger)</f>
        <v>0.25555555555555554</v>
      </c>
      <c r="T1105" s="33">
        <f>_xll.qlIndexFixing(Index,P1105,,AllTriggers)</f>
        <v>6.2219645876215391E-3</v>
      </c>
      <c r="U1105" s="34">
        <f>_xll.qlYieldTSDiscount(OisCurve,Q1105,,AllTriggers)</f>
        <v>0.74477413211304777</v>
      </c>
      <c r="V1105" s="34">
        <f>_xll.qlYieldTSDiscount(OisCurve,R1105,,AllTriggers)</f>
        <v>0.74366353411575115</v>
      </c>
      <c r="W1105" s="33">
        <f t="shared" si="71"/>
        <v>5.8437963553751356E-3</v>
      </c>
      <c r="X1105" s="35">
        <f t="shared" si="72"/>
        <v>9.649422412946854E-5</v>
      </c>
      <c r="Y1105" s="33">
        <f t="shared" si="73"/>
        <v>3.7816823224640344E-4</v>
      </c>
      <c r="Z1105" s="54"/>
    </row>
    <row r="1106" spans="15:26" x14ac:dyDescent="0.25">
      <c r="O1106" s="37" t="s">
        <v>19</v>
      </c>
      <c r="P1106" s="31">
        <f>_xll.qlCalendarAdvance(Calendar,P1105,O1105,"f",,Trigger)</f>
        <v>57573</v>
      </c>
      <c r="Q1106" s="31">
        <f>_xll.qlInterestRateIndexValueDate(Index,P1106,Trigger)</f>
        <v>57577</v>
      </c>
      <c r="R1106" s="31">
        <f>_xll.qlInterestRateIndexMaturity(Index,Q1106,Trigger)</f>
        <v>57669</v>
      </c>
      <c r="S1106" s="32">
        <f>_xll.qlDayCounterYearFraction(DayCounter,Q1106,R1106,,,Trigger)</f>
        <v>0.25555555555555554</v>
      </c>
      <c r="T1106" s="33">
        <f>_xll.qlIndexFixing(Index,P1106,,AllTriggers)</f>
        <v>6.1959900329465892E-3</v>
      </c>
      <c r="U1106" s="34">
        <f>_xll.qlYieldTSDiscount(OisCurve,Q1106,,AllTriggers)</f>
        <v>0.74437396539224598</v>
      </c>
      <c r="V1106" s="34">
        <f>_xll.qlYieldTSDiscount(OisCurve,R1106,,AllTriggers)</f>
        <v>0.74326890957914526</v>
      </c>
      <c r="W1106" s="33">
        <f t="shared" si="71"/>
        <v>5.8177214018231482E-3</v>
      </c>
      <c r="X1106" s="35">
        <f t="shared" si="72"/>
        <v>9.6520483071492141E-5</v>
      </c>
      <c r="Y1106" s="33">
        <f t="shared" si="73"/>
        <v>3.7826863112344102E-4</v>
      </c>
      <c r="Z1106" s="54"/>
    </row>
    <row r="1107" spans="15:26" x14ac:dyDescent="0.25">
      <c r="O1107" s="37" t="s">
        <v>19</v>
      </c>
      <c r="P1107" s="31">
        <f>_xll.qlCalendarAdvance(Calendar,P1106,O1106,"f",,Trigger)</f>
        <v>57605</v>
      </c>
      <c r="Q1107" s="31">
        <f>_xll.qlInterestRateIndexValueDate(Index,P1107,Trigger)</f>
        <v>57607</v>
      </c>
      <c r="R1107" s="31">
        <f>_xll.qlInterestRateIndexMaturity(Index,Q1107,Trigger)</f>
        <v>57698</v>
      </c>
      <c r="S1107" s="32">
        <f>_xll.qlDayCounterYearFraction(DayCounter,Q1107,R1107,,,Trigger)</f>
        <v>0.25277777777777777</v>
      </c>
      <c r="T1107" s="33">
        <f>_xll.qlIndexFixing(Index,P1107,,AllTriggers)</f>
        <v>6.1731698519373879E-3</v>
      </c>
      <c r="U1107" s="34">
        <f>_xll.qlYieldTSDiscount(OisCurve,Q1107,,AllTriggers)</f>
        <v>0.74401193515578701</v>
      </c>
      <c r="V1107" s="34">
        <f>_xll.qlYieldTSDiscount(OisCurve,R1107,,AllTriggers)</f>
        <v>0.74292369736440544</v>
      </c>
      <c r="W1107" s="33">
        <f t="shared" si="71"/>
        <v>5.7948300109506084E-3</v>
      </c>
      <c r="X1107" s="35">
        <f t="shared" si="72"/>
        <v>9.5491461816577815E-5</v>
      </c>
      <c r="Y1107" s="33">
        <f t="shared" si="73"/>
        <v>3.7833984098677945E-4</v>
      </c>
      <c r="Z1107" s="54"/>
    </row>
    <row r="1108" spans="15:26" x14ac:dyDescent="0.25">
      <c r="O1108" s="37" t="s">
        <v>19</v>
      </c>
      <c r="P1108" s="31">
        <f>_xll.qlCalendarAdvance(Calendar,P1107,O1107,"f",,Trigger)</f>
        <v>57635</v>
      </c>
      <c r="Q1108" s="31">
        <f>_xll.qlInterestRateIndexValueDate(Index,P1108,Trigger)</f>
        <v>57637</v>
      </c>
      <c r="R1108" s="31">
        <f>_xll.qlInterestRateIndexMaturity(Index,Q1108,Trigger)</f>
        <v>57731</v>
      </c>
      <c r="S1108" s="32">
        <f>_xll.qlDayCounterYearFraction(DayCounter,Q1108,R1108,,,Trigger)</f>
        <v>0.26111111111111113</v>
      </c>
      <c r="T1108" s="33">
        <f>_xll.qlIndexFixing(Index,P1108,,AllTriggers)</f>
        <v>6.1495077795168003E-3</v>
      </c>
      <c r="U1108" s="34">
        <f>_xll.qlYieldTSDiscount(OisCurve,Q1108,,AllTriggers)</f>
        <v>0.7436515473268378</v>
      </c>
      <c r="V1108" s="34">
        <f>_xll.qlYieldTSDiscount(OisCurve,R1108,,AllTriggers)</f>
        <v>0.7425326300829751</v>
      </c>
      <c r="W1108" s="33">
        <f t="shared" si="71"/>
        <v>5.7710796844259076E-3</v>
      </c>
      <c r="X1108" s="35">
        <f t="shared" si="72"/>
        <v>9.8658238754685825E-5</v>
      </c>
      <c r="Y1108" s="33">
        <f t="shared" si="73"/>
        <v>3.7842809509089272E-4</v>
      </c>
      <c r="Z1108" s="54"/>
    </row>
    <row r="1109" spans="15:26" x14ac:dyDescent="0.25">
      <c r="O1109" s="37" t="s">
        <v>19</v>
      </c>
      <c r="P1109" s="31">
        <f>_xll.qlCalendarAdvance(Calendar,P1108,O1108,"f",,Trigger)</f>
        <v>57668</v>
      </c>
      <c r="Q1109" s="31">
        <f>_xll.qlInterestRateIndexValueDate(Index,P1109,Trigger)</f>
        <v>57670</v>
      </c>
      <c r="R1109" s="31">
        <f>_xll.qlInterestRateIndexMaturity(Index,Q1109,Trigger)</f>
        <v>57762</v>
      </c>
      <c r="S1109" s="32">
        <f>_xll.qlDayCounterYearFraction(DayCounter,Q1109,R1109,,,Trigger)</f>
        <v>0.25555555555555554</v>
      </c>
      <c r="T1109" s="33">
        <f>_xll.qlIndexFixing(Index,P1109,,AllTriggers)</f>
        <v>6.125688173589142E-3</v>
      </c>
      <c r="U1109" s="34">
        <f>_xll.qlYieldTSDiscount(OisCurve,Q1109,,AllTriggers)</f>
        <v>0.7432569812980665</v>
      </c>
      <c r="V1109" s="34">
        <f>_xll.qlYieldTSDiscount(OisCurve,R1109,,AllTriggers)</f>
        <v>0.74216693640568043</v>
      </c>
      <c r="W1109" s="33">
        <f t="shared" si="71"/>
        <v>5.7472151451805169E-3</v>
      </c>
      <c r="X1109" s="35">
        <f t="shared" si="72"/>
        <v>9.6574372788409748E-5</v>
      </c>
      <c r="Y1109" s="33">
        <f t="shared" si="73"/>
        <v>3.7847302840862511E-4</v>
      </c>
      <c r="Z1109" s="54"/>
    </row>
    <row r="1110" spans="15:26" x14ac:dyDescent="0.25">
      <c r="O1110" s="37" t="s">
        <v>19</v>
      </c>
      <c r="P1110" s="31">
        <f>_xll.qlCalendarAdvance(Calendar,P1109,O1109,"f",,Trigger)</f>
        <v>57698</v>
      </c>
      <c r="Q1110" s="31">
        <f>_xll.qlInterestRateIndexValueDate(Index,P1110,Trigger)</f>
        <v>57700</v>
      </c>
      <c r="R1110" s="31">
        <f>_xll.qlInterestRateIndexMaturity(Index,Q1110,Trigger)</f>
        <v>57790</v>
      </c>
      <c r="S1110" s="32">
        <f>_xll.qlDayCounterYearFraction(DayCounter,Q1110,R1110,,,Trigger)</f>
        <v>0.25</v>
      </c>
      <c r="T1110" s="33">
        <f>_xll.qlIndexFixing(Index,P1110,,AllTriggers)</f>
        <v>6.104530435617761E-3</v>
      </c>
      <c r="U1110" s="34">
        <f>_xll.qlYieldTSDiscount(OisCurve,Q1110,,AllTriggers)</f>
        <v>0.74289994333110665</v>
      </c>
      <c r="V1110" s="34">
        <f>_xll.qlYieldTSDiscount(OisCurve,R1110,,AllTriggers)</f>
        <v>0.74183799674714501</v>
      </c>
      <c r="W1110" s="33">
        <f t="shared" si="71"/>
        <v>5.7260296108756492E-3</v>
      </c>
      <c r="X1110" s="35">
        <f t="shared" si="72"/>
        <v>9.4485479239063988E-5</v>
      </c>
      <c r="Y1110" s="33">
        <f t="shared" si="73"/>
        <v>3.7850082474211177E-4</v>
      </c>
      <c r="Z1110" s="54"/>
    </row>
    <row r="1111" spans="15:26" x14ac:dyDescent="0.25">
      <c r="O1111" s="37" t="s">
        <v>19</v>
      </c>
      <c r="P1111" s="31">
        <f>_xll.qlCalendarAdvance(Calendar,P1110,O1110,"f",,Trigger)</f>
        <v>57731</v>
      </c>
      <c r="Q1111" s="31">
        <f>_xll.qlInterestRateIndexValueDate(Index,P1111,Trigger)</f>
        <v>57733</v>
      </c>
      <c r="R1111" s="31">
        <f>_xll.qlInterestRateIndexMaturity(Index,Q1111,Trigger)</f>
        <v>57823</v>
      </c>
      <c r="S1111" s="32">
        <f>_xll.qlDayCounterYearFraction(DayCounter,Q1111,R1111,,,Trigger)</f>
        <v>0.25</v>
      </c>
      <c r="T1111" s="33">
        <f>_xll.qlIndexFixing(Index,P1111,,AllTriggers)</f>
        <v>6.0810876255743551E-3</v>
      </c>
      <c r="U1111" s="34">
        <f>_xll.qlYieldTSDiscount(OisCurve,Q1111,,AllTriggers)</f>
        <v>0.7425089884264352</v>
      </c>
      <c r="V1111" s="34">
        <f>_xll.qlYieldTSDiscount(OisCurve,R1111,,AllTriggers)</f>
        <v>0.74145194581549279</v>
      </c>
      <c r="W1111" s="33">
        <f t="shared" si="71"/>
        <v>5.7025549229887673E-3</v>
      </c>
      <c r="X1111" s="35">
        <f t="shared" si="72"/>
        <v>9.4493990291149828E-5</v>
      </c>
      <c r="Y1111" s="33">
        <f t="shared" si="73"/>
        <v>3.785327025855878E-4</v>
      </c>
      <c r="Z1111" s="54"/>
    </row>
    <row r="1112" spans="15:26" x14ac:dyDescent="0.25">
      <c r="O1112" s="37" t="s">
        <v>19</v>
      </c>
      <c r="P1112" s="31">
        <f>_xll.qlCalendarAdvance(Calendar,P1111,O1111,"f",,Trigger)</f>
        <v>57762</v>
      </c>
      <c r="Q1112" s="31">
        <f>_xll.qlInterestRateIndexValueDate(Index,P1112,Trigger)</f>
        <v>57766</v>
      </c>
      <c r="R1112" s="31">
        <f>_xll.qlInterestRateIndexMaturity(Index,Q1112,Trigger)</f>
        <v>57857</v>
      </c>
      <c r="S1112" s="32">
        <f>_xll.qlDayCounterYearFraction(DayCounter,Q1112,R1112,,,Trigger)</f>
        <v>0.25277777777777777</v>
      </c>
      <c r="T1112" s="33">
        <f>_xll.qlIndexFixing(Index,P1112,,AllTriggers)</f>
        <v>6.0578954006316335E-3</v>
      </c>
      <c r="U1112" s="34">
        <f>_xll.qlYieldTSDiscount(OisCurve,Q1112,,AllTriggers)</f>
        <v>0.74211986637041416</v>
      </c>
      <c r="V1112" s="34">
        <f>_xll.qlYieldTSDiscount(OisCurve,R1112,,AllTriggers)</f>
        <v>0.74105599841780145</v>
      </c>
      <c r="W1112" s="33">
        <f t="shared" si="71"/>
        <v>5.6793392037147597E-3</v>
      </c>
      <c r="X1112" s="35">
        <f t="shared" si="72"/>
        <v>9.5548851772154302E-5</v>
      </c>
      <c r="Y1112" s="33">
        <f t="shared" si="73"/>
        <v>3.7855619691687381E-4</v>
      </c>
      <c r="Z1112" s="54"/>
    </row>
    <row r="1113" spans="15:26" x14ac:dyDescent="0.25">
      <c r="O1113" s="37" t="s">
        <v>19</v>
      </c>
      <c r="P1113" s="31">
        <f>_xll.qlCalendarAdvance(Calendar,P1112,O1112,"f",,Trigger)</f>
        <v>57790</v>
      </c>
      <c r="Q1113" s="31">
        <f>_xll.qlInterestRateIndexValueDate(Index,P1113,Trigger)</f>
        <v>57794</v>
      </c>
      <c r="R1113" s="31">
        <f>_xll.qlInterestRateIndexMaturity(Index,Q1113,Trigger)</f>
        <v>57886</v>
      </c>
      <c r="S1113" s="32">
        <f>_xll.qlDayCounterYearFraction(DayCounter,Q1113,R1113,,,Trigger)</f>
        <v>0.25555555555555554</v>
      </c>
      <c r="T1113" s="33">
        <f>_xll.qlIndexFixing(Index,P1113,,AllTriggers)</f>
        <v>6.0386093715609386E-3</v>
      </c>
      <c r="U1113" s="34">
        <f>_xll.qlYieldTSDiscount(OisCurve,Q1113,,AllTriggers)</f>
        <v>0.74179110957394223</v>
      </c>
      <c r="V1113" s="34">
        <f>_xll.qlYieldTSDiscount(OisCurve,R1113,,AllTriggers)</f>
        <v>0.74071969133100435</v>
      </c>
      <c r="W1113" s="33">
        <f t="shared" si="71"/>
        <v>5.6600441666189499E-3</v>
      </c>
      <c r="X1113" s="35">
        <f t="shared" si="72"/>
        <v>9.6600040896956723E-5</v>
      </c>
      <c r="Y1113" s="33">
        <f t="shared" si="73"/>
        <v>3.785652049419887E-4</v>
      </c>
      <c r="Z1113" s="54"/>
    </row>
    <row r="1114" spans="15:26" x14ac:dyDescent="0.25">
      <c r="O1114" s="37" t="s">
        <v>19</v>
      </c>
      <c r="P1114" s="31">
        <f>_xll.qlCalendarAdvance(Calendar,P1113,O1113,"f",,Trigger)</f>
        <v>57822</v>
      </c>
      <c r="Q1114" s="31">
        <f>_xll.qlInterestRateIndexValueDate(Index,P1114,Trigger)</f>
        <v>57824</v>
      </c>
      <c r="R1114" s="31">
        <f>_xll.qlInterestRateIndexMaturity(Index,Q1114,Trigger)</f>
        <v>57915</v>
      </c>
      <c r="S1114" s="32">
        <f>_xll.qlDayCounterYearFraction(DayCounter,Q1114,R1114,,,Trigger)</f>
        <v>0.25277777777777777</v>
      </c>
      <c r="T1114" s="33">
        <f>_xll.qlIndexFixing(Index,P1114,,AllTriggers)</f>
        <v>6.0189592148694789E-3</v>
      </c>
      <c r="U1114" s="34">
        <f>_xll.qlYieldTSDiscount(OisCurve,Q1114,,AllTriggers)</f>
        <v>0.74144027440691584</v>
      </c>
      <c r="V1114" s="34">
        <f>_xll.qlYieldTSDiscount(OisCurve,R1114,,AllTriggers)</f>
        <v>0.74038465623873662</v>
      </c>
      <c r="W1114" s="33">
        <f t="shared" si="71"/>
        <v>5.6404084538039341E-3</v>
      </c>
      <c r="X1114" s="35">
        <f t="shared" si="72"/>
        <v>9.5548418693330007E-5</v>
      </c>
      <c r="Y1114" s="33">
        <f t="shared" si="73"/>
        <v>3.7855076106554485E-4</v>
      </c>
      <c r="Z1114" s="54"/>
    </row>
    <row r="1115" spans="15:26" x14ac:dyDescent="0.25">
      <c r="O1115" s="37" t="s">
        <v>19</v>
      </c>
      <c r="P1115" s="31">
        <f>_xll.qlCalendarAdvance(Calendar,P1114,O1114,"f",,Trigger)</f>
        <v>57852</v>
      </c>
      <c r="Q1115" s="31">
        <f>_xll.qlInterestRateIndexValueDate(Index,P1115,Trigger)</f>
        <v>57854</v>
      </c>
      <c r="R1115" s="31">
        <f>_xll.qlInterestRateIndexMaturity(Index,Q1115,Trigger)</f>
        <v>57948</v>
      </c>
      <c r="S1115" s="32">
        <f>_xll.qlDayCounterYearFraction(DayCounter,Q1115,R1115,,,Trigger)</f>
        <v>0.26111111111111113</v>
      </c>
      <c r="T1115" s="33">
        <f>_xll.qlIndexFixing(Index,P1115,,AllTriggers)</f>
        <v>5.9986715455626703E-3</v>
      </c>
      <c r="U1115" s="34">
        <f>_xll.qlYieldTSDiscount(OisCurve,Q1115,,AllTriggers)</f>
        <v>0.74109086248812528</v>
      </c>
      <c r="V1115" s="34">
        <f>_xll.qlYieldTSDiscount(OisCurve,R1115,,AllTriggers)</f>
        <v>0.74000492229454762</v>
      </c>
      <c r="W1115" s="33">
        <f t="shared" si="71"/>
        <v>5.6201246302551335E-3</v>
      </c>
      <c r="X1115" s="35">
        <f t="shared" si="72"/>
        <v>9.8693098341854894E-5</v>
      </c>
      <c r="Y1115" s="33">
        <f t="shared" si="73"/>
        <v>3.785469153075368E-4</v>
      </c>
      <c r="Z1115" s="54"/>
    </row>
    <row r="1116" spans="15:26" x14ac:dyDescent="0.25">
      <c r="O1116" s="37" t="s">
        <v>19</v>
      </c>
      <c r="P1116" s="31">
        <f>_xll.qlCalendarAdvance(Calendar,P1115,O1115,"f",,Trigger)</f>
        <v>57885</v>
      </c>
      <c r="Q1116" s="31">
        <f>_xll.qlInterestRateIndexValueDate(Index,P1116,Trigger)</f>
        <v>57887</v>
      </c>
      <c r="R1116" s="31">
        <f>_xll.qlInterestRateIndexMaturity(Index,Q1116,Trigger)</f>
        <v>57979</v>
      </c>
      <c r="S1116" s="32">
        <f>_xll.qlDayCounterYearFraction(DayCounter,Q1116,R1116,,,Trigger)</f>
        <v>0.25555555555555554</v>
      </c>
      <c r="T1116" s="33">
        <f>_xll.qlIndexFixing(Index,P1116,,AllTriggers)</f>
        <v>5.9782927505944048E-3</v>
      </c>
      <c r="U1116" s="34">
        <f>_xll.qlYieldTSDiscount(OisCurve,Q1116,,AllTriggers)</f>
        <v>0.7407081173773582</v>
      </c>
      <c r="V1116" s="34">
        <f>_xll.qlYieldTSDiscount(OisCurve,R1116,,AllTriggers)</f>
        <v>0.73964963556633523</v>
      </c>
      <c r="W1116" s="33">
        <f t="shared" si="71"/>
        <v>5.5997936702964378E-3</v>
      </c>
      <c r="X1116" s="35">
        <f t="shared" si="72"/>
        <v>9.6584653342196027E-5</v>
      </c>
      <c r="Y1116" s="33">
        <f t="shared" si="73"/>
        <v>3.7849908029796708E-4</v>
      </c>
      <c r="Z1116" s="54"/>
    </row>
    <row r="1117" spans="15:26" x14ac:dyDescent="0.25">
      <c r="O1117" s="37" t="s">
        <v>19</v>
      </c>
      <c r="P1117" s="31">
        <f>_xll.qlCalendarAdvance(Calendar,P1116,O1116,"f",,Trigger)</f>
        <v>57915</v>
      </c>
      <c r="Q1117" s="31">
        <f>_xll.qlInterestRateIndexValueDate(Index,P1117,Trigger)</f>
        <v>57917</v>
      </c>
      <c r="R1117" s="31">
        <f>_xll.qlInterestRateIndexMaturity(Index,Q1117,Trigger)</f>
        <v>58011</v>
      </c>
      <c r="S1117" s="32">
        <f>_xll.qlDayCounterYearFraction(DayCounter,Q1117,R1117,,,Trigger)</f>
        <v>0.26111111111111113</v>
      </c>
      <c r="T1117" s="33">
        <f>_xll.qlIndexFixing(Index,P1117,,AllTriggers)</f>
        <v>5.9592443800744891E-3</v>
      </c>
      <c r="U1117" s="34">
        <f>_xll.qlYieldTSDiscount(OisCurve,Q1117,,AllTriggers)</f>
        <v>0.74036159656985934</v>
      </c>
      <c r="V1117" s="34">
        <f>_xll.qlYieldTSDiscount(OisCurve,R1117,,AllTriggers)</f>
        <v>0.73928430853528537</v>
      </c>
      <c r="W1117" s="33">
        <f t="shared" si="71"/>
        <v>5.5807811887317333E-3</v>
      </c>
      <c r="X1117" s="35">
        <f t="shared" si="72"/>
        <v>9.8672283398349689E-5</v>
      </c>
      <c r="Y1117" s="33">
        <f t="shared" si="73"/>
        <v>3.7846319134275577E-4</v>
      </c>
      <c r="Z1117" s="54"/>
    </row>
    <row r="1118" spans="15:26" x14ac:dyDescent="0.25">
      <c r="O1118" s="37" t="s">
        <v>19</v>
      </c>
      <c r="P1118" s="31">
        <f>_xll.qlCalendarAdvance(Calendar,P1117,O1117,"f",,Trigger)</f>
        <v>57948</v>
      </c>
      <c r="Q1118" s="31">
        <f>_xll.qlInterestRateIndexValueDate(Index,P1118,Trigger)</f>
        <v>57950</v>
      </c>
      <c r="R1118" s="31">
        <f>_xll.qlInterestRateIndexMaturity(Index,Q1118,Trigger)</f>
        <v>58042</v>
      </c>
      <c r="S1118" s="32">
        <f>_xll.qlDayCounterYearFraction(DayCounter,Q1118,R1118,,,Trigger)</f>
        <v>0.25555555555555554</v>
      </c>
      <c r="T1118" s="33">
        <f>_xll.qlIndexFixing(Index,P1118,,AllTriggers)</f>
        <v>5.939864291847969E-3</v>
      </c>
      <c r="U1118" s="34">
        <f>_xll.qlYieldTSDiscount(OisCurve,Q1118,,AllTriggers)</f>
        <v>0.73998195905060937</v>
      </c>
      <c r="V1118" s="34">
        <f>_xll.qlYieldTSDiscount(OisCurve,R1118,,AllTriggers)</f>
        <v>0.73893174045010379</v>
      </c>
      <c r="W1118" s="33">
        <f t="shared" si="71"/>
        <v>5.5614758718491863E-3</v>
      </c>
      <c r="X1118" s="35">
        <f t="shared" si="72"/>
        <v>9.6557360751694851E-5</v>
      </c>
      <c r="Y1118" s="33">
        <f t="shared" si="73"/>
        <v>3.7838841999878262E-4</v>
      </c>
      <c r="Z1118" s="54"/>
    </row>
    <row r="1119" spans="15:26" x14ac:dyDescent="0.25">
      <c r="O1119" s="37" t="s">
        <v>19</v>
      </c>
      <c r="P1119" s="31">
        <f>_xll.qlCalendarAdvance(Calendar,P1118,O1118,"f",,Trigger)</f>
        <v>57979</v>
      </c>
      <c r="Q1119" s="31">
        <f>_xll.qlInterestRateIndexValueDate(Index,P1119,Trigger)</f>
        <v>57983</v>
      </c>
      <c r="R1119" s="31">
        <f>_xll.qlInterestRateIndexMaturity(Index,Q1119,Trigger)</f>
        <v>58075</v>
      </c>
      <c r="S1119" s="32">
        <f>_xll.qlDayCounterYearFraction(DayCounter,Q1119,R1119,,,Trigger)</f>
        <v>0.25555555555555554</v>
      </c>
      <c r="T1119" s="33">
        <f>_xll.qlIndexFixing(Index,P1119,,AllTriggers)</f>
        <v>5.9205187553969313E-3</v>
      </c>
      <c r="U1119" s="34">
        <f>_xll.qlYieldTSDiscount(OisCurve,Q1119,,AllTriggers)</f>
        <v>0.73960389148757832</v>
      </c>
      <c r="V1119" s="34">
        <f>_xll.qlYieldTSDiscount(OisCurve,R1119,,AllTriggers)</f>
        <v>0.73855784067654617</v>
      </c>
      <c r="W1119" s="33">
        <f t="shared" si="71"/>
        <v>5.5422095313340455E-3</v>
      </c>
      <c r="X1119" s="35">
        <f t="shared" si="72"/>
        <v>9.6537627082515161E-5</v>
      </c>
      <c r="Y1119" s="33">
        <f t="shared" si="73"/>
        <v>3.7830922406288572E-4</v>
      </c>
      <c r="Z1119" s="54"/>
    </row>
    <row r="1120" spans="15:26" x14ac:dyDescent="0.25">
      <c r="O1120" s="37" t="s">
        <v>19</v>
      </c>
      <c r="P1120" s="31">
        <f>_xll.qlCalendarAdvance(Calendar,P1119,O1119,"f",,Trigger)</f>
        <v>58011</v>
      </c>
      <c r="Q1120" s="31">
        <f>_xll.qlInterestRateIndexValueDate(Index,P1120,Trigger)</f>
        <v>58013</v>
      </c>
      <c r="R1120" s="31">
        <f>_xll.qlInterestRateIndexMaturity(Index,Q1120,Trigger)</f>
        <v>58105</v>
      </c>
      <c r="S1120" s="32">
        <f>_xll.qlDayCounterYearFraction(DayCounter,Q1120,R1120,,,Trigger)</f>
        <v>0.25555555555555554</v>
      </c>
      <c r="T1120" s="33">
        <f>_xll.qlIndexFixing(Index,P1120,,AllTriggers)</f>
        <v>5.9033994173853998E-3</v>
      </c>
      <c r="U1120" s="34">
        <f>_xll.qlYieldTSDiscount(OisCurve,Q1120,,AllTriggers)</f>
        <v>0.73926152270000001</v>
      </c>
      <c r="V1120" s="34">
        <f>_xll.qlYieldTSDiscount(OisCurve,R1120,,AllTriggers)</f>
        <v>0.73821916526325437</v>
      </c>
      <c r="W1120" s="33">
        <f t="shared" si="71"/>
        <v>5.5251748556535722E-3</v>
      </c>
      <c r="X1120" s="35">
        <f t="shared" si="72"/>
        <v>9.6516443390692321E-5</v>
      </c>
      <c r="Y1120" s="33">
        <f t="shared" si="73"/>
        <v>3.7822456173182764E-4</v>
      </c>
      <c r="Z1120" s="54"/>
    </row>
    <row r="1121" spans="15:26" x14ac:dyDescent="0.25">
      <c r="O1121" s="37" t="s">
        <v>19</v>
      </c>
      <c r="P1121" s="31">
        <f>_xll.qlCalendarAdvance(Calendar,P1120,O1120,"f",,Trigger)</f>
        <v>58042</v>
      </c>
      <c r="Q1121" s="31">
        <f>_xll.qlInterestRateIndexValueDate(Index,P1121,Trigger)</f>
        <v>58046</v>
      </c>
      <c r="R1121" s="31">
        <f>_xll.qlInterestRateIndexMaturity(Index,Q1121,Trigger)</f>
        <v>58137</v>
      </c>
      <c r="S1121" s="32">
        <f>_xll.qlDayCounterYearFraction(DayCounter,Q1121,R1121,,,Trigger)</f>
        <v>0.25277777777777777</v>
      </c>
      <c r="T1121" s="33">
        <f>_xll.qlIndexFixing(Index,P1121,,AllTriggers)</f>
        <v>5.8853040593373701E-3</v>
      </c>
      <c r="U1121" s="34">
        <f>_xll.qlYieldTSDiscount(OisCurve,Q1121,,AllTriggers)</f>
        <v>0.73888634231014994</v>
      </c>
      <c r="V1121" s="34">
        <f>_xll.qlYieldTSDiscount(OisCurve,R1121,,AllTriggers)</f>
        <v>0.73785917193043138</v>
      </c>
      <c r="W1121" s="33">
        <f t="shared" si="71"/>
        <v>5.5071907039957744E-3</v>
      </c>
      <c r="X1121" s="35">
        <f t="shared" si="72"/>
        <v>9.5441229412799274E-5</v>
      </c>
      <c r="Y1121" s="33">
        <f t="shared" si="73"/>
        <v>3.7811335534159579E-4</v>
      </c>
      <c r="Z1121" s="54"/>
    </row>
    <row r="1122" spans="15:26" x14ac:dyDescent="0.25">
      <c r="O1122" s="37" t="s">
        <v>19</v>
      </c>
      <c r="P1122" s="31">
        <f>_xll.qlCalendarAdvance(Calendar,P1121,O1121,"f",,Trigger)</f>
        <v>58074</v>
      </c>
      <c r="Q1122" s="31">
        <f>_xll.qlInterestRateIndexValueDate(Index,P1122,Trigger)</f>
        <v>58077</v>
      </c>
      <c r="R1122" s="31">
        <f>_xll.qlInterestRateIndexMaturity(Index,Q1122,Trigger)</f>
        <v>58167</v>
      </c>
      <c r="S1122" s="32">
        <f>_xll.qlDayCounterYearFraction(DayCounter,Q1122,R1122,,,Trigger)</f>
        <v>0.25</v>
      </c>
      <c r="T1122" s="33">
        <f>_xll.qlIndexFixing(Index,P1122,,AllTriggers)</f>
        <v>5.8687949418985141E-3</v>
      </c>
      <c r="U1122" s="34">
        <f>_xll.qlYieldTSDiscount(OisCurve,Q1122,,AllTriggers)</f>
        <v>0.73853522612618616</v>
      </c>
      <c r="V1122" s="34">
        <f>_xll.qlYieldTSDiscount(OisCurve,R1122,,AllTriggers)</f>
        <v>0.73752282869576768</v>
      </c>
      <c r="W1122" s="33">
        <f t="shared" si="71"/>
        <v>5.490799151037784E-3</v>
      </c>
      <c r="X1122" s="35">
        <f t="shared" si="72"/>
        <v>9.4364954338124564E-5</v>
      </c>
      <c r="Y1122" s="33">
        <f t="shared" si="73"/>
        <v>3.779957908607301E-4</v>
      </c>
      <c r="Z1122" s="54"/>
    </row>
    <row r="1123" spans="15:26" x14ac:dyDescent="0.25">
      <c r="O1123" s="37" t="s">
        <v>19</v>
      </c>
      <c r="P1123" s="31">
        <f>_xll.qlCalendarAdvance(Calendar,P1122,O1122,"f",,Trigger)</f>
        <v>58105</v>
      </c>
      <c r="Q1123" s="31">
        <f>_xll.qlInterestRateIndexValueDate(Index,P1123,Trigger)</f>
        <v>58109</v>
      </c>
      <c r="R1123" s="31">
        <f>_xll.qlInterestRateIndexMaturity(Index,Q1123,Trigger)</f>
        <v>58200</v>
      </c>
      <c r="S1123" s="32">
        <f>_xll.qlDayCounterYearFraction(DayCounter,Q1123,R1123,,,Trigger)</f>
        <v>0.25277777777777777</v>
      </c>
      <c r="T1123" s="33">
        <f>_xll.qlIndexFixing(Index,P1123,,AllTriggers)</f>
        <v>5.8518161713046694E-3</v>
      </c>
      <c r="U1123" s="34">
        <f>_xll.qlYieldTSDiscount(OisCurve,Q1123,,AllTriggers)</f>
        <v>0.73817409563651504</v>
      </c>
      <c r="V1123" s="34">
        <f>_xll.qlYieldTSDiscount(OisCurve,R1123,,AllTriggers)</f>
        <v>0.73715410123601177</v>
      </c>
      <c r="W1123" s="33">
        <f t="shared" si="71"/>
        <v>5.4739472744490553E-3</v>
      </c>
      <c r="X1123" s="35">
        <f t="shared" si="72"/>
        <v>9.5380327877905827E-5</v>
      </c>
      <c r="Y1123" s="33">
        <f t="shared" si="73"/>
        <v>3.7786889685561403E-4</v>
      </c>
      <c r="Z1123" s="54"/>
    </row>
    <row r="1124" spans="15:26" x14ac:dyDescent="0.25">
      <c r="O1124" s="37" t="s">
        <v>19</v>
      </c>
      <c r="P1124" s="31">
        <f>_xll.qlCalendarAdvance(Calendar,P1123,O1123,"f",,Trigger)</f>
        <v>58134</v>
      </c>
      <c r="Q1124" s="31">
        <f>_xll.qlInterestRateIndexValueDate(Index,P1124,Trigger)</f>
        <v>58138</v>
      </c>
      <c r="R1124" s="31">
        <f>_xll.qlInterestRateIndexMaturity(Index,Q1124,Trigger)</f>
        <v>58230</v>
      </c>
      <c r="S1124" s="32">
        <f>_xll.qlDayCounterYearFraction(DayCounter,Q1124,R1124,,,Trigger)</f>
        <v>0.25555555555555554</v>
      </c>
      <c r="T1124" s="33">
        <f>_xll.qlIndexFixing(Index,P1124,,AllTriggers)</f>
        <v>5.8368613435816107E-3</v>
      </c>
      <c r="U1124" s="34">
        <f>_xll.qlYieldTSDiscount(OisCurve,Q1124,,AllTriggers)</f>
        <v>0.7378479427251684</v>
      </c>
      <c r="V1124" s="34">
        <f>_xll.qlYieldTSDiscount(OisCurve,R1124,,AllTriggers)</f>
        <v>0.73681999903878115</v>
      </c>
      <c r="W1124" s="33">
        <f t="shared" si="71"/>
        <v>5.4591193823250173E-3</v>
      </c>
      <c r="X1124" s="35">
        <f t="shared" si="72"/>
        <v>9.6394922788184013E-5</v>
      </c>
      <c r="Y1124" s="33">
        <f t="shared" si="73"/>
        <v>3.7774196125659344E-4</v>
      </c>
      <c r="Z1124" s="54"/>
    </row>
    <row r="1125" spans="15:26" x14ac:dyDescent="0.25">
      <c r="O1125" s="37" t="s">
        <v>19</v>
      </c>
      <c r="P1125" s="31">
        <f>_xll.qlCalendarAdvance(Calendar,P1124,O1124,"f",,Trigger)</f>
        <v>58166</v>
      </c>
      <c r="Q1125" s="31">
        <f>_xll.qlInterestRateIndexValueDate(Index,P1125,Trigger)</f>
        <v>58168</v>
      </c>
      <c r="R1125" s="31">
        <f>_xll.qlInterestRateIndexMaturity(Index,Q1125,Trigger)</f>
        <v>58259</v>
      </c>
      <c r="S1125" s="32">
        <f>_xll.qlDayCounterYearFraction(DayCounter,Q1125,R1125,,,Trigger)</f>
        <v>0.25277777777777777</v>
      </c>
      <c r="T1125" s="33">
        <f>_xll.qlIndexFixing(Index,P1125,,AllTriggers)</f>
        <v>5.82223488189195E-3</v>
      </c>
      <c r="U1125" s="34">
        <f>_xll.qlYieldTSDiscount(OisCurve,Q1125,,AllTriggers)</f>
        <v>0.73751163607488235</v>
      </c>
      <c r="V1125" s="34">
        <f>_xll.qlYieldTSDiscount(OisCurve,R1125,,AllTriggers)</f>
        <v>0.73649800506623131</v>
      </c>
      <c r="W1125" s="33">
        <f t="shared" si="71"/>
        <v>5.4446431597221755E-3</v>
      </c>
      <c r="X1125" s="35">
        <f t="shared" si="72"/>
        <v>9.5311072760817183E-5</v>
      </c>
      <c r="Y1125" s="33">
        <f t="shared" si="73"/>
        <v>3.7759172216977454E-4</v>
      </c>
      <c r="Z1125" s="54"/>
    </row>
    <row r="1126" spans="15:26" x14ac:dyDescent="0.25">
      <c r="O1126" s="37" t="s">
        <v>19</v>
      </c>
      <c r="P1126" s="31">
        <f>_xll.qlCalendarAdvance(Calendar,P1125,O1125,"f",,Trigger)</f>
        <v>58197</v>
      </c>
      <c r="Q1126" s="31">
        <f>_xll.qlInterestRateIndexValueDate(Index,P1126,Trigger)</f>
        <v>58201</v>
      </c>
      <c r="R1126" s="31">
        <f>_xll.qlInterestRateIndexMaturity(Index,Q1126,Trigger)</f>
        <v>58293</v>
      </c>
      <c r="S1126" s="32">
        <f>_xll.qlDayCounterYearFraction(DayCounter,Q1126,R1126,,,Trigger)</f>
        <v>0.25555555555555554</v>
      </c>
      <c r="T1126" s="33">
        <f>_xll.qlIndexFixing(Index,P1126,,AllTriggers)</f>
        <v>5.8062557397798725E-3</v>
      </c>
      <c r="U1126" s="34">
        <f>_xll.qlYieldTSDiscount(OisCurve,Q1126,,AllTriggers)</f>
        <v>0.73714294772604549</v>
      </c>
      <c r="V1126" s="34">
        <f>_xll.qlYieldTSDiscount(OisCurve,R1126,,AllTriggers)</f>
        <v>0.73612167511513527</v>
      </c>
      <c r="W1126" s="33">
        <f t="shared" si="71"/>
        <v>5.4288363795613366E-3</v>
      </c>
      <c r="X1126" s="35">
        <f t="shared" si="72"/>
        <v>9.6313347382769669E-5</v>
      </c>
      <c r="Y1126" s="33">
        <f t="shared" si="73"/>
        <v>3.7741936021853592E-4</v>
      </c>
      <c r="Z1126" s="54"/>
    </row>
    <row r="1127" spans="15:26" x14ac:dyDescent="0.25">
      <c r="O1127" s="37" t="s">
        <v>19</v>
      </c>
      <c r="P1127" s="31">
        <f>_xll.qlCalendarAdvance(Calendar,P1126,O1126,"f",,Trigger)</f>
        <v>58228</v>
      </c>
      <c r="Q1127" s="31">
        <f>_xll.qlInterestRateIndexValueDate(Index,P1127,Trigger)</f>
        <v>58230</v>
      </c>
      <c r="R1127" s="31">
        <f>_xll.qlInterestRateIndexMaturity(Index,Q1127,Trigger)</f>
        <v>58322</v>
      </c>
      <c r="S1127" s="32">
        <f>_xll.qlDayCounterYearFraction(DayCounter,Q1127,R1127,,,Trigger)</f>
        <v>0.25555555555555554</v>
      </c>
      <c r="T1127" s="33">
        <f>_xll.qlIndexFixing(Index,P1127,,AllTriggers)</f>
        <v>5.7928273512735011E-3</v>
      </c>
      <c r="U1127" s="34">
        <f>_xll.qlYieldTSDiscount(OisCurve,Q1127,,AllTriggers)</f>
        <v>0.73681999903878115</v>
      </c>
      <c r="V1127" s="34">
        <f>_xll.qlYieldTSDiscount(OisCurve,R1127,,AllTriggers)</f>
        <v>0.73580166416591952</v>
      </c>
      <c r="W1127" s="33">
        <f t="shared" si="71"/>
        <v>5.4155743687448517E-3</v>
      </c>
      <c r="X1127" s="35">
        <f t="shared" si="72"/>
        <v>9.6271217448345571E-5</v>
      </c>
      <c r="Y1127" s="33">
        <f t="shared" si="73"/>
        <v>3.7725298252864938E-4</v>
      </c>
      <c r="Z1127" s="54"/>
    </row>
    <row r="1128" spans="15:26" x14ac:dyDescent="0.25">
      <c r="O1128" s="37" t="s">
        <v>19</v>
      </c>
      <c r="P1128" s="31">
        <f>_xll.qlCalendarAdvance(Calendar,P1127,O1127,"f",,Trigger)</f>
        <v>58258</v>
      </c>
      <c r="Q1128" s="31">
        <f>_xll.qlInterestRateIndexValueDate(Index,P1128,Trigger)</f>
        <v>58260</v>
      </c>
      <c r="R1128" s="31">
        <f>_xll.qlInterestRateIndexMaturity(Index,Q1128,Trigger)</f>
        <v>58354</v>
      </c>
      <c r="S1128" s="32">
        <f>_xll.qlDayCounterYearFraction(DayCounter,Q1128,R1128,,,Trigger)</f>
        <v>0.26111111111111113</v>
      </c>
      <c r="T1128" s="33">
        <f>_xll.qlIndexFixing(Index,P1128,,AllTriggers)</f>
        <v>5.7790333032490347E-3</v>
      </c>
      <c r="U1128" s="34">
        <f>_xll.qlYieldTSDiscount(OisCurve,Q1128,,AllTriggers)</f>
        <v>0.73648691853417303</v>
      </c>
      <c r="V1128" s="34">
        <f>_xll.qlYieldTSDiscount(OisCurve,R1128,,AllTriggers)</f>
        <v>0.7354495584347932</v>
      </c>
      <c r="W1128" s="33">
        <f t="shared" ref="W1128:W1135" si="74">(U1128/V1128-1)/S1128</f>
        <v>5.4019591420584557E-3</v>
      </c>
      <c r="X1128" s="35">
        <f t="shared" ref="X1128:X1135" si="75">LN((1+T1128*S1128)/(1+W1128*S1128))</f>
        <v>9.8314739254630134E-5</v>
      </c>
      <c r="Y1128" s="33">
        <f t="shared" si="73"/>
        <v>3.7707416119057893E-4</v>
      </c>
      <c r="Z1128" s="54"/>
    </row>
    <row r="1129" spans="15:26" x14ac:dyDescent="0.25">
      <c r="O1129" s="37" t="s">
        <v>19</v>
      </c>
      <c r="P1129" s="31">
        <f>_xll.qlCalendarAdvance(Calendar,P1128,O1128,"f",,Trigger)</f>
        <v>58291</v>
      </c>
      <c r="Q1129" s="31">
        <f>_xll.qlInterestRateIndexValueDate(Index,P1129,Trigger)</f>
        <v>58293</v>
      </c>
      <c r="R1129" s="31">
        <f>_xll.qlInterestRateIndexMaturity(Index,Q1129,Trigger)</f>
        <v>58385</v>
      </c>
      <c r="S1129" s="32">
        <f>_xll.qlDayCounterYearFraction(DayCounter,Q1129,R1129,,,Trigger)</f>
        <v>0.25555555555555554</v>
      </c>
      <c r="T1129" s="33">
        <f>_xll.qlIndexFixing(Index,P1129,,AllTriggers)</f>
        <v>5.7650888960007933E-3</v>
      </c>
      <c r="U1129" s="34">
        <f>_xll.qlYieldTSDiscount(OisCurve,Q1129,,AllTriggers)</f>
        <v>0.73612167511513527</v>
      </c>
      <c r="V1129" s="34">
        <f>_xll.qlYieldTSDiscount(OisCurve,R1129,,AllTriggers)</f>
        <v>0.73510943405993689</v>
      </c>
      <c r="W1129" s="33">
        <f t="shared" si="74"/>
        <v>5.3882361944344332E-3</v>
      </c>
      <c r="X1129" s="35">
        <f t="shared" si="75"/>
        <v>9.6169745552081694E-5</v>
      </c>
      <c r="Y1129" s="33">
        <f t="shared" si="73"/>
        <v>3.7685270156636013E-4</v>
      </c>
      <c r="Z1129" s="54"/>
    </row>
    <row r="1130" spans="15:26" x14ac:dyDescent="0.25">
      <c r="O1130" s="37" t="s">
        <v>19</v>
      </c>
      <c r="P1130" s="31">
        <f>_xll.qlCalendarAdvance(Calendar,P1129,O1129,"f",,Trigger)</f>
        <v>58322</v>
      </c>
      <c r="Q1130" s="31">
        <f>_xll.qlInterestRateIndexValueDate(Index,P1130,Trigger)</f>
        <v>58326</v>
      </c>
      <c r="R1130" s="31">
        <f>_xll.qlInterestRateIndexMaturity(Index,Q1130,Trigger)</f>
        <v>58417</v>
      </c>
      <c r="S1130" s="32">
        <f>_xll.qlDayCounterYearFraction(DayCounter,Q1130,R1130,,,Trigger)</f>
        <v>0.25277777777777777</v>
      </c>
      <c r="T1130" s="33">
        <f>_xll.qlIndexFixing(Index,P1130,,AllTriggers)</f>
        <v>5.751497341205428E-3</v>
      </c>
      <c r="U1130" s="34">
        <f>_xll.qlYieldTSDiscount(OisCurve,Q1130,,AllTriggers)</f>
        <v>0.73575759367452687</v>
      </c>
      <c r="V1130" s="34">
        <f>_xll.qlYieldTSDiscount(OisCurve,R1130,,AllTriggers)</f>
        <v>0.73475931320755561</v>
      </c>
      <c r="W1130" s="33">
        <f t="shared" si="74"/>
        <v>5.3748776460659491E-3</v>
      </c>
      <c r="X1130" s="35">
        <f t="shared" si="75"/>
        <v>9.5067401127188895E-5</v>
      </c>
      <c r="Y1130" s="33">
        <f t="shared" si="73"/>
        <v>3.7661969513947888E-4</v>
      </c>
      <c r="Z1130" s="54"/>
    </row>
    <row r="1131" spans="15:26" x14ac:dyDescent="0.25">
      <c r="O1131" s="37" t="s">
        <v>19</v>
      </c>
      <c r="P1131" s="31">
        <f>_xll.qlCalendarAdvance(Calendar,P1130,O1130,"f",,Trigger)</f>
        <v>58354</v>
      </c>
      <c r="Q1131" s="31">
        <f>_xll.qlInterestRateIndexValueDate(Index,P1131,Trigger)</f>
        <v>58356</v>
      </c>
      <c r="R1131" s="31">
        <f>_xll.qlInterestRateIndexMaturity(Index,Q1131,Trigger)</f>
        <v>58448</v>
      </c>
      <c r="S1131" s="32">
        <f>_xll.qlDayCounterYearFraction(DayCounter,Q1131,R1131,,,Trigger)</f>
        <v>0.25555555555555554</v>
      </c>
      <c r="T1131" s="33">
        <f>_xll.qlIndexFixing(Index,P1131,,AllTriggers)</f>
        <v>5.7393137623368527E-3</v>
      </c>
      <c r="U1131" s="34">
        <f>_xll.qlYieldTSDiscount(OisCurve,Q1131,,AllTriggers)</f>
        <v>0.73542758623440896</v>
      </c>
      <c r="V1131" s="34">
        <f>_xll.qlYieldTSDiscount(OisCurve,R1131,,AllTriggers)</f>
        <v>0.7344210455910356</v>
      </c>
      <c r="W1131" s="33">
        <f t="shared" si="74"/>
        <v>5.3629145349269785E-3</v>
      </c>
      <c r="X1131" s="35">
        <f t="shared" si="75"/>
        <v>9.605464888568066E-5</v>
      </c>
      <c r="Y1131" s="33">
        <f t="shared" si="73"/>
        <v>3.7639922740987427E-4</v>
      </c>
      <c r="Z1131" s="54"/>
    </row>
    <row r="1132" spans="15:26" x14ac:dyDescent="0.25">
      <c r="O1132" s="37" t="s">
        <v>19</v>
      </c>
      <c r="P1132" s="31">
        <f>_xll.qlCalendarAdvance(Calendar,P1131,O1131,"f",,Trigger)</f>
        <v>58385</v>
      </c>
      <c r="Q1132" s="31">
        <f>_xll.qlInterestRateIndexValueDate(Index,P1132,Trigger)</f>
        <v>58389</v>
      </c>
      <c r="R1132" s="31">
        <f>_xll.qlInterestRateIndexMaturity(Index,Q1132,Trigger)</f>
        <v>58481</v>
      </c>
      <c r="S1132" s="32">
        <f>_xll.qlDayCounterYearFraction(DayCounter,Q1132,R1132,,,Trigger)</f>
        <v>0.25555555555555554</v>
      </c>
      <c r="T1132" s="33">
        <f>_xll.qlIndexFixing(Index,P1132,,AllTriggers)</f>
        <v>5.7265960365765244E-3</v>
      </c>
      <c r="U1132" s="34">
        <f>_xll.qlYieldTSDiscount(OisCurve,Q1132,,AllTriggers)</f>
        <v>0.73506561547321625</v>
      </c>
      <c r="V1132" s="34">
        <f>_xll.qlYieldTSDiscount(OisCurve,R1132,,AllTriggers)</f>
        <v>0.73406190426280227</v>
      </c>
      <c r="W1132" s="33">
        <f t="shared" si="74"/>
        <v>5.3504555721524709E-3</v>
      </c>
      <c r="X1132" s="35">
        <f t="shared" si="75"/>
        <v>9.5988922605768452E-5</v>
      </c>
      <c r="Y1132" s="33">
        <f t="shared" si="73"/>
        <v>3.7614046442405354E-4</v>
      </c>
      <c r="Z1132" s="54"/>
    </row>
    <row r="1133" spans="15:26" x14ac:dyDescent="0.25">
      <c r="O1133" s="37" t="s">
        <v>19</v>
      </c>
      <c r="P1133" s="31">
        <f>_xll.qlCalendarAdvance(Calendar,P1132,O1132,"f",,Trigger)</f>
        <v>58417</v>
      </c>
      <c r="Q1133" s="31">
        <f>_xll.qlInterestRateIndexValueDate(Index,P1133,Trigger)</f>
        <v>58419</v>
      </c>
      <c r="R1133" s="31">
        <f>_xll.qlInterestRateIndexMaturity(Index,Q1133,Trigger)</f>
        <v>58510</v>
      </c>
      <c r="S1133" s="32">
        <f>_xll.qlDayCounterYearFraction(DayCounter,Q1133,R1133,,,Trigger)</f>
        <v>0.25277777777777777</v>
      </c>
      <c r="T1133" s="33">
        <f>_xll.qlIndexFixing(Index,P1133,,AllTriggers)</f>
        <v>5.7156340429139058E-3</v>
      </c>
      <c r="U1133" s="34">
        <f>_xll.qlYieldTSDiscount(OisCurve,Q1133,,AllTriggers)</f>
        <v>0.73473746275949714</v>
      </c>
      <c r="V1133" s="34">
        <f>_xll.qlYieldTSDiscount(OisCurve,R1133,,AllTriggers)</f>
        <v>0.7337470741829073</v>
      </c>
      <c r="W1133" s="33">
        <f t="shared" si="74"/>
        <v>5.3397429174300215E-3</v>
      </c>
      <c r="X1133" s="35">
        <f t="shared" si="75"/>
        <v>9.4884343764242924E-5</v>
      </c>
      <c r="Y1133" s="33">
        <f t="shared" si="73"/>
        <v>3.7589112548388429E-4</v>
      </c>
      <c r="Z1133" s="54"/>
    </row>
    <row r="1134" spans="15:26" x14ac:dyDescent="0.25">
      <c r="O1134" s="37" t="s">
        <v>19</v>
      </c>
      <c r="P1134" s="31">
        <f>_xll.qlCalendarAdvance(Calendar,P1133,O1133,"f",,Trigger)</f>
        <v>58448</v>
      </c>
      <c r="Q1134" s="31">
        <f>_xll.qlInterestRateIndexValueDate(Index,P1134,Trigger)</f>
        <v>58452</v>
      </c>
      <c r="R1134" s="31">
        <f>_xll.qlInterestRateIndexMaturity(Index,Q1134,Trigger)</f>
        <v>58543</v>
      </c>
      <c r="S1134" s="32">
        <f>_xll.qlDayCounterYearFraction(DayCounter,Q1134,R1134,,,Trigger)</f>
        <v>0.25277777777777777</v>
      </c>
      <c r="T1134" s="33">
        <f>_xll.qlIndexFixing(Index,P1134,,AllTriggers)</f>
        <v>5.7039367127448099E-3</v>
      </c>
      <c r="U1134" s="34">
        <f>_xll.qlYieldTSDiscount(OisCurve,Q1134,,AllTriggers)</f>
        <v>0.73437746185463049</v>
      </c>
      <c r="V1134" s="34">
        <f>_xll.qlYieldTSDiscount(OisCurve,R1134,,AllTriggers)</f>
        <v>0.73338967110243847</v>
      </c>
      <c r="W1134" s="33">
        <f t="shared" si="74"/>
        <v>5.3283319755120613E-3</v>
      </c>
      <c r="X1134" s="35">
        <f t="shared" si="75"/>
        <v>9.4812328715059038E-5</v>
      </c>
      <c r="Y1134" s="33">
        <f t="shared" si="73"/>
        <v>3.7560473723274868E-4</v>
      </c>
      <c r="Z1134" s="54"/>
    </row>
    <row r="1135" spans="15:26" x14ac:dyDescent="0.25">
      <c r="O1135" s="37" t="s">
        <v>19</v>
      </c>
      <c r="P1135" s="31">
        <f>_xll.qlCalendarAdvance(Calendar,P1134,O1134,"f",,Trigger)</f>
        <v>58480</v>
      </c>
      <c r="Q1135" s="31">
        <f>_xll.qlInterestRateIndexValueDate(Index,P1135,Trigger)</f>
        <v>58482</v>
      </c>
      <c r="R1135" s="31">
        <f>_xll.qlInterestRateIndexMaturity(Index,Q1135,Trigger)</f>
        <v>58572</v>
      </c>
      <c r="S1135" s="32">
        <f>_xll.qlDayCounterYearFraction(DayCounter,Q1135,R1135,,,Trigger)</f>
        <v>0.25</v>
      </c>
      <c r="T1135" s="33">
        <f>_xll.qlIndexFixing(Index,P1135,,AllTriggers)</f>
        <v>5.6938872608913726E-3</v>
      </c>
      <c r="U1135" s="34">
        <f>_xll.qlYieldTSDiscount(OisCurve,Q1135,,AllTriggers)</f>
        <v>0.73405103609190425</v>
      </c>
      <c r="V1135" s="34">
        <f>_xll.qlYieldTSDiscount(OisCurve,R1135,,AllTriggers)</f>
        <v>0.73307630914444977</v>
      </c>
      <c r="W1135" s="33">
        <f t="shared" si="74"/>
        <v>5.3185565284028513E-3</v>
      </c>
      <c r="X1135" s="35">
        <f t="shared" si="75"/>
        <v>9.370369485670754E-5</v>
      </c>
      <c r="Y1135" s="33">
        <f t="shared" si="73"/>
        <v>3.7533073248852133E-4</v>
      </c>
      <c r="Z1135" s="54"/>
    </row>
    <row r="1136" spans="15:26" x14ac:dyDescent="0.25">
      <c r="O1136" s="37" t="s">
        <v>19</v>
      </c>
      <c r="P1136" s="31">
        <f>_xll.qlCalendarAdvance(Calendar,P1135,O1135,"f",,Trigger)</f>
        <v>58509</v>
      </c>
      <c r="Q1136" s="31">
        <f>_xll.qlInterestRateIndexValueDate(Index,P1136,Trigger)</f>
        <v>58511</v>
      </c>
      <c r="R1136" s="31">
        <f>_xll.qlInterestRateIndexMaturity(Index,Q1136,Trigger)</f>
        <v>58603</v>
      </c>
      <c r="S1136" s="32">
        <f>_xll.qlDayCounterYearFraction(DayCounter,Q1136,R1136,,,Trigger)</f>
        <v>0.25555555555555554</v>
      </c>
      <c r="T1136" s="33">
        <f>_xll.qlIndexFixing(Index,P1136,,AllTriggers)</f>
        <v>5.684255861701684E-3</v>
      </c>
      <c r="U1136" s="34">
        <f>_xll.qlYieldTSDiscount(OisCurve,Q1136,,AllTriggers)</f>
        <v>0.73373623063413884</v>
      </c>
      <c r="V1136" s="34">
        <f>_xll.qlYieldTSDiscount(OisCurve,R1136,,AllTriggers)</f>
        <v>0.73274204971134316</v>
      </c>
      <c r="W1136" s="33">
        <f t="shared" ref="W1136:W1185" si="76">(U1136/V1136-1)/S1136</f>
        <v>5.309198752398026E-3</v>
      </c>
      <c r="X1136" s="35">
        <f t="shared" ref="X1136:X1185" si="77">LN((1+T1136*S1136)/(1+W1136*S1136))</f>
        <v>9.5713477446777152E-5</v>
      </c>
      <c r="Y1136" s="33">
        <f t="shared" si="73"/>
        <v>3.7505710930365796E-4</v>
      </c>
      <c r="Z1136" s="54"/>
    </row>
    <row r="1137" spans="15:26" x14ac:dyDescent="0.25">
      <c r="O1137" s="37" t="s">
        <v>19</v>
      </c>
      <c r="P1137" s="31">
        <f>_xll.qlCalendarAdvance(Calendar,P1136,O1136,"f",,Trigger)</f>
        <v>58540</v>
      </c>
      <c r="Q1137" s="31">
        <f>_xll.qlInterestRateIndexValueDate(Index,P1137,Trigger)</f>
        <v>58544</v>
      </c>
      <c r="R1137" s="31">
        <f>_xll.qlInterestRateIndexMaturity(Index,Q1137,Trigger)</f>
        <v>58635</v>
      </c>
      <c r="S1137" s="32">
        <f>_xll.qlDayCounterYearFraction(DayCounter,Q1137,R1137,,,Trigger)</f>
        <v>0.25277777777777777</v>
      </c>
      <c r="T1137" s="33">
        <f>_xll.qlIndexFixing(Index,P1137,,AllTriggers)</f>
        <v>5.6741700979392566E-3</v>
      </c>
      <c r="U1137" s="34">
        <f>_xll.qlYieldTSDiscount(OisCurve,Q1137,,AllTriggers)</f>
        <v>0.73337885448128715</v>
      </c>
      <c r="V1137" s="34">
        <f>_xll.qlYieldTSDiscount(OisCurve,R1137,,AllTriggers)</f>
        <v>0.73239774846163119</v>
      </c>
      <c r="W1137" s="33">
        <f t="shared" si="76"/>
        <v>5.2994408399683404E-3</v>
      </c>
      <c r="X1137" s="35">
        <f t="shared" si="77"/>
        <v>9.4592035455354207E-5</v>
      </c>
      <c r="Y1137" s="33">
        <f t="shared" si="73"/>
        <v>3.7472925797091619E-4</v>
      </c>
      <c r="Z1137" s="54"/>
    </row>
    <row r="1138" spans="15:26" x14ac:dyDescent="0.25">
      <c r="O1138" s="37" t="s">
        <v>19</v>
      </c>
      <c r="P1138" s="31">
        <f>_xll.qlCalendarAdvance(Calendar,P1137,O1137,"f",,Trigger)</f>
        <v>58571</v>
      </c>
      <c r="Q1138" s="31">
        <f>_xll.qlInterestRateIndexValueDate(Index,P1138,Trigger)</f>
        <v>58573</v>
      </c>
      <c r="R1138" s="31">
        <f>_xll.qlInterestRateIndexMaturity(Index,Q1138,Trigger)</f>
        <v>58665</v>
      </c>
      <c r="S1138" s="32">
        <f>_xll.qlDayCounterYearFraction(DayCounter,Q1138,R1138,,,Trigger)</f>
        <v>0.25555555555555554</v>
      </c>
      <c r="T1138" s="33">
        <f>_xll.qlIndexFixing(Index,P1138,,AllTriggers)</f>
        <v>5.6655601271246945E-3</v>
      </c>
      <c r="U1138" s="34">
        <f>_xll.qlYieldTSDiscount(OisCurve,Q1138,,AllTriggers)</f>
        <v>0.73306551523023289</v>
      </c>
      <c r="V1138" s="34">
        <f>_xll.qlYieldTSDiscount(OisCurve,R1138,,AllTriggers)</f>
        <v>0.73207561892417627</v>
      </c>
      <c r="W1138" s="33">
        <f t="shared" si="76"/>
        <v>5.2911300205047227E-3</v>
      </c>
      <c r="X1138" s="35">
        <f t="shared" si="77"/>
        <v>9.5553916447597455E-5</v>
      </c>
      <c r="Y1138" s="33">
        <f t="shared" si="73"/>
        <v>3.7443010661997178E-4</v>
      </c>
      <c r="Z1138" s="54"/>
    </row>
    <row r="1139" spans="15:26" x14ac:dyDescent="0.25">
      <c r="O1139" s="37" t="s">
        <v>19</v>
      </c>
      <c r="P1139" s="31">
        <f>_xll.qlCalendarAdvance(Calendar,P1138,O1138,"f",,Trigger)</f>
        <v>58602</v>
      </c>
      <c r="Q1139" s="31">
        <f>_xll.qlInterestRateIndexValueDate(Index,P1139,Trigger)</f>
        <v>58606</v>
      </c>
      <c r="R1139" s="31">
        <f>_xll.qlInterestRateIndexMaturity(Index,Q1139,Trigger)</f>
        <v>58698</v>
      </c>
      <c r="S1139" s="32">
        <f>_xll.qlDayCounterYearFraction(DayCounter,Q1139,R1139,,,Trigger)</f>
        <v>0.25555555555555554</v>
      </c>
      <c r="T1139" s="33">
        <f>_xll.qlIndexFixing(Index,P1139,,AllTriggers)</f>
        <v>5.656384500060457E-3</v>
      </c>
      <c r="U1139" s="34">
        <f>_xll.qlYieldTSDiscount(OisCurve,Q1139,,AllTriggers)</f>
        <v>0.73270974002520772</v>
      </c>
      <c r="V1139" s="34">
        <f>_xll.qlYieldTSDiscount(OisCurve,R1139,,AllTriggers)</f>
        <v>0.731721971381601</v>
      </c>
      <c r="W1139" s="33">
        <f t="shared" si="76"/>
        <v>5.2823091284218745E-3</v>
      </c>
      <c r="X1139" s="35">
        <f t="shared" si="77"/>
        <v>9.546360790974021E-5</v>
      </c>
      <c r="Y1139" s="33">
        <f t="shared" si="73"/>
        <v>3.7407537163858251E-4</v>
      </c>
      <c r="Z1139" s="54"/>
    </row>
    <row r="1140" spans="15:26" x14ac:dyDescent="0.25">
      <c r="O1140" s="37" t="s">
        <v>19</v>
      </c>
      <c r="P1140" s="31">
        <f>_xll.qlCalendarAdvance(Calendar,P1139,O1139,"f",,Trigger)</f>
        <v>58634</v>
      </c>
      <c r="Q1140" s="31">
        <f>_xll.qlInterestRateIndexValueDate(Index,P1140,Trigger)</f>
        <v>58636</v>
      </c>
      <c r="R1140" s="31">
        <f>_xll.qlInterestRateIndexMaturity(Index,Q1140,Trigger)</f>
        <v>58728</v>
      </c>
      <c r="S1140" s="32">
        <f>_xll.qlDayCounterYearFraction(DayCounter,Q1140,R1140,,,Trigger)</f>
        <v>0.25555555555555554</v>
      </c>
      <c r="T1140" s="33">
        <f>_xll.qlIndexFixing(Index,P1140,,AllTriggers)</f>
        <v>5.6485104395915912E-3</v>
      </c>
      <c r="U1140" s="34">
        <f>_xll.qlYieldTSDiscount(OisCurve,Q1140,,AllTriggers)</f>
        <v>0.73238700079981767</v>
      </c>
      <c r="V1140" s="34">
        <f>_xll.qlYieldTSDiscount(OisCurve,R1140,,AllTriggers)</f>
        <v>0.7314010744671815</v>
      </c>
      <c r="W1140" s="33">
        <f t="shared" si="76"/>
        <v>5.2747702193057661E-3</v>
      </c>
      <c r="X1140" s="35">
        <f t="shared" si="77"/>
        <v>9.5378265246072957E-5</v>
      </c>
      <c r="Y1140" s="33">
        <f t="shared" si="73"/>
        <v>3.7374022028582518E-4</v>
      </c>
      <c r="Z1140" s="54"/>
    </row>
    <row r="1141" spans="15:26" x14ac:dyDescent="0.25">
      <c r="O1141" s="37" t="s">
        <v>19</v>
      </c>
      <c r="P1141" s="31">
        <f>_xll.qlCalendarAdvance(Calendar,P1140,O1140,"f",,Trigger)</f>
        <v>58665</v>
      </c>
      <c r="Q1141" s="31">
        <f>_xll.qlInterestRateIndexValueDate(Index,P1141,Trigger)</f>
        <v>58669</v>
      </c>
      <c r="R1141" s="31">
        <f>_xll.qlInterestRateIndexMaturity(Index,Q1141,Trigger)</f>
        <v>58761</v>
      </c>
      <c r="S1141" s="32">
        <f>_xll.qlDayCounterYearFraction(DayCounter,Q1141,R1141,,,Trigger)</f>
        <v>0.25555555555555554</v>
      </c>
      <c r="T1141" s="33">
        <f>_xll.qlIndexFixing(Index,P1141,,AllTriggers)</f>
        <v>5.6403631303208789E-3</v>
      </c>
      <c r="U1141" s="34">
        <f>_xll.qlYieldTSDiscount(OisCurve,Q1141,,AllTriggers)</f>
        <v>0.73203271447438323</v>
      </c>
      <c r="V1141" s="34">
        <f>_xll.qlYieldTSDiscount(OisCurve,R1141,,AllTriggers)</f>
        <v>0.7310487137538676</v>
      </c>
      <c r="W1141" s="33">
        <f t="shared" si="76"/>
        <v>5.2670055080813417E-3</v>
      </c>
      <c r="X1141" s="35">
        <f t="shared" si="77"/>
        <v>9.5280819924441895E-5</v>
      </c>
      <c r="Y1141" s="33">
        <f t="shared" si="73"/>
        <v>3.7335762223953718E-4</v>
      </c>
      <c r="Z1141" s="54"/>
    </row>
    <row r="1142" spans="15:26" x14ac:dyDescent="0.25">
      <c r="O1142" s="37" t="s">
        <v>19</v>
      </c>
      <c r="P1142" s="31">
        <f>_xll.qlCalendarAdvance(Calendar,P1141,O1141,"f",,Trigger)</f>
        <v>58697</v>
      </c>
      <c r="Q1142" s="31">
        <f>_xll.qlInterestRateIndexValueDate(Index,P1142,Trigger)</f>
        <v>58699</v>
      </c>
      <c r="R1142" s="31">
        <f>_xll.qlInterestRateIndexMaturity(Index,Q1142,Trigger)</f>
        <v>58790</v>
      </c>
      <c r="S1142" s="32">
        <f>_xll.qlDayCounterYearFraction(DayCounter,Q1142,R1142,,,Trigger)</f>
        <v>0.25277777777777777</v>
      </c>
      <c r="T1142" s="33">
        <f>_xll.qlIndexFixing(Index,P1142,,AllTriggers)</f>
        <v>5.633488075847971E-3</v>
      </c>
      <c r="U1142" s="34">
        <f>_xll.qlYieldTSDiscount(OisCurve,Q1142,,AllTriggers)</f>
        <v>0.7317112657716569</v>
      </c>
      <c r="V1142" s="34">
        <f>_xll.qlYieldTSDiscount(OisCurve,R1142,,AllTriggers)</f>
        <v>0.73073957573463411</v>
      </c>
      <c r="W1142" s="33">
        <f t="shared" si="76"/>
        <v>5.2604903658703961E-3</v>
      </c>
      <c r="X1142" s="35">
        <f t="shared" si="77"/>
        <v>9.4155891154880841E-5</v>
      </c>
      <c r="Y1142" s="33">
        <f t="shared" si="73"/>
        <v>3.7299770997757491E-4</v>
      </c>
      <c r="Z1142" s="54"/>
    </row>
    <row r="1143" spans="15:26" x14ac:dyDescent="0.25">
      <c r="O1143" s="37" t="s">
        <v>19</v>
      </c>
      <c r="P1143" s="31">
        <f>_xll.qlCalendarAdvance(Calendar,P1142,O1142,"f",,Trigger)</f>
        <v>58727</v>
      </c>
      <c r="Q1143" s="31">
        <f>_xll.qlInterestRateIndexValueDate(Index,P1143,Trigger)</f>
        <v>58729</v>
      </c>
      <c r="R1143" s="31">
        <f>_xll.qlInterestRateIndexMaturity(Index,Q1143,Trigger)</f>
        <v>58823</v>
      </c>
      <c r="S1143" s="32">
        <f>_xll.qlDayCounterYearFraction(DayCounter,Q1143,R1143,,,Trigger)</f>
        <v>0.26111111111111113</v>
      </c>
      <c r="T1143" s="33">
        <f>_xll.qlIndexFixing(Index,P1143,,AllTriggers)</f>
        <v>5.626816586283597E-3</v>
      </c>
      <c r="U1143" s="34">
        <f>_xll.qlYieldTSDiscount(OisCurve,Q1143,,AllTriggers)</f>
        <v>0.73139038741007856</v>
      </c>
      <c r="V1143" s="34">
        <f>_xll.qlYieldTSDiscount(OisCurve,R1143,,AllTriggers)</f>
        <v>0.73038834695183175</v>
      </c>
      <c r="W1143" s="33">
        <f t="shared" si="76"/>
        <v>5.2541935683988721E-3</v>
      </c>
      <c r="X1143" s="35">
        <f t="shared" si="77"/>
        <v>9.7157989961603027E-5</v>
      </c>
      <c r="Y1143" s="33">
        <f t="shared" si="73"/>
        <v>3.7262301788472483E-4</v>
      </c>
      <c r="Z1143" s="54"/>
    </row>
    <row r="1144" spans="15:26" x14ac:dyDescent="0.25">
      <c r="O1144" s="37" t="s">
        <v>19</v>
      </c>
      <c r="P1144" s="31">
        <f>_xll.qlCalendarAdvance(Calendar,P1143,O1143,"f",,Trigger)</f>
        <v>58760</v>
      </c>
      <c r="Q1144" s="31">
        <f>_xll.qlInterestRateIndexValueDate(Index,P1144,Trigger)</f>
        <v>58762</v>
      </c>
      <c r="R1144" s="31">
        <f>_xll.qlInterestRateIndexMaturity(Index,Q1144,Trigger)</f>
        <v>58854</v>
      </c>
      <c r="S1144" s="32">
        <f>_xll.qlDayCounterYearFraction(DayCounter,Q1144,R1144,,,Trigger)</f>
        <v>0.25555555555555554</v>
      </c>
      <c r="T1144" s="33">
        <f>_xll.qlIndexFixing(Index,P1144,,AllTriggers)</f>
        <v>5.620300481068527E-3</v>
      </c>
      <c r="U1144" s="34">
        <f>_xll.qlYieldTSDiscount(OisCurve,Q1144,,AllTriggers)</f>
        <v>0.7310380460108189</v>
      </c>
      <c r="V1144" s="34">
        <f>_xll.qlYieldTSDiscount(OisCurve,R1144,,AllTriggers)</f>
        <v>0.7300589048696845</v>
      </c>
      <c r="W1144" s="33">
        <f t="shared" si="76"/>
        <v>5.2480996136835016E-3</v>
      </c>
      <c r="X1144" s="35">
        <f t="shared" si="77"/>
        <v>9.4986088532617477E-5</v>
      </c>
      <c r="Y1144" s="33">
        <f t="shared" si="73"/>
        <v>3.722008673850254E-4</v>
      </c>
      <c r="Z1144" s="54"/>
    </row>
    <row r="1145" spans="15:26" x14ac:dyDescent="0.25">
      <c r="O1145" s="37" t="s">
        <v>19</v>
      </c>
      <c r="P1145" s="31">
        <f>_xll.qlCalendarAdvance(Calendar,P1144,O1144,"f",,Trigger)</f>
        <v>58790</v>
      </c>
      <c r="Q1145" s="31">
        <f>_xll.qlInterestRateIndexValueDate(Index,P1145,Trigger)</f>
        <v>58792</v>
      </c>
      <c r="R1145" s="31">
        <f>_xll.qlInterestRateIndexMaturity(Index,Q1145,Trigger)</f>
        <v>58882</v>
      </c>
      <c r="S1145" s="32">
        <f>_xll.qlDayCounterYearFraction(DayCounter,Q1145,R1145,,,Trigger)</f>
        <v>0.25</v>
      </c>
      <c r="T1145" s="33">
        <f>_xll.qlIndexFixing(Index,P1145,,AllTriggers)</f>
        <v>5.6148243183864466E-3</v>
      </c>
      <c r="U1145" s="34">
        <f>_xll.qlYieldTSDiscount(OisCurve,Q1145,,AllTriggers)</f>
        <v>0.73071827284241819</v>
      </c>
      <c r="V1145" s="34">
        <f>_xll.qlYieldTSDiscount(OisCurve,R1145,,AllTriggers)</f>
        <v>0.72976173420637169</v>
      </c>
      <c r="W1145" s="33">
        <f t="shared" si="76"/>
        <v>5.2430188715595349E-3</v>
      </c>
      <c r="X1145" s="35">
        <f t="shared" si="77"/>
        <v>9.2825376350987138E-5</v>
      </c>
      <c r="Y1145" s="33">
        <f t="shared" si="73"/>
        <v>3.7180544682691163E-4</v>
      </c>
      <c r="Z1145" s="54"/>
    </row>
    <row r="1146" spans="15:26" x14ac:dyDescent="0.25">
      <c r="O1146" s="37" t="s">
        <v>19</v>
      </c>
      <c r="P1146" s="31">
        <f>_xll.qlCalendarAdvance(Calendar,P1145,O1145,"f",,Trigger)</f>
        <v>58823</v>
      </c>
      <c r="Q1146" s="31">
        <f>_xll.qlInterestRateIndexValueDate(Index,P1146,Trigger)</f>
        <v>58825</v>
      </c>
      <c r="R1146" s="31">
        <f>_xll.qlInterestRateIndexMaturity(Index,Q1146,Trigger)</f>
        <v>58915</v>
      </c>
      <c r="S1146" s="32">
        <f>_xll.qlDayCounterYearFraction(DayCounter,Q1146,R1146,,,Trigger)</f>
        <v>0.25</v>
      </c>
      <c r="T1146" s="33">
        <f>_xll.qlIndexFixing(Index,P1146,,AllTriggers)</f>
        <v>5.6092071234372654E-3</v>
      </c>
      <c r="U1146" s="34">
        <f>_xll.qlYieldTSDiscount(OisCurve,Q1146,,AllTriggers)</f>
        <v>0.73036707835802206</v>
      </c>
      <c r="V1146" s="34">
        <f>_xll.qlYieldTSDiscount(OisCurve,R1146,,AllTriggers)</f>
        <v>0.72941194026401945</v>
      </c>
      <c r="W1146" s="33">
        <f t="shared" si="76"/>
        <v>5.2378528032148708E-3</v>
      </c>
      <c r="X1146" s="35">
        <f t="shared" si="77"/>
        <v>9.2712872361703344E-5</v>
      </c>
      <c r="Y1146" s="33">
        <f t="shared" si="73"/>
        <v>3.7135432022239456E-4</v>
      </c>
      <c r="Z1146" s="54"/>
    </row>
    <row r="1147" spans="15:26" x14ac:dyDescent="0.25">
      <c r="O1147" s="37" t="s">
        <v>19</v>
      </c>
      <c r="P1147" s="31">
        <f>_xll.qlCalendarAdvance(Calendar,P1146,O1146,"f",,Trigger)</f>
        <v>58854</v>
      </c>
      <c r="Q1147" s="31">
        <f>_xll.qlInterestRateIndexValueDate(Index,P1147,Trigger)</f>
        <v>58858</v>
      </c>
      <c r="R1147" s="31">
        <f>_xll.qlInterestRateIndexMaturity(Index,Q1147,Trigger)</f>
        <v>58949</v>
      </c>
      <c r="S1147" s="32">
        <f>_xll.qlDayCounterYearFraction(DayCounter,Q1147,R1147,,,Trigger)</f>
        <v>0.25277777777777777</v>
      </c>
      <c r="T1147" s="33">
        <f>_xll.qlIndexFixing(Index,P1147,,AllTriggers)</f>
        <v>5.6041030588735536E-3</v>
      </c>
      <c r="U1147" s="34">
        <f>_xll.qlYieldTSDiscount(OisCurve,Q1147,,AllTriggers)</f>
        <v>0.73001642984371118</v>
      </c>
      <c r="V1147" s="34">
        <f>_xll.qlYieldTSDiscount(OisCurve,R1147,,AllTriggers)</f>
        <v>0.7290520101360658</v>
      </c>
      <c r="W1147" s="33">
        <f t="shared" si="76"/>
        <v>5.233216152586935E-3</v>
      </c>
      <c r="X1147" s="35">
        <f t="shared" si="77"/>
        <v>9.3623730056734868E-5</v>
      </c>
      <c r="Y1147" s="33">
        <f t="shared" si="73"/>
        <v>3.7088690628661863E-4</v>
      </c>
      <c r="Z1147" s="54"/>
    </row>
    <row r="1148" spans="15:26" x14ac:dyDescent="0.25">
      <c r="O1148" s="37" t="s">
        <v>19</v>
      </c>
      <c r="P1148" s="31">
        <f>_xll.qlCalendarAdvance(Calendar,P1147,O1147,"f",,Trigger)</f>
        <v>58882</v>
      </c>
      <c r="Q1148" s="31">
        <f>_xll.qlInterestRateIndexValueDate(Index,P1148,Trigger)</f>
        <v>58886</v>
      </c>
      <c r="R1148" s="31">
        <f>_xll.qlInterestRateIndexMaturity(Index,Q1148,Trigger)</f>
        <v>58978</v>
      </c>
      <c r="S1148" s="32">
        <f>_xll.qlDayCounterYearFraction(DayCounter,Q1148,R1148,,,Trigger)</f>
        <v>0.25555555555555554</v>
      </c>
      <c r="T1148" s="33">
        <f>_xll.qlIndexFixing(Index,P1148,,AllTriggers)</f>
        <v>5.6002047462062714E-3</v>
      </c>
      <c r="U1148" s="34">
        <f>_xll.qlYieldTSDiscount(OisCurve,Q1148,,AllTriggers)</f>
        <v>0.72971931006300184</v>
      </c>
      <c r="V1148" s="34">
        <f>_xll.qlYieldTSDiscount(OisCurve,R1148,,AllTriggers)</f>
        <v>0.72874535234225912</v>
      </c>
      <c r="W1148" s="33">
        <f t="shared" si="76"/>
        <v>5.2297265361693195E-3</v>
      </c>
      <c r="X1148" s="35">
        <f t="shared" si="77"/>
        <v>9.4546928496763971E-5</v>
      </c>
      <c r="Y1148" s="33">
        <f t="shared" si="73"/>
        <v>3.7047821003695185E-4</v>
      </c>
      <c r="Z1148" s="54"/>
    </row>
    <row r="1149" spans="15:26" x14ac:dyDescent="0.25">
      <c r="O1149" s="37" t="s">
        <v>19</v>
      </c>
      <c r="P1149" s="31">
        <f>_xll.qlCalendarAdvance(Calendar,P1148,O1148,"f",,Trigger)</f>
        <v>58914</v>
      </c>
      <c r="Q1149" s="31">
        <f>_xll.qlInterestRateIndexValueDate(Index,P1149,Trigger)</f>
        <v>58916</v>
      </c>
      <c r="R1149" s="31">
        <f>_xll.qlInterestRateIndexMaturity(Index,Q1149,Trigger)</f>
        <v>59007</v>
      </c>
      <c r="S1149" s="32">
        <f>_xll.qlDayCounterYearFraction(DayCounter,Q1149,R1149,,,Trigger)</f>
        <v>0.25277777777777777</v>
      </c>
      <c r="T1149" s="33">
        <f>_xll.qlIndexFixing(Index,P1149,,AllTriggers)</f>
        <v>5.5964964976904291E-3</v>
      </c>
      <c r="U1149" s="34">
        <f>_xll.qlYieldTSDiscount(OisCurve,Q1149,,AllTriggers)</f>
        <v>0.7294013475621447</v>
      </c>
      <c r="V1149" s="34">
        <f>_xll.qlYieldTSDiscount(OisCurve,R1149,,AllTriggers)</f>
        <v>0.72843898210392022</v>
      </c>
      <c r="W1149" s="33">
        <f t="shared" si="76"/>
        <v>5.2264639153692281E-3</v>
      </c>
      <c r="X1149" s="35">
        <f t="shared" si="77"/>
        <v>9.3408240618988748E-5</v>
      </c>
      <c r="Y1149" s="33">
        <f t="shared" si="73"/>
        <v>3.7003258232120098E-4</v>
      </c>
      <c r="Z1149" s="54"/>
    </row>
    <row r="1150" spans="15:26" x14ac:dyDescent="0.25">
      <c r="O1150" s="37" t="s">
        <v>19</v>
      </c>
      <c r="P1150" s="31">
        <f>_xll.qlCalendarAdvance(Calendar,P1149,O1149,"f",,Trigger)</f>
        <v>58944</v>
      </c>
      <c r="Q1150" s="31">
        <f>_xll.qlInterestRateIndexValueDate(Index,P1150,Trigger)</f>
        <v>58946</v>
      </c>
      <c r="R1150" s="31">
        <f>_xll.qlInterestRateIndexMaturity(Index,Q1150,Trigger)</f>
        <v>59040</v>
      </c>
      <c r="S1150" s="32">
        <f>_xll.qlDayCounterYearFraction(DayCounter,Q1150,R1150,,,Trigger)</f>
        <v>0.26111111111111113</v>
      </c>
      <c r="T1150" s="33">
        <f>_xll.qlIndexFixing(Index,P1150,,AllTriggers)</f>
        <v>5.5932042602079455E-3</v>
      </c>
      <c r="U1150" s="34">
        <f>_xll.qlYieldTSDiscount(OisCurve,Q1150,,AllTriggers)</f>
        <v>0.7290837507812894</v>
      </c>
      <c r="V1150" s="34">
        <f>_xll.qlYieldTSDiscount(OisCurve,R1150,,AllTriggers)</f>
        <v>0.72809067152398654</v>
      </c>
      <c r="W1150" s="33">
        <f t="shared" si="76"/>
        <v>5.2236382235887925E-3</v>
      </c>
      <c r="X1150" s="35">
        <f t="shared" si="77"/>
        <v>9.636171661699618E-5</v>
      </c>
      <c r="Y1150" s="33">
        <f t="shared" si="73"/>
        <v>3.6956603661915301E-4</v>
      </c>
      <c r="Z1150" s="54"/>
    </row>
    <row r="1151" spans="15:26" x14ac:dyDescent="0.25">
      <c r="O1151" s="37" t="s">
        <v>19</v>
      </c>
      <c r="P1151" s="31">
        <f>_xll.qlCalendarAdvance(Calendar,P1150,O1150,"f",,Trigger)</f>
        <v>58977</v>
      </c>
      <c r="Q1151" s="31">
        <f>_xll.qlInterestRateIndexValueDate(Index,P1151,Trigger)</f>
        <v>58979</v>
      </c>
      <c r="R1151" s="31">
        <f>_xll.qlInterestRateIndexMaturity(Index,Q1151,Trigger)</f>
        <v>59071</v>
      </c>
      <c r="S1151" s="32">
        <f>_xll.qlDayCounterYearFraction(DayCounter,Q1151,R1151,,,Trigger)</f>
        <v>0.25555555555555554</v>
      </c>
      <c r="T1151" s="33">
        <f>_xll.qlIndexFixing(Index,P1151,,AllTriggers)</f>
        <v>5.590123729178163E-3</v>
      </c>
      <c r="U1151" s="34">
        <f>_xll.qlYieldTSDiscount(OisCurve,Q1151,,AllTriggers)</f>
        <v>0.72873478320962337</v>
      </c>
      <c r="V1151" s="34">
        <f>_xll.qlYieldTSDiscount(OisCurve,R1151,,AllTriggers)</f>
        <v>0.72776374685612555</v>
      </c>
      <c r="W1151" s="33">
        <f t="shared" si="76"/>
        <v>5.2210727542052575E-3</v>
      </c>
      <c r="X1151" s="35">
        <f t="shared" si="77"/>
        <v>9.4182919833856341E-5</v>
      </c>
      <c r="Y1151" s="33">
        <f t="shared" si="73"/>
        <v>3.6905097497290547E-4</v>
      </c>
      <c r="Z1151" s="54"/>
    </row>
    <row r="1152" spans="15:26" x14ac:dyDescent="0.25">
      <c r="O1152" s="37" t="s">
        <v>19</v>
      </c>
      <c r="P1152" s="31">
        <f>_xll.qlCalendarAdvance(Calendar,P1151,O1151,"f",,Trigger)</f>
        <v>59007</v>
      </c>
      <c r="Q1152" s="31">
        <f>_xll.qlInterestRateIndexValueDate(Index,P1152,Trigger)</f>
        <v>59009</v>
      </c>
      <c r="R1152" s="31">
        <f>_xll.qlInterestRateIndexMaturity(Index,Q1152,Trigger)</f>
        <v>59103</v>
      </c>
      <c r="S1152" s="32">
        <f>_xll.qlDayCounterYearFraction(DayCounter,Q1152,R1152,,,Trigger)</f>
        <v>0.26111111111111113</v>
      </c>
      <c r="T1152" s="33">
        <f>_xll.qlIndexFixing(Index,P1152,,AllTriggers)</f>
        <v>5.58780836391391E-3</v>
      </c>
      <c r="U1152" s="34">
        <f>_xll.qlYieldTSDiscount(OisCurve,Q1152,,AllTriggers)</f>
        <v>0.728417863078613</v>
      </c>
      <c r="V1152" s="34">
        <f>_xll.qlYieldTSDiscount(OisCurve,R1152,,AllTriggers)</f>
        <v>0.72742652355236415</v>
      </c>
      <c r="W1152" s="33">
        <f t="shared" si="76"/>
        <v>5.2192480467845729E-3</v>
      </c>
      <c r="X1152" s="35">
        <f t="shared" si="77"/>
        <v>9.6099605016024939E-5</v>
      </c>
      <c r="Y1152" s="33">
        <f t="shared" si="73"/>
        <v>3.6856031712933709E-4</v>
      </c>
      <c r="Z1152" s="54"/>
    </row>
    <row r="1153" spans="15:26" x14ac:dyDescent="0.25">
      <c r="O1153" s="37" t="s">
        <v>19</v>
      </c>
      <c r="P1153" s="31">
        <f>_xll.qlCalendarAdvance(Calendar,P1152,O1152,"f",,Trigger)</f>
        <v>59040</v>
      </c>
      <c r="Q1153" s="31">
        <f>_xll.qlInterestRateIndexValueDate(Index,P1153,Trigger)</f>
        <v>59042</v>
      </c>
      <c r="R1153" s="31">
        <f>_xll.qlInterestRateIndexMaturity(Index,Q1153,Trigger)</f>
        <v>59134</v>
      </c>
      <c r="S1153" s="32">
        <f>_xll.qlDayCounterYearFraction(DayCounter,Q1153,R1153,,,Trigger)</f>
        <v>0.25555555555555554</v>
      </c>
      <c r="T1153" s="33">
        <f>_xll.qlIndexFixing(Index,P1153,,AllTriggers)</f>
        <v>5.5857251085043805E-3</v>
      </c>
      <c r="U1153" s="34">
        <f>_xll.qlYieldTSDiscount(OisCurve,Q1153,,AllTriggers)</f>
        <v>0.72806957188585364</v>
      </c>
      <c r="V1153" s="34">
        <f>_xll.qlYieldTSDiscount(OisCurve,R1153,,AllTriggers)</f>
        <v>0.72710004652713567</v>
      </c>
      <c r="W1153" s="33">
        <f t="shared" si="76"/>
        <v>5.2177068342390319E-3</v>
      </c>
      <c r="X1153" s="35">
        <f t="shared" si="77"/>
        <v>9.3919464556421048E-5</v>
      </c>
      <c r="Y1153" s="33">
        <f t="shared" si="73"/>
        <v>3.6801827426534862E-4</v>
      </c>
      <c r="Z1153" s="54"/>
    </row>
    <row r="1154" spans="15:26" x14ac:dyDescent="0.25">
      <c r="O1154" s="37" t="s">
        <v>19</v>
      </c>
      <c r="P1154" s="31">
        <f>_xll.qlCalendarAdvance(Calendar,P1153,O1153,"f",,Trigger)</f>
        <v>59071</v>
      </c>
      <c r="Q1154" s="31">
        <f>_xll.qlInterestRateIndexValueDate(Index,P1154,Trigger)</f>
        <v>59075</v>
      </c>
      <c r="R1154" s="31">
        <f>_xll.qlInterestRateIndexMaturity(Index,Q1154,Trigger)</f>
        <v>59167</v>
      </c>
      <c r="S1154" s="32">
        <f>_xll.qlDayCounterYearFraction(DayCounter,Q1154,R1154,,,Trigger)</f>
        <v>0.25555555555555554</v>
      </c>
      <c r="T1154" s="33">
        <f>_xll.qlIndexFixing(Index,P1154,,AllTriggers)</f>
        <v>5.5842045096775265E-3</v>
      </c>
      <c r="U1154" s="34">
        <f>_xll.qlYieldTSDiscount(OisCurve,Q1154,,AllTriggers)</f>
        <v>0.72772158087717964</v>
      </c>
      <c r="V1154" s="34">
        <f>_xll.qlYieldTSDiscount(OisCurve,R1154,,AllTriggers)</f>
        <v>0.72675269668446407</v>
      </c>
      <c r="W1154" s="33">
        <f t="shared" si="76"/>
        <v>5.2167484053271445E-3</v>
      </c>
      <c r="X1154" s="35">
        <f t="shared" si="77"/>
        <v>9.3776026623394425E-5</v>
      </c>
      <c r="Y1154" s="33">
        <f t="shared" si="73"/>
        <v>3.6745610435038201E-4</v>
      </c>
      <c r="Z1154" s="54"/>
    </row>
    <row r="1155" spans="15:26" x14ac:dyDescent="0.25">
      <c r="O1155" s="37" t="s">
        <v>19</v>
      </c>
      <c r="P1155" s="31">
        <f>_xll.qlCalendarAdvance(Calendar,P1154,O1154,"f",,Trigger)</f>
        <v>59103</v>
      </c>
      <c r="Q1155" s="31">
        <f>_xll.qlInterestRateIndexValueDate(Index,P1155,Trigger)</f>
        <v>59105</v>
      </c>
      <c r="R1155" s="31">
        <f>_xll.qlInterestRateIndexMaturity(Index,Q1155,Trigger)</f>
        <v>59197</v>
      </c>
      <c r="S1155" s="32">
        <f>_xll.qlDayCounterYearFraction(DayCounter,Q1155,R1155,,,Trigger)</f>
        <v>0.25555555555555554</v>
      </c>
      <c r="T1155" s="33">
        <f>_xll.qlIndexFixing(Index,P1155,,AllTriggers)</f>
        <v>5.5832895398784691E-3</v>
      </c>
      <c r="U1155" s="34">
        <f>_xll.qlYieldTSDiscount(OisCurve,Q1155,,AllTriggers)</f>
        <v>0.72740545467832185</v>
      </c>
      <c r="V1155" s="34">
        <f>_xll.qlYieldTSDiscount(OisCurve,R1155,,AllTriggers)</f>
        <v>0.72643706390911877</v>
      </c>
      <c r="W1155" s="33">
        <f t="shared" si="76"/>
        <v>5.2163571658176595E-3</v>
      </c>
      <c r="X1155" s="35">
        <f t="shared" si="77"/>
        <v>9.3642384509675844E-5</v>
      </c>
      <c r="Y1155" s="33">
        <f t="shared" si="73"/>
        <v>3.6693237406080961E-4</v>
      </c>
      <c r="Z1155" s="54"/>
    </row>
    <row r="1156" spans="15:26" x14ac:dyDescent="0.25">
      <c r="O1156" s="37" t="s">
        <v>19</v>
      </c>
      <c r="P1156" s="31">
        <f>_xll.qlCalendarAdvance(Calendar,P1155,O1155,"f",,Trigger)</f>
        <v>59134</v>
      </c>
      <c r="Q1156" s="31">
        <f>_xll.qlInterestRateIndexValueDate(Index,P1156,Trigger)</f>
        <v>59138</v>
      </c>
      <c r="R1156" s="31">
        <f>_xll.qlInterestRateIndexMaturity(Index,Q1156,Trigger)</f>
        <v>59230</v>
      </c>
      <c r="S1156" s="32">
        <f>_xll.qlDayCounterYearFraction(DayCounter,Q1156,R1156,,,Trigger)</f>
        <v>0.25555555555555554</v>
      </c>
      <c r="T1156" s="33">
        <f>_xll.qlIndexFixing(Index,P1156,,AllTriggers)</f>
        <v>5.582797204761447E-3</v>
      </c>
      <c r="U1156" s="34">
        <f>_xll.qlYieldTSDiscount(OisCurve,Q1156,,AllTriggers)</f>
        <v>0.72705793376402339</v>
      </c>
      <c r="V1156" s="34">
        <f>_xll.qlYieldTSDiscount(OisCurve,R1156,,AllTriggers)</f>
        <v>0.72608998754239229</v>
      </c>
      <c r="W1156" s="33">
        <f t="shared" si="76"/>
        <v>5.2164548676408131E-3</v>
      </c>
      <c r="X1156" s="35">
        <f t="shared" si="77"/>
        <v>9.3491809791972481E-5</v>
      </c>
      <c r="Y1156" s="33">
        <f t="shared" ref="Y1156:Y1219" si="78">T1156-W1156</f>
        <v>3.663423371206339E-4</v>
      </c>
      <c r="Z1156" s="54"/>
    </row>
    <row r="1157" spans="15:26" x14ac:dyDescent="0.25">
      <c r="O1157" s="37" t="s">
        <v>19</v>
      </c>
      <c r="P1157" s="31">
        <f>_xll.qlCalendarAdvance(Calendar,P1156,O1156,"f",,Trigger)</f>
        <v>59167</v>
      </c>
      <c r="Q1157" s="31">
        <f>_xll.qlInterestRateIndexValueDate(Index,P1157,Trigger)</f>
        <v>59169</v>
      </c>
      <c r="R1157" s="31">
        <f>_xll.qlInterestRateIndexMaturity(Index,Q1157,Trigger)</f>
        <v>59259</v>
      </c>
      <c r="S1157" s="32">
        <f>_xll.qlDayCounterYearFraction(DayCounter,Q1157,R1157,,,Trigger)</f>
        <v>0.25</v>
      </c>
      <c r="T1157" s="33">
        <f>_xll.qlIndexFixing(Index,P1157,,AllTriggers)</f>
        <v>5.5827229832026148E-3</v>
      </c>
      <c r="U1157" s="34">
        <f>_xll.qlYieldTSDiscount(OisCurve,Q1157,,AllTriggers)</f>
        <v>0.72673165069216283</v>
      </c>
      <c r="V1157" s="34">
        <f>_xll.qlYieldTSDiscount(OisCurve,R1157,,AllTriggers)</f>
        <v>0.72578505633338797</v>
      </c>
      <c r="W1157" s="33">
        <f t="shared" si="76"/>
        <v>5.2169404730211255E-3</v>
      </c>
      <c r="X1157" s="35">
        <f t="shared" si="77"/>
        <v>9.1322346283217247E-5</v>
      </c>
      <c r="Y1157" s="33">
        <f t="shared" si="78"/>
        <v>3.6578251018148933E-4</v>
      </c>
      <c r="Z1157" s="54"/>
    </row>
    <row r="1158" spans="15:26" x14ac:dyDescent="0.25">
      <c r="O1158" s="37" t="s">
        <v>19</v>
      </c>
      <c r="P1158" s="31">
        <f>_xll.qlCalendarAdvance(Calendar,P1157,O1157,"f",,Trigger)</f>
        <v>59198</v>
      </c>
      <c r="Q1158" s="31">
        <f>_xll.qlInterestRateIndexValueDate(Index,P1158,Trigger)</f>
        <v>59202</v>
      </c>
      <c r="R1158" s="31">
        <f>_xll.qlInterestRateIndexMaturity(Index,Q1158,Trigger)</f>
        <v>59289</v>
      </c>
      <c r="S1158" s="32">
        <f>_xll.qlDayCounterYearFraction(DayCounter,Q1158,R1158,,,Trigger)</f>
        <v>0.24166666666666667</v>
      </c>
      <c r="T1158" s="33">
        <f>_xll.qlIndexFixing(Index,P1158,,AllTriggers)</f>
        <v>5.5830820858250732E-3</v>
      </c>
      <c r="U1158" s="34">
        <f>_xll.qlYieldTSDiscount(OisCurve,Q1158,,AllTriggers)</f>
        <v>0.72638446935761047</v>
      </c>
      <c r="V1158" s="34">
        <f>_xll.qlYieldTSDiscount(OisCurve,R1158,,AllTriggers)</f>
        <v>0.72546965665190444</v>
      </c>
      <c r="W1158" s="33">
        <f t="shared" si="76"/>
        <v>5.2179051886890281E-3</v>
      </c>
      <c r="X1158" s="35">
        <f t="shared" si="77"/>
        <v>8.8136055465114961E-5</v>
      </c>
      <c r="Y1158" s="33">
        <f t="shared" si="78"/>
        <v>3.6517689713604518E-4</v>
      </c>
      <c r="Z1158" s="54"/>
    </row>
    <row r="1159" spans="15:26" x14ac:dyDescent="0.25">
      <c r="O1159" s="37" t="s">
        <v>19</v>
      </c>
      <c r="P1159" s="31">
        <f>_xll.qlCalendarAdvance(Calendar,P1158,O1158,"f",,Trigger)</f>
        <v>59229</v>
      </c>
      <c r="Q1159" s="31">
        <f>_xll.qlInterestRateIndexValueDate(Index,P1159,Trigger)</f>
        <v>59231</v>
      </c>
      <c r="R1159" s="31">
        <f>_xll.qlInterestRateIndexMaturity(Index,Q1159,Trigger)</f>
        <v>59323</v>
      </c>
      <c r="S1159" s="32">
        <f>_xll.qlDayCounterYearFraction(DayCounter,Q1159,R1159,,,Trigger)</f>
        <v>0.25555555555555554</v>
      </c>
      <c r="T1159" s="33">
        <f>_xll.qlIndexFixing(Index,P1159,,AllTriggers)</f>
        <v>5.5843075470735325E-3</v>
      </c>
      <c r="U1159" s="34">
        <f>_xll.qlYieldTSDiscount(OisCurve,Q1159,,AllTriggers)</f>
        <v>0.72607947166278375</v>
      </c>
      <c r="V1159" s="34">
        <f>_xll.qlYieldTSDiscount(OisCurve,R1159,,AllTriggers)</f>
        <v>0.72511222632578243</v>
      </c>
      <c r="W1159" s="33">
        <f t="shared" si="76"/>
        <v>5.2197065784005984E-3</v>
      </c>
      <c r="X1159" s="35">
        <f t="shared" si="77"/>
        <v>9.304735010391555E-5</v>
      </c>
      <c r="Y1159" s="33">
        <f t="shared" si="78"/>
        <v>3.6460096867293405E-4</v>
      </c>
      <c r="Z1159" s="54"/>
    </row>
    <row r="1160" spans="15:26" x14ac:dyDescent="0.25">
      <c r="O1160" s="37" t="s">
        <v>19</v>
      </c>
      <c r="P1160" s="31">
        <f>_xll.qlCalendarAdvance(Calendar,P1159,O1159,"f",,Trigger)</f>
        <v>59258</v>
      </c>
      <c r="Q1160" s="31">
        <f>_xll.qlInterestRateIndexValueDate(Index,P1160,Trigger)</f>
        <v>59260</v>
      </c>
      <c r="R1160" s="31">
        <f>_xll.qlInterestRateIndexMaturity(Index,Q1160,Trigger)</f>
        <v>59352</v>
      </c>
      <c r="S1160" s="32">
        <f>_xll.qlDayCounterYearFraction(DayCounter,Q1160,R1160,,,Trigger)</f>
        <v>0.25555555555555554</v>
      </c>
      <c r="T1160" s="33">
        <f>_xll.qlIndexFixing(Index,P1160,,AllTriggers)</f>
        <v>5.5856534531557693E-3</v>
      </c>
      <c r="U1160" s="34">
        <f>_xll.qlYieldTSDiscount(OisCurve,Q1160,,AllTriggers)</f>
        <v>0.72577454239849237</v>
      </c>
      <c r="V1160" s="34">
        <f>_xll.qlYieldTSDiscount(OisCurve,R1160,,AllTriggers)</f>
        <v>0.72480734947128944</v>
      </c>
      <c r="W1160" s="33">
        <f t="shared" si="76"/>
        <v>5.2216192051202093E-3</v>
      </c>
      <c r="X1160" s="35">
        <f t="shared" si="77"/>
        <v>9.2902682530072512E-5</v>
      </c>
      <c r="Y1160" s="33">
        <f t="shared" si="78"/>
        <v>3.6403424803556003E-4</v>
      </c>
      <c r="Z1160" s="54"/>
    </row>
    <row r="1161" spans="15:26" x14ac:dyDescent="0.25">
      <c r="O1161" s="37" t="s">
        <v>19</v>
      </c>
      <c r="P1161" s="31">
        <f>_xll.qlCalendarAdvance(Calendar,P1160,O1160,"f",,Trigger)</f>
        <v>59289</v>
      </c>
      <c r="Q1161" s="31">
        <f>_xll.qlInterestRateIndexValueDate(Index,P1161,Trigger)</f>
        <v>59294</v>
      </c>
      <c r="R1161" s="31">
        <f>_xll.qlInterestRateIndexMaturity(Index,Q1161,Trigger)</f>
        <v>59386</v>
      </c>
      <c r="S1161" s="32">
        <f>_xll.qlDayCounterYearFraction(DayCounter,Q1161,R1161,,,Trigger)</f>
        <v>0.25555555555555554</v>
      </c>
      <c r="T1161" s="33">
        <f>_xll.qlIndexFixing(Index,P1161,,AllTriggers)</f>
        <v>5.5877611244254562E-3</v>
      </c>
      <c r="U1161" s="34">
        <f>_xll.qlYieldTSDiscount(OisCurve,Q1161,,AllTriggers)</f>
        <v>0.72541709272130572</v>
      </c>
      <c r="V1161" s="34">
        <f>_xll.qlYieldTSDiscount(OisCurve,R1161,,AllTriggers)</f>
        <v>0.72444986095444786</v>
      </c>
      <c r="W1161" s="33">
        <f t="shared" si="76"/>
        <v>5.2244056645738184E-3</v>
      </c>
      <c r="X1161" s="35">
        <f t="shared" si="77"/>
        <v>9.2729395745667572E-5</v>
      </c>
      <c r="Y1161" s="33">
        <f t="shared" si="78"/>
        <v>3.6335545985163777E-4</v>
      </c>
      <c r="Z1161" s="54"/>
    </row>
    <row r="1162" spans="15:26" x14ac:dyDescent="0.25">
      <c r="O1162" s="37" t="s">
        <v>19</v>
      </c>
      <c r="P1162" s="31">
        <f>_xll.qlCalendarAdvance(Calendar,P1161,O1161,"f",,Trigger)</f>
        <v>59320</v>
      </c>
      <c r="Q1162" s="31">
        <f>_xll.qlInterestRateIndexValueDate(Index,P1162,Trigger)</f>
        <v>59322</v>
      </c>
      <c r="R1162" s="31">
        <f>_xll.qlInterestRateIndexMaturity(Index,Q1162,Trigger)</f>
        <v>59414</v>
      </c>
      <c r="S1162" s="32">
        <f>_xll.qlDayCounterYearFraction(DayCounter,Q1162,R1162,,,Trigger)</f>
        <v>0.25555555555555554</v>
      </c>
      <c r="T1162" s="33">
        <f>_xll.qlIndexFixing(Index,P1162,,AllTriggers)</f>
        <v>5.5899261637315512E-3</v>
      </c>
      <c r="U1162" s="34">
        <f>_xll.qlYieldTSDiscount(OisCurve,Q1162,,AllTriggers)</f>
        <v>0.72512273899185309</v>
      </c>
      <c r="V1162" s="34">
        <f>_xll.qlYieldTSDiscount(OisCurve,R1162,,AllTriggers)</f>
        <v>0.72415539410556384</v>
      </c>
      <c r="W1162" s="33">
        <f t="shared" si="76"/>
        <v>5.2271413419471479E-3</v>
      </c>
      <c r="X1162" s="35">
        <f t="shared" si="77"/>
        <v>9.2583709314530524E-5</v>
      </c>
      <c r="Y1162" s="33">
        <f t="shared" si="78"/>
        <v>3.6278482178440322E-4</v>
      </c>
      <c r="Z1162" s="54"/>
    </row>
    <row r="1163" spans="15:26" x14ac:dyDescent="0.25">
      <c r="O1163" s="37" t="s">
        <v>19</v>
      </c>
      <c r="P1163" s="31">
        <f>_xll.qlCalendarAdvance(Calendar,P1162,O1162,"f",,Trigger)</f>
        <v>59351</v>
      </c>
      <c r="Q1163" s="31">
        <f>_xll.qlInterestRateIndexValueDate(Index,P1163,Trigger)</f>
        <v>59355</v>
      </c>
      <c r="R1163" s="31">
        <f>_xll.qlInterestRateIndexMaturity(Index,Q1163,Trigger)</f>
        <v>59447</v>
      </c>
      <c r="S1163" s="32">
        <f>_xll.qlDayCounterYearFraction(DayCounter,Q1163,R1163,,,Trigger)</f>
        <v>0.25555555555555554</v>
      </c>
      <c r="T1163" s="33">
        <f>_xll.qlIndexFixing(Index,P1163,,AllTriggers)</f>
        <v>5.5929756298120723E-3</v>
      </c>
      <c r="U1163" s="34">
        <f>_xll.qlYieldTSDiscount(OisCurve,Q1163,,AllTriggers)</f>
        <v>0.72477580889737492</v>
      </c>
      <c r="V1163" s="34">
        <f>_xll.qlYieldTSDiscount(OisCurve,R1163,,AllTriggers)</f>
        <v>0.72380823678566142</v>
      </c>
      <c r="W1163" s="33">
        <f t="shared" si="76"/>
        <v>5.2308768387346934E-3</v>
      </c>
      <c r="X1163" s="35">
        <f t="shared" si="77"/>
        <v>9.2408552339103315E-5</v>
      </c>
      <c r="Y1163" s="33">
        <f t="shared" si="78"/>
        <v>3.6209879107737888E-4</v>
      </c>
      <c r="Z1163" s="54"/>
    </row>
    <row r="1164" spans="15:26" x14ac:dyDescent="0.25">
      <c r="O1164" s="37" t="s">
        <v>19</v>
      </c>
      <c r="P1164" s="31">
        <f>_xll.qlCalendarAdvance(Calendar,P1163,O1163,"f",,Trigger)</f>
        <v>59383</v>
      </c>
      <c r="Q1164" s="31">
        <f>_xll.qlInterestRateIndexValueDate(Index,P1164,Trigger)</f>
        <v>59385</v>
      </c>
      <c r="R1164" s="31">
        <f>_xll.qlInterestRateIndexMaturity(Index,Q1164,Trigger)</f>
        <v>59477</v>
      </c>
      <c r="S1164" s="32">
        <f>_xll.qlDayCounterYearFraction(DayCounter,Q1164,R1164,,,Trigger)</f>
        <v>0.25555555555555554</v>
      </c>
      <c r="T1164" s="33">
        <f>_xll.qlIndexFixing(Index,P1164,,AllTriggers)</f>
        <v>5.5962152675623099E-3</v>
      </c>
      <c r="U1164" s="34">
        <f>_xll.qlYieldTSDiscount(OisCurve,Q1164,,AllTriggers)</f>
        <v>0.72446037638784666</v>
      </c>
      <c r="V1164" s="34">
        <f>_xll.qlYieldTSDiscount(OisCurve,R1164,,AllTriggers)</f>
        <v>0.72349250969562706</v>
      </c>
      <c r="W1164" s="33">
        <f t="shared" si="76"/>
        <v>5.2347528095476941E-3</v>
      </c>
      <c r="X1164" s="35">
        <f t="shared" si="77"/>
        <v>9.2246074731992957E-5</v>
      </c>
      <c r="Y1164" s="33">
        <f t="shared" si="78"/>
        <v>3.6146245801461571E-4</v>
      </c>
      <c r="Z1164" s="54"/>
    </row>
    <row r="1165" spans="15:26" x14ac:dyDescent="0.25">
      <c r="O1165" s="37" t="s">
        <v>19</v>
      </c>
      <c r="P1165" s="31">
        <f>_xll.qlCalendarAdvance(Calendar,P1164,O1164,"f",,Trigger)</f>
        <v>59414</v>
      </c>
      <c r="Q1165" s="31">
        <f>_xll.qlInterestRateIndexValueDate(Index,P1165,Trigger)</f>
        <v>59418</v>
      </c>
      <c r="R1165" s="31">
        <f>_xll.qlInterestRateIndexMaturity(Index,Q1165,Trigger)</f>
        <v>59509</v>
      </c>
      <c r="S1165" s="32">
        <f>_xll.qlDayCounterYearFraction(DayCounter,Q1165,R1165,,,Trigger)</f>
        <v>0.25277777777777777</v>
      </c>
      <c r="T1165" s="33">
        <f>_xll.qlIndexFixing(Index,P1165,,AllTriggers)</f>
        <v>5.6001798940027844E-3</v>
      </c>
      <c r="U1165" s="34">
        <f>_xll.qlYieldTSDiscount(OisCurve,Q1165,,AllTriggers)</f>
        <v>0.7241133212281039</v>
      </c>
      <c r="V1165" s="34">
        <f>_xll.qlYieldTSDiscount(OisCurve,R1165,,AllTriggers)</f>
        <v>0.72315556647874857</v>
      </c>
      <c r="W1165" s="33">
        <f t="shared" si="76"/>
        <v>5.2394257379620602E-3</v>
      </c>
      <c r="X1165" s="35">
        <f t="shared" si="77"/>
        <v>9.1065873184626394E-5</v>
      </c>
      <c r="Y1165" s="33">
        <f t="shared" si="78"/>
        <v>3.607541560407242E-4</v>
      </c>
      <c r="Z1165" s="54"/>
    </row>
    <row r="1166" spans="15:26" x14ac:dyDescent="0.25">
      <c r="O1166" s="37" t="s">
        <v>19</v>
      </c>
      <c r="P1166" s="31">
        <f>_xll.qlCalendarAdvance(Calendar,P1165,O1165,"f",,Trigger)</f>
        <v>59446</v>
      </c>
      <c r="Q1166" s="31">
        <f>_xll.qlInterestRateIndexValueDate(Index,P1166,Trigger)</f>
        <v>59448</v>
      </c>
      <c r="R1166" s="31">
        <f>_xll.qlInterestRateIndexMaturity(Index,Q1166,Trigger)</f>
        <v>59540</v>
      </c>
      <c r="S1166" s="32">
        <f>_xll.qlDayCounterYearFraction(DayCounter,Q1166,R1166,,,Trigger)</f>
        <v>0.25555555555555554</v>
      </c>
      <c r="T1166" s="33">
        <f>_xll.qlIndexFixing(Index,P1166,,AllTriggers)</f>
        <v>5.6044674392057197E-3</v>
      </c>
      <c r="U1166" s="34">
        <f>_xll.qlYieldTSDiscount(OisCurve,Q1166,,AllTriggers)</f>
        <v>0.72379771470267695</v>
      </c>
      <c r="V1166" s="34">
        <f>_xll.qlYieldTSDiscount(OisCurve,R1166,,AllTriggers)</f>
        <v>0.72282895722555418</v>
      </c>
      <c r="W1166" s="33">
        <f t="shared" si="76"/>
        <v>5.244380555009435E-3</v>
      </c>
      <c r="X1166" s="35">
        <f t="shared" si="77"/>
        <v>9.1894815379908325E-5</v>
      </c>
      <c r="Y1166" s="33">
        <f t="shared" si="78"/>
        <v>3.6008688419628468E-4</v>
      </c>
      <c r="Z1166" s="54"/>
    </row>
    <row r="1167" spans="15:26" x14ac:dyDescent="0.25">
      <c r="O1167" s="37" t="s">
        <v>19</v>
      </c>
      <c r="P1167" s="31">
        <f>_xll.qlCalendarAdvance(Calendar,P1166,O1166,"f",,Trigger)</f>
        <v>59477</v>
      </c>
      <c r="Q1167" s="31">
        <f>_xll.qlInterestRateIndexValueDate(Index,P1167,Trigger)</f>
        <v>59481</v>
      </c>
      <c r="R1167" s="31">
        <f>_xll.qlInterestRateIndexMaturity(Index,Q1167,Trigger)</f>
        <v>59573</v>
      </c>
      <c r="S1167" s="32">
        <f>_xll.qlDayCounterYearFraction(DayCounter,Q1167,R1167,,,Trigger)</f>
        <v>0.25555555555555554</v>
      </c>
      <c r="T1167" s="33">
        <f>_xll.qlIndexFixing(Index,P1167,,AllTriggers)</f>
        <v>5.6095734559160329E-3</v>
      </c>
      <c r="U1167" s="34">
        <f>_xll.qlYieldTSDiscount(OisCurve,Q1167,,AllTriggers)</f>
        <v>0.72345040189740295</v>
      </c>
      <c r="V1167" s="34">
        <f>_xll.qlYieldTSDiscount(OisCurve,R1167,,AllTriggers)</f>
        <v>0.72248103102016159</v>
      </c>
      <c r="W1167" s="33">
        <f t="shared" si="76"/>
        <v>5.2502283469635855E-3</v>
      </c>
      <c r="X1167" s="35">
        <f t="shared" si="77"/>
        <v>9.170538483555431E-5</v>
      </c>
      <c r="Y1167" s="33">
        <f t="shared" si="78"/>
        <v>3.5934510895244739E-4</v>
      </c>
      <c r="Z1167" s="54"/>
    </row>
    <row r="1168" spans="15:26" x14ac:dyDescent="0.25">
      <c r="O1168" s="37" t="s">
        <v>19</v>
      </c>
      <c r="P1168" s="31">
        <f>_xll.qlCalendarAdvance(Calendar,P1167,O1167,"f",,Trigger)</f>
        <v>59509</v>
      </c>
      <c r="Q1168" s="31">
        <f>_xll.qlInterestRateIndexValueDate(Index,P1168,Trigger)</f>
        <v>59511</v>
      </c>
      <c r="R1168" s="31">
        <f>_xll.qlInterestRateIndexMaturity(Index,Q1168,Trigger)</f>
        <v>59601</v>
      </c>
      <c r="S1168" s="32">
        <f>_xll.qlDayCounterYearFraction(DayCounter,Q1168,R1168,,,Trigger)</f>
        <v>0.25</v>
      </c>
      <c r="T1168" s="33">
        <f>_xll.qlIndexFixing(Index,P1168,,AllTriggers)</f>
        <v>5.6144101900379439E-3</v>
      </c>
      <c r="U1168" s="34">
        <f>_xll.qlYieldTSDiscount(OisCurve,Q1168,,AllTriggers)</f>
        <v>0.72313450105090582</v>
      </c>
      <c r="V1168" s="34">
        <f>_xll.qlYieldTSDiscount(OisCurve,R1168,,AllTriggers)</f>
        <v>0.72218559618874567</v>
      </c>
      <c r="W1168" s="33">
        <f t="shared" si="76"/>
        <v>5.2557396168957382E-3</v>
      </c>
      <c r="X1168" s="35">
        <f t="shared" si="77"/>
        <v>8.9545971080387161E-5</v>
      </c>
      <c r="Y1168" s="33">
        <f t="shared" si="78"/>
        <v>3.5867057314220574E-4</v>
      </c>
      <c r="Z1168" s="54"/>
    </row>
    <row r="1169" spans="15:26" x14ac:dyDescent="0.25">
      <c r="O1169" s="37" t="s">
        <v>19</v>
      </c>
      <c r="P1169" s="31">
        <f>_xll.qlCalendarAdvance(Calendar,P1168,O1168,"f",,Trigger)</f>
        <v>59540</v>
      </c>
      <c r="Q1169" s="31">
        <f>_xll.qlInterestRateIndexValueDate(Index,P1169,Trigger)</f>
        <v>59544</v>
      </c>
      <c r="R1169" s="31">
        <f>_xll.qlInterestRateIndexMaturity(Index,Q1169,Trigger)</f>
        <v>59635</v>
      </c>
      <c r="S1169" s="32">
        <f>_xll.qlDayCounterYearFraction(DayCounter,Q1169,R1169,,,Trigger)</f>
        <v>0.25277777777777777</v>
      </c>
      <c r="T1169" s="33">
        <f>_xll.qlIndexFixing(Index,P1169,,AllTriggers)</f>
        <v>5.6206724026431152E-3</v>
      </c>
      <c r="U1169" s="34">
        <f>_xll.qlYieldTSDiscount(OisCurve,Q1169,,AllTriggers)</f>
        <v>0.72278679850921812</v>
      </c>
      <c r="V1169" s="34">
        <f>_xll.qlYieldTSDiscount(OisCurve,R1169,,AllTriggers)</f>
        <v>0.7218265431319677</v>
      </c>
      <c r="W1169" s="33">
        <f t="shared" si="76"/>
        <v>5.2627774879919782E-3</v>
      </c>
      <c r="X1169" s="35">
        <f t="shared" si="77"/>
        <v>9.0343609371554951E-5</v>
      </c>
      <c r="Y1169" s="33">
        <f t="shared" si="78"/>
        <v>3.5789491465113704E-4</v>
      </c>
      <c r="Z1169" s="54"/>
    </row>
    <row r="1170" spans="15:26" x14ac:dyDescent="0.25">
      <c r="O1170" s="37" t="s">
        <v>19</v>
      </c>
      <c r="P1170" s="31">
        <f>_xll.qlCalendarAdvance(Calendar,P1169,O1169,"f",,Trigger)</f>
        <v>59572</v>
      </c>
      <c r="Q1170" s="31">
        <f>_xll.qlInterestRateIndexValueDate(Index,P1170,Trigger)</f>
        <v>59574</v>
      </c>
      <c r="R1170" s="31">
        <f>_xll.qlInterestRateIndexMaturity(Index,Q1170,Trigger)</f>
        <v>59663</v>
      </c>
      <c r="S1170" s="32">
        <f>_xll.qlDayCounterYearFraction(DayCounter,Q1170,R1170,,,Trigger)</f>
        <v>0.24722222222222223</v>
      </c>
      <c r="T1170" s="33">
        <f>_xll.qlIndexFixing(Index,P1170,,AllTriggers)</f>
        <v>5.626405230850247E-3</v>
      </c>
      <c r="U1170" s="34">
        <f>_xll.qlYieldTSDiscount(OisCurve,Q1170,,AllTriggers)</f>
        <v>0.72247048348183474</v>
      </c>
      <c r="V1170" s="34">
        <f>_xll.qlYieldTSDiscount(OisCurve,R1170,,AllTriggers)</f>
        <v>0.7215305704348044</v>
      </c>
      <c r="W1170" s="33">
        <f t="shared" si="76"/>
        <v>5.2692091325291521E-3</v>
      </c>
      <c r="X1170" s="35">
        <f t="shared" si="77"/>
        <v>8.818803992581518E-5</v>
      </c>
      <c r="Y1170" s="33">
        <f t="shared" si="78"/>
        <v>3.5719609832109492E-4</v>
      </c>
      <c r="Z1170" s="54"/>
    </row>
    <row r="1171" spans="15:26" x14ac:dyDescent="0.25">
      <c r="O1171" s="37" t="s">
        <v>19</v>
      </c>
      <c r="P1171" s="31">
        <f>_xll.qlCalendarAdvance(Calendar,P1170,O1170,"f",,Trigger)</f>
        <v>59600</v>
      </c>
      <c r="Q1171" s="31">
        <f>_xll.qlInterestRateIndexValueDate(Index,P1171,Trigger)</f>
        <v>59602</v>
      </c>
      <c r="R1171" s="31">
        <f>_xll.qlInterestRateIndexMaturity(Index,Q1171,Trigger)</f>
        <v>59694</v>
      </c>
      <c r="S1171" s="32">
        <f>_xll.qlDayCounterYearFraction(DayCounter,Q1171,R1171,,,Trigger)</f>
        <v>0.25555555555555554</v>
      </c>
      <c r="T1171" s="33">
        <f>_xll.qlIndexFixing(Index,P1171,,AllTriggers)</f>
        <v>5.6329037714607181E-3</v>
      </c>
      <c r="U1171" s="34">
        <f>_xll.qlYieldTSDiscount(OisCurve,Q1171,,AllTriggers)</f>
        <v>0.72217504082912809</v>
      </c>
      <c r="V1171" s="34">
        <f>_xll.qlYieldTSDiscount(OisCurve,R1171,,AllTriggers)</f>
        <v>0.72120256104861491</v>
      </c>
      <c r="W1171" s="33">
        <f t="shared" si="76"/>
        <v>5.2764034245038043E-3</v>
      </c>
      <c r="X1171" s="35">
        <f t="shared" si="77"/>
        <v>9.0978822805727911E-5</v>
      </c>
      <c r="Y1171" s="33">
        <f t="shared" si="78"/>
        <v>3.5650034695691377E-4</v>
      </c>
      <c r="Z1171" s="54"/>
    </row>
    <row r="1172" spans="15:26" x14ac:dyDescent="0.25">
      <c r="O1172" s="37" t="s">
        <v>19</v>
      </c>
      <c r="P1172" s="31">
        <f>_xll.qlCalendarAdvance(Calendar,P1171,O1171,"f",,Trigger)</f>
        <v>59631</v>
      </c>
      <c r="Q1172" s="31">
        <f>_xll.qlInterestRateIndexValueDate(Index,P1172,Trigger)</f>
        <v>59635</v>
      </c>
      <c r="R1172" s="31">
        <f>_xll.qlInterestRateIndexMaturity(Index,Q1172,Trigger)</f>
        <v>59726</v>
      </c>
      <c r="S1172" s="32">
        <f>_xll.qlDayCounterYearFraction(DayCounter,Q1172,R1172,,,Trigger)</f>
        <v>0.25277777777777777</v>
      </c>
      <c r="T1172" s="33">
        <f>_xll.qlIndexFixing(Index,P1172,,AllTriggers)</f>
        <v>5.6403559892472784E-3</v>
      </c>
      <c r="U1172" s="34">
        <f>_xll.qlYieldTSDiscount(OisCurve,Q1172,,AllTriggers)</f>
        <v>0.7218265431319677</v>
      </c>
      <c r="V1172" s="34">
        <f>_xll.qlYieldTSDiscount(OisCurve,R1172,,AllTriggers)</f>
        <v>0.7208635816801735</v>
      </c>
      <c r="W1172" s="33">
        <f t="shared" si="76"/>
        <v>5.2846584681037331E-3</v>
      </c>
      <c r="X1172" s="35">
        <f t="shared" si="77"/>
        <v>8.9788449086256167E-5</v>
      </c>
      <c r="Y1172" s="33">
        <f t="shared" si="78"/>
        <v>3.5569752114354529E-4</v>
      </c>
      <c r="Z1172" s="54"/>
    </row>
    <row r="1173" spans="15:26" x14ac:dyDescent="0.25">
      <c r="O1173" s="37" t="s">
        <v>19</v>
      </c>
      <c r="P1173" s="31">
        <f>_xll.qlCalendarAdvance(Calendar,P1172,O1172,"f",,Trigger)</f>
        <v>59663</v>
      </c>
      <c r="Q1173" s="31">
        <f>_xll.qlInterestRateIndexValueDate(Index,P1173,Trigger)</f>
        <v>59665</v>
      </c>
      <c r="R1173" s="31">
        <f>_xll.qlInterestRateIndexMaturity(Index,Q1173,Trigger)</f>
        <v>59757</v>
      </c>
      <c r="S1173" s="32">
        <f>_xll.qlDayCounterYearFraction(DayCounter,Q1173,R1173,,,Trigger)</f>
        <v>0.25555555555555554</v>
      </c>
      <c r="T1173" s="33">
        <f>_xll.qlIndexFixing(Index,P1173,,AllTriggers)</f>
        <v>5.6479177344509711E-3</v>
      </c>
      <c r="U1173" s="34">
        <f>_xll.qlYieldTSDiscount(OisCurve,Q1173,,AllTriggers)</f>
        <v>0.72150941914453004</v>
      </c>
      <c r="V1173" s="34">
        <f>_xll.qlYieldTSDiscount(OisCurve,R1173,,AllTriggers)</f>
        <v>0.72053478813175542</v>
      </c>
      <c r="W1173" s="33">
        <f t="shared" si="76"/>
        <v>5.2929762602258266E-3</v>
      </c>
      <c r="X1173" s="35">
        <f t="shared" si="77"/>
        <v>9.0580633688772398E-5</v>
      </c>
      <c r="Y1173" s="33">
        <f t="shared" si="78"/>
        <v>3.5494147422514451E-4</v>
      </c>
      <c r="Z1173" s="54"/>
    </row>
    <row r="1174" spans="15:26" x14ac:dyDescent="0.25">
      <c r="O1174" s="37" t="s">
        <v>19</v>
      </c>
      <c r="P1174" s="31">
        <f>_xll.qlCalendarAdvance(Calendar,P1173,O1173,"f",,Trigger)</f>
        <v>59694</v>
      </c>
      <c r="Q1174" s="31">
        <f>_xll.qlInterestRateIndexValueDate(Index,P1174,Trigger)</f>
        <v>59698</v>
      </c>
      <c r="R1174" s="31">
        <f>_xll.qlInterestRateIndexMaturity(Index,Q1174,Trigger)</f>
        <v>59790</v>
      </c>
      <c r="S1174" s="32">
        <f>_xll.qlDayCounterYearFraction(DayCounter,Q1174,R1174,,,Trigger)</f>
        <v>0.25555555555555554</v>
      </c>
      <c r="T1174" s="33">
        <f>_xll.qlIndexFixing(Index,P1174,,AllTriggers)</f>
        <v>5.6565656672825509E-3</v>
      </c>
      <c r="U1174" s="34">
        <f>_xll.qlYieldTSDiscount(OisCurve,Q1174,,AllTriggers)</f>
        <v>0.72116021089046112</v>
      </c>
      <c r="V1174" s="34">
        <f>_xll.qlYieldTSDiscount(OisCurve,R1174,,AllTriggers)</f>
        <v>0.72018430813397261</v>
      </c>
      <c r="W1174" s="33">
        <f t="shared" si="76"/>
        <v>5.3024619858612334E-3</v>
      </c>
      <c r="X1174" s="35">
        <f t="shared" si="77"/>
        <v>9.0366620886838466E-5</v>
      </c>
      <c r="Y1174" s="33">
        <f t="shared" si="78"/>
        <v>3.5410368142131752E-4</v>
      </c>
      <c r="Z1174" s="54"/>
    </row>
    <row r="1175" spans="15:26" x14ac:dyDescent="0.25">
      <c r="O1175" s="37" t="s">
        <v>19</v>
      </c>
      <c r="P1175" s="31">
        <f>_xll.qlCalendarAdvance(Calendar,P1174,O1174,"f",,Trigger)</f>
        <v>59726</v>
      </c>
      <c r="Q1175" s="31">
        <f>_xll.qlInterestRateIndexValueDate(Index,P1175,Trigger)</f>
        <v>59728</v>
      </c>
      <c r="R1175" s="31">
        <f>_xll.qlInterestRateIndexMaturity(Index,Q1175,Trigger)</f>
        <v>59820</v>
      </c>
      <c r="S1175" s="32">
        <f>_xll.qlDayCounterYearFraction(DayCounter,Q1175,R1175,,,Trigger)</f>
        <v>0.25555555555555554</v>
      </c>
      <c r="T1175" s="33">
        <f>_xll.qlIndexFixing(Index,P1175,,AllTriggers)</f>
        <v>5.6648948429552015E-3</v>
      </c>
      <c r="U1175" s="34">
        <f>_xll.qlYieldTSDiscount(OisCurve,Q1175,,AllTriggers)</f>
        <v>0.72084238161501246</v>
      </c>
      <c r="V1175" s="34">
        <f>_xll.qlYieldTSDiscount(OisCurve,R1175,,AllTriggers)</f>
        <v>0.71986523649767942</v>
      </c>
      <c r="W1175" s="33">
        <f t="shared" si="76"/>
        <v>5.3115654636936649E-3</v>
      </c>
      <c r="X1175" s="35">
        <f t="shared" si="77"/>
        <v>9.0168819801025643E-5</v>
      </c>
      <c r="Y1175" s="33">
        <f t="shared" si="78"/>
        <v>3.5332937926153656E-4</v>
      </c>
      <c r="Z1175" s="54"/>
    </row>
    <row r="1176" spans="15:26" x14ac:dyDescent="0.25">
      <c r="O1176" s="37" t="s">
        <v>19</v>
      </c>
      <c r="P1176" s="31">
        <f>_xll.qlCalendarAdvance(Calendar,P1175,O1175,"f",,Trigger)</f>
        <v>59757</v>
      </c>
      <c r="Q1176" s="31">
        <f>_xll.qlInterestRateIndexValueDate(Index,P1176,Trigger)</f>
        <v>59761</v>
      </c>
      <c r="R1176" s="31">
        <f>_xll.qlInterestRateIndexMaturity(Index,Q1176,Trigger)</f>
        <v>59853</v>
      </c>
      <c r="S1176" s="32">
        <f>_xll.qlDayCounterYearFraction(DayCounter,Q1176,R1176,,,Trigger)</f>
        <v>0.25555555555555554</v>
      </c>
      <c r="T1176" s="33">
        <f>_xll.qlIndexFixing(Index,P1176,,AllTriggers)</f>
        <v>5.6745711000985698E-3</v>
      </c>
      <c r="U1176" s="34">
        <f>_xll.qlYieldTSDiscount(OisCurve,Q1176,,AllTriggers)</f>
        <v>0.72049233241031452</v>
      </c>
      <c r="V1176" s="34">
        <f>_xll.qlYieldTSDiscount(OisCurve,R1176,,AllTriggers)</f>
        <v>0.71951372602832897</v>
      </c>
      <c r="W1176" s="33">
        <f t="shared" si="76"/>
        <v>5.3221073932125558E-3</v>
      </c>
      <c r="X1176" s="35">
        <f t="shared" si="77"/>
        <v>8.9947670214665814E-5</v>
      </c>
      <c r="Y1176" s="33">
        <f t="shared" si="78"/>
        <v>3.5246370688601404E-4</v>
      </c>
      <c r="Z1176" s="54"/>
    </row>
    <row r="1177" spans="15:26" x14ac:dyDescent="0.25">
      <c r="O1177" s="37" t="s">
        <v>19</v>
      </c>
      <c r="P1177" s="31">
        <f>_xll.qlCalendarAdvance(Calendar,P1176,O1176,"f",,Trigger)</f>
        <v>59789</v>
      </c>
      <c r="Q1177" s="31">
        <f>_xll.qlInterestRateIndexValueDate(Index,P1177,Trigger)</f>
        <v>59791</v>
      </c>
      <c r="R1177" s="31">
        <f>_xll.qlInterestRateIndexMaturity(Index,Q1177,Trigger)</f>
        <v>59882</v>
      </c>
      <c r="S1177" s="32">
        <f>_xll.qlDayCounterYearFraction(DayCounter,Q1177,R1177,,,Trigger)</f>
        <v>0.25277777777777777</v>
      </c>
      <c r="T1177" s="33">
        <f>_xll.qlIndexFixing(Index,P1177,,AllTriggers)</f>
        <v>5.6836284578982398E-3</v>
      </c>
      <c r="U1177" s="34">
        <f>_xll.qlYieldTSDiscount(OisCurve,Q1177,,AllTriggers)</f>
        <v>0.72017367953308931</v>
      </c>
      <c r="V1177" s="34">
        <f>_xll.qlYieldTSDiscount(OisCurve,R1177,,AllTriggers)</f>
        <v>0.71920433589224353</v>
      </c>
      <c r="W1177" s="33">
        <f t="shared" si="76"/>
        <v>5.3319562470938104E-3</v>
      </c>
      <c r="X1177" s="35">
        <f t="shared" si="77"/>
        <v>8.8771328350853717E-5</v>
      </c>
      <c r="Y1177" s="33">
        <f t="shared" si="78"/>
        <v>3.5167221080442939E-4</v>
      </c>
      <c r="Z1177" s="54"/>
    </row>
    <row r="1178" spans="15:26" x14ac:dyDescent="0.25">
      <c r="O1178" s="37" t="s">
        <v>19</v>
      </c>
      <c r="P1178" s="31">
        <f>_xll.qlCalendarAdvance(Calendar,P1177,O1177,"f",,Trigger)</f>
        <v>59819</v>
      </c>
      <c r="Q1178" s="31">
        <f>_xll.qlInterestRateIndexValueDate(Index,P1178,Trigger)</f>
        <v>59821</v>
      </c>
      <c r="R1178" s="31">
        <f>_xll.qlInterestRateIndexMaturity(Index,Q1178,Trigger)</f>
        <v>59915</v>
      </c>
      <c r="S1178" s="32">
        <f>_xll.qlDayCounterYearFraction(DayCounter,Q1178,R1178,,,Trigger)</f>
        <v>0.26111111111111113</v>
      </c>
      <c r="T1178" s="33">
        <f>_xll.qlIndexFixing(Index,P1178,,AllTriggers)</f>
        <v>5.6939733015277374E-3</v>
      </c>
      <c r="U1178" s="34">
        <f>_xll.qlYieldTSDiscount(OisCurve,Q1178,,AllTriggers)</f>
        <v>0.71985459301193933</v>
      </c>
      <c r="V1178" s="34">
        <f>_xll.qlYieldTSDiscount(OisCurve,R1178,,AllTriggers)</f>
        <v>0.71885168520148712</v>
      </c>
      <c r="W1178" s="33">
        <f t="shared" si="76"/>
        <v>5.343137685369175E-3</v>
      </c>
      <c r="X1178" s="35">
        <f t="shared" si="77"/>
        <v>9.1475265768924691E-5</v>
      </c>
      <c r="Y1178" s="33">
        <f t="shared" si="78"/>
        <v>3.508356161585624E-4</v>
      </c>
      <c r="Z1178" s="54"/>
    </row>
    <row r="1179" spans="15:26" x14ac:dyDescent="0.25">
      <c r="O1179" s="37" t="s">
        <v>19</v>
      </c>
      <c r="P1179" s="31">
        <f>_xll.qlCalendarAdvance(Calendar,P1178,O1178,"f",,Trigger)</f>
        <v>59852</v>
      </c>
      <c r="Q1179" s="31">
        <f>_xll.qlInterestRateIndexValueDate(Index,P1179,Trigger)</f>
        <v>59854</v>
      </c>
      <c r="R1179" s="31">
        <f>_xll.qlInterestRateIndexMaturity(Index,Q1179,Trigger)</f>
        <v>59946</v>
      </c>
      <c r="S1179" s="32">
        <f>_xll.qlDayCounterYearFraction(DayCounter,Q1179,R1179,,,Trigger)</f>
        <v>0.25555555555555554</v>
      </c>
      <c r="T1179" s="33">
        <f>_xll.qlIndexFixing(Index,P1179,,AllTriggers)</f>
        <v>5.7047386015111595E-3</v>
      </c>
      <c r="U1179" s="34">
        <f>_xll.qlYieldTSDiscount(OisCurve,Q1179,,AllTriggers)</f>
        <v>0.71950306514318874</v>
      </c>
      <c r="V1179" s="34">
        <f>_xll.qlYieldTSDiscount(OisCurve,R1179,,AllTriggers)</f>
        <v>0.7185198087777247</v>
      </c>
      <c r="W1179" s="33">
        <f t="shared" si="76"/>
        <v>5.3547930917629142E-3</v>
      </c>
      <c r="X1179" s="35">
        <f t="shared" si="77"/>
        <v>8.9304317714987021E-5</v>
      </c>
      <c r="Y1179" s="33">
        <f t="shared" si="78"/>
        <v>3.4994550974824529E-4</v>
      </c>
      <c r="Z1179" s="54"/>
    </row>
    <row r="1180" spans="15:26" x14ac:dyDescent="0.25">
      <c r="O1180" s="37" t="s">
        <v>19</v>
      </c>
      <c r="P1180" s="31">
        <f>_xll.qlCalendarAdvance(Calendar,P1179,O1179,"f",,Trigger)</f>
        <v>59882</v>
      </c>
      <c r="Q1180" s="31">
        <f>_xll.qlInterestRateIndexValueDate(Index,P1180,Trigger)</f>
        <v>59884</v>
      </c>
      <c r="R1180" s="31">
        <f>_xll.qlInterestRateIndexMaturity(Index,Q1180,Trigger)</f>
        <v>59975</v>
      </c>
      <c r="S1180" s="32">
        <f>_xll.qlDayCounterYearFraction(DayCounter,Q1180,R1180,,,Trigger)</f>
        <v>0.25277777777777777</v>
      </c>
      <c r="T1180" s="33">
        <f>_xll.qlIndexFixing(Index,P1180,,AllTriggers)</f>
        <v>5.715152497516942E-3</v>
      </c>
      <c r="U1180" s="34">
        <f>_xll.qlYieldTSDiscount(OisCurve,Q1180,,AllTriggers)</f>
        <v>0.71918298119726731</v>
      </c>
      <c r="V1180" s="34">
        <f>_xll.qlYieldTSDiscount(OisCurve,R1180,,AllTriggers)</f>
        <v>0.7182087923978282</v>
      </c>
      <c r="W1180" s="33">
        <f t="shared" si="76"/>
        <v>5.3660352711642134E-3</v>
      </c>
      <c r="X1180" s="35">
        <f t="shared" si="77"/>
        <v>8.8125653303285995E-5</v>
      </c>
      <c r="Y1180" s="33">
        <f t="shared" si="78"/>
        <v>3.4911722635272858E-4</v>
      </c>
      <c r="Z1180" s="54"/>
    </row>
    <row r="1181" spans="15:26" x14ac:dyDescent="0.25">
      <c r="O1181" s="37" t="s">
        <v>19</v>
      </c>
      <c r="P1181" s="31">
        <f>_xll.qlCalendarAdvance(Calendar,P1180,O1180,"f",,Trigger)</f>
        <v>59915</v>
      </c>
      <c r="Q1181" s="31">
        <f>_xll.qlInterestRateIndexValueDate(Index,P1181,Trigger)</f>
        <v>59917</v>
      </c>
      <c r="R1181" s="31">
        <f>_xll.qlInterestRateIndexMaturity(Index,Q1181,Trigger)</f>
        <v>60008</v>
      </c>
      <c r="S1181" s="32">
        <f>_xll.qlDayCounterYearFraction(DayCounter,Q1181,R1181,,,Trigger)</f>
        <v>0.25277777777777777</v>
      </c>
      <c r="T1181" s="33">
        <f>_xll.qlIndexFixing(Index,P1181,,AllTriggers)</f>
        <v>5.7273667917198158E-3</v>
      </c>
      <c r="U1181" s="34">
        <f>_xll.qlYieldTSDiscount(OisCurve,Q1181,,AllTriggers)</f>
        <v>0.71883029164785994</v>
      </c>
      <c r="V1181" s="34">
        <f>_xll.qlYieldTSDiscount(OisCurve,R1181,,AllTriggers)</f>
        <v>0.71785419787857019</v>
      </c>
      <c r="W1181" s="33">
        <f t="shared" si="76"/>
        <v>5.3791840570722041E-3</v>
      </c>
      <c r="X1181" s="35">
        <f t="shared" si="77"/>
        <v>8.7889483591540264E-5</v>
      </c>
      <c r="Y1181" s="33">
        <f t="shared" si="78"/>
        <v>3.4818273464761167E-4</v>
      </c>
      <c r="Z1181" s="54"/>
    </row>
    <row r="1182" spans="15:26" x14ac:dyDescent="0.25">
      <c r="O1182" s="37" t="s">
        <v>19</v>
      </c>
      <c r="P1182" s="31">
        <f>_xll.qlCalendarAdvance(Calendar,P1181,O1181,"f",,Trigger)</f>
        <v>59946</v>
      </c>
      <c r="Q1182" s="31">
        <f>_xll.qlInterestRateIndexValueDate(Index,P1182,Trigger)</f>
        <v>59950</v>
      </c>
      <c r="R1182" s="31">
        <f>_xll.qlInterestRateIndexMaturity(Index,Q1182,Trigger)</f>
        <v>60041</v>
      </c>
      <c r="S1182" s="32">
        <f>_xll.qlDayCounterYearFraction(DayCounter,Q1182,R1182,,,Trigger)</f>
        <v>0.25277777777777777</v>
      </c>
      <c r="T1182" s="33">
        <f>_xll.qlIndexFixing(Index,P1182,,AllTriggers)</f>
        <v>5.7401197504923429E-3</v>
      </c>
      <c r="U1182" s="34">
        <f>_xll.qlYieldTSDiscount(OisCurve,Q1182,,AllTriggers)</f>
        <v>0.71847694222411984</v>
      </c>
      <c r="V1182" s="34">
        <f>_xll.qlYieldTSDiscount(OisCurve,R1182,,AllTriggers)</f>
        <v>0.7174988465281229</v>
      </c>
      <c r="W1182" s="33">
        <f t="shared" si="76"/>
        <v>5.3928861144580589E-3</v>
      </c>
      <c r="X1182" s="35">
        <f t="shared" si="77"/>
        <v>8.7649616198410684E-5</v>
      </c>
      <c r="Y1182" s="33">
        <f t="shared" si="78"/>
        <v>3.4723363603428401E-4</v>
      </c>
      <c r="Z1182" s="54"/>
    </row>
    <row r="1183" spans="15:26" x14ac:dyDescent="0.25">
      <c r="O1183" s="37" t="s">
        <v>19</v>
      </c>
      <c r="P1183" s="31">
        <f>_xll.qlCalendarAdvance(Calendar,P1182,O1182,"f",,Trigger)</f>
        <v>59975</v>
      </c>
      <c r="Q1183" s="31">
        <f>_xll.qlInterestRateIndexValueDate(Index,P1183,Trigger)</f>
        <v>59979</v>
      </c>
      <c r="R1183" s="31">
        <f>_xll.qlInterestRateIndexMaturity(Index,Q1183,Trigger)</f>
        <v>60071</v>
      </c>
      <c r="S1183" s="32">
        <f>_xll.qlDayCounterYearFraction(DayCounter,Q1183,R1183,,,Trigger)</f>
        <v>0.25555555555555554</v>
      </c>
      <c r="T1183" s="33">
        <f>_xll.qlIndexFixing(Index,P1183,,AllTriggers)</f>
        <v>5.752025825730085E-3</v>
      </c>
      <c r="U1183" s="34">
        <f>_xll.qlYieldTSDiscount(OisCurve,Q1183,,AllTriggers)</f>
        <v>0.71816585038280856</v>
      </c>
      <c r="V1183" s="34">
        <f>_xll.qlYieldTSDiscount(OisCurve,R1183,,AllTriggers)</f>
        <v>0.7171751136208071</v>
      </c>
      <c r="W1183" s="33">
        <f t="shared" si="76"/>
        <v>5.4056477303709516E-3</v>
      </c>
      <c r="X1183" s="35">
        <f t="shared" si="77"/>
        <v>8.8392824757548664E-5</v>
      </c>
      <c r="Y1183" s="33">
        <f t="shared" si="78"/>
        <v>3.463780953591334E-4</v>
      </c>
      <c r="Z1183" s="54"/>
    </row>
    <row r="1184" spans="15:26" x14ac:dyDescent="0.25">
      <c r="O1184" s="37" t="s">
        <v>19</v>
      </c>
      <c r="P1184" s="31">
        <f>_xll.qlCalendarAdvance(Calendar,P1183,O1183,"f",,Trigger)</f>
        <v>60006</v>
      </c>
      <c r="Q1184" s="31">
        <f>_xll.qlInterestRateIndexValueDate(Index,P1184,Trigger)</f>
        <v>60008</v>
      </c>
      <c r="R1184" s="31">
        <f>_xll.qlInterestRateIndexMaturity(Index,Q1184,Trigger)</f>
        <v>60099</v>
      </c>
      <c r="S1184" s="32">
        <f>_xll.qlDayCounterYearFraction(DayCounter,Q1184,R1184,,,Trigger)</f>
        <v>0.25277777777777777</v>
      </c>
      <c r="T1184" s="33">
        <f>_xll.qlIndexFixing(Index,P1184,,AllTriggers)</f>
        <v>5.7638394164415303E-3</v>
      </c>
      <c r="U1184" s="34">
        <f>_xll.qlYieldTSDiscount(OisCurve,Q1184,,AllTriggers)</f>
        <v>0.71785419787857019</v>
      </c>
      <c r="V1184" s="34">
        <f>_xll.qlYieldTSDiscount(OisCurve,R1184,,AllTriggers)</f>
        <v>0.71687234930595345</v>
      </c>
      <c r="W1184" s="33">
        <f t="shared" si="76"/>
        <v>5.4183092920396612E-3</v>
      </c>
      <c r="X1184" s="35">
        <f t="shared" si="77"/>
        <v>8.7219070401422599E-5</v>
      </c>
      <c r="Y1184" s="33">
        <f t="shared" si="78"/>
        <v>3.4553012440186916E-4</v>
      </c>
      <c r="Z1184" s="54"/>
    </row>
    <row r="1185" spans="15:26" x14ac:dyDescent="0.25">
      <c r="O1185" s="37" t="s">
        <v>19</v>
      </c>
      <c r="P1185" s="31">
        <f>_xll.qlCalendarAdvance(Calendar,P1184,O1184,"f",,Trigger)</f>
        <v>60036</v>
      </c>
      <c r="Q1185" s="31">
        <f>_xll.qlInterestRateIndexValueDate(Index,P1185,Trigger)</f>
        <v>60038</v>
      </c>
      <c r="R1185" s="31">
        <f>_xll.qlInterestRateIndexMaturity(Index,Q1185,Trigger)</f>
        <v>60132</v>
      </c>
      <c r="S1185" s="32">
        <f>_xll.qlDayCounterYearFraction(DayCounter,Q1185,R1185,,,Trigger)</f>
        <v>0.26111111111111113</v>
      </c>
      <c r="T1185" s="33">
        <f>_xll.qlIndexFixing(Index,P1185,,AllTriggers)</f>
        <v>5.777569375508303E-3</v>
      </c>
      <c r="U1185" s="34">
        <f>_xll.qlYieldTSDiscount(OisCurve,Q1185,,AllTriggers)</f>
        <v>0.71753118339181188</v>
      </c>
      <c r="V1185" s="34">
        <f>_xll.qlYieldTSDiscount(OisCurve,R1185,,AllTriggers)</f>
        <v>0.71651472972181662</v>
      </c>
      <c r="W1185" s="33">
        <f t="shared" si="76"/>
        <v>5.4329675690751814E-3</v>
      </c>
      <c r="X1185" s="35">
        <f t="shared" si="77"/>
        <v>8.9847859492653707E-5</v>
      </c>
      <c r="Y1185" s="33">
        <f t="shared" si="78"/>
        <v>3.446018064331216E-4</v>
      </c>
      <c r="Z1185" s="54"/>
    </row>
    <row r="1186" spans="15:26" x14ac:dyDescent="0.25">
      <c r="O1186" s="37" t="s">
        <v>19</v>
      </c>
      <c r="P1186" s="31">
        <f>_xll.qlCalendarAdvance(Calendar,P1185,O1185,"f",,Trigger)</f>
        <v>60069</v>
      </c>
      <c r="Q1186" s="31">
        <f>_xll.qlInterestRateIndexValueDate(Index,P1186,Trigger)</f>
        <v>60071</v>
      </c>
      <c r="R1186" s="31">
        <f>_xll.qlInterestRateIndexMaturity(Index,Q1186,Trigger)</f>
        <v>60163</v>
      </c>
      <c r="S1186" s="32">
        <f>_xll.qlDayCounterYearFraction(DayCounter,Q1186,R1186,,,Trigger)</f>
        <v>0.25555555555555554</v>
      </c>
      <c r="T1186" s="33">
        <f>_xll.qlIndexFixing(Index,P1186,,AllTriggers)</f>
        <v>5.7917668942417486E-3</v>
      </c>
      <c r="U1186" s="34">
        <f>_xll.qlYieldTSDiscount(OisCurve,Q1186,,AllTriggers)</f>
        <v>0.7171751136208071</v>
      </c>
      <c r="V1186" s="34">
        <f>_xll.qlYieldTSDiscount(OisCurve,R1186,,AllTriggers)</f>
        <v>0.71617797575328801</v>
      </c>
      <c r="W1186" s="33">
        <f t="shared" ref="W1186:W1196" si="79">(U1186/V1186-1)/S1186</f>
        <v>5.4481483116235368E-3</v>
      </c>
      <c r="X1186" s="35">
        <f t="shared" ref="X1186:X1196" si="80">LN((1+T1186*S1186)/(1+W1186*S1186))</f>
        <v>8.7687699763604296E-5</v>
      </c>
      <c r="Y1186" s="33">
        <f t="shared" si="78"/>
        <v>3.4361858261821188E-4</v>
      </c>
      <c r="Z1186" s="54"/>
    </row>
    <row r="1187" spans="15:26" x14ac:dyDescent="0.25">
      <c r="O1187" s="37" t="s">
        <v>19</v>
      </c>
      <c r="P1187" s="31">
        <f>_xll.qlCalendarAdvance(Calendar,P1186,O1186,"f",,Trigger)</f>
        <v>60099</v>
      </c>
      <c r="Q1187" s="31">
        <f>_xll.qlInterestRateIndexValueDate(Index,P1187,Trigger)</f>
        <v>60101</v>
      </c>
      <c r="R1187" s="31">
        <f>_xll.qlInterestRateIndexMaturity(Index,Q1187,Trigger)</f>
        <v>60195</v>
      </c>
      <c r="S1187" s="32">
        <f>_xll.qlDayCounterYearFraction(DayCounter,Q1187,R1187,,,Trigger)</f>
        <v>0.26111111111111113</v>
      </c>
      <c r="T1187" s="33">
        <f>_xll.qlIndexFixing(Index,P1187,,AllTriggers)</f>
        <v>5.806202258895137E-3</v>
      </c>
      <c r="U1187" s="34">
        <f>_xll.qlYieldTSDiscount(OisCurve,Q1187,,AllTriggers)</f>
        <v>0.71685070003077622</v>
      </c>
      <c r="V1187" s="34">
        <f>_xll.qlYieldTSDiscount(OisCurve,R1187,,AllTriggers)</f>
        <v>0.71582950623484465</v>
      </c>
      <c r="W1187" s="33">
        <f t="shared" si="79"/>
        <v>5.4635285763965716E-3</v>
      </c>
      <c r="X1187" s="35">
        <f t="shared" si="80"/>
        <v>8.9344451233787793E-5</v>
      </c>
      <c r="Y1187" s="33">
        <f t="shared" si="78"/>
        <v>3.4267368249856541E-4</v>
      </c>
      <c r="Z1187" s="54"/>
    </row>
    <row r="1188" spans="15:26" x14ac:dyDescent="0.25">
      <c r="O1188" s="37" t="s">
        <v>19</v>
      </c>
      <c r="P1188" s="31">
        <f>_xll.qlCalendarAdvance(Calendar,P1187,O1187,"f",,Trigger)</f>
        <v>60132</v>
      </c>
      <c r="Q1188" s="31">
        <f>_xll.qlInterestRateIndexValueDate(Index,P1188,Trigger)</f>
        <v>60134</v>
      </c>
      <c r="R1188" s="31">
        <f>_xll.qlInterestRateIndexMaturity(Index,Q1188,Trigger)</f>
        <v>60226</v>
      </c>
      <c r="S1188" s="32">
        <f>_xll.qlDayCounterYearFraction(DayCounter,Q1188,R1188,,,Trigger)</f>
        <v>0.25555555555555554</v>
      </c>
      <c r="T1188" s="33">
        <f>_xll.qlIndexFixing(Index,P1188,,AllTriggers)</f>
        <v>5.8213961254268169E-3</v>
      </c>
      <c r="U1188" s="34">
        <f>_xll.qlYieldTSDiscount(OisCurve,Q1188,,AllTriggers)</f>
        <v>0.71649302761643652</v>
      </c>
      <c r="V1188" s="34">
        <f>_xll.qlYieldTSDiscount(OisCurve,R1188,,AllTriggers)</f>
        <v>0.71549107099458031</v>
      </c>
      <c r="W1188" s="33">
        <f t="shared" si="79"/>
        <v>5.4797327088993725E-3</v>
      </c>
      <c r="X1188" s="35">
        <f t="shared" si="80"/>
        <v>8.7188081800333806E-5</v>
      </c>
      <c r="Y1188" s="33">
        <f t="shared" si="78"/>
        <v>3.4166341652744434E-4</v>
      </c>
      <c r="Z1188" s="54"/>
    </row>
    <row r="1189" spans="15:26" x14ac:dyDescent="0.25">
      <c r="O1189" s="37" t="s">
        <v>19</v>
      </c>
      <c r="P1189" s="31">
        <f>_xll.qlCalendarAdvance(Calendar,P1188,O1188,"f",,Trigger)</f>
        <v>60163</v>
      </c>
      <c r="Q1189" s="31">
        <f>_xll.qlInterestRateIndexValueDate(Index,P1189,Trigger)</f>
        <v>60167</v>
      </c>
      <c r="R1189" s="31">
        <f>_xll.qlInterestRateIndexMaturity(Index,Q1189,Trigger)</f>
        <v>60258</v>
      </c>
      <c r="S1189" s="32">
        <f>_xll.qlDayCounterYearFraction(DayCounter,Q1189,R1189,,,Trigger)</f>
        <v>0.25277777777777777</v>
      </c>
      <c r="T1189" s="33">
        <f>_xll.qlIndexFixing(Index,P1189,,AllTriggers)</f>
        <v>5.8373976579991684E-3</v>
      </c>
      <c r="U1189" s="34">
        <f>_xll.qlYieldTSDiscount(OisCurve,Q1189,,AllTriggers)</f>
        <v>0.71613446505651979</v>
      </c>
      <c r="V1189" s="34">
        <f>_xll.qlYieldTSDiscount(OisCurve,R1189,,AllTriggers)</f>
        <v>0.71514080477272113</v>
      </c>
      <c r="W1189" s="33">
        <f t="shared" si="79"/>
        <v>5.4967689353591209E-3</v>
      </c>
      <c r="X1189" s="35">
        <f t="shared" si="80"/>
        <v>8.5980203873474824E-5</v>
      </c>
      <c r="Y1189" s="33">
        <f t="shared" si="78"/>
        <v>3.4062872264004757E-4</v>
      </c>
      <c r="Z1189" s="54"/>
    </row>
    <row r="1190" spans="15:26" x14ac:dyDescent="0.25">
      <c r="O1190" s="37" t="s">
        <v>19</v>
      </c>
      <c r="P1190" s="31">
        <f>_xll.qlCalendarAdvance(Calendar,P1189,O1189,"f",,Trigger)</f>
        <v>60195</v>
      </c>
      <c r="Q1190" s="31">
        <f>_xll.qlInterestRateIndexValueDate(Index,P1190,Trigger)</f>
        <v>60197</v>
      </c>
      <c r="R1190" s="31">
        <f>_xll.qlInterestRateIndexMaturity(Index,Q1190,Trigger)</f>
        <v>60289</v>
      </c>
      <c r="S1190" s="32">
        <f>_xll.qlDayCounterYearFraction(DayCounter,Q1190,R1190,,,Trigger)</f>
        <v>0.25555555555555554</v>
      </c>
      <c r="T1190" s="33">
        <f>_xll.qlIndexFixing(Index,P1190,,AllTriggers)</f>
        <v>5.8529887628451342E-3</v>
      </c>
      <c r="U1190" s="34">
        <f>_xll.qlYieldTSDiscount(OisCurve,Q1190,,AllTriggers)</f>
        <v>0.71580769742334804</v>
      </c>
      <c r="V1190" s="34">
        <f>_xll.qlYieldTSDiscount(OisCurve,R1190,,AllTriggers)</f>
        <v>0.71480056981622497</v>
      </c>
      <c r="W1190" s="33">
        <f t="shared" si="79"/>
        <v>5.5133337622303991E-3</v>
      </c>
      <c r="X1190" s="35">
        <f t="shared" si="80"/>
        <v>8.6674839066814134E-5</v>
      </c>
      <c r="Y1190" s="33">
        <f t="shared" si="78"/>
        <v>3.3965500061473516E-4</v>
      </c>
      <c r="Z1190" s="54"/>
    </row>
    <row r="1191" spans="15:26" x14ac:dyDescent="0.25">
      <c r="O1191" s="37" t="s">
        <v>19</v>
      </c>
      <c r="P1191" s="31">
        <f>_xll.qlCalendarAdvance(Calendar,P1190,O1190,"f",,Trigger)</f>
        <v>60226</v>
      </c>
      <c r="Q1191" s="31">
        <f>_xll.qlInterestRateIndexValueDate(Index,P1191,Trigger)</f>
        <v>60230</v>
      </c>
      <c r="R1191" s="31">
        <f>_xll.qlInterestRateIndexMaturity(Index,Q1191,Trigger)</f>
        <v>60322</v>
      </c>
      <c r="S1191" s="32">
        <f>_xll.qlDayCounterYearFraction(DayCounter,Q1191,R1191,,,Trigger)</f>
        <v>0.25555555555555554</v>
      </c>
      <c r="T1191" s="33">
        <f>_xll.qlIndexFixing(Index,P1191,,AllTriggers)</f>
        <v>5.8703208846576796E-3</v>
      </c>
      <c r="U1191" s="34">
        <f>_xll.qlYieldTSDiscount(OisCurve,Q1191,,AllTriggers)</f>
        <v>0.71544733910706482</v>
      </c>
      <c r="V1191" s="34">
        <f>_xll.qlYieldTSDiscount(OisCurve,R1191,,AllTriggers)</f>
        <v>0.71443736281560744</v>
      </c>
      <c r="W1191" s="33">
        <f t="shared" si="79"/>
        <v>5.5317391645230878E-3</v>
      </c>
      <c r="X1191" s="35">
        <f t="shared" si="80"/>
        <v>8.6400560084774091E-5</v>
      </c>
      <c r="Y1191" s="33">
        <f t="shared" si="78"/>
        <v>3.3858172013459184E-4</v>
      </c>
      <c r="Z1191" s="54"/>
    </row>
    <row r="1192" spans="15:26" x14ac:dyDescent="0.25">
      <c r="O1192" s="37" t="s">
        <v>19</v>
      </c>
      <c r="P1192" s="31">
        <f>_xll.qlCalendarAdvance(Calendar,P1191,O1191,"f",,Trigger)</f>
        <v>60258</v>
      </c>
      <c r="Q1192" s="31">
        <f>_xll.qlInterestRateIndexValueDate(Index,P1192,Trigger)</f>
        <v>60260</v>
      </c>
      <c r="R1192" s="31">
        <f>_xll.qlInterestRateIndexMaturity(Index,Q1192,Trigger)</f>
        <v>60350</v>
      </c>
      <c r="S1192" s="32">
        <f>_xll.qlDayCounterYearFraction(DayCounter,Q1192,R1192,,,Trigger)</f>
        <v>0.25</v>
      </c>
      <c r="T1192" s="33">
        <f>_xll.qlIndexFixing(Index,P1192,,AllTriggers)</f>
        <v>5.8858931933123415E-3</v>
      </c>
      <c r="U1192" s="34">
        <f>_xll.qlYieldTSDiscount(OisCurve,Q1192,,AllTriggers)</f>
        <v>0.71511888160607595</v>
      </c>
      <c r="V1192" s="34">
        <f>_xll.qlYieldTSDiscount(OisCurve,R1192,,AllTriggers)</f>
        <v>0.71412833610867732</v>
      </c>
      <c r="W1192" s="33">
        <f t="shared" si="79"/>
        <v>5.548277234291632E-3</v>
      </c>
      <c r="X1192" s="35">
        <f t="shared" si="80"/>
        <v>8.4283525780295881E-5</v>
      </c>
      <c r="Y1192" s="33">
        <f t="shared" si="78"/>
        <v>3.3761595902070951E-4</v>
      </c>
      <c r="Z1192" s="54"/>
    </row>
    <row r="1193" spans="15:26" x14ac:dyDescent="0.25">
      <c r="O1193" s="37" t="s">
        <v>19</v>
      </c>
      <c r="P1193" s="31">
        <f>_xll.qlCalendarAdvance(Calendar,P1192,O1192,"f",,Trigger)</f>
        <v>60289</v>
      </c>
      <c r="Q1193" s="31">
        <f>_xll.qlInterestRateIndexValueDate(Index,P1193,Trigger)</f>
        <v>60293</v>
      </c>
      <c r="R1193" s="31">
        <f>_xll.qlInterestRateIndexMaturity(Index,Q1193,Trigger)</f>
        <v>60384</v>
      </c>
      <c r="S1193" s="32">
        <f>_xll.qlDayCounterYearFraction(DayCounter,Q1193,R1193,,,Trigger)</f>
        <v>0.25277777777777777</v>
      </c>
      <c r="T1193" s="33">
        <f>_xll.qlIndexFixing(Index,P1193,,AllTriggers)</f>
        <v>5.9045710908038973E-3</v>
      </c>
      <c r="U1193" s="34">
        <f>_xll.qlYieldTSDiscount(OisCurve,Q1193,,AllTriggers)</f>
        <v>0.71475660147282594</v>
      </c>
      <c r="V1193" s="34">
        <f>_xll.qlYieldTSDiscount(OisCurve,R1193,,AllTriggers)</f>
        <v>0.71375200715414466</v>
      </c>
      <c r="W1193" s="33">
        <f t="shared" si="79"/>
        <v>5.5680673999657015E-3</v>
      </c>
      <c r="X1193" s="35">
        <f t="shared" si="80"/>
        <v>8.4937494676085864E-5</v>
      </c>
      <c r="Y1193" s="33">
        <f t="shared" si="78"/>
        <v>3.3650369083819583E-4</v>
      </c>
      <c r="Z1193" s="54"/>
    </row>
    <row r="1194" spans="15:26" x14ac:dyDescent="0.25">
      <c r="O1194" s="37" t="s">
        <v>19</v>
      </c>
      <c r="P1194" s="31">
        <f>_xll.qlCalendarAdvance(Calendar,P1193,O1193,"f",,Trigger)</f>
        <v>60321</v>
      </c>
      <c r="Q1194" s="31">
        <f>_xll.qlInterestRateIndexValueDate(Index,P1194,Trigger)</f>
        <v>60323</v>
      </c>
      <c r="R1194" s="31">
        <f>_xll.qlInterestRateIndexMaturity(Index,Q1194,Trigger)</f>
        <v>60412</v>
      </c>
      <c r="S1194" s="32">
        <f>_xll.qlDayCounterYearFraction(DayCounter,Q1194,R1194,,,Trigger)</f>
        <v>0.24722222222222223</v>
      </c>
      <c r="T1194" s="33">
        <f>_xll.qlIndexFixing(Index,P1194,,AllTriggers)</f>
        <v>5.9210171485316754E-3</v>
      </c>
      <c r="U1194" s="34">
        <f>_xll.qlYieldTSDiscount(OisCurve,Q1194,,AllTriggers)</f>
        <v>0.71442633974736613</v>
      </c>
      <c r="V1194" s="34">
        <f>_xll.qlYieldTSDiscount(OisCurve,R1194,,AllTriggers)</f>
        <v>0.71344117706894994</v>
      </c>
      <c r="W1194" s="33">
        <f t="shared" si="79"/>
        <v>5.585502794143409E-3</v>
      </c>
      <c r="X1194" s="35">
        <f t="shared" si="80"/>
        <v>8.2828794140361124E-5</v>
      </c>
      <c r="Y1194" s="33">
        <f t="shared" si="78"/>
        <v>3.3551435438826643E-4</v>
      </c>
      <c r="Z1194" s="54"/>
    </row>
    <row r="1195" spans="15:26" x14ac:dyDescent="0.25">
      <c r="O1195" s="37" t="s">
        <v>19</v>
      </c>
      <c r="P1195" s="31">
        <f>_xll.qlCalendarAdvance(Calendar,P1194,O1194,"f",,Trigger)</f>
        <v>60349</v>
      </c>
      <c r="Q1195" s="31">
        <f>_xll.qlInterestRateIndexValueDate(Index,P1195,Trigger)</f>
        <v>60351</v>
      </c>
      <c r="R1195" s="31">
        <f>_xll.qlInterestRateIndexMaturity(Index,Q1195,Trigger)</f>
        <v>60443</v>
      </c>
      <c r="S1195" s="32">
        <f>_xll.qlDayCounterYearFraction(DayCounter,Q1195,R1195,,,Trigger)</f>
        <v>0.25555555555555554</v>
      </c>
      <c r="T1195" s="33">
        <f>_xll.qlIndexFixing(Index,P1195,,AllTriggers)</f>
        <v>5.9382612628827479E-3</v>
      </c>
      <c r="U1195" s="34">
        <f>_xll.qlYieldTSDiscount(OisCurve,Q1195,,AllTriggers)</f>
        <v>0.71411728470415026</v>
      </c>
      <c r="V1195" s="34">
        <f>_xll.qlYieldTSDiscount(OisCurve,R1195,,AllTriggers)</f>
        <v>0.71309608481867626</v>
      </c>
      <c r="W1195" s="33">
        <f t="shared" si="79"/>
        <v>5.6037322836666667E-3</v>
      </c>
      <c r="X1195" s="35">
        <f t="shared" si="80"/>
        <v>8.5364842237398711E-5</v>
      </c>
      <c r="Y1195" s="33">
        <f t="shared" si="78"/>
        <v>3.3452897921608122E-4</v>
      </c>
      <c r="Z1195" s="54"/>
    </row>
    <row r="1196" spans="15:26" x14ac:dyDescent="0.25">
      <c r="O1196" s="37" t="s">
        <v>19</v>
      </c>
      <c r="P1196" s="31">
        <f>_xll.qlCalendarAdvance(Calendar,P1195,O1195,"f",,Trigger)</f>
        <v>60380</v>
      </c>
      <c r="Q1196" s="31">
        <f>_xll.qlInterestRateIndexValueDate(Index,P1196,Trigger)</f>
        <v>60384</v>
      </c>
      <c r="R1196" s="31">
        <f>_xll.qlInterestRateIndexMaturity(Index,Q1196,Trigger)</f>
        <v>60475</v>
      </c>
      <c r="S1196" s="32">
        <f>_xll.qlDayCounterYearFraction(DayCounter,Q1196,R1196,,,Trigger)</f>
        <v>0.25277777777777777</v>
      </c>
      <c r="T1196" s="33">
        <f>_xll.qlIndexFixing(Index,P1196,,AllTriggers)</f>
        <v>5.9571232527499598E-3</v>
      </c>
      <c r="U1196" s="34">
        <f>_xll.qlYieldTSDiscount(OisCurve,Q1196,,AllTriggers)</f>
        <v>0.71375200715414466</v>
      </c>
      <c r="V1196" s="34">
        <f>_xll.qlYieldTSDiscount(OisCurve,R1196,,AllTriggers)</f>
        <v>0.71273881553448937</v>
      </c>
      <c r="W1196" s="33">
        <f t="shared" si="79"/>
        <v>5.6237018328320187E-3</v>
      </c>
      <c r="X1196" s="35">
        <f t="shared" si="80"/>
        <v>8.4158344114168776E-5</v>
      </c>
      <c r="Y1196" s="33">
        <f t="shared" si="78"/>
        <v>3.3342141991794111E-4</v>
      </c>
      <c r="Z1196" s="54"/>
    </row>
    <row r="1197" spans="15:26" x14ac:dyDescent="0.25">
      <c r="O1197" s="37" t="s">
        <v>19</v>
      </c>
      <c r="P1197" s="31">
        <f>_xll.qlCalendarAdvance(Calendar,P1196,O1196,"f",,Trigger)</f>
        <v>60412</v>
      </c>
      <c r="Q1197" s="31">
        <f>_xll.qlInterestRateIndexValueDate(Index,P1197,Trigger)</f>
        <v>60414</v>
      </c>
      <c r="R1197" s="31">
        <f>_xll.qlInterestRateIndexMaturity(Index,Q1197,Trigger)</f>
        <v>60506</v>
      </c>
      <c r="S1197" s="32">
        <f>_xll.qlDayCounterYearFraction(DayCounter,Q1197,R1197,,,Trigger)</f>
        <v>0.25555555555555554</v>
      </c>
      <c r="T1197" s="33">
        <f>_xll.qlIndexFixing(Index,P1197,,AllTriggers)</f>
        <v>5.9748108371576979E-3</v>
      </c>
      <c r="U1197" s="34">
        <f>_xll.qlYieldTSDiscount(OisCurve,Q1197,,AllTriggers)</f>
        <v>0.71341894334864431</v>
      </c>
      <c r="V1197" s="34">
        <f>_xll.qlYieldTSDiscount(OisCurve,R1197,,AllTriggers)</f>
        <v>0.71239171050114358</v>
      </c>
      <c r="W1197" s="33">
        <f t="shared" ref="W1197:W1198" si="81">(U1197/V1197-1)/S1197</f>
        <v>5.6424109591908349E-3</v>
      </c>
      <c r="X1197" s="35">
        <f t="shared" ref="X1197:X1198" si="82">LN((1+T1197*S1197)/(1+W1197*S1197))</f>
        <v>8.4820725713403804E-5</v>
      </c>
      <c r="Y1197" s="33">
        <f t="shared" si="78"/>
        <v>3.3239987796686299E-4</v>
      </c>
      <c r="Z1197" s="54"/>
    </row>
    <row r="1198" spans="15:26" x14ac:dyDescent="0.25">
      <c r="O1198" s="37" t="s">
        <v>19</v>
      </c>
      <c r="P1198" s="31">
        <f>_xll.qlCalendarAdvance(Calendar,P1197,O1197,"f",,Trigger)</f>
        <v>60443</v>
      </c>
      <c r="Q1198" s="31">
        <f>_xll.qlInterestRateIndexValueDate(Index,P1198,Trigger)</f>
        <v>60447</v>
      </c>
      <c r="R1198" s="31">
        <f>_xll.qlInterestRateIndexMaturity(Index,Q1198,Trigger)</f>
        <v>60539</v>
      </c>
      <c r="S1198" s="32">
        <f>_xll.qlDayCounterYearFraction(DayCounter,Q1198,R1198,,,Trigger)</f>
        <v>0.25555555555555554</v>
      </c>
      <c r="T1198" s="33">
        <f>_xll.qlIndexFixing(Index,P1198,,AllTriggers)</f>
        <v>5.9937277095410153E-3</v>
      </c>
      <c r="U1198" s="34">
        <f>_xll.qlYieldTSDiscount(OisCurve,Q1198,,AllTriggers)</f>
        <v>0.71305148395972051</v>
      </c>
      <c r="V1198" s="34">
        <f>_xll.qlYieldTSDiscount(OisCurve,R1198,,AllTriggers)</f>
        <v>0.71202114291823027</v>
      </c>
      <c r="W1198" s="33">
        <f t="shared" si="81"/>
        <v>5.6624291748750572E-3</v>
      </c>
      <c r="X1198" s="35">
        <f t="shared" si="82"/>
        <v>8.4539268529046707E-5</v>
      </c>
      <c r="Y1198" s="33">
        <f t="shared" si="78"/>
        <v>3.3129853466595804E-4</v>
      </c>
      <c r="Z1198" s="54"/>
    </row>
    <row r="1199" spans="15:26" x14ac:dyDescent="0.25">
      <c r="O1199" s="37" t="s">
        <v>19</v>
      </c>
      <c r="P1199" s="31">
        <f>_xll.qlCalendarAdvance(Calendar,P1198,O1198,"f",,Trigger)</f>
        <v>60475</v>
      </c>
      <c r="Q1199" s="31">
        <f>_xll.qlInterestRateIndexValueDate(Index,P1199,Trigger)</f>
        <v>60477</v>
      </c>
      <c r="R1199" s="31">
        <f>_xll.qlInterestRateIndexMaturity(Index,Q1199,Trigger)</f>
        <v>60569</v>
      </c>
      <c r="S1199" s="32">
        <f>_xll.qlDayCounterYearFraction(DayCounter,Q1199,R1199,,,Trigger)</f>
        <v>0.25555555555555554</v>
      </c>
      <c r="T1199" s="33">
        <f>_xll.qlIndexFixing(Index,P1199,,AllTriggers)</f>
        <v>6.0107728426911609E-3</v>
      </c>
      <c r="U1199" s="34">
        <f>_xll.qlYieldTSDiscount(OisCurve,Q1199,,AllTriggers)</f>
        <v>0.71271645124325123</v>
      </c>
      <c r="V1199" s="34">
        <f>_xll.qlYieldTSDiscount(OisCurve,R1199,,AllTriggers)</f>
        <v>0.7116833184906679</v>
      </c>
      <c r="W1199" s="33">
        <f t="shared" ref="W1199:W1262" si="83">(U1199/V1199-1)/S1199</f>
        <v>5.680466683197675E-3</v>
      </c>
      <c r="X1199" s="35">
        <f t="shared" ref="X1199:X1262" si="84">LN((1+T1199*S1199)/(1+W1199*S1199))</f>
        <v>8.4285661427800954E-5</v>
      </c>
      <c r="Y1199" s="33">
        <f t="shared" si="78"/>
        <v>3.3030615949348596E-4</v>
      </c>
      <c r="Z1199" s="54"/>
    </row>
    <row r="1200" spans="15:26" x14ac:dyDescent="0.25">
      <c r="O1200" s="37" t="s">
        <v>19</v>
      </c>
      <c r="P1200" s="31">
        <f>_xll.qlCalendarAdvance(Calendar,P1199,O1199,"f",,Trigger)</f>
        <v>60506</v>
      </c>
      <c r="Q1200" s="31">
        <f>_xll.qlInterestRateIndexValueDate(Index,P1200,Trigger)</f>
        <v>60510</v>
      </c>
      <c r="R1200" s="31">
        <f>_xll.qlInterestRateIndexMaturity(Index,Q1200,Trigger)</f>
        <v>60601</v>
      </c>
      <c r="S1200" s="32">
        <f>_xll.qlDayCounterYearFraction(DayCounter,Q1200,R1200,,,Trigger)</f>
        <v>0.25277777777777777</v>
      </c>
      <c r="T1200" s="33">
        <f>_xll.qlIndexFixing(Index,P1200,,AllTriggers)</f>
        <v>6.0290257839352764E-3</v>
      </c>
      <c r="U1200" s="34">
        <f>_xll.qlYieldTSDiscount(OisCurve,Q1200,,AllTriggers)</f>
        <v>0.71234685165078393</v>
      </c>
      <c r="V1200" s="34">
        <f>_xll.qlYieldTSDiscount(OisCurve,R1200,,AllTriggers)</f>
        <v>0.71132199286043329</v>
      </c>
      <c r="W1200" s="33">
        <f t="shared" si="83"/>
        <v>5.6997906209268088E-3</v>
      </c>
      <c r="X1200" s="35">
        <f t="shared" si="84"/>
        <v>8.3100145921906015E-5</v>
      </c>
      <c r="Y1200" s="33">
        <f t="shared" si="78"/>
        <v>3.2923516300846761E-4</v>
      </c>
      <c r="Z1200" s="54"/>
    </row>
    <row r="1201" spans="15:26" x14ac:dyDescent="0.25">
      <c r="O1201" s="37" t="s">
        <v>19</v>
      </c>
      <c r="P1201" s="31">
        <f>_xll.qlCalendarAdvance(Calendar,P1200,O1200,"f",,Trigger)</f>
        <v>60538</v>
      </c>
      <c r="Q1201" s="31">
        <f>_xll.qlInterestRateIndexValueDate(Index,P1201,Trigger)</f>
        <v>60540</v>
      </c>
      <c r="R1201" s="31">
        <f>_xll.qlInterestRateIndexMaturity(Index,Q1201,Trigger)</f>
        <v>60632</v>
      </c>
      <c r="S1201" s="32">
        <f>_xll.qlDayCounterYearFraction(DayCounter,Q1201,R1201,,,Trigger)</f>
        <v>0.25555555555555554</v>
      </c>
      <c r="T1201" s="33">
        <f>_xll.qlIndexFixing(Index,P1201,,AllTriggers)</f>
        <v>6.046096340678658E-3</v>
      </c>
      <c r="U1201" s="34">
        <f>_xll.qlYieldTSDiscount(OisCurve,Q1201,,AllTriggers)</f>
        <v>0.7120098965370274</v>
      </c>
      <c r="V1201" s="34">
        <f>_xll.qlYieldTSDiscount(OisCurve,R1201,,AllTriggers)</f>
        <v>0.71097100615000186</v>
      </c>
      <c r="W1201" s="33">
        <f t="shared" si="83"/>
        <v>5.7178467453858472E-3</v>
      </c>
      <c r="X1201" s="35">
        <f t="shared" si="84"/>
        <v>8.3760102020003676E-5</v>
      </c>
      <c r="Y1201" s="33">
        <f t="shared" si="78"/>
        <v>3.2824959529281078E-4</v>
      </c>
      <c r="Z1201" s="54"/>
    </row>
    <row r="1202" spans="15:26" x14ac:dyDescent="0.25">
      <c r="O1202" s="37" t="s">
        <v>19</v>
      </c>
      <c r="P1202" s="31">
        <f>_xll.qlCalendarAdvance(Calendar,P1201,O1201,"f",,Trigger)</f>
        <v>60568</v>
      </c>
      <c r="Q1202" s="31">
        <f>_xll.qlInterestRateIndexValueDate(Index,P1202,Trigger)</f>
        <v>60570</v>
      </c>
      <c r="R1202" s="31">
        <f>_xll.qlInterestRateIndexMaturity(Index,Q1202,Trigger)</f>
        <v>60661</v>
      </c>
      <c r="S1202" s="32">
        <f>_xll.qlDayCounterYearFraction(DayCounter,Q1202,R1202,,,Trigger)</f>
        <v>0.25277777777777777</v>
      </c>
      <c r="T1202" s="33">
        <f>_xll.qlIndexFixing(Index,P1202,,AllTriggers)</f>
        <v>6.0623674201002176E-3</v>
      </c>
      <c r="U1202" s="34">
        <f>_xll.qlYieldTSDiscount(OisCurve,Q1202,,AllTriggers)</f>
        <v>0.71167204230829251</v>
      </c>
      <c r="V1202" s="34">
        <f>_xll.qlYieldTSDiscount(OisCurve,R1202,,AllTriggers)</f>
        <v>0.71064182547297094</v>
      </c>
      <c r="W1202" s="33">
        <f t="shared" si="83"/>
        <v>5.7350734768191313E-3</v>
      </c>
      <c r="X1202" s="35">
        <f t="shared" si="84"/>
        <v>8.2609459598924397E-5</v>
      </c>
      <c r="Y1202" s="33">
        <f t="shared" si="78"/>
        <v>3.2729394328108626E-4</v>
      </c>
      <c r="Z1202" s="54"/>
    </row>
    <row r="1203" spans="15:26" x14ac:dyDescent="0.25">
      <c r="O1203" s="37" t="s">
        <v>19</v>
      </c>
      <c r="P1203" s="31">
        <f>_xll.qlCalendarAdvance(Calendar,P1202,O1202,"f",,Trigger)</f>
        <v>60601</v>
      </c>
      <c r="Q1203" s="31">
        <f>_xll.qlInterestRateIndexValueDate(Index,P1203,Trigger)</f>
        <v>60603</v>
      </c>
      <c r="R1203" s="31">
        <f>_xll.qlInterestRateIndexMaturity(Index,Q1203,Trigger)</f>
        <v>60693</v>
      </c>
      <c r="S1203" s="32">
        <f>_xll.qlDayCounterYearFraction(DayCounter,Q1203,R1203,,,Trigger)</f>
        <v>0.25</v>
      </c>
      <c r="T1203" s="33">
        <f>_xll.qlIndexFixing(Index,P1203,,AllTriggers)</f>
        <v>6.0801355490376352E-3</v>
      </c>
      <c r="U1203" s="34">
        <f>_xll.qlYieldTSDiscount(OisCurve,Q1203,,AllTriggers)</f>
        <v>0.71129937671635324</v>
      </c>
      <c r="V1203" s="34">
        <f>_xll.qlYieldTSDiscount(OisCurve,R1203,,AllTriggers)</f>
        <v>0.71027766281534477</v>
      </c>
      <c r="W1203" s="33">
        <f t="shared" si="83"/>
        <v>5.7538844567277536E-3</v>
      </c>
      <c r="X1203" s="35">
        <f t="shared" si="84"/>
        <v>8.1442299397401982E-5</v>
      </c>
      <c r="Y1203" s="33">
        <f t="shared" si="78"/>
        <v>3.2625109230988159E-4</v>
      </c>
      <c r="Z1203" s="54"/>
    </row>
    <row r="1204" spans="15:26" x14ac:dyDescent="0.25">
      <c r="O1204" s="37" t="s">
        <v>19</v>
      </c>
      <c r="P1204" s="31">
        <f>_xll.qlCalendarAdvance(Calendar,P1203,O1203,"f",,Trigger)</f>
        <v>60631</v>
      </c>
      <c r="Q1204" s="31">
        <f>_xll.qlInterestRateIndexValueDate(Index,P1204,Trigger)</f>
        <v>60636</v>
      </c>
      <c r="R1204" s="31">
        <f>_xll.qlInterestRateIndexMaturity(Index,Q1204,Trigger)</f>
        <v>60727</v>
      </c>
      <c r="S1204" s="32">
        <f>_xll.qlDayCounterYearFraction(DayCounter,Q1204,R1204,,,Trigger)</f>
        <v>0.25277777777777777</v>
      </c>
      <c r="T1204" s="33">
        <f>_xll.qlIndexFixing(Index,P1204,,AllTriggers)</f>
        <v>6.098374287959403E-3</v>
      </c>
      <c r="U1204" s="34">
        <f>_xll.qlYieldTSDiscount(OisCurve,Q1204,,AllTriggers)</f>
        <v>0.71092564986897655</v>
      </c>
      <c r="V1204" s="34">
        <f>_xll.qlYieldTSDiscount(OisCurve,R1204,,AllTriggers)</f>
        <v>0.70988968599134949</v>
      </c>
      <c r="W1204" s="33">
        <f t="shared" si="83"/>
        <v>5.7731767592077632E-3</v>
      </c>
      <c r="X1204" s="35">
        <f t="shared" si="84"/>
        <v>8.207955390157261E-5</v>
      </c>
      <c r="Y1204" s="33">
        <f t="shared" si="78"/>
        <v>3.2519752875163985E-4</v>
      </c>
      <c r="Z1204" s="54"/>
    </row>
    <row r="1205" spans="15:26" x14ac:dyDescent="0.25">
      <c r="O1205" s="37" t="s">
        <v>19</v>
      </c>
      <c r="P1205" s="31">
        <f>_xll.qlCalendarAdvance(Calendar,P1204,O1204,"f",,Trigger)</f>
        <v>60664</v>
      </c>
      <c r="Q1205" s="31">
        <f>_xll.qlInterestRateIndexValueDate(Index,P1205,Trigger)</f>
        <v>60666</v>
      </c>
      <c r="R1205" s="31">
        <f>_xll.qlInterestRateIndexMaturity(Index,Q1205,Trigger)</f>
        <v>60755</v>
      </c>
      <c r="S1205" s="32">
        <f>_xll.qlDayCounterYearFraction(DayCounter,Q1205,R1205,,,Trigger)</f>
        <v>0.24722222222222223</v>
      </c>
      <c r="T1205" s="33">
        <f>_xll.qlIndexFixing(Index,P1205,,AllTriggers)</f>
        <v>6.1138725065717856E-3</v>
      </c>
      <c r="U1205" s="34">
        <f>_xll.qlYieldTSDiscount(OisCurve,Q1205,,AllTriggers)</f>
        <v>0.71058498899766309</v>
      </c>
      <c r="V1205" s="34">
        <f>_xll.qlYieldTSDiscount(OisCurve,R1205,,AllTriggers)</f>
        <v>0.70956937077976656</v>
      </c>
      <c r="W1205" s="33">
        <f t="shared" si="83"/>
        <v>5.7895940881350551E-3</v>
      </c>
      <c r="X1205" s="35">
        <f t="shared" si="84"/>
        <v>8.0051044102513359E-5</v>
      </c>
      <c r="Y1205" s="33">
        <f t="shared" si="78"/>
        <v>3.2427841843673047E-4</v>
      </c>
      <c r="Z1205" s="54"/>
    </row>
    <row r="1206" spans="15:26" x14ac:dyDescent="0.25">
      <c r="O1206" s="37" t="s">
        <v>19</v>
      </c>
      <c r="P1206" s="31">
        <f>_xll.qlCalendarAdvance(Calendar,P1205,O1205,"f",,Trigger)</f>
        <v>60692</v>
      </c>
      <c r="Q1206" s="31">
        <f>_xll.qlInterestRateIndexValueDate(Index,P1206,Trigger)</f>
        <v>60694</v>
      </c>
      <c r="R1206" s="31">
        <f>_xll.qlInterestRateIndexMaturity(Index,Q1206,Trigger)</f>
        <v>60786</v>
      </c>
      <c r="S1206" s="32">
        <f>_xll.qlDayCounterYearFraction(DayCounter,Q1206,R1206,,,Trigger)</f>
        <v>0.25555555555555554</v>
      </c>
      <c r="T1206" s="33">
        <f>_xll.qlIndexFixing(Index,P1206,,AllTriggers)</f>
        <v>6.12975452413586E-3</v>
      </c>
      <c r="U1206" s="34">
        <f>_xll.qlYieldTSDiscount(OisCurve,Q1206,,AllTriggers)</f>
        <v>0.71026626716211438</v>
      </c>
      <c r="V1206" s="34">
        <f>_xll.qlYieldTSDiscount(OisCurve,R1206,,AllTriggers)</f>
        <v>0.70921389901377718</v>
      </c>
      <c r="W1206" s="33">
        <f t="shared" si="83"/>
        <v>5.8063756580447557E-3</v>
      </c>
      <c r="X1206" s="35">
        <f t="shared" si="84"/>
        <v>8.2515415608695291E-5</v>
      </c>
      <c r="Y1206" s="33">
        <f t="shared" si="78"/>
        <v>3.2337886609110425E-4</v>
      </c>
      <c r="Z1206" s="54"/>
    </row>
    <row r="1207" spans="15:26" x14ac:dyDescent="0.25">
      <c r="O1207" s="37" t="s">
        <v>19</v>
      </c>
      <c r="P1207" s="31">
        <f>_xll.qlCalendarAdvance(Calendar,P1206,O1206,"f",,Trigger)</f>
        <v>60723</v>
      </c>
      <c r="Q1207" s="31">
        <f>_xll.qlInterestRateIndexValueDate(Index,P1207,Trigger)</f>
        <v>60727</v>
      </c>
      <c r="R1207" s="31">
        <f>_xll.qlInterestRateIndexMaturity(Index,Q1207,Trigger)</f>
        <v>60818</v>
      </c>
      <c r="S1207" s="32">
        <f>_xll.qlDayCounterYearFraction(DayCounter,Q1207,R1207,,,Trigger)</f>
        <v>0.25277777777777777</v>
      </c>
      <c r="T1207" s="33">
        <f>_xll.qlIndexFixing(Index,P1207,,AllTriggers)</f>
        <v>6.1468708525925413E-3</v>
      </c>
      <c r="U1207" s="34">
        <f>_xll.qlYieldTSDiscount(OisCurve,Q1207,,AllTriggers)</f>
        <v>0.70988968599134949</v>
      </c>
      <c r="V1207" s="34">
        <f>_xll.qlYieldTSDiscount(OisCurve,R1207,,AllTriggers)</f>
        <v>0.70884604954499364</v>
      </c>
      <c r="W1207" s="33">
        <f t="shared" si="83"/>
        <v>5.8244969532713917E-3</v>
      </c>
      <c r="X1207" s="35">
        <f t="shared" si="84"/>
        <v>8.1365847506200287E-5</v>
      </c>
      <c r="Y1207" s="33">
        <f t="shared" si="78"/>
        <v>3.223738993211496E-4</v>
      </c>
      <c r="Z1207" s="54"/>
    </row>
    <row r="1208" spans="15:26" x14ac:dyDescent="0.25">
      <c r="O1208" s="37" t="s">
        <v>19</v>
      </c>
      <c r="P1208" s="31">
        <f>_xll.qlCalendarAdvance(Calendar,P1207,O1207,"f",,Trigger)</f>
        <v>60755</v>
      </c>
      <c r="Q1208" s="31">
        <f>_xll.qlInterestRateIndexValueDate(Index,P1208,Trigger)</f>
        <v>60757</v>
      </c>
      <c r="R1208" s="31">
        <f>_xll.qlInterestRateIndexMaturity(Index,Q1208,Trigger)</f>
        <v>60849</v>
      </c>
      <c r="S1208" s="32">
        <f>_xll.qlDayCounterYearFraction(DayCounter,Q1208,R1208,,,Trigger)</f>
        <v>0.25555555555555554</v>
      </c>
      <c r="T1208" s="33">
        <f>_xll.qlIndexFixing(Index,P1208,,AllTriggers)</f>
        <v>6.1628785881014904E-3</v>
      </c>
      <c r="U1208" s="34">
        <f>_xll.qlYieldTSDiscount(OisCurve,Q1208,,AllTriggers)</f>
        <v>0.70954646355015705</v>
      </c>
      <c r="V1208" s="34">
        <f>_xll.qlYieldTSDiscount(OisCurve,R1208,,AllTriggers)</f>
        <v>0.7084888247351725</v>
      </c>
      <c r="W1208" s="33">
        <f t="shared" si="83"/>
        <v>5.8414282947623179E-3</v>
      </c>
      <c r="X1208" s="35">
        <f t="shared" si="84"/>
        <v>8.2022595225470063E-5</v>
      </c>
      <c r="Y1208" s="33">
        <f t="shared" si="78"/>
        <v>3.2145029333917243E-4</v>
      </c>
      <c r="Z1208" s="54"/>
    </row>
    <row r="1209" spans="15:26" x14ac:dyDescent="0.25">
      <c r="O1209" s="37" t="s">
        <v>19</v>
      </c>
      <c r="P1209" s="31">
        <f>_xll.qlCalendarAdvance(Calendar,P1208,O1208,"f",,Trigger)</f>
        <v>60786</v>
      </c>
      <c r="Q1209" s="31">
        <f>_xll.qlInterestRateIndexValueDate(Index,P1209,Trigger)</f>
        <v>60790</v>
      </c>
      <c r="R1209" s="31">
        <f>_xll.qlInterestRateIndexMaturity(Index,Q1209,Trigger)</f>
        <v>60882</v>
      </c>
      <c r="S1209" s="32">
        <f>_xll.qlDayCounterYearFraction(DayCounter,Q1209,R1209,,,Trigger)</f>
        <v>0.25555555555555554</v>
      </c>
      <c r="T1209" s="33">
        <f>_xll.qlIndexFixing(Index,P1209,,AllTriggers)</f>
        <v>6.1799744357329467E-3</v>
      </c>
      <c r="U1209" s="34">
        <f>_xll.qlYieldTSDiscount(OisCurve,Q1209,,AllTriggers)</f>
        <v>0.70916796818265926</v>
      </c>
      <c r="V1209" s="34">
        <f>_xll.qlYieldTSDiscount(OisCurve,R1209,,AllTriggers)</f>
        <v>0.70810762462430921</v>
      </c>
      <c r="W1209" s="33">
        <f t="shared" si="83"/>
        <v>5.8595195157218824E-3</v>
      </c>
      <c r="X1209" s="35">
        <f t="shared" si="84"/>
        <v>8.1768244545290776E-5</v>
      </c>
      <c r="Y1209" s="33">
        <f t="shared" si="78"/>
        <v>3.2045492001106426E-4</v>
      </c>
      <c r="Z1209" s="54"/>
    </row>
    <row r="1210" spans="15:26" x14ac:dyDescent="0.25">
      <c r="O1210" s="37" t="s">
        <v>19</v>
      </c>
      <c r="P1210" s="31">
        <f>_xll.qlCalendarAdvance(Calendar,P1209,O1209,"f",,Trigger)</f>
        <v>60818</v>
      </c>
      <c r="Q1210" s="31">
        <f>_xll.qlInterestRateIndexValueDate(Index,P1210,Trigger)</f>
        <v>60820</v>
      </c>
      <c r="R1210" s="31">
        <f>_xll.qlInterestRateIndexMaturity(Index,Q1210,Trigger)</f>
        <v>60912</v>
      </c>
      <c r="S1210" s="32">
        <f>_xll.qlDayCounterYearFraction(DayCounter,Q1210,R1210,,,Trigger)</f>
        <v>0.25555555555555554</v>
      </c>
      <c r="T1210" s="33">
        <f>_xll.qlIndexFixing(Index,P1210,,AllTriggers)</f>
        <v>6.1953640701493413E-3</v>
      </c>
      <c r="U1210" s="34">
        <f>_xll.qlYieldTSDiscount(OisCurve,Q1210,,AllTriggers)</f>
        <v>0.70882302851282697</v>
      </c>
      <c r="V1210" s="34">
        <f>_xll.qlYieldTSDiscount(OisCurve,R1210,,AllTriggers)</f>
        <v>0.70776025948751231</v>
      </c>
      <c r="W1210" s="33">
        <f t="shared" si="83"/>
        <v>5.875805186373052E-3</v>
      </c>
      <c r="X1210" s="35">
        <f t="shared" si="84"/>
        <v>8.1539279719971896E-5</v>
      </c>
      <c r="Y1210" s="33">
        <f t="shared" si="78"/>
        <v>3.195588837762893E-4</v>
      </c>
      <c r="Z1210" s="54"/>
    </row>
    <row r="1211" spans="15:26" x14ac:dyDescent="0.25">
      <c r="O1211" s="37" t="s">
        <v>19</v>
      </c>
      <c r="P1211" s="31">
        <f>_xll.qlCalendarAdvance(Calendar,P1210,O1210,"f",,Trigger)</f>
        <v>60849</v>
      </c>
      <c r="Q1211" s="31">
        <f>_xll.qlInterestRateIndexValueDate(Index,P1211,Trigger)</f>
        <v>60853</v>
      </c>
      <c r="R1211" s="31">
        <f>_xll.qlInterestRateIndexMaturity(Index,Q1211,Trigger)</f>
        <v>60945</v>
      </c>
      <c r="S1211" s="32">
        <f>_xll.qlDayCounterYearFraction(DayCounter,Q1211,R1211,,,Trigger)</f>
        <v>0.25555555555555554</v>
      </c>
      <c r="T1211" s="33">
        <f>_xll.qlIndexFixing(Index,P1211,,AllTriggers)</f>
        <v>6.2121254161318093E-3</v>
      </c>
      <c r="U1211" s="34">
        <f>_xll.qlYieldTSDiscount(OisCurve,Q1211,,AllTriggers)</f>
        <v>0.70844266940074574</v>
      </c>
      <c r="V1211" s="34">
        <f>_xll.qlYieldTSDiscount(OisCurve,R1211,,AllTriggers)</f>
        <v>0.70737726903444864</v>
      </c>
      <c r="W1211" s="33">
        <f t="shared" si="83"/>
        <v>5.8935424384870781E-3</v>
      </c>
      <c r="X1211" s="35">
        <f t="shared" si="84"/>
        <v>8.1289907785563111E-5</v>
      </c>
      <c r="Y1211" s="33">
        <f t="shared" si="78"/>
        <v>3.1858297764473121E-4</v>
      </c>
      <c r="Z1211" s="54"/>
    </row>
    <row r="1212" spans="15:26" x14ac:dyDescent="0.25">
      <c r="O1212" s="37" t="s">
        <v>19</v>
      </c>
      <c r="P1212" s="31">
        <f>_xll.qlCalendarAdvance(Calendar,P1211,O1211,"f",,Trigger)</f>
        <v>60881</v>
      </c>
      <c r="Q1212" s="31">
        <f>_xll.qlInterestRateIndexValueDate(Index,P1212,Trigger)</f>
        <v>60883</v>
      </c>
      <c r="R1212" s="31">
        <f>_xll.qlInterestRateIndexMaturity(Index,Q1212,Trigger)</f>
        <v>60974</v>
      </c>
      <c r="S1212" s="32">
        <f>_xll.qlDayCounterYearFraction(DayCounter,Q1212,R1212,,,Trigger)</f>
        <v>0.25277777777777777</v>
      </c>
      <c r="T1212" s="33">
        <f>_xll.qlIndexFixing(Index,P1212,,AllTriggers)</f>
        <v>6.2269081173564724E-3</v>
      </c>
      <c r="U1212" s="34">
        <f>_xll.qlYieldTSDiscount(OisCurve,Q1212,,AllTriggers)</f>
        <v>0.70809605829903222</v>
      </c>
      <c r="V1212" s="34">
        <f>_xll.qlYieldTSDiscount(OisCurve,R1212,,AllTriggers)</f>
        <v>0.70703994353579114</v>
      </c>
      <c r="W1212" s="33">
        <f t="shared" si="83"/>
        <v>5.909194330825044E-3</v>
      </c>
      <c r="X1212" s="35">
        <f t="shared" si="84"/>
        <v>8.0187987143948963E-5</v>
      </c>
      <c r="Y1212" s="33">
        <f t="shared" si="78"/>
        <v>3.1771378653142838E-4</v>
      </c>
      <c r="Z1212" s="54"/>
    </row>
    <row r="1213" spans="15:26" x14ac:dyDescent="0.25">
      <c r="O1213" s="37" t="s">
        <v>19</v>
      </c>
      <c r="P1213" s="31">
        <f>_xll.qlCalendarAdvance(Calendar,P1212,O1212,"f",,Trigger)</f>
        <v>60911</v>
      </c>
      <c r="Q1213" s="31">
        <f>_xll.qlInterestRateIndexValueDate(Index,P1213,Trigger)</f>
        <v>60913</v>
      </c>
      <c r="R1213" s="31">
        <f>_xll.qlInterestRateIndexMaturity(Index,Q1213,Trigger)</f>
        <v>61007</v>
      </c>
      <c r="S1213" s="32">
        <f>_xll.qlDayCounterYearFraction(DayCounter,Q1213,R1213,,,Trigger)</f>
        <v>0.26111111111111113</v>
      </c>
      <c r="T1213" s="33">
        <f>_xll.qlIndexFixing(Index,P1213,,AllTriggers)</f>
        <v>6.242752913135469E-3</v>
      </c>
      <c r="U1213" s="34">
        <f>_xll.qlYieldTSDiscount(OisCurve,Q1213,,AllTriggers)</f>
        <v>0.70774866733341313</v>
      </c>
      <c r="V1213" s="34">
        <f>_xll.qlYieldTSDiscount(OisCurve,R1213,,AllTriggers)</f>
        <v>0.70665524004742453</v>
      </c>
      <c r="W1213" s="33">
        <f t="shared" si="83"/>
        <v>5.9259361905420211E-3</v>
      </c>
      <c r="X1213" s="35">
        <f t="shared" si="84"/>
        <v>8.2593151590843096E-5</v>
      </c>
      <c r="Y1213" s="33">
        <f t="shared" si="78"/>
        <v>3.168167225934479E-4</v>
      </c>
      <c r="Z1213" s="54"/>
    </row>
    <row r="1214" spans="15:26" x14ac:dyDescent="0.25">
      <c r="O1214" s="37" t="s">
        <v>19</v>
      </c>
      <c r="P1214" s="31">
        <f>_xll.qlCalendarAdvance(Calendar,P1213,O1213,"f",,Trigger)</f>
        <v>60944</v>
      </c>
      <c r="Q1214" s="31">
        <f>_xll.qlInterestRateIndexValueDate(Index,P1214,Trigger)</f>
        <v>60946</v>
      </c>
      <c r="R1214" s="31">
        <f>_xll.qlInterestRateIndexMaturity(Index,Q1214,Trigger)</f>
        <v>61038</v>
      </c>
      <c r="S1214" s="32">
        <f>_xll.qlDayCounterYearFraction(DayCounter,Q1214,R1214,,,Trigger)</f>
        <v>0.25555555555555554</v>
      </c>
      <c r="T1214" s="33">
        <f>_xll.qlIndexFixing(Index,P1214,,AllTriggers)</f>
        <v>6.2584192252701032E-3</v>
      </c>
      <c r="U1214" s="34">
        <f>_xll.qlYieldTSDiscount(OisCurve,Q1214,,AllTriggers)</f>
        <v>0.70736564886635322</v>
      </c>
      <c r="V1214" s="34">
        <f>_xll.qlYieldTSDiscount(OisCurve,R1214,,AllTriggers)</f>
        <v>0.7062930390750991</v>
      </c>
      <c r="W1214" s="33">
        <f t="shared" si="83"/>
        <v>5.9425316634611194E-3</v>
      </c>
      <c r="X1214" s="35">
        <f t="shared" si="84"/>
        <v>8.060116334372602E-5</v>
      </c>
      <c r="Y1214" s="33">
        <f t="shared" si="78"/>
        <v>3.1588756180898382E-4</v>
      </c>
      <c r="Z1214" s="54"/>
    </row>
    <row r="1215" spans="15:26" x14ac:dyDescent="0.25">
      <c r="O1215" s="37" t="s">
        <v>19</v>
      </c>
      <c r="P1215" s="31">
        <f>_xll.qlCalendarAdvance(Calendar,P1214,O1214,"f",,Trigger)</f>
        <v>60974</v>
      </c>
      <c r="Q1215" s="31">
        <f>_xll.qlInterestRateIndexValueDate(Index,P1215,Trigger)</f>
        <v>60976</v>
      </c>
      <c r="R1215" s="31">
        <f>_xll.qlInterestRateIndexMaturity(Index,Q1215,Trigger)</f>
        <v>61066</v>
      </c>
      <c r="S1215" s="32">
        <f>_xll.qlDayCounterYearFraction(DayCounter,Q1215,R1215,,,Trigger)</f>
        <v>0.25</v>
      </c>
      <c r="T1215" s="33">
        <f>_xll.qlIndexFixing(Index,P1215,,AllTriggers)</f>
        <v>6.2724635008164498E-3</v>
      </c>
      <c r="U1215" s="34">
        <f>_xll.qlYieldTSDiscount(OisCurve,Q1215,,AllTriggers)</f>
        <v>0.70701665381839873</v>
      </c>
      <c r="V1215" s="34">
        <f>_xll.qlYieldTSDiscount(OisCurve,R1215,,AllTriggers)</f>
        <v>0.70596522262278827</v>
      </c>
      <c r="W1215" s="33">
        <f t="shared" si="83"/>
        <v>5.9574107160926815E-3</v>
      </c>
      <c r="X1215" s="35">
        <f t="shared" si="84"/>
        <v>7.8642972014590436E-5</v>
      </c>
      <c r="Y1215" s="33">
        <f t="shared" si="78"/>
        <v>3.150527847237683E-4</v>
      </c>
      <c r="Z1215" s="54"/>
    </row>
    <row r="1216" spans="15:26" x14ac:dyDescent="0.25">
      <c r="O1216" s="37" t="s">
        <v>19</v>
      </c>
      <c r="P1216" s="31">
        <f>_xll.qlCalendarAdvance(Calendar,P1215,O1215,"f",,Trigger)</f>
        <v>61007</v>
      </c>
      <c r="Q1216" s="31">
        <f>_xll.qlInterestRateIndexValueDate(Index,P1216,Trigger)</f>
        <v>61009</v>
      </c>
      <c r="R1216" s="31">
        <f>_xll.qlInterestRateIndexMaturity(Index,Q1216,Trigger)</f>
        <v>61099</v>
      </c>
      <c r="S1216" s="32">
        <f>_xll.qlDayCounterYearFraction(DayCounter,Q1216,R1216,,,Trigger)</f>
        <v>0.25</v>
      </c>
      <c r="T1216" s="33">
        <f>_xll.qlIndexFixing(Index,P1216,,AllTriggers)</f>
        <v>6.2884012763513297E-3</v>
      </c>
      <c r="U1216" s="34">
        <f>_xll.qlYieldTSDiscount(OisCurve,Q1216,,AllTriggers)</f>
        <v>0.70663189587657904</v>
      </c>
      <c r="V1216" s="34">
        <f>_xll.qlYieldTSDiscount(OisCurve,R1216,,AllTriggers)</f>
        <v>0.70557806626237651</v>
      </c>
      <c r="W1216" s="33">
        <f t="shared" si="83"/>
        <v>5.9742764952144256E-3</v>
      </c>
      <c r="X1216" s="35">
        <f t="shared" si="84"/>
        <v>7.8411004214641499E-5</v>
      </c>
      <c r="Y1216" s="33">
        <f t="shared" si="78"/>
        <v>3.1412478113690412E-4</v>
      </c>
      <c r="Z1216" s="54"/>
    </row>
    <row r="1217" spans="15:26" x14ac:dyDescent="0.25">
      <c r="O1217" s="37" t="s">
        <v>19</v>
      </c>
      <c r="P1217" s="31">
        <f>_xll.qlCalendarAdvance(Calendar,P1216,O1216,"f",,Trigger)</f>
        <v>61038</v>
      </c>
      <c r="Q1217" s="31">
        <f>_xll.qlInterestRateIndexValueDate(Index,P1217,Trigger)</f>
        <v>61042</v>
      </c>
      <c r="R1217" s="31">
        <f>_xll.qlInterestRateIndexMaturity(Index,Q1217,Trigger)</f>
        <v>61133</v>
      </c>
      <c r="S1217" s="32">
        <f>_xll.qlDayCounterYearFraction(DayCounter,Q1217,R1217,,,Trigger)</f>
        <v>0.25277777777777777</v>
      </c>
      <c r="T1217" s="33">
        <f>_xll.qlIndexFixing(Index,P1217,,AllTriggers)</f>
        <v>6.3044552663435302E-3</v>
      </c>
      <c r="U1217" s="34">
        <f>_xll.qlYieldTSDiscount(OisCurve,Q1217,,AllTriggers)</f>
        <v>0.70624624671158298</v>
      </c>
      <c r="V1217" s="34">
        <f>_xll.qlYieldTSDiscount(OisCurve,R1217,,AllTriggers)</f>
        <v>0.70517828483541423</v>
      </c>
      <c r="W1217" s="33">
        <f t="shared" si="83"/>
        <v>5.9912567025352864E-3</v>
      </c>
      <c r="X1217" s="35">
        <f t="shared" si="84"/>
        <v>7.9046795013972137E-5</v>
      </c>
      <c r="Y1217" s="33">
        <f t="shared" si="78"/>
        <v>3.1319856380824379E-4</v>
      </c>
      <c r="Z1217" s="54"/>
    </row>
    <row r="1218" spans="15:26" x14ac:dyDescent="0.25">
      <c r="O1218" s="37" t="s">
        <v>19</v>
      </c>
      <c r="P1218" s="31">
        <f>_xll.qlCalendarAdvance(Calendar,P1217,O1217,"f",,Trigger)</f>
        <v>61066</v>
      </c>
      <c r="Q1218" s="31">
        <f>_xll.qlInterestRateIndexValueDate(Index,P1218,Trigger)</f>
        <v>61070</v>
      </c>
      <c r="R1218" s="31">
        <f>_xll.qlInterestRateIndexMaturity(Index,Q1218,Trigger)</f>
        <v>61162</v>
      </c>
      <c r="S1218" s="32">
        <f>_xll.qlDayCounterYearFraction(DayCounter,Q1218,R1218,,,Trigger)</f>
        <v>0.25555555555555554</v>
      </c>
      <c r="T1218" s="33">
        <f>_xll.qlIndexFixing(Index,P1218,,AllTriggers)</f>
        <v>6.3179794912718908E-3</v>
      </c>
      <c r="U1218" s="34">
        <f>_xll.qlYieldTSDiscount(OisCurve,Q1218,,AllTriggers)</f>
        <v>0.70591834051696445</v>
      </c>
      <c r="V1218" s="34">
        <f>_xll.qlYieldTSDiscount(OisCurve,R1218,,AllTriggers)</f>
        <v>0.70483658961703222</v>
      </c>
      <c r="W1218" s="33">
        <f t="shared" si="83"/>
        <v>6.0055598225721056E-3</v>
      </c>
      <c r="X1218" s="35">
        <f t="shared" si="84"/>
        <v>7.9715056778785156E-5</v>
      </c>
      <c r="Y1218" s="33">
        <f t="shared" si="78"/>
        <v>3.1241966869978519E-4</v>
      </c>
      <c r="Z1218" s="54"/>
    </row>
    <row r="1219" spans="15:26" x14ac:dyDescent="0.25">
      <c r="O1219" s="37" t="s">
        <v>19</v>
      </c>
      <c r="P1219" s="31">
        <f>_xll.qlCalendarAdvance(Calendar,P1218,O1218,"f",,Trigger)</f>
        <v>61098</v>
      </c>
      <c r="Q1219" s="31">
        <f>_xll.qlInterestRateIndexValueDate(Index,P1219,Trigger)</f>
        <v>61100</v>
      </c>
      <c r="R1219" s="31">
        <f>_xll.qlInterestRateIndexMaturity(Index,Q1219,Trigger)</f>
        <v>61191</v>
      </c>
      <c r="S1219" s="32">
        <f>_xll.qlDayCounterYearFraction(DayCounter,Q1219,R1219,,,Trigger)</f>
        <v>0.25277777777777777</v>
      </c>
      <c r="T1219" s="33">
        <f>_xll.qlIndexFixing(Index,P1219,,AllTriggers)</f>
        <v>6.3317303261542354E-3</v>
      </c>
      <c r="U1219" s="34">
        <f>_xll.qlYieldTSDiscount(OisCurve,Q1219,,AllTriggers)</f>
        <v>0.70556632085139259</v>
      </c>
      <c r="V1219" s="34">
        <f>_xll.qlYieldTSDiscount(OisCurve,R1219,,AllTriggers)</f>
        <v>0.70449425493832851</v>
      </c>
      <c r="W1219" s="33">
        <f t="shared" si="83"/>
        <v>6.0201198890249465E-3</v>
      </c>
      <c r="X1219" s="35">
        <f t="shared" si="84"/>
        <v>7.8645417628695789E-5</v>
      </c>
      <c r="Y1219" s="33">
        <f t="shared" si="78"/>
        <v>3.1161043712928885E-4</v>
      </c>
      <c r="Z1219" s="54"/>
    </row>
    <row r="1220" spans="15:26" x14ac:dyDescent="0.25">
      <c r="O1220" s="37" t="s">
        <v>19</v>
      </c>
      <c r="P1220" s="31">
        <f>_xll.qlCalendarAdvance(Calendar,P1219,O1219,"f",,Trigger)</f>
        <v>61128</v>
      </c>
      <c r="Q1220" s="31">
        <f>_xll.qlInterestRateIndexValueDate(Index,P1220,Trigger)</f>
        <v>61130</v>
      </c>
      <c r="R1220" s="31">
        <f>_xll.qlInterestRateIndexMaturity(Index,Q1220,Trigger)</f>
        <v>61224</v>
      </c>
      <c r="S1220" s="32">
        <f>_xll.qlDayCounterYearFraction(DayCounter,Q1220,R1220,,,Trigger)</f>
        <v>0.26111111111111113</v>
      </c>
      <c r="T1220" s="33">
        <f>_xll.qlIndexFixing(Index,P1220,,AllTriggers)</f>
        <v>6.3464806880682671E-3</v>
      </c>
      <c r="U1220" s="34">
        <f>_xll.qlYieldTSDiscount(OisCurve,Q1220,,AllTriggers)</f>
        <v>0.70521359575062981</v>
      </c>
      <c r="V1220" s="34">
        <f>_xll.qlYieldTSDiscount(OisCurve,R1220,,AllTriggers)</f>
        <v>0.70410393555079898</v>
      </c>
      <c r="W1220" s="33">
        <f t="shared" si="83"/>
        <v>6.035703328532982E-3</v>
      </c>
      <c r="X1220" s="35">
        <f t="shared" si="84"/>
        <v>8.1016453506679623E-5</v>
      </c>
      <c r="Y1220" s="33">
        <f t="shared" ref="Y1220:Y1283" si="85">T1220-W1220</f>
        <v>3.1077735953528515E-4</v>
      </c>
      <c r="Z1220" s="54"/>
    </row>
    <row r="1221" spans="15:26" x14ac:dyDescent="0.25">
      <c r="O1221" s="37" t="s">
        <v>19</v>
      </c>
      <c r="P1221" s="31">
        <f>_xll.qlCalendarAdvance(Calendar,P1220,O1220,"f",,Trigger)</f>
        <v>61161</v>
      </c>
      <c r="Q1221" s="31">
        <f>_xll.qlInterestRateIndexValueDate(Index,P1221,Trigger)</f>
        <v>61163</v>
      </c>
      <c r="R1221" s="31">
        <f>_xll.qlInterestRateIndexMaturity(Index,Q1221,Trigger)</f>
        <v>61255</v>
      </c>
      <c r="S1221" s="32">
        <f>_xll.qlDayCounterYearFraction(DayCounter,Q1221,R1221,,,Trigger)</f>
        <v>0.25555555555555554</v>
      </c>
      <c r="T1221" s="33">
        <f>_xll.qlIndexFixing(Index,P1221,,AllTriggers)</f>
        <v>6.3610260194373715E-3</v>
      </c>
      <c r="U1221" s="34">
        <f>_xll.qlYieldTSDiscount(OisCurve,Q1221,,AllTriggers)</f>
        <v>0.70482479556505173</v>
      </c>
      <c r="V1221" s="34">
        <f>_xll.qlYieldTSDiscount(OisCurve,R1221,,AllTriggers)</f>
        <v>0.70373654055614665</v>
      </c>
      <c r="W1221" s="33">
        <f t="shared" si="83"/>
        <v>6.0511127671659046E-3</v>
      </c>
      <c r="X1221" s="35">
        <f t="shared" si="84"/>
        <v>7.9074641373122698E-5</v>
      </c>
      <c r="Y1221" s="33">
        <f t="shared" si="85"/>
        <v>3.0991325227146694E-4</v>
      </c>
      <c r="Z1221" s="54"/>
    </row>
    <row r="1222" spans="15:26" x14ac:dyDescent="0.25">
      <c r="O1222" s="37" t="s">
        <v>19</v>
      </c>
      <c r="P1222" s="31">
        <f>_xll.qlCalendarAdvance(Calendar,P1221,O1221,"f",,Trigger)</f>
        <v>61191</v>
      </c>
      <c r="Q1222" s="31">
        <f>_xll.qlInterestRateIndexValueDate(Index,P1222,Trigger)</f>
        <v>61193</v>
      </c>
      <c r="R1222" s="31">
        <f>_xll.qlInterestRateIndexMaturity(Index,Q1222,Trigger)</f>
        <v>61287</v>
      </c>
      <c r="S1222" s="32">
        <f>_xll.qlDayCounterYearFraction(DayCounter,Q1222,R1222,,,Trigger)</f>
        <v>0.26111111111111113</v>
      </c>
      <c r="T1222" s="33">
        <f>_xll.qlIndexFixing(Index,P1222,,AllTriggers)</f>
        <v>6.3751759201880857E-3</v>
      </c>
      <c r="U1222" s="34">
        <f>_xll.qlYieldTSDiscount(OisCurve,Q1222,,AllTriggers)</f>
        <v>0.70447062231319135</v>
      </c>
      <c r="V1222" s="34">
        <f>_xll.qlYieldTSDiscount(OisCurve,R1222,,AllTriggers)</f>
        <v>0.70335656312204908</v>
      </c>
      <c r="W1222" s="33">
        <f t="shared" si="83"/>
        <v>6.0660693194726058E-3</v>
      </c>
      <c r="X1222" s="35">
        <f t="shared" si="84"/>
        <v>8.0580283574164548E-5</v>
      </c>
      <c r="Y1222" s="33">
        <f t="shared" si="85"/>
        <v>3.0910660071547993E-4</v>
      </c>
      <c r="Z1222" s="54"/>
    </row>
    <row r="1223" spans="15:26" x14ac:dyDescent="0.25">
      <c r="O1223" s="37" t="s">
        <v>19</v>
      </c>
      <c r="P1223" s="31">
        <f>_xll.qlCalendarAdvance(Calendar,P1222,O1222,"f",,Trigger)</f>
        <v>61224</v>
      </c>
      <c r="Q1223" s="31">
        <f>_xll.qlInterestRateIndexValueDate(Index,P1223,Trigger)</f>
        <v>61226</v>
      </c>
      <c r="R1223" s="31">
        <f>_xll.qlInterestRateIndexMaturity(Index,Q1223,Trigger)</f>
        <v>61318</v>
      </c>
      <c r="S1223" s="32">
        <f>_xll.qlDayCounterYearFraction(DayCounter,Q1223,R1223,,,Trigger)</f>
        <v>0.25555555555555554</v>
      </c>
      <c r="T1223" s="33">
        <f>_xll.qlIndexFixing(Index,P1223,,AllTriggers)</f>
        <v>6.3893958283689975E-3</v>
      </c>
      <c r="U1223" s="34">
        <f>_xll.qlYieldTSDiscount(OisCurve,Q1223,,AllTriggers)</f>
        <v>0.70408025390006401</v>
      </c>
      <c r="V1223" s="34">
        <f>_xll.qlYieldTSDiscount(OisCurve,R1223,,AllTriggers)</f>
        <v>0.702987763329468</v>
      </c>
      <c r="W1223" s="33">
        <f t="shared" si="83"/>
        <v>6.0811344454779429E-3</v>
      </c>
      <c r="X1223" s="35">
        <f t="shared" si="84"/>
        <v>7.8652579526022174E-5</v>
      </c>
      <c r="Y1223" s="33">
        <f t="shared" si="85"/>
        <v>3.0826138289105458E-4</v>
      </c>
      <c r="Z1223" s="54"/>
    </row>
    <row r="1224" spans="15:26" x14ac:dyDescent="0.25">
      <c r="O1224" s="37" t="s">
        <v>19</v>
      </c>
      <c r="P1224" s="31">
        <f>_xll.qlCalendarAdvance(Calendar,P1223,O1223,"f",,Trigger)</f>
        <v>61255</v>
      </c>
      <c r="Q1224" s="31">
        <f>_xll.qlInterestRateIndexValueDate(Index,P1224,Trigger)</f>
        <v>61259</v>
      </c>
      <c r="R1224" s="31">
        <f>_xll.qlInterestRateIndexMaturity(Index,Q1224,Trigger)</f>
        <v>61350</v>
      </c>
      <c r="S1224" s="32">
        <f>_xll.qlDayCounterYearFraction(DayCounter,Q1224,R1224,,,Trigger)</f>
        <v>0.25277777777777777</v>
      </c>
      <c r="T1224" s="33">
        <f>_xll.qlIndexFixing(Index,P1224,,AllTriggers)</f>
        <v>6.4037256225697742E-3</v>
      </c>
      <c r="U1224" s="34">
        <f>_xll.qlYieldTSDiscount(OisCurve,Q1224,,AllTriggers)</f>
        <v>0.70368908374176042</v>
      </c>
      <c r="V1224" s="34">
        <f>_xll.qlYieldTSDiscount(OisCurve,R1224,,AllTriggers)</f>
        <v>0.70260635961109197</v>
      </c>
      <c r="W1224" s="33">
        <f t="shared" si="83"/>
        <v>6.0963072630951642E-3</v>
      </c>
      <c r="X1224" s="35">
        <f t="shared" si="84"/>
        <v>7.758595444031332E-5</v>
      </c>
      <c r="Y1224" s="33">
        <f t="shared" si="85"/>
        <v>3.0741835947461008E-4</v>
      </c>
      <c r="Z1224" s="54"/>
    </row>
    <row r="1225" spans="15:26" x14ac:dyDescent="0.25">
      <c r="O1225" s="37" t="s">
        <v>19</v>
      </c>
      <c r="P1225" s="31">
        <f>_xll.qlCalendarAdvance(Calendar,P1224,O1224,"f",,Trigger)</f>
        <v>61287</v>
      </c>
      <c r="Q1225" s="31">
        <f>_xll.qlInterestRateIndexValueDate(Index,P1225,Trigger)</f>
        <v>61289</v>
      </c>
      <c r="R1225" s="31">
        <f>_xll.qlInterestRateIndexMaturity(Index,Q1225,Trigger)</f>
        <v>61381</v>
      </c>
      <c r="S1225" s="32">
        <f>_xll.qlDayCounterYearFraction(DayCounter,Q1225,R1225,,,Trigger)</f>
        <v>0.25555555555555554</v>
      </c>
      <c r="T1225" s="33">
        <f>_xll.qlIndexFixing(Index,P1225,,AllTriggers)</f>
        <v>6.4171269446262232E-3</v>
      </c>
      <c r="U1225" s="34">
        <f>_xll.qlYieldTSDiscount(OisCurve,Q1225,,AllTriggers)</f>
        <v>0.70333279015285555</v>
      </c>
      <c r="V1225" s="34">
        <f>_xll.qlYieldTSDiscount(OisCurve,R1225,,AllTriggers)</f>
        <v>0.70223620115120844</v>
      </c>
      <c r="W1225" s="33">
        <f t="shared" si="83"/>
        <v>6.1104802546397691E-3</v>
      </c>
      <c r="X1225" s="35">
        <f t="shared" si="84"/>
        <v>7.8240022557494687E-5</v>
      </c>
      <c r="Y1225" s="33">
        <f t="shared" si="85"/>
        <v>3.0664668998645409E-4</v>
      </c>
      <c r="Z1225" s="54"/>
    </row>
    <row r="1226" spans="15:26" x14ac:dyDescent="0.25">
      <c r="O1226" s="37" t="s">
        <v>19</v>
      </c>
      <c r="P1226" s="31">
        <f>_xll.qlCalendarAdvance(Calendar,P1225,O1225,"f",,Trigger)</f>
        <v>61318</v>
      </c>
      <c r="Q1226" s="31">
        <f>_xll.qlInterestRateIndexValueDate(Index,P1226,Trigger)</f>
        <v>61322</v>
      </c>
      <c r="R1226" s="31">
        <f>_xll.qlInterestRateIndexMaturity(Index,Q1226,Trigger)</f>
        <v>61414</v>
      </c>
      <c r="S1226" s="32">
        <f>_xll.qlDayCounterYearFraction(DayCounter,Q1226,R1226,,,Trigger)</f>
        <v>0.25555555555555554</v>
      </c>
      <c r="T1226" s="33">
        <f>_xll.qlIndexFixing(Index,P1226,,AllTriggers)</f>
        <v>6.4313978651063478E-3</v>
      </c>
      <c r="U1226" s="34">
        <f>_xll.qlYieldTSDiscount(OisCurve,Q1226,,AllTriggers)</f>
        <v>0.70294012690651408</v>
      </c>
      <c r="V1226" s="34">
        <f>_xll.qlYieldTSDiscount(OisCurve,R1226,,AllTriggers)</f>
        <v>0.70184144567767615</v>
      </c>
      <c r="W1226" s="33">
        <f t="shared" si="83"/>
        <v>6.1255821292236796E-3</v>
      </c>
      <c r="X1226" s="35">
        <f t="shared" si="84"/>
        <v>7.8027714618623869E-5</v>
      </c>
      <c r="Y1226" s="33">
        <f t="shared" si="85"/>
        <v>3.0581573588266825E-4</v>
      </c>
      <c r="Z1226" s="54"/>
    </row>
    <row r="1227" spans="15:26" x14ac:dyDescent="0.25">
      <c r="O1227" s="37" t="s">
        <v>19</v>
      </c>
      <c r="P1227" s="31">
        <f>_xll.qlCalendarAdvance(Calendar,P1226,O1226,"f",,Trigger)</f>
        <v>61350</v>
      </c>
      <c r="Q1227" s="31">
        <f>_xll.qlInterestRateIndexValueDate(Index,P1227,Trigger)</f>
        <v>61352</v>
      </c>
      <c r="R1227" s="31">
        <f>_xll.qlInterestRateIndexMaturity(Index,Q1227,Trigger)</f>
        <v>61443</v>
      </c>
      <c r="S1227" s="32">
        <f>_xll.qlDayCounterYearFraction(DayCounter,Q1227,R1227,,,Trigger)</f>
        <v>0.25277777777777777</v>
      </c>
      <c r="T1227" s="33">
        <f>_xll.qlIndexFixing(Index,P1227,,AllTriggers)</f>
        <v>6.4439504354420031E-3</v>
      </c>
      <c r="U1227" s="34">
        <f>_xll.qlYieldTSDiscount(OisCurve,Q1227,,AllTriggers)</f>
        <v>0.70258249830196262</v>
      </c>
      <c r="V1227" s="34">
        <f>_xll.qlYieldTSDiscount(OisCurve,R1227,,AllTriggers)</f>
        <v>0.70149394034869106</v>
      </c>
      <c r="W1227" s="33">
        <f t="shared" si="83"/>
        <v>6.1388742855040439E-3</v>
      </c>
      <c r="X1227" s="35">
        <f t="shared" si="84"/>
        <v>7.6994025422843127E-5</v>
      </c>
      <c r="Y1227" s="33">
        <f t="shared" si="85"/>
        <v>3.0507614993795923E-4</v>
      </c>
      <c r="Z1227" s="54"/>
    </row>
    <row r="1228" spans="15:26" x14ac:dyDescent="0.25">
      <c r="O1228" s="37" t="s">
        <v>19</v>
      </c>
      <c r="P1228" s="31">
        <f>_xll.qlCalendarAdvance(Calendar,P1227,O1227,"f",,Trigger)</f>
        <v>61381</v>
      </c>
      <c r="Q1228" s="31">
        <f>_xll.qlInterestRateIndexValueDate(Index,P1228,Trigger)</f>
        <v>61385</v>
      </c>
      <c r="R1228" s="31">
        <f>_xll.qlInterestRateIndexMaturity(Index,Q1228,Trigger)</f>
        <v>61477</v>
      </c>
      <c r="S1228" s="32">
        <f>_xll.qlDayCounterYearFraction(DayCounter,Q1228,R1228,,,Trigger)</f>
        <v>0.25555555555555554</v>
      </c>
      <c r="T1228" s="33">
        <f>_xll.qlIndexFixing(Index,P1228,,AllTriggers)</f>
        <v>6.4581557094127145E-3</v>
      </c>
      <c r="U1228" s="34">
        <f>_xll.qlYieldTSDiscount(OisCurve,Q1228,,AllTriggers)</f>
        <v>0.70218839106633435</v>
      </c>
      <c r="V1228" s="34">
        <f>_xll.qlYieldTSDiscount(OisCurve,R1228,,AllTriggers)</f>
        <v>0.70108581946047044</v>
      </c>
      <c r="W1228" s="33">
        <f t="shared" si="83"/>
        <v>6.1538980134584241E-3</v>
      </c>
      <c r="X1228" s="35">
        <f t="shared" si="84"/>
        <v>7.7629641273181947E-5</v>
      </c>
      <c r="Y1228" s="33">
        <f t="shared" si="85"/>
        <v>3.0425769595429034E-4</v>
      </c>
      <c r="Z1228" s="54"/>
    </row>
    <row r="1229" spans="15:26" x14ac:dyDescent="0.25">
      <c r="O1229" s="37" t="s">
        <v>19</v>
      </c>
      <c r="P1229" s="31">
        <f>_xll.qlCalendarAdvance(Calendar,P1228,O1228,"f",,Trigger)</f>
        <v>61413</v>
      </c>
      <c r="Q1229" s="31">
        <f>_xll.qlInterestRateIndexValueDate(Index,P1229,Trigger)</f>
        <v>61415</v>
      </c>
      <c r="R1229" s="31">
        <f>_xll.qlInterestRateIndexMaturity(Index,Q1229,Trigger)</f>
        <v>61505</v>
      </c>
      <c r="S1229" s="32">
        <f>_xll.qlDayCounterYearFraction(DayCounter,Q1229,R1229,,,Trigger)</f>
        <v>0.25</v>
      </c>
      <c r="T1229" s="33">
        <f>_xll.qlIndexFixing(Index,P1229,,AllTriggers)</f>
        <v>6.4701443513772716E-3</v>
      </c>
      <c r="U1229" s="34">
        <f>_xll.qlYieldTSDiscount(OisCurve,Q1229,,AllTriggers)</f>
        <v>0.70182947200437262</v>
      </c>
      <c r="V1229" s="34">
        <f>_xll.qlYieldTSDiscount(OisCurve,R1229,,AllTriggers)</f>
        <v>0.70074916168421231</v>
      </c>
      <c r="W1229" s="33">
        <f t="shared" si="83"/>
        <v>6.1666021408504079E-3</v>
      </c>
      <c r="X1229" s="35">
        <f t="shared" si="84"/>
        <v>7.5765873401128971E-5</v>
      </c>
      <c r="Y1229" s="33">
        <f t="shared" si="85"/>
        <v>3.035422105268637E-4</v>
      </c>
      <c r="Z1229" s="54"/>
    </row>
    <row r="1230" spans="15:26" x14ac:dyDescent="0.25">
      <c r="O1230" s="37" t="s">
        <v>19</v>
      </c>
      <c r="P1230" s="31">
        <f>_xll.qlCalendarAdvance(Calendar,P1229,O1229,"f",,Trigger)</f>
        <v>61442</v>
      </c>
      <c r="Q1230" s="31">
        <f>_xll.qlInterestRateIndexValueDate(Index,P1230,Trigger)</f>
        <v>61444</v>
      </c>
      <c r="R1230" s="31">
        <f>_xll.qlInterestRateIndexMaturity(Index,Q1230,Trigger)</f>
        <v>61536</v>
      </c>
      <c r="S1230" s="32">
        <f>_xll.qlDayCounterYearFraction(DayCounter,Q1230,R1230,,,Trigger)</f>
        <v>0.25555555555555554</v>
      </c>
      <c r="T1230" s="33">
        <f>_xll.qlIndexFixing(Index,P1230,,AllTriggers)</f>
        <v>6.4826354605667007E-3</v>
      </c>
      <c r="U1230" s="34">
        <f>_xll.qlYieldTSDiscount(OisCurve,Q1230,,AllTriggers)</f>
        <v>0.70148194752914539</v>
      </c>
      <c r="V1230" s="34">
        <f>_xll.qlYieldTSDiscount(OisCurve,R1230,,AllTriggers)</f>
        <v>0.70037585582433182</v>
      </c>
      <c r="W1230" s="33">
        <f t="shared" si="83"/>
        <v>6.1798031669511814E-3</v>
      </c>
      <c r="X1230" s="35">
        <f t="shared" si="84"/>
        <v>7.7265461236450441E-5</v>
      </c>
      <c r="Y1230" s="33">
        <f t="shared" si="85"/>
        <v>3.0283229361551933E-4</v>
      </c>
      <c r="Z1230" s="54"/>
    </row>
    <row r="1231" spans="15:26" x14ac:dyDescent="0.25">
      <c r="O1231" s="37" t="s">
        <v>19</v>
      </c>
      <c r="P1231" s="31">
        <f>_xll.qlCalendarAdvance(Calendar,P1230,O1230,"f",,Trigger)</f>
        <v>61477</v>
      </c>
      <c r="Q1231" s="31">
        <f>_xll.qlInterestRateIndexValueDate(Index,P1231,Trigger)</f>
        <v>61479</v>
      </c>
      <c r="R1231" s="31">
        <f>_xll.qlInterestRateIndexMaturity(Index,Q1231,Trigger)</f>
        <v>61570</v>
      </c>
      <c r="S1231" s="32">
        <f>_xll.qlDayCounterYearFraction(DayCounter,Q1231,R1231,,,Trigger)</f>
        <v>0.25277777777777777</v>
      </c>
      <c r="T1231" s="33">
        <f>_xll.qlIndexFixing(Index,P1231,,AllTriggers)</f>
        <v>6.4966329684980175E-3</v>
      </c>
      <c r="U1231" s="34">
        <f>_xll.qlYieldTSDiscount(OisCurve,Q1231,,AllTriggers)</f>
        <v>0.70106178908151162</v>
      </c>
      <c r="V1231" s="34">
        <f>_xll.qlYieldTSDiscount(OisCurve,R1231,,AllTriggers)</f>
        <v>0.69996573834801179</v>
      </c>
      <c r="W1231" s="33">
        <f t="shared" si="83"/>
        <v>6.1946244540665519E-3</v>
      </c>
      <c r="X1231" s="35">
        <f t="shared" si="84"/>
        <v>7.621878367031589E-5</v>
      </c>
      <c r="Y1231" s="33">
        <f t="shared" si="85"/>
        <v>3.0200851443146562E-4</v>
      </c>
      <c r="Z1231" s="54"/>
    </row>
    <row r="1232" spans="15:26" x14ac:dyDescent="0.25">
      <c r="O1232" s="37" t="s">
        <v>19</v>
      </c>
      <c r="P1232" s="31">
        <f>_xll.qlCalendarAdvance(Calendar,P1231,O1231,"f",,Trigger)</f>
        <v>61507</v>
      </c>
      <c r="Q1232" s="31">
        <f>_xll.qlInterestRateIndexValueDate(Index,P1232,Trigger)</f>
        <v>61511</v>
      </c>
      <c r="R1232" s="31">
        <f>_xll.qlInterestRateIndexMaturity(Index,Q1232,Trigger)</f>
        <v>61603</v>
      </c>
      <c r="S1232" s="32">
        <f>_xll.qlDayCounterYearFraction(DayCounter,Q1232,R1232,,,Trigger)</f>
        <v>0.25555555555555554</v>
      </c>
      <c r="T1232" s="33">
        <f>_xll.qlIndexFixing(Index,P1232,,AllTriggers)</f>
        <v>6.5097552063653205E-3</v>
      </c>
      <c r="U1232" s="34">
        <f>_xll.qlYieldTSDiscount(OisCurve,Q1232,,AllTriggers)</f>
        <v>0.70067695599284308</v>
      </c>
      <c r="V1232" s="34">
        <f>_xll.qlYieldTSDiscount(OisCurve,R1232,,AllTriggers)</f>
        <v>0.69956701094782536</v>
      </c>
      <c r="W1232" s="33">
        <f t="shared" si="83"/>
        <v>6.208502047216468E-3</v>
      </c>
      <c r="X1232" s="35">
        <f t="shared" si="84"/>
        <v>7.6862009217357573E-5</v>
      </c>
      <c r="Y1232" s="33">
        <f t="shared" si="85"/>
        <v>3.0125315914885254E-4</v>
      </c>
      <c r="Z1232" s="54"/>
    </row>
    <row r="1233" spans="15:26" x14ac:dyDescent="0.25">
      <c r="O1233" s="37" t="s">
        <v>19</v>
      </c>
      <c r="P1233" s="31">
        <f>_xll.qlCalendarAdvance(Calendar,P1232,O1232,"f",,Trigger)</f>
        <v>61539</v>
      </c>
      <c r="Q1233" s="31">
        <f>_xll.qlInterestRateIndexValueDate(Index,P1233,Trigger)</f>
        <v>61541</v>
      </c>
      <c r="R1233" s="31">
        <f>_xll.qlInterestRateIndexMaturity(Index,Q1233,Trigger)</f>
        <v>61633</v>
      </c>
      <c r="S1233" s="32">
        <f>_xll.qlDayCounterYearFraction(DayCounter,Q1233,R1233,,,Trigger)</f>
        <v>0.25555555555555554</v>
      </c>
      <c r="T1233" s="33">
        <f>_xll.qlIndexFixing(Index,P1233,,AllTriggers)</f>
        <v>6.5216642163947449E-3</v>
      </c>
      <c r="U1233" s="34">
        <f>_xll.qlYieldTSDiscount(OisCurve,Q1233,,AllTriggers)</f>
        <v>0.70031558906821934</v>
      </c>
      <c r="V1233" s="34">
        <f>_xll.qlYieldTSDiscount(OisCurve,R1233,,AllTriggers)</f>
        <v>0.69920396815784025</v>
      </c>
      <c r="W1233" s="33">
        <f t="shared" si="83"/>
        <v>6.2211045013341303E-3</v>
      </c>
      <c r="X1233" s="35">
        <f t="shared" si="84"/>
        <v>7.6684843463426029E-5</v>
      </c>
      <c r="Y1233" s="33">
        <f t="shared" si="85"/>
        <v>3.0055971506061461E-4</v>
      </c>
      <c r="Z1233" s="54"/>
    </row>
    <row r="1234" spans="15:26" x14ac:dyDescent="0.25">
      <c r="O1234" s="37" t="s">
        <v>19</v>
      </c>
      <c r="P1234" s="31">
        <f>_xll.qlCalendarAdvance(Calendar,P1233,O1233,"f",,Trigger)</f>
        <v>61569</v>
      </c>
      <c r="Q1234" s="31">
        <f>_xll.qlInterestRateIndexValueDate(Index,P1234,Trigger)</f>
        <v>61571</v>
      </c>
      <c r="R1234" s="31">
        <f>_xll.qlInterestRateIndexMaturity(Index,Q1234,Trigger)</f>
        <v>61665</v>
      </c>
      <c r="S1234" s="32">
        <f>_xll.qlDayCounterYearFraction(DayCounter,Q1234,R1234,,,Trigger)</f>
        <v>0.26111111111111113</v>
      </c>
      <c r="T1234" s="33">
        <f>_xll.qlIndexFixing(Index,P1234,,AllTriggers)</f>
        <v>6.5339340536028877E-3</v>
      </c>
      <c r="U1234" s="34">
        <f>_xll.qlYieldTSDiscount(OisCurve,Q1234,,AllTriggers)</f>
        <v>0.69995366535942716</v>
      </c>
      <c r="V1234" s="34">
        <f>_xll.qlYieldTSDiscount(OisCurve,R1234,,AllTriggers)</f>
        <v>0.69881614273198756</v>
      </c>
      <c r="W1234" s="33">
        <f t="shared" si="83"/>
        <v>6.234071267975253E-3</v>
      </c>
      <c r="X1234" s="35">
        <f t="shared" si="84"/>
        <v>7.8167205601023998E-5</v>
      </c>
      <c r="Y1234" s="33">
        <f t="shared" si="85"/>
        <v>2.9986278562763469E-4</v>
      </c>
      <c r="Z1234" s="54"/>
    </row>
    <row r="1235" spans="15:26" x14ac:dyDescent="0.25">
      <c r="O1235" s="37" t="s">
        <v>19</v>
      </c>
      <c r="P1235" s="31">
        <f>_xll.qlCalendarAdvance(Calendar,P1234,O1234,"f",,Trigger)</f>
        <v>61602</v>
      </c>
      <c r="Q1235" s="31">
        <f>_xll.qlInterestRateIndexValueDate(Index,P1235,Trigger)</f>
        <v>61604</v>
      </c>
      <c r="R1235" s="31">
        <f>_xll.qlInterestRateIndexMaturity(Index,Q1235,Trigger)</f>
        <v>61696</v>
      </c>
      <c r="S1235" s="32">
        <f>_xll.qlDayCounterYearFraction(DayCounter,Q1235,R1235,,,Trigger)</f>
        <v>0.25555555555555554</v>
      </c>
      <c r="T1235" s="33">
        <f>_xll.qlIndexFixing(Index,P1235,,AllTriggers)</f>
        <v>6.546201672127239E-3</v>
      </c>
      <c r="U1235" s="34">
        <f>_xll.qlYieldTSDiscount(OisCurve,Q1235,,AllTriggers)</f>
        <v>0.69955491810468196</v>
      </c>
      <c r="V1235" s="34">
        <f>_xll.qlYieldTSDiscount(OisCurve,R1235,,AllTriggers)</f>
        <v>0.6984398772553132</v>
      </c>
      <c r="W1235" s="33">
        <f t="shared" si="83"/>
        <v>6.2470707439606392E-3</v>
      </c>
      <c r="X1235" s="35">
        <f t="shared" si="84"/>
        <v>7.6319810885177377E-5</v>
      </c>
      <c r="Y1235" s="33">
        <f t="shared" si="85"/>
        <v>2.9913092816659988E-4</v>
      </c>
      <c r="Z1235" s="54"/>
    </row>
    <row r="1236" spans="15:26" x14ac:dyDescent="0.25">
      <c r="O1236" s="37" t="s">
        <v>19</v>
      </c>
      <c r="P1236" s="31">
        <f>_xll.qlCalendarAdvance(Calendar,P1235,O1235,"f",,Trigger)</f>
        <v>61633</v>
      </c>
      <c r="Q1236" s="31">
        <f>_xll.qlInterestRateIndexValueDate(Index,P1236,Trigger)</f>
        <v>61637</v>
      </c>
      <c r="R1236" s="31">
        <f>_xll.qlInterestRateIndexMaturity(Index,Q1236,Trigger)</f>
        <v>61730</v>
      </c>
      <c r="S1236" s="32">
        <f>_xll.qlDayCounterYearFraction(DayCounter,Q1236,R1236,,,Trigger)</f>
        <v>0.25833333333333336</v>
      </c>
      <c r="T1236" s="33">
        <f>_xll.qlIndexFixing(Index,P1236,,AllTriggers)</f>
        <v>6.559047705398802E-3</v>
      </c>
      <c r="U1236" s="34">
        <f>_xll.qlYieldTSDiscount(OisCurve,Q1236,,AllTriggers)</f>
        <v>0.69915552247578105</v>
      </c>
      <c r="V1236" s="34">
        <f>_xll.qlYieldTSDiscount(OisCurve,R1236,,AllTriggers)</f>
        <v>0.69802657886694064</v>
      </c>
      <c r="W1236" s="33">
        <f t="shared" si="83"/>
        <v>6.2606560045023428E-3</v>
      </c>
      <c r="X1236" s="35">
        <f t="shared" si="84"/>
        <v>7.6957091185036696E-5</v>
      </c>
      <c r="Y1236" s="33">
        <f t="shared" si="85"/>
        <v>2.9839170089645921E-4</v>
      </c>
      <c r="Z1236" s="54"/>
    </row>
    <row r="1237" spans="15:26" x14ac:dyDescent="0.25">
      <c r="O1237" s="37" t="s">
        <v>19</v>
      </c>
      <c r="P1237" s="31">
        <f>_xll.qlCalendarAdvance(Calendar,P1236,O1236,"f",,Trigger)</f>
        <v>61665</v>
      </c>
      <c r="Q1237" s="31">
        <f>_xll.qlInterestRateIndexValueDate(Index,P1237,Trigger)</f>
        <v>61667</v>
      </c>
      <c r="R1237" s="31">
        <f>_xll.qlInterestRateIndexMaturity(Index,Q1237,Trigger)</f>
        <v>61759</v>
      </c>
      <c r="S1237" s="32">
        <f>_xll.qlDayCounterYearFraction(DayCounter,Q1237,R1237,,,Trigger)</f>
        <v>0.25555555555555554</v>
      </c>
      <c r="T1237" s="33">
        <f>_xll.qlIndexFixing(Index,P1237,,AllTriggers)</f>
        <v>6.5701003585092749E-3</v>
      </c>
      <c r="U1237" s="34">
        <f>_xll.qlYieldTSDiscount(OisCurve,Q1237,,AllTriggers)</f>
        <v>0.69879188403803805</v>
      </c>
      <c r="V1237" s="34">
        <f>_xll.qlYieldTSDiscount(OisCurve,R1237,,AllTriggers)</f>
        <v>0.69767355748250104</v>
      </c>
      <c r="W1237" s="33">
        <f t="shared" si="83"/>
        <v>6.2723610315699712E-3</v>
      </c>
      <c r="X1237" s="35">
        <f t="shared" si="84"/>
        <v>7.5964283184523811E-5</v>
      </c>
      <c r="Y1237" s="33">
        <f t="shared" si="85"/>
        <v>2.9773932693930374E-4</v>
      </c>
      <c r="Z1237" s="54"/>
    </row>
    <row r="1238" spans="15:26" x14ac:dyDescent="0.25">
      <c r="O1238" s="37" t="s">
        <v>19</v>
      </c>
      <c r="P1238" s="31">
        <f>_xll.qlCalendarAdvance(Calendar,P1237,O1237,"f",,Trigger)</f>
        <v>61696</v>
      </c>
      <c r="Q1238" s="31">
        <f>_xll.qlInterestRateIndexValueDate(Index,P1238,Trigger)</f>
        <v>61700</v>
      </c>
      <c r="R1238" s="31">
        <f>_xll.qlInterestRateIndexMaturity(Index,Q1238,Trigger)</f>
        <v>61791</v>
      </c>
      <c r="S1238" s="32">
        <f>_xll.qlDayCounterYearFraction(DayCounter,Q1238,R1238,,,Trigger)</f>
        <v>0.25277777777777777</v>
      </c>
      <c r="T1238" s="33">
        <f>_xll.qlIndexFixing(Index,P1238,,AllTriggers)</f>
        <v>6.5821203717027228E-3</v>
      </c>
      <c r="U1238" s="34">
        <f>_xll.qlYieldTSDiscount(OisCurve,Q1238,,AllTriggers)</f>
        <v>0.69839128733077049</v>
      </c>
      <c r="V1238" s="34">
        <f>_xll.qlYieldTSDiscount(OisCurve,R1238,,AllTriggers)</f>
        <v>0.69728349141464907</v>
      </c>
      <c r="W1238" s="33">
        <f t="shared" si="83"/>
        <v>6.2850897697446914E-3</v>
      </c>
      <c r="X1238" s="35">
        <f t="shared" si="84"/>
        <v>7.49608288036002E-5</v>
      </c>
      <c r="Y1238" s="33">
        <f t="shared" si="85"/>
        <v>2.9703060195803137E-4</v>
      </c>
      <c r="Z1238" s="54"/>
    </row>
    <row r="1239" spans="15:26" x14ac:dyDescent="0.25">
      <c r="O1239" s="37" t="s">
        <v>19</v>
      </c>
      <c r="P1239" s="31">
        <f>_xll.qlCalendarAdvance(Calendar,P1238,O1238,"f",,Trigger)</f>
        <v>61728</v>
      </c>
      <c r="Q1239" s="31">
        <f>_xll.qlInterestRateIndexValueDate(Index,P1239,Trigger)</f>
        <v>61731</v>
      </c>
      <c r="R1239" s="31">
        <f>_xll.qlInterestRateIndexMaturity(Index,Q1239,Trigger)</f>
        <v>61821</v>
      </c>
      <c r="S1239" s="32">
        <f>_xll.qlDayCounterYearFraction(DayCounter,Q1239,R1239,,,Trigger)</f>
        <v>0.25</v>
      </c>
      <c r="T1239" s="33">
        <f>_xll.qlIndexFixing(Index,P1239,,AllTriggers)</f>
        <v>6.5932420178596018E-3</v>
      </c>
      <c r="U1239" s="34">
        <f>_xll.qlYieldTSDiscount(OisCurve,Q1239,,AllTriggers)</f>
        <v>0.69801441335209413</v>
      </c>
      <c r="V1239" s="34">
        <f>_xll.qlYieldTSDiscount(OisCurve,R1239,,AllTriggers)</f>
        <v>0.69691731429432824</v>
      </c>
      <c r="W1239" s="33">
        <f t="shared" si="83"/>
        <v>6.296867850825727E-3</v>
      </c>
      <c r="X1239" s="35">
        <f t="shared" si="84"/>
        <v>7.3974349605499437E-5</v>
      </c>
      <c r="Y1239" s="33">
        <f t="shared" si="85"/>
        <v>2.9637416703387487E-4</v>
      </c>
      <c r="Z1239" s="54"/>
    </row>
    <row r="1240" spans="15:26" x14ac:dyDescent="0.25">
      <c r="O1240" s="37" t="s">
        <v>19</v>
      </c>
      <c r="P1240" s="31">
        <f>_xll.qlCalendarAdvance(Calendar,P1239,O1239,"f",,Trigger)</f>
        <v>61759</v>
      </c>
      <c r="Q1240" s="31">
        <f>_xll.qlInterestRateIndexValueDate(Index,P1240,Trigger)</f>
        <v>61763</v>
      </c>
      <c r="R1240" s="31">
        <f>_xll.qlInterestRateIndexMaturity(Index,Q1240,Trigger)</f>
        <v>61854</v>
      </c>
      <c r="S1240" s="32">
        <f>_xll.qlDayCounterYearFraction(DayCounter,Q1240,R1240,,,Trigger)</f>
        <v>0.25277777777777777</v>
      </c>
      <c r="T1240" s="33">
        <f>_xll.qlIndexFixing(Index,P1240,,AllTriggers)</f>
        <v>6.6050503230636812E-3</v>
      </c>
      <c r="U1240" s="34">
        <f>_xll.qlYieldTSDiscount(OisCurve,Q1240,,AllTriggers)</f>
        <v>0.69762482913519241</v>
      </c>
      <c r="V1240" s="34">
        <f>_xll.qlYieldTSDiscount(OisCurve,R1240,,AllTriggers)</f>
        <v>0.69651398355404559</v>
      </c>
      <c r="W1240" s="33">
        <f t="shared" si="83"/>
        <v>6.3093549464293625E-3</v>
      </c>
      <c r="X1240" s="35">
        <f t="shared" si="84"/>
        <v>7.4623417112103436E-5</v>
      </c>
      <c r="Y1240" s="33">
        <f t="shared" si="85"/>
        <v>2.9569537663431868E-4</v>
      </c>
      <c r="Z1240" s="54"/>
    </row>
    <row r="1241" spans="15:26" x14ac:dyDescent="0.25">
      <c r="O1241" s="37" t="s">
        <v>19</v>
      </c>
      <c r="P1241" s="31">
        <f>_xll.qlCalendarAdvance(Calendar,P1240,O1240,"f",,Trigger)</f>
        <v>61787</v>
      </c>
      <c r="Q1241" s="31">
        <f>_xll.qlInterestRateIndexValueDate(Index,P1241,Trigger)</f>
        <v>61791</v>
      </c>
      <c r="R1241" s="31">
        <f>_xll.qlInterestRateIndexMaturity(Index,Q1241,Trigger)</f>
        <v>61883</v>
      </c>
      <c r="S1241" s="32">
        <f>_xll.qlDayCounterYearFraction(DayCounter,Q1241,R1241,,,Trigger)</f>
        <v>0.25555555555555554</v>
      </c>
      <c r="T1241" s="33">
        <f>_xll.qlIndexFixing(Index,P1241,,AllTriggers)</f>
        <v>6.6152730640080806E-3</v>
      </c>
      <c r="U1241" s="34">
        <f>_xll.qlYieldTSDiscount(OisCurve,Q1241,,AllTriggers)</f>
        <v>0.69728349141464907</v>
      </c>
      <c r="V1241" s="34">
        <f>_xll.qlYieldTSDiscount(OisCurve,R1241,,AllTriggers)</f>
        <v>0.69615908793636871</v>
      </c>
      <c r="W1241" s="33">
        <f t="shared" si="83"/>
        <v>6.3201641318238301E-3</v>
      </c>
      <c r="X1241" s="35">
        <f t="shared" si="84"/>
        <v>7.529227944560031E-5</v>
      </c>
      <c r="Y1241" s="33">
        <f t="shared" si="85"/>
        <v>2.9510893218425045E-4</v>
      </c>
      <c r="Z1241" s="54"/>
    </row>
    <row r="1242" spans="15:26" x14ac:dyDescent="0.25">
      <c r="O1242" s="37" t="s">
        <v>19</v>
      </c>
      <c r="P1242" s="31">
        <f>_xll.qlCalendarAdvance(Calendar,P1241,O1241,"f",,Trigger)</f>
        <v>61815</v>
      </c>
      <c r="Q1242" s="31">
        <f>_xll.qlInterestRateIndexValueDate(Index,P1242,Trigger)</f>
        <v>61819</v>
      </c>
      <c r="R1242" s="31">
        <f>_xll.qlInterestRateIndexMaturity(Index,Q1242,Trigger)</f>
        <v>61910</v>
      </c>
      <c r="S1242" s="32">
        <f>_xll.qlDayCounterYearFraction(DayCounter,Q1242,R1242,,,Trigger)</f>
        <v>0.25277777777777777</v>
      </c>
      <c r="T1242" s="33">
        <f>_xll.qlIndexFixing(Index,P1242,,AllTriggers)</f>
        <v>6.6248962360346978E-3</v>
      </c>
      <c r="U1242" s="34">
        <f>_xll.qlYieldTSDiscount(OisCurve,Q1242,,AllTriggers)</f>
        <v>0.69694174065644587</v>
      </c>
      <c r="V1242" s="34">
        <f>_xll.qlYieldTSDiscount(OisCurve,R1242,,AllTriggers)</f>
        <v>0.6958282946934542</v>
      </c>
      <c r="W1242" s="33">
        <f t="shared" si="83"/>
        <v>6.3303565058606646E-3</v>
      </c>
      <c r="X1242" s="35">
        <f t="shared" si="84"/>
        <v>7.4331388279855822E-5</v>
      </c>
      <c r="Y1242" s="33">
        <f t="shared" si="85"/>
        <v>2.9453973017403313E-4</v>
      </c>
      <c r="Z1242" s="54"/>
    </row>
    <row r="1243" spans="15:26" x14ac:dyDescent="0.25">
      <c r="O1243" s="37" t="s">
        <v>19</v>
      </c>
      <c r="P1243" s="31">
        <f>_xll.qlCalendarAdvance(Calendar,P1242,O1242,"f",,Trigger)</f>
        <v>61847</v>
      </c>
      <c r="Q1243" s="31">
        <f>_xll.qlInterestRateIndexValueDate(Index,P1243,Trigger)</f>
        <v>61850</v>
      </c>
      <c r="R1243" s="31">
        <f>_xll.qlInterestRateIndexMaturity(Index,Q1243,Trigger)</f>
        <v>61942</v>
      </c>
      <c r="S1243" s="32">
        <f>_xll.qlDayCounterYearFraction(DayCounter,Q1243,R1243,,,Trigger)</f>
        <v>0.25555555555555554</v>
      </c>
      <c r="T1243" s="33">
        <f>_xll.qlIndexFixing(Index,P1243,,AllTriggers)</f>
        <v>6.6358976554210629E-3</v>
      </c>
      <c r="U1243" s="34">
        <f>_xll.qlYieldTSDiscount(OisCurve,Q1243,,AllTriggers)</f>
        <v>0.69656290161530976</v>
      </c>
      <c r="V1243" s="34">
        <f>_xll.qlYieldTSDiscount(OisCurve,R1243,,AllTriggers)</f>
        <v>0.69543578748415846</v>
      </c>
      <c r="W1243" s="33">
        <f t="shared" si="83"/>
        <v>6.3419896984491346E-3</v>
      </c>
      <c r="X1243" s="35">
        <f t="shared" si="84"/>
        <v>7.4985463945894358E-5</v>
      </c>
      <c r="Y1243" s="33">
        <f t="shared" si="85"/>
        <v>2.9390795697192829E-4</v>
      </c>
      <c r="Z1243" s="54"/>
    </row>
    <row r="1244" spans="15:26" x14ac:dyDescent="0.25">
      <c r="O1244" s="37" t="s">
        <v>19</v>
      </c>
      <c r="P1244" s="31">
        <f>_xll.qlCalendarAdvance(Calendar,P1243,O1243,"f",,Trigger)</f>
        <v>61877</v>
      </c>
      <c r="Q1244" s="31">
        <f>_xll.qlInterestRateIndexValueDate(Index,P1244,Trigger)</f>
        <v>61879</v>
      </c>
      <c r="R1244" s="31">
        <f>_xll.qlInterestRateIndexMaturity(Index,Q1244,Trigger)</f>
        <v>61970</v>
      </c>
      <c r="S1244" s="32">
        <f>_xll.qlDayCounterYearFraction(DayCounter,Q1244,R1244,,,Trigger)</f>
        <v>0.25277777777777777</v>
      </c>
      <c r="T1244" s="33">
        <f>_xll.qlIndexFixing(Index,P1244,,AllTriggers)</f>
        <v>6.6455996194941741E-3</v>
      </c>
      <c r="U1244" s="34">
        <f>_xll.qlYieldTSDiscount(OisCurve,Q1244,,AllTriggers)</f>
        <v>0.69620806392491363</v>
      </c>
      <c r="V1244" s="34">
        <f>_xll.qlYieldTSDiscount(OisCurve,R1244,,AllTriggers)</f>
        <v>0.69509194675749741</v>
      </c>
      <c r="W1244" s="33">
        <f t="shared" si="83"/>
        <v>6.3522654736417449E-3</v>
      </c>
      <c r="X1244" s="35">
        <f t="shared" si="84"/>
        <v>7.4026743491197155E-5</v>
      </c>
      <c r="Y1244" s="33">
        <f t="shared" si="85"/>
        <v>2.9333414585242922E-4</v>
      </c>
      <c r="Z1244" s="54"/>
    </row>
    <row r="1245" spans="15:26" x14ac:dyDescent="0.25">
      <c r="O1245" s="37" t="s">
        <v>19</v>
      </c>
      <c r="P1245" s="31">
        <f>_xll.qlCalendarAdvance(Calendar,P1244,O1244,"f",,Trigger)</f>
        <v>61910</v>
      </c>
      <c r="Q1245" s="31">
        <f>_xll.qlInterestRateIndexValueDate(Index,P1245,Trigger)</f>
        <v>61912</v>
      </c>
      <c r="R1245" s="31">
        <f>_xll.qlInterestRateIndexMaturity(Index,Q1245,Trigger)</f>
        <v>62004</v>
      </c>
      <c r="S1245" s="32">
        <f>_xll.qlDayCounterYearFraction(DayCounter,Q1245,R1245,,,Trigger)</f>
        <v>0.25555555555555554</v>
      </c>
      <c r="T1245" s="33">
        <f>_xll.qlIndexFixing(Index,P1245,,AllTriggers)</f>
        <v>6.6569672287471009E-3</v>
      </c>
      <c r="U1245" s="34">
        <f>_xll.qlYieldTSDiscount(OisCurve,Q1245,,AllTriggers)</f>
        <v>0.69580377737813626</v>
      </c>
      <c r="V1245" s="34">
        <f>_xll.qlYieldTSDiscount(OisCurve,R1245,,AllTriggers)</f>
        <v>0.69467393975462277</v>
      </c>
      <c r="W1245" s="33">
        <f t="shared" si="83"/>
        <v>6.3642861653123725E-3</v>
      </c>
      <c r="X1245" s="35">
        <f t="shared" si="84"/>
        <v>7.4672030474190763E-5</v>
      </c>
      <c r="Y1245" s="33">
        <f t="shared" si="85"/>
        <v>2.9268106343472832E-4</v>
      </c>
      <c r="Z1245" s="54"/>
    </row>
    <row r="1246" spans="15:26" x14ac:dyDescent="0.25">
      <c r="O1246" s="37" t="s">
        <v>19</v>
      </c>
      <c r="P1246" s="31">
        <f>_xll.qlCalendarAdvance(Calendar,P1245,O1245,"f",,Trigger)</f>
        <v>61941</v>
      </c>
      <c r="Q1246" s="31">
        <f>_xll.qlInterestRateIndexValueDate(Index,P1246,Trigger)</f>
        <v>61945</v>
      </c>
      <c r="R1246" s="31">
        <f>_xll.qlInterestRateIndexMaturity(Index,Q1246,Trigger)</f>
        <v>62037</v>
      </c>
      <c r="S1246" s="32">
        <f>_xll.qlDayCounterYearFraction(DayCounter,Q1246,R1246,,,Trigger)</f>
        <v>0.25555555555555554</v>
      </c>
      <c r="T1246" s="33">
        <f>_xll.qlIndexFixing(Index,P1246,,AllTriggers)</f>
        <v>6.6679293854442637E-3</v>
      </c>
      <c r="U1246" s="34">
        <f>_xll.qlYieldTSDiscount(OisCurve,Q1246,,AllTriggers)</f>
        <v>0.69539896496785536</v>
      </c>
      <c r="V1246" s="34">
        <f>_xll.qlYieldTSDiscount(OisCurve,R1246,,AllTriggers)</f>
        <v>0.69426772981039908</v>
      </c>
      <c r="W1246" s="33">
        <f t="shared" si="83"/>
        <v>6.3758866575470072E-3</v>
      </c>
      <c r="X1246" s="35">
        <f t="shared" si="84"/>
        <v>7.4508956797780584E-5</v>
      </c>
      <c r="Y1246" s="33">
        <f t="shared" si="85"/>
        <v>2.9204272789725653E-4</v>
      </c>
      <c r="Z1246" s="54"/>
    </row>
    <row r="1247" spans="15:26" x14ac:dyDescent="0.25">
      <c r="O1247" s="37" t="s">
        <v>19</v>
      </c>
      <c r="P1247" s="31">
        <f>_xll.qlCalendarAdvance(Calendar,P1246,O1246,"f",,Trigger)</f>
        <v>61973</v>
      </c>
      <c r="Q1247" s="31">
        <f>_xll.qlInterestRateIndexValueDate(Index,P1247,Trigger)</f>
        <v>61975</v>
      </c>
      <c r="R1247" s="31">
        <f>_xll.qlInterestRateIndexMaturity(Index,Q1247,Trigger)</f>
        <v>62066</v>
      </c>
      <c r="S1247" s="32">
        <f>_xll.qlDayCounterYearFraction(DayCounter,Q1247,R1247,,,Trigger)</f>
        <v>0.25277777777777777</v>
      </c>
      <c r="T1247" s="33">
        <f>_xll.qlIndexFixing(Index,P1247,,AllTriggers)</f>
        <v>6.677519841542157E-3</v>
      </c>
      <c r="U1247" s="34">
        <f>_xll.qlYieldTSDiscount(OisCurve,Q1247,,AllTriggers)</f>
        <v>0.69503050829000668</v>
      </c>
      <c r="V1247" s="34">
        <f>_xll.qlYieldTSDiscount(OisCurve,R1247,,AllTriggers)</f>
        <v>0.69391036339682144</v>
      </c>
      <c r="W1247" s="33">
        <f t="shared" si="83"/>
        <v>6.3860444638506554E-3</v>
      </c>
      <c r="X1247" s="35">
        <f t="shared" si="84"/>
        <v>7.3557049020752288E-5</v>
      </c>
      <c r="Y1247" s="33">
        <f t="shared" si="85"/>
        <v>2.9147537769150158E-4</v>
      </c>
      <c r="Z1247" s="54"/>
    </row>
    <row r="1248" spans="15:26" x14ac:dyDescent="0.25">
      <c r="O1248" s="37" t="s">
        <v>19</v>
      </c>
      <c r="P1248" s="31">
        <f>_xll.qlCalendarAdvance(Calendar,P1247,O1247,"f",,Trigger)</f>
        <v>62003</v>
      </c>
      <c r="Q1248" s="31">
        <f>_xll.qlInterestRateIndexValueDate(Index,P1248,Trigger)</f>
        <v>62005</v>
      </c>
      <c r="R1248" s="31">
        <f>_xll.qlInterestRateIndexMaturity(Index,Q1248,Trigger)</f>
        <v>62099</v>
      </c>
      <c r="S1248" s="32">
        <f>_xll.qlDayCounterYearFraction(DayCounter,Q1248,R1248,,,Trigger)</f>
        <v>0.26111111111111113</v>
      </c>
      <c r="T1248" s="33">
        <f>_xll.qlIndexFixing(Index,P1248,,AllTriggers)</f>
        <v>6.6878529817088785E-3</v>
      </c>
      <c r="U1248" s="34">
        <f>_xll.qlYieldTSDiscount(OisCurve,Q1248,,AllTriggers)</f>
        <v>0.69466163749217102</v>
      </c>
      <c r="V1248" s="34">
        <f>_xll.qlYieldTSDiscount(OisCurve,R1248,,AllTriggers)</f>
        <v>0.69350326829666553</v>
      </c>
      <c r="W1248" s="33">
        <f t="shared" si="83"/>
        <v>6.3969526317463497E-3</v>
      </c>
      <c r="X1248" s="35">
        <f t="shared" si="84"/>
        <v>7.5827777495358979E-5</v>
      </c>
      <c r="Y1248" s="33">
        <f t="shared" si="85"/>
        <v>2.9090034996252876E-4</v>
      </c>
      <c r="Z1248" s="54"/>
    </row>
    <row r="1249" spans="15:26" x14ac:dyDescent="0.25">
      <c r="O1249" s="37" t="s">
        <v>19</v>
      </c>
      <c r="P1249" s="31">
        <f>_xll.qlCalendarAdvance(Calendar,P1248,O1248,"f",,Trigger)</f>
        <v>62036</v>
      </c>
      <c r="Q1249" s="31">
        <f>_xll.qlInterestRateIndexValueDate(Index,P1249,Trigger)</f>
        <v>62038</v>
      </c>
      <c r="R1249" s="31">
        <f>_xll.qlInterestRateIndexMaturity(Index,Q1249,Trigger)</f>
        <v>62130</v>
      </c>
      <c r="S1249" s="32">
        <f>_xll.qlDayCounterYearFraction(DayCounter,Q1249,R1249,,,Trigger)</f>
        <v>0.25555555555555554</v>
      </c>
      <c r="T1249" s="33">
        <f>_xll.qlIndexFixing(Index,P1249,,AllTriggers)</f>
        <v>6.6978796983053618E-3</v>
      </c>
      <c r="U1249" s="34">
        <f>_xll.qlYieldTSDiscount(OisCurve,Q1249,,AllTriggers)</f>
        <v>0.6942554129099513</v>
      </c>
      <c r="V1249" s="34">
        <f>_xll.qlYieldTSDiscount(OisCurve,R1249,,AllTriggers)</f>
        <v>0.69312043310440807</v>
      </c>
      <c r="W1249" s="33">
        <f t="shared" si="83"/>
        <v>6.4075810117829018E-3</v>
      </c>
      <c r="X1249" s="35">
        <f t="shared" si="84"/>
        <v>7.4063416536954843E-5</v>
      </c>
      <c r="Y1249" s="33">
        <f t="shared" si="85"/>
        <v>2.9029868652246001E-4</v>
      </c>
      <c r="Z1249" s="54"/>
    </row>
    <row r="1250" spans="15:26" x14ac:dyDescent="0.25">
      <c r="O1250" s="37" t="s">
        <v>19</v>
      </c>
      <c r="P1250" s="31">
        <f>_xll.qlCalendarAdvance(Calendar,P1249,O1249,"f",,Trigger)</f>
        <v>62066</v>
      </c>
      <c r="Q1250" s="31">
        <f>_xll.qlInterestRateIndexValueDate(Index,P1250,Trigger)</f>
        <v>62068</v>
      </c>
      <c r="R1250" s="31">
        <f>_xll.qlInterestRateIndexMaturity(Index,Q1250,Trigger)</f>
        <v>62158</v>
      </c>
      <c r="S1250" s="32">
        <f>_xll.qlDayCounterYearFraction(DayCounter,Q1250,R1250,,,Trigger)</f>
        <v>0.25</v>
      </c>
      <c r="T1250" s="33">
        <f>_xll.qlIndexFixing(Index,P1250,,AllTriggers)</f>
        <v>6.706811871091567E-3</v>
      </c>
      <c r="U1250" s="34">
        <f>_xll.qlYieldTSDiscount(OisCurve,Q1250,,AllTriggers)</f>
        <v>0.69388570408708994</v>
      </c>
      <c r="V1250" s="34">
        <f>_xll.qlYieldTSDiscount(OisCurve,R1250,,AllTriggers)</f>
        <v>0.69277431203904671</v>
      </c>
      <c r="W1250" s="33">
        <f t="shared" si="83"/>
        <v>6.4170511448216061E-3</v>
      </c>
      <c r="X1250" s="35">
        <f t="shared" si="84"/>
        <v>7.232153935209108E-5</v>
      </c>
      <c r="Y1250" s="33">
        <f t="shared" si="85"/>
        <v>2.8976072626996086E-4</v>
      </c>
      <c r="Z1250" s="54"/>
    </row>
    <row r="1251" spans="15:26" x14ac:dyDescent="0.25">
      <c r="O1251" s="37" t="s">
        <v>19</v>
      </c>
      <c r="P1251" s="31">
        <f>_xll.qlCalendarAdvance(Calendar,P1250,O1250,"f",,Trigger)</f>
        <v>62099</v>
      </c>
      <c r="Q1251" s="31">
        <f>_xll.qlInterestRateIndexValueDate(Index,P1251,Trigger)</f>
        <v>62101</v>
      </c>
      <c r="R1251" s="31">
        <f>_xll.qlInterestRateIndexMaturity(Index,Q1251,Trigger)</f>
        <v>62191</v>
      </c>
      <c r="S1251" s="32">
        <f>_xll.qlDayCounterYearFraction(DayCounter,Q1251,R1251,,,Trigger)</f>
        <v>0.25</v>
      </c>
      <c r="T1251" s="33">
        <f>_xll.qlIndexFixing(Index,P1251,,AllTriggers)</f>
        <v>6.7169503547894749E-3</v>
      </c>
      <c r="U1251" s="34">
        <f>_xll.qlYieldTSDiscount(OisCurve,Q1251,,AllTriggers)</f>
        <v>0.69347858119062533</v>
      </c>
      <c r="V1251" s="34">
        <f>_xll.qlYieldTSDiscount(OisCurve,R1251,,AllTriggers)</f>
        <v>0.69236598712493991</v>
      </c>
      <c r="W1251" s="33">
        <f t="shared" si="83"/>
        <v>6.4277800260263973E-3</v>
      </c>
      <c r="X1251" s="35">
        <f t="shared" si="84"/>
        <v>7.2173993761097922E-5</v>
      </c>
      <c r="Y1251" s="33">
        <f t="shared" si="85"/>
        <v>2.8917032876307758E-4</v>
      </c>
      <c r="Z1251" s="54"/>
    </row>
    <row r="1252" spans="15:26" x14ac:dyDescent="0.25">
      <c r="O1252" s="37" t="s">
        <v>19</v>
      </c>
      <c r="P1252" s="31">
        <f>_xll.qlCalendarAdvance(Calendar,P1251,O1251,"f",,Trigger)</f>
        <v>62130</v>
      </c>
      <c r="Q1252" s="31">
        <f>_xll.qlInterestRateIndexValueDate(Index,P1252,Trigger)</f>
        <v>62134</v>
      </c>
      <c r="R1252" s="31">
        <f>_xll.qlInterestRateIndexMaturity(Index,Q1252,Trigger)</f>
        <v>62225</v>
      </c>
      <c r="S1252" s="32">
        <f>_xll.qlDayCounterYearFraction(DayCounter,Q1252,R1252,,,Trigger)</f>
        <v>0.25277777777777777</v>
      </c>
      <c r="T1252" s="33">
        <f>_xll.qlIndexFixing(Index,P1252,,AllTriggers)</f>
        <v>6.7271247709396595E-3</v>
      </c>
      <c r="U1252" s="34">
        <f>_xll.qlYieldTSDiscount(OisCurve,Q1252,,AllTriggers)</f>
        <v>0.69307100647281661</v>
      </c>
      <c r="V1252" s="34">
        <f>_xll.qlYieldTSDiscount(OisCurve,R1252,,AllTriggers)</f>
        <v>0.69194485285050056</v>
      </c>
      <c r="W1252" s="33">
        <f t="shared" si="83"/>
        <v>6.4385380031190169E-3</v>
      </c>
      <c r="X1252" s="35">
        <f t="shared" si="84"/>
        <v>7.2827138014410744E-5</v>
      </c>
      <c r="Y1252" s="33">
        <f t="shared" si="85"/>
        <v>2.8858676782064253E-4</v>
      </c>
      <c r="Z1252" s="54"/>
    </row>
    <row r="1253" spans="15:26" x14ac:dyDescent="0.25">
      <c r="O1253" s="37" t="s">
        <v>19</v>
      </c>
      <c r="P1253" s="31">
        <f>_xll.qlCalendarAdvance(Calendar,P1252,O1252,"f",,Trigger)</f>
        <v>62158</v>
      </c>
      <c r="Q1253" s="31">
        <f>_xll.qlInterestRateIndexValueDate(Index,P1253,Trigger)</f>
        <v>62162</v>
      </c>
      <c r="R1253" s="31">
        <f>_xll.qlInterestRateIndexMaturity(Index,Q1253,Trigger)</f>
        <v>62254</v>
      </c>
      <c r="S1253" s="32">
        <f>_xll.qlDayCounterYearFraction(DayCounter,Q1253,R1253,,,Trigger)</f>
        <v>0.25555555555555554</v>
      </c>
      <c r="T1253" s="33">
        <f>_xll.qlIndexFixing(Index,P1253,,AllTriggers)</f>
        <v>6.7356479105360762E-3</v>
      </c>
      <c r="U1253" s="34">
        <f>_xll.qlYieldTSDiscount(OisCurve,Q1253,,AllTriggers)</f>
        <v>0.69272484073904639</v>
      </c>
      <c r="V1253" s="34">
        <f>_xll.qlYieldTSDiscount(OisCurve,R1253,,AllTriggers)</f>
        <v>0.69158531088717112</v>
      </c>
      <c r="W1253" s="33">
        <f t="shared" si="83"/>
        <v>6.447548530844182E-3</v>
      </c>
      <c r="X1253" s="35">
        <f t="shared" si="84"/>
        <v>7.3501582213676006E-5</v>
      </c>
      <c r="Y1253" s="33">
        <f t="shared" si="85"/>
        <v>2.8809937969189424E-4</v>
      </c>
      <c r="Z1253" s="54"/>
    </row>
    <row r="1254" spans="15:26" x14ac:dyDescent="0.25">
      <c r="O1254" s="37" t="s">
        <v>19</v>
      </c>
      <c r="P1254" s="31">
        <f>_xll.qlCalendarAdvance(Calendar,P1253,O1253,"f",,Trigger)</f>
        <v>62190</v>
      </c>
      <c r="Q1254" s="31">
        <f>_xll.qlInterestRateIndexValueDate(Index,P1254,Trigger)</f>
        <v>62192</v>
      </c>
      <c r="R1254" s="31">
        <f>_xll.qlInterestRateIndexMaturity(Index,Q1254,Trigger)</f>
        <v>62283</v>
      </c>
      <c r="S1254" s="32">
        <f>_xll.qlDayCounterYearFraction(DayCounter,Q1254,R1254,,,Trigger)</f>
        <v>0.25277777777777777</v>
      </c>
      <c r="T1254" s="33">
        <f>_xll.qlIndexFixing(Index,P1254,,AllTriggers)</f>
        <v>6.7442067427336463E-3</v>
      </c>
      <c r="U1254" s="34">
        <f>_xll.qlYieldTSDiscount(OisCurve,Q1254,,AllTriggers)</f>
        <v>0.69235360707056481</v>
      </c>
      <c r="V1254" s="34">
        <f>_xll.qlYieldTSDiscount(OisCurve,R1254,,AllTriggers)</f>
        <v>0.69122546578661459</v>
      </c>
      <c r="W1254" s="33">
        <f t="shared" si="83"/>
        <v>6.4566147065428185E-3</v>
      </c>
      <c r="X1254" s="35">
        <f t="shared" si="84"/>
        <v>7.2575787705994591E-5</v>
      </c>
      <c r="Y1254" s="33">
        <f t="shared" si="85"/>
        <v>2.8759203619082782E-4</v>
      </c>
      <c r="Z1254" s="54"/>
    </row>
    <row r="1255" spans="15:26" x14ac:dyDescent="0.25">
      <c r="O1255" s="37" t="s">
        <v>19</v>
      </c>
      <c r="P1255" s="31">
        <f>_xll.qlCalendarAdvance(Calendar,P1254,O1254,"f",,Trigger)</f>
        <v>62220</v>
      </c>
      <c r="Q1255" s="31">
        <f>_xll.qlInterestRateIndexValueDate(Index,P1255,Trigger)</f>
        <v>62222</v>
      </c>
      <c r="R1255" s="31">
        <f>_xll.qlInterestRateIndexMaturity(Index,Q1255,Trigger)</f>
        <v>62316</v>
      </c>
      <c r="S1255" s="32">
        <f>_xll.qlDayCounterYearFraction(DayCounter,Q1255,R1255,,,Trigger)</f>
        <v>0.26111111111111113</v>
      </c>
      <c r="T1255" s="33">
        <f>_xll.qlIndexFixing(Index,P1255,,AllTriggers)</f>
        <v>6.7534433255578754E-3</v>
      </c>
      <c r="U1255" s="34">
        <f>_xll.qlYieldTSDiscount(OisCurve,Q1255,,AllTriggers)</f>
        <v>0.69198202919938911</v>
      </c>
      <c r="V1255" s="34">
        <f>_xll.qlYieldTSDiscount(OisCurve,R1255,,AllTriggers)</f>
        <v>0.69081562911742378</v>
      </c>
      <c r="W1255" s="33">
        <f t="shared" si="83"/>
        <v>6.4663623048082418E-3</v>
      </c>
      <c r="X1255" s="35">
        <f t="shared" si="84"/>
        <v>7.4830892277918354E-5</v>
      </c>
      <c r="Y1255" s="33">
        <f t="shared" si="85"/>
        <v>2.8708102074963358E-4</v>
      </c>
      <c r="Z1255" s="54"/>
    </row>
    <row r="1256" spans="15:26" x14ac:dyDescent="0.25">
      <c r="O1256" s="37" t="s">
        <v>19</v>
      </c>
      <c r="P1256" s="31">
        <f>_xll.qlCalendarAdvance(Calendar,P1255,O1255,"f",,Trigger)</f>
        <v>62253</v>
      </c>
      <c r="Q1256" s="31">
        <f>_xll.qlInterestRateIndexValueDate(Index,P1256,Trigger)</f>
        <v>62255</v>
      </c>
      <c r="R1256" s="31">
        <f>_xll.qlInterestRateIndexMaturity(Index,Q1256,Trigger)</f>
        <v>62347</v>
      </c>
      <c r="S1256" s="32">
        <f>_xll.qlDayCounterYearFraction(DayCounter,Q1256,R1256,,,Trigger)</f>
        <v>0.25555555555555554</v>
      </c>
      <c r="T1256" s="33">
        <f>_xll.qlIndexFixing(Index,P1256,,AllTriggers)</f>
        <v>6.7623498768923504E-3</v>
      </c>
      <c r="U1256" s="34">
        <f>_xll.qlYieldTSDiscount(OisCurve,Q1256,,AllTriggers)</f>
        <v>0.6915729074321334</v>
      </c>
      <c r="V1256" s="34">
        <f>_xll.qlYieldTSDiscount(OisCurve,R1256,,AllTriggers)</f>
        <v>0.69043029497070996</v>
      </c>
      <c r="W1256" s="33">
        <f t="shared" si="83"/>
        <v>6.4758054113804768E-3</v>
      </c>
      <c r="X1256" s="35">
        <f t="shared" si="84"/>
        <v>7.3104370989332364E-5</v>
      </c>
      <c r="Y1256" s="33">
        <f t="shared" si="85"/>
        <v>2.8654446551187353E-4</v>
      </c>
      <c r="Z1256" s="54"/>
    </row>
    <row r="1257" spans="15:26" x14ac:dyDescent="0.25">
      <c r="O1257" s="37" t="s">
        <v>19</v>
      </c>
      <c r="P1257" s="31">
        <f>_xll.qlCalendarAdvance(Calendar,P1256,O1256,"f",,Trigger)</f>
        <v>62283</v>
      </c>
      <c r="Q1257" s="31">
        <f>_xll.qlInterestRateIndexValueDate(Index,P1257,Trigger)</f>
        <v>62285</v>
      </c>
      <c r="R1257" s="31">
        <f>_xll.qlInterestRateIndexMaturity(Index,Q1257,Trigger)</f>
        <v>62379</v>
      </c>
      <c r="S1257" s="32">
        <f>_xll.qlDayCounterYearFraction(DayCounter,Q1257,R1257,,,Trigger)</f>
        <v>0.26111111111111113</v>
      </c>
      <c r="T1257" s="33">
        <f>_xll.qlIndexFixing(Index,P1257,,AllTriggers)</f>
        <v>6.7710659384221713E-3</v>
      </c>
      <c r="U1257" s="34">
        <f>_xll.qlYieldTSDiscount(OisCurve,Q1257,,AllTriggers)</f>
        <v>0.69120063792865849</v>
      </c>
      <c r="V1257" s="34">
        <f>_xll.qlYieldTSDiscount(OisCurve,R1257,,AllTriggers)</f>
        <v>0.69003220057085024</v>
      </c>
      <c r="W1257" s="33">
        <f t="shared" si="83"/>
        <v>6.4850110951499979E-3</v>
      </c>
      <c r="X1257" s="35">
        <f t="shared" si="84"/>
        <v>7.4563055113070924E-5</v>
      </c>
      <c r="Y1257" s="33">
        <f t="shared" si="85"/>
        <v>2.8605484327217344E-4</v>
      </c>
      <c r="Z1257" s="54"/>
    </row>
    <row r="1258" spans="15:26" x14ac:dyDescent="0.25">
      <c r="O1258" s="37" t="s">
        <v>19</v>
      </c>
      <c r="P1258" s="31">
        <f>_xll.qlCalendarAdvance(Calendar,P1257,O1257,"f",,Trigger)</f>
        <v>62316</v>
      </c>
      <c r="Q1258" s="31">
        <f>_xll.qlInterestRateIndexValueDate(Index,P1258,Trigger)</f>
        <v>62318</v>
      </c>
      <c r="R1258" s="31">
        <f>_xll.qlInterestRateIndexMaturity(Index,Q1258,Trigger)</f>
        <v>62410</v>
      </c>
      <c r="S1258" s="32">
        <f>_xll.qlDayCounterYearFraction(DayCounter,Q1258,R1258,,,Trigger)</f>
        <v>0.25555555555555554</v>
      </c>
      <c r="T1258" s="33">
        <f>_xll.qlIndexFixing(Index,P1258,,AllTriggers)</f>
        <v>6.7796473192803467E-3</v>
      </c>
      <c r="U1258" s="34">
        <f>_xll.qlYieldTSDiscount(OisCurve,Q1258,,AllTriggers)</f>
        <v>0.69079077855500981</v>
      </c>
      <c r="V1258" s="34">
        <f>_xll.qlYieldTSDiscount(OisCurve,R1258,,AllTriggers)</f>
        <v>0.68964623757534838</v>
      </c>
      <c r="W1258" s="33">
        <f t="shared" si="83"/>
        <v>6.4941101278421891E-3</v>
      </c>
      <c r="X1258" s="35">
        <f t="shared" si="84"/>
        <v>7.2847060361882839E-5</v>
      </c>
      <c r="Y1258" s="33">
        <f t="shared" si="85"/>
        <v>2.8553719143815763E-4</v>
      </c>
      <c r="Z1258" s="54"/>
    </row>
    <row r="1259" spans="15:26" x14ac:dyDescent="0.25">
      <c r="O1259" s="37" t="s">
        <v>19</v>
      </c>
      <c r="P1259" s="31">
        <f>_xll.qlCalendarAdvance(Calendar,P1258,O1258,"f",,Trigger)</f>
        <v>62347</v>
      </c>
      <c r="Q1259" s="31">
        <f>_xll.qlInterestRateIndexValueDate(Index,P1259,Trigger)</f>
        <v>62351</v>
      </c>
      <c r="R1259" s="31">
        <f>_xll.qlInterestRateIndexMaturity(Index,Q1259,Trigger)</f>
        <v>62442</v>
      </c>
      <c r="S1259" s="32">
        <f>_xll.qlDayCounterYearFraction(DayCounter,Q1259,R1259,,,Trigger)</f>
        <v>0.25277777777777777</v>
      </c>
      <c r="T1259" s="33">
        <f>_xll.qlIndexFixing(Index,P1259,,AllTriggers)</f>
        <v>6.7882580638484484E-3</v>
      </c>
      <c r="U1259" s="34">
        <f>_xll.qlYieldTSDiscount(OisCurve,Q1259,,AllTriggers)</f>
        <v>0.69038055128076592</v>
      </c>
      <c r="V1259" s="34">
        <f>_xll.qlYieldTSDiscount(OisCurve,R1259,,AllTriggers)</f>
        <v>0.68924751634509029</v>
      </c>
      <c r="W1259" s="33">
        <f t="shared" si="83"/>
        <v>6.5032312818987352E-3</v>
      </c>
      <c r="X1259" s="35">
        <f t="shared" si="84"/>
        <v>7.1927605641381668E-5</v>
      </c>
      <c r="Y1259" s="33">
        <f t="shared" si="85"/>
        <v>2.8502678194971317E-4</v>
      </c>
      <c r="Z1259" s="54"/>
    </row>
    <row r="1260" spans="15:26" x14ac:dyDescent="0.25">
      <c r="O1260" s="37" t="s">
        <v>19</v>
      </c>
      <c r="P1260" s="31">
        <f>_xll.qlCalendarAdvance(Calendar,P1259,O1259,"f",,Trigger)</f>
        <v>62379</v>
      </c>
      <c r="Q1260" s="31">
        <f>_xll.qlInterestRateIndexValueDate(Index,P1260,Trigger)</f>
        <v>62381</v>
      </c>
      <c r="R1260" s="31">
        <f>_xll.qlInterestRateIndexMaturity(Index,Q1260,Trigger)</f>
        <v>62473</v>
      </c>
      <c r="S1260" s="32">
        <f>_xll.qlDayCounterYearFraction(DayCounter,Q1260,R1260,,,Trigger)</f>
        <v>0.25555555555555554</v>
      </c>
      <c r="T1260" s="33">
        <f>_xll.qlIndexFixing(Index,P1260,,AllTriggers)</f>
        <v>6.7963058781665879E-3</v>
      </c>
      <c r="U1260" s="34">
        <f>_xll.qlYieldTSDiscount(OisCurve,Q1260,,AllTriggers)</f>
        <v>0.69000730879500649</v>
      </c>
      <c r="V1260" s="34">
        <f>_xll.qlYieldTSDiscount(OisCurve,R1260,,AllTriggers)</f>
        <v>0.68886096766965499</v>
      </c>
      <c r="W1260" s="33">
        <f t="shared" si="83"/>
        <v>6.5117387614420322E-3</v>
      </c>
      <c r="X1260" s="35">
        <f t="shared" si="84"/>
        <v>7.2599254612694508E-5</v>
      </c>
      <c r="Y1260" s="33">
        <f t="shared" si="85"/>
        <v>2.845671167245557E-4</v>
      </c>
      <c r="Z1260" s="54"/>
    </row>
    <row r="1261" spans="15:26" x14ac:dyDescent="0.25">
      <c r="O1261" s="37" t="s">
        <v>19</v>
      </c>
      <c r="P1261" s="31">
        <f>_xll.qlCalendarAdvance(Calendar,P1260,O1260,"f",,Trigger)</f>
        <v>62410</v>
      </c>
      <c r="Q1261" s="31">
        <f>_xll.qlInterestRateIndexValueDate(Index,P1261,Trigger)</f>
        <v>62414</v>
      </c>
      <c r="R1261" s="31">
        <f>_xll.qlInterestRateIndexMaturity(Index,Q1261,Trigger)</f>
        <v>62506</v>
      </c>
      <c r="S1261" s="32">
        <f>_xll.qlDayCounterYearFraction(DayCounter,Q1261,R1261,,,Trigger)</f>
        <v>0.25555555555555554</v>
      </c>
      <c r="T1261" s="33">
        <f>_xll.qlIndexFixing(Index,P1261,,AllTriggers)</f>
        <v>6.8047768133025375E-3</v>
      </c>
      <c r="U1261" s="34">
        <f>_xll.qlYieldTSDiscount(OisCurve,Q1261,,AllTriggers)</f>
        <v>0.68959641429345886</v>
      </c>
      <c r="V1261" s="34">
        <f>_xll.qlYieldTSDiscount(OisCurve,R1261,,AllTriggers)</f>
        <v>0.6884491812877126</v>
      </c>
      <c r="W1261" s="33">
        <f t="shared" si="83"/>
        <v>6.5207029846188307E-3</v>
      </c>
      <c r="X1261" s="35">
        <f t="shared" si="84"/>
        <v>7.2473244931473563E-5</v>
      </c>
      <c r="Y1261" s="33">
        <f t="shared" si="85"/>
        <v>2.8407382868370686E-4</v>
      </c>
      <c r="Z1261" s="54"/>
    </row>
    <row r="1262" spans="15:26" x14ac:dyDescent="0.25">
      <c r="O1262" s="37" t="s">
        <v>19</v>
      </c>
      <c r="P1262" s="31">
        <f>_xll.qlCalendarAdvance(Calendar,P1261,O1261,"f",,Trigger)</f>
        <v>62442</v>
      </c>
      <c r="Q1262" s="31">
        <f>_xll.qlInterestRateIndexValueDate(Index,P1262,Trigger)</f>
        <v>62444</v>
      </c>
      <c r="R1262" s="31">
        <f>_xll.qlInterestRateIndexMaturity(Index,Q1262,Trigger)</f>
        <v>62534</v>
      </c>
      <c r="S1262" s="32">
        <f>_xll.qlDayCounterYearFraction(DayCounter,Q1262,R1262,,,Trigger)</f>
        <v>0.25</v>
      </c>
      <c r="T1262" s="33">
        <f>_xll.qlIndexFixing(Index,P1262,,AllTriggers)</f>
        <v>6.8119498719543259E-3</v>
      </c>
      <c r="U1262" s="34">
        <f>_xll.qlYieldTSDiscount(OisCurve,Q1262,,AllTriggers)</f>
        <v>0.68922258614357967</v>
      </c>
      <c r="V1262" s="34">
        <f>_xll.qlYieldTSDiscount(OisCurve,R1262,,AllTriggers)</f>
        <v>0.68809955404144929</v>
      </c>
      <c r="W1262" s="33">
        <f t="shared" si="83"/>
        <v>6.5283117568348814E-3</v>
      </c>
      <c r="X1262" s="35">
        <f t="shared" si="84"/>
        <v>7.0791481698601641E-5</v>
      </c>
      <c r="Y1262" s="33">
        <f t="shared" si="85"/>
        <v>2.8363811511944448E-4</v>
      </c>
      <c r="Z1262" s="54"/>
    </row>
    <row r="1263" spans="15:26" x14ac:dyDescent="0.25">
      <c r="O1263" s="37" t="s">
        <v>19</v>
      </c>
      <c r="P1263" s="31">
        <f>_xll.qlCalendarAdvance(Calendar,P1262,O1262,"f",,Trigger)</f>
        <v>62473</v>
      </c>
      <c r="Q1263" s="31">
        <f>_xll.qlInterestRateIndexValueDate(Index,P1263,Trigger)</f>
        <v>62477</v>
      </c>
      <c r="R1263" s="31">
        <f>_xll.qlInterestRateIndexMaturity(Index,Q1263,Trigger)</f>
        <v>62569</v>
      </c>
      <c r="S1263" s="32">
        <f>_xll.qlDayCounterYearFraction(DayCounter,Q1263,R1263,,,Trigger)</f>
        <v>0.25555555555555554</v>
      </c>
      <c r="T1263" s="33">
        <f>_xll.qlIndexFixing(Index,P1263,,AllTriggers)</f>
        <v>6.8204618198639353E-3</v>
      </c>
      <c r="U1263" s="34">
        <f>_xll.qlYieldTSDiscount(OisCurve,Q1263,,AllTriggers)</f>
        <v>0.68881107035953137</v>
      </c>
      <c r="V1263" s="34">
        <f>_xll.qlYieldTSDiscount(OisCurve,R1263,,AllTriggers)</f>
        <v>0.68766223179400865</v>
      </c>
      <c r="W1263" s="33">
        <f t="shared" ref="W1263:W1310" si="86">(U1263/V1263-1)/S1263</f>
        <v>6.5373013792905926E-3</v>
      </c>
      <c r="X1263" s="35">
        <f t="shared" ref="X1263:X1310" si="87">LN((1+T1263*S1263)/(1+W1263*S1263))</f>
        <v>7.2239922805694676E-5</v>
      </c>
      <c r="Y1263" s="33">
        <f t="shared" si="85"/>
        <v>2.8316044057334275E-4</v>
      </c>
      <c r="Z1263" s="54"/>
    </row>
    <row r="1264" spans="15:26" x14ac:dyDescent="0.25">
      <c r="O1264" s="37" t="s">
        <v>19</v>
      </c>
      <c r="P1264" s="31">
        <f>_xll.qlCalendarAdvance(Calendar,P1263,O1263,"f",,Trigger)</f>
        <v>62505</v>
      </c>
      <c r="Q1264" s="31">
        <f>_xll.qlInterestRateIndexValueDate(Index,P1264,Trigger)</f>
        <v>62507</v>
      </c>
      <c r="R1264" s="31">
        <f>_xll.qlInterestRateIndexMaturity(Index,Q1264,Trigger)</f>
        <v>62596</v>
      </c>
      <c r="S1264" s="32">
        <f>_xll.qlDayCounterYearFraction(DayCounter,Q1264,R1264,,,Trigger)</f>
        <v>0.24722222222222223</v>
      </c>
      <c r="T1264" s="33">
        <f>_xll.qlIndexFixing(Index,P1264,,AllTriggers)</f>
        <v>6.827157068541455E-3</v>
      </c>
      <c r="U1264" s="34">
        <f>_xll.qlYieldTSDiscount(OisCurve,Q1264,,AllTriggers)</f>
        <v>0.68843669822621067</v>
      </c>
      <c r="V1264" s="34">
        <f>_xll.qlYieldTSDiscount(OisCurve,R1264,,AllTriggers)</f>
        <v>0.68732465884656557</v>
      </c>
      <c r="W1264" s="33">
        <f t="shared" si="86"/>
        <v>6.5444135586383836E-3</v>
      </c>
      <c r="X1264" s="35">
        <f t="shared" si="87"/>
        <v>6.9785132784920602E-5</v>
      </c>
      <c r="Y1264" s="33">
        <f t="shared" si="85"/>
        <v>2.8274350990307139E-4</v>
      </c>
      <c r="Z1264" s="54"/>
    </row>
    <row r="1265" spans="15:26" x14ac:dyDescent="0.25">
      <c r="O1265" s="37" t="s">
        <v>19</v>
      </c>
      <c r="P1265" s="31">
        <f>_xll.qlCalendarAdvance(Calendar,P1264,O1264,"f",,Trigger)</f>
        <v>62533</v>
      </c>
      <c r="Q1265" s="31">
        <f>_xll.qlInterestRateIndexValueDate(Index,P1265,Trigger)</f>
        <v>62535</v>
      </c>
      <c r="R1265" s="31">
        <f>_xll.qlInterestRateIndexMaturity(Index,Q1265,Trigger)</f>
        <v>62627</v>
      </c>
      <c r="S1265" s="32">
        <f>_xll.qlDayCounterYearFraction(DayCounter,Q1265,R1265,,,Trigger)</f>
        <v>0.25555555555555554</v>
      </c>
      <c r="T1265" s="33">
        <f>_xll.qlIndexFixing(Index,P1265,,AllTriggers)</f>
        <v>6.8343371291159352E-3</v>
      </c>
      <c r="U1265" s="34">
        <f>_xll.qlYieldTSDiscount(OisCurve,Q1265,,AllTriggers)</f>
        <v>0.68808706350671978</v>
      </c>
      <c r="V1265" s="34">
        <f>_xll.qlYieldTSDiscount(OisCurve,R1265,,AllTriggers)</f>
        <v>0.68693685911654268</v>
      </c>
      <c r="W1265" s="33">
        <f t="shared" si="86"/>
        <v>6.5519846954170445E-3</v>
      </c>
      <c r="X1265" s="35">
        <f t="shared" si="87"/>
        <v>7.2033521588909263E-5</v>
      </c>
      <c r="Y1265" s="33">
        <f t="shared" si="85"/>
        <v>2.8235243369889064E-4</v>
      </c>
      <c r="Z1265" s="54"/>
    </row>
    <row r="1266" spans="15:26" x14ac:dyDescent="0.25">
      <c r="O1266" s="37" t="s">
        <v>19</v>
      </c>
      <c r="P1266" s="31">
        <f>_xll.qlCalendarAdvance(Calendar,P1265,O1265,"f",,Trigger)</f>
        <v>62564</v>
      </c>
      <c r="Q1266" s="31">
        <f>_xll.qlInterestRateIndexValueDate(Index,P1266,Trigger)</f>
        <v>62570</v>
      </c>
      <c r="R1266" s="31">
        <f>_xll.qlInterestRateIndexMaturity(Index,Q1266,Trigger)</f>
        <v>62661</v>
      </c>
      <c r="S1266" s="32">
        <f>_xll.qlDayCounterYearFraction(DayCounter,Q1266,R1266,,,Trigger)</f>
        <v>0.25277777777777777</v>
      </c>
      <c r="T1266" s="33">
        <f>_xll.qlIndexFixing(Index,P1266,,AllTriggers)</f>
        <v>6.8422699317137259E-3</v>
      </c>
      <c r="U1266" s="34">
        <f>_xll.qlYieldTSDiscount(OisCurve,Q1266,,AllTriggers)</f>
        <v>0.68764973230089732</v>
      </c>
      <c r="V1266" s="34">
        <f>_xll.qlYieldTSDiscount(OisCurve,R1266,,AllTriggers)</f>
        <v>0.68651127663123657</v>
      </c>
      <c r="W1266" s="33">
        <f t="shared" si="86"/>
        <v>6.5603884808505871E-3</v>
      </c>
      <c r="X1266" s="35">
        <f t="shared" si="87"/>
        <v>7.1132871454400635E-5</v>
      </c>
      <c r="Y1266" s="33">
        <f t="shared" si="85"/>
        <v>2.8188145086313881E-4</v>
      </c>
      <c r="Z1266" s="54"/>
    </row>
    <row r="1267" spans="15:26" x14ac:dyDescent="0.25">
      <c r="O1267" s="37" t="s">
        <v>19</v>
      </c>
      <c r="P1267" s="31">
        <f>_xll.qlCalendarAdvance(Calendar,P1266,O1266,"f",,Trigger)</f>
        <v>62596</v>
      </c>
      <c r="Q1267" s="31">
        <f>_xll.qlInterestRateIndexValueDate(Index,P1267,Trigger)</f>
        <v>62598</v>
      </c>
      <c r="R1267" s="31">
        <f>_xll.qlInterestRateIndexMaturity(Index,Q1267,Trigger)</f>
        <v>62690</v>
      </c>
      <c r="S1267" s="32">
        <f>_xll.qlDayCounterYearFraction(DayCounter,Q1267,R1267,,,Trigger)</f>
        <v>0.25555555555555554</v>
      </c>
      <c r="T1267" s="33">
        <f>_xll.qlIndexFixing(Index,P1267,,AllTriggers)</f>
        <v>6.8487950288681253E-3</v>
      </c>
      <c r="U1267" s="34">
        <f>_xll.qlYieldTSDiscount(OisCurve,Q1267,,AllTriggers)</f>
        <v>0.68729964637907304</v>
      </c>
      <c r="V1267" s="34">
        <f>_xll.qlYieldTSDiscount(OisCurve,R1267,,AllTriggers)</f>
        <v>0.68614807990746673</v>
      </c>
      <c r="W1267" s="33">
        <f t="shared" si="86"/>
        <v>6.5672845315116173E-3</v>
      </c>
      <c r="X1267" s="35">
        <f t="shared" si="87"/>
        <v>7.181845486429732E-5</v>
      </c>
      <c r="Y1267" s="33">
        <f t="shared" si="85"/>
        <v>2.8151049735650798E-4</v>
      </c>
      <c r="Z1267" s="54"/>
    </row>
    <row r="1268" spans="15:26" x14ac:dyDescent="0.25">
      <c r="O1268" s="37" t="s">
        <v>19</v>
      </c>
      <c r="P1268" s="31">
        <f>_xll.qlCalendarAdvance(Calendar,P1267,O1267,"f",,Trigger)</f>
        <v>62627</v>
      </c>
      <c r="Q1268" s="31">
        <f>_xll.qlInterestRateIndexValueDate(Index,P1268,Trigger)</f>
        <v>62631</v>
      </c>
      <c r="R1268" s="31">
        <f>_xll.qlInterestRateIndexMaturity(Index,Q1268,Trigger)</f>
        <v>62723</v>
      </c>
      <c r="S1268" s="32">
        <f>_xll.qlDayCounterYearFraction(DayCounter,Q1268,R1268,,,Trigger)</f>
        <v>0.25555555555555554</v>
      </c>
      <c r="T1268" s="33">
        <f>_xll.qlIndexFixing(Index,P1268,,AllTriggers)</f>
        <v>6.8561132274795782E-3</v>
      </c>
      <c r="U1268" s="34">
        <f>_xll.qlYieldTSDiscount(OisCurve,Q1268,,AllTriggers)</f>
        <v>0.68688680412533554</v>
      </c>
      <c r="V1268" s="34">
        <f>_xll.qlYieldTSDiscount(OisCurve,R1268,,AllTriggers)</f>
        <v>0.6857345744943838</v>
      </c>
      <c r="W1268" s="33">
        <f t="shared" si="86"/>
        <v>6.5750288968276054E-3</v>
      </c>
      <c r="X1268" s="35">
        <f t="shared" si="87"/>
        <v>7.1709594195738308E-5</v>
      </c>
      <c r="Y1268" s="33">
        <f t="shared" si="85"/>
        <v>2.8108433065197284E-4</v>
      </c>
      <c r="Z1268" s="54"/>
    </row>
    <row r="1269" spans="15:26" x14ac:dyDescent="0.25">
      <c r="O1269" s="37" t="s">
        <v>19</v>
      </c>
      <c r="P1269" s="31">
        <f>_xll.qlCalendarAdvance(Calendar,P1268,O1268,"f",,Trigger)</f>
        <v>62659</v>
      </c>
      <c r="Q1269" s="31">
        <f>_xll.qlInterestRateIndexValueDate(Index,P1269,Trigger)</f>
        <v>62661</v>
      </c>
      <c r="R1269" s="31">
        <f>_xll.qlInterestRateIndexMaturity(Index,Q1269,Trigger)</f>
        <v>62753</v>
      </c>
      <c r="S1269" s="32">
        <f>_xll.qlDayCounterYearFraction(DayCounter,Q1269,R1269,,,Trigger)</f>
        <v>0.25555555555555554</v>
      </c>
      <c r="T1269" s="33">
        <f>_xll.qlIndexFixing(Index,P1269,,AllTriggers)</f>
        <v>6.8626140113056079E-3</v>
      </c>
      <c r="U1269" s="34">
        <f>_xll.qlYieldTSDiscount(OisCurve,Q1269,,AllTriggers)</f>
        <v>0.68651127663123657</v>
      </c>
      <c r="V1269" s="34">
        <f>_xll.qlYieldTSDiscount(OisCurve,R1269,,AllTriggers)</f>
        <v>0.6853584740576063</v>
      </c>
      <c r="W1269" s="33">
        <f t="shared" si="86"/>
        <v>6.5819082468763519E-3</v>
      </c>
      <c r="X1269" s="35">
        <f t="shared" si="87"/>
        <v>7.1612893017747157E-5</v>
      </c>
      <c r="Y1269" s="33">
        <f t="shared" si="85"/>
        <v>2.8070576442925602E-4</v>
      </c>
      <c r="Z1269" s="54"/>
    </row>
    <row r="1270" spans="15:26" x14ac:dyDescent="0.25">
      <c r="O1270" s="37" t="s">
        <v>19</v>
      </c>
      <c r="P1270" s="31">
        <f>_xll.qlCalendarAdvance(Calendar,P1269,O1269,"f",,Trigger)</f>
        <v>62690</v>
      </c>
      <c r="Q1270" s="31">
        <f>_xll.qlInterestRateIndexValueDate(Index,P1270,Trigger)</f>
        <v>62694</v>
      </c>
      <c r="R1270" s="31">
        <f>_xll.qlInterestRateIndexMaturity(Index,Q1270,Trigger)</f>
        <v>62786</v>
      </c>
      <c r="S1270" s="32">
        <f>_xll.qlDayCounterYearFraction(DayCounter,Q1270,R1270,,,Trigger)</f>
        <v>0.25555555555555554</v>
      </c>
      <c r="T1270" s="33">
        <f>_xll.qlIndexFixing(Index,P1270,,AllTriggers)</f>
        <v>6.8695975362248239E-3</v>
      </c>
      <c r="U1270" s="34">
        <f>_xll.qlYieldTSDiscount(OisCurve,Q1270,,AllTriggers)</f>
        <v>0.6860979698727927</v>
      </c>
      <c r="V1270" s="34">
        <f>_xll.qlYieldTSDiscount(OisCurve,R1270,,AllTriggers)</f>
        <v>0.68494456991227781</v>
      </c>
      <c r="W1270" s="33">
        <f t="shared" si="86"/>
        <v>6.5892984506722291E-3</v>
      </c>
      <c r="X1270" s="35">
        <f t="shared" si="87"/>
        <v>7.1509011094563401E-5</v>
      </c>
      <c r="Y1270" s="33">
        <f t="shared" si="85"/>
        <v>2.8029908555259487E-4</v>
      </c>
      <c r="Z1270" s="54"/>
    </row>
    <row r="1271" spans="15:26" x14ac:dyDescent="0.25">
      <c r="O1271" s="37" t="s">
        <v>19</v>
      </c>
      <c r="P1271" s="31">
        <f>_xll.qlCalendarAdvance(Calendar,P1270,O1270,"f",,Trigger)</f>
        <v>62722</v>
      </c>
      <c r="Q1271" s="31">
        <f>_xll.qlInterestRateIndexValueDate(Index,P1271,Trigger)</f>
        <v>62724</v>
      </c>
      <c r="R1271" s="31">
        <f>_xll.qlInterestRateIndexMaturity(Index,Q1271,Trigger)</f>
        <v>62815</v>
      </c>
      <c r="S1271" s="32">
        <f>_xll.qlDayCounterYearFraction(DayCounter,Q1271,R1271,,,Trigger)</f>
        <v>0.25277777777777777</v>
      </c>
      <c r="T1271" s="33">
        <f>_xll.qlIndexFixing(Index,P1271,,AllTriggers)</f>
        <v>6.8756275877946103E-3</v>
      </c>
      <c r="U1271" s="34">
        <f>_xll.qlYieldTSDiscount(OisCurve,Q1271,,AllTriggers)</f>
        <v>0.68572204061725373</v>
      </c>
      <c r="V1271" s="34">
        <f>_xll.qlYieldTSDiscount(OisCurve,R1271,,AllTriggers)</f>
        <v>0.68458067790749277</v>
      </c>
      <c r="W1271" s="33">
        <f t="shared" si="86"/>
        <v>6.5956887118192318E-3</v>
      </c>
      <c r="X1271" s="35">
        <f t="shared" si="87"/>
        <v>7.0642050112752915E-5</v>
      </c>
      <c r="Y1271" s="33">
        <f t="shared" si="85"/>
        <v>2.7993887597537858E-4</v>
      </c>
      <c r="Z1271" s="54"/>
    </row>
    <row r="1272" spans="15:26" x14ac:dyDescent="0.25">
      <c r="O1272" s="37" t="s">
        <v>19</v>
      </c>
      <c r="P1272" s="31">
        <f>_xll.qlCalendarAdvance(Calendar,P1271,O1271,"f",,Trigger)</f>
        <v>62752</v>
      </c>
      <c r="Q1272" s="31">
        <f>_xll.qlInterestRateIndexValueDate(Index,P1272,Trigger)</f>
        <v>62754</v>
      </c>
      <c r="R1272" s="31">
        <f>_xll.qlInterestRateIndexMaturity(Index,Q1272,Trigger)</f>
        <v>62848</v>
      </c>
      <c r="S1272" s="32">
        <f>_xll.qlDayCounterYearFraction(DayCounter,Q1272,R1272,,,Trigger)</f>
        <v>0.26111111111111113</v>
      </c>
      <c r="T1272" s="33">
        <f>_xll.qlIndexFixing(Index,P1272,,AllTriggers)</f>
        <v>6.8821739391862861E-3</v>
      </c>
      <c r="U1272" s="34">
        <f>_xll.qlYieldTSDiscount(OisCurve,Q1272,,AllTriggers)</f>
        <v>0.68534593443202896</v>
      </c>
      <c r="V1272" s="34">
        <f>_xll.qlYieldTSDiscount(OisCurve,R1272,,AllTriggers)</f>
        <v>0.68416642509853742</v>
      </c>
      <c r="W1272" s="33">
        <f t="shared" si="86"/>
        <v>6.6025891100827926E-3</v>
      </c>
      <c r="X1272" s="35">
        <f t="shared" si="87"/>
        <v>7.2874409229839015E-5</v>
      </c>
      <c r="Y1272" s="33">
        <f t="shared" si="85"/>
        <v>2.7958482910349358E-4</v>
      </c>
      <c r="Z1272" s="54"/>
    </row>
    <row r="1273" spans="15:26" x14ac:dyDescent="0.25">
      <c r="O1273" s="37" t="s">
        <v>19</v>
      </c>
      <c r="P1273" s="31">
        <f>_xll.qlCalendarAdvance(Calendar,P1272,O1272,"f",,Trigger)</f>
        <v>62785</v>
      </c>
      <c r="Q1273" s="31">
        <f>_xll.qlInterestRateIndexValueDate(Index,P1273,Trigger)</f>
        <v>62787</v>
      </c>
      <c r="R1273" s="31">
        <f>_xll.qlInterestRateIndexMaturity(Index,Q1273,Trigger)</f>
        <v>62879</v>
      </c>
      <c r="S1273" s="32">
        <f>_xll.qlDayCounterYearFraction(DayCounter,Q1273,R1273,,,Trigger)</f>
        <v>0.25555555555555554</v>
      </c>
      <c r="T1273" s="33">
        <f>_xll.qlIndexFixing(Index,P1273,,AllTriggers)</f>
        <v>6.8883351975143501E-3</v>
      </c>
      <c r="U1273" s="34">
        <f>_xll.qlYieldTSDiscount(OisCurve,Q1273,,AllTriggers)</f>
        <v>0.68493202431933031</v>
      </c>
      <c r="V1273" s="34">
        <f>_xll.qlYieldTSDiscount(OisCurve,R1273,,AllTriggers)</f>
        <v>0.68377712530500689</v>
      </c>
      <c r="W1273" s="33">
        <f t="shared" si="86"/>
        <v>6.6091272854915482E-3</v>
      </c>
      <c r="X1273" s="35">
        <f t="shared" si="87"/>
        <v>7.1230283958472235E-5</v>
      </c>
      <c r="Y1273" s="33">
        <f t="shared" si="85"/>
        <v>2.7920791202280196E-4</v>
      </c>
      <c r="Z1273" s="54"/>
    </row>
    <row r="1274" spans="15:26" x14ac:dyDescent="0.25">
      <c r="O1274" s="37" t="s">
        <v>19</v>
      </c>
      <c r="P1274" s="31">
        <f>_xll.qlCalendarAdvance(Calendar,P1273,O1273,"f",,Trigger)</f>
        <v>62815</v>
      </c>
      <c r="Q1274" s="31">
        <f>_xll.qlInterestRateIndexValueDate(Index,P1274,Trigger)</f>
        <v>62820</v>
      </c>
      <c r="R1274" s="31">
        <f>_xll.qlInterestRateIndexMaturity(Index,Q1274,Trigger)</f>
        <v>62911</v>
      </c>
      <c r="S1274" s="32">
        <f>_xll.qlDayCounterYearFraction(DayCounter,Q1274,R1274,,,Trigger)</f>
        <v>0.25277777777777777</v>
      </c>
      <c r="T1274" s="33">
        <f>_xll.qlIndexFixing(Index,P1274,,AllTriggers)</f>
        <v>6.8944902497667651E-3</v>
      </c>
      <c r="U1274" s="34">
        <f>_xll.qlYieldTSDiscount(OisCurve,Q1274,,AllTriggers)</f>
        <v>0.68451792361050678</v>
      </c>
      <c r="V1274" s="34">
        <f>_xll.qlYieldTSDiscount(OisCurve,R1274,,AllTriggers)</f>
        <v>0.68337512272804524</v>
      </c>
      <c r="W1274" s="33">
        <f t="shared" si="86"/>
        <v>6.615649843933486E-3</v>
      </c>
      <c r="X1274" s="35">
        <f t="shared" si="87"/>
        <v>7.0364508548732875E-5</v>
      </c>
      <c r="Y1274" s="33">
        <f t="shared" si="85"/>
        <v>2.7884040583327913E-4</v>
      </c>
      <c r="Z1274" s="54"/>
    </row>
    <row r="1275" spans="15:26" x14ac:dyDescent="0.25">
      <c r="O1275" s="37" t="s">
        <v>19</v>
      </c>
      <c r="P1275" s="31">
        <f>_xll.qlCalendarAdvance(Calendar,P1274,O1274,"f",,Trigger)</f>
        <v>62848</v>
      </c>
      <c r="Q1275" s="31">
        <f>_xll.qlInterestRateIndexValueDate(Index,P1275,Trigger)</f>
        <v>62850</v>
      </c>
      <c r="R1275" s="31">
        <f>_xll.qlInterestRateIndexMaturity(Index,Q1275,Trigger)</f>
        <v>62941</v>
      </c>
      <c r="S1275" s="32">
        <f>_xll.qlDayCounterYearFraction(DayCounter,Q1275,R1275,,,Trigger)</f>
        <v>0.25277777777777777</v>
      </c>
      <c r="T1275" s="33">
        <f>_xll.qlIndexFixing(Index,P1275,,AllTriggers)</f>
        <v>6.9000805812374716E-3</v>
      </c>
      <c r="U1275" s="34">
        <f>_xll.qlYieldTSDiscount(OisCurve,Q1275,,AllTriggers)</f>
        <v>0.68414131334681227</v>
      </c>
      <c r="V1275" s="34">
        <f>_xll.qlYieldTSDiscount(OisCurve,R1275,,AllTriggers)</f>
        <v>0.68299812156081374</v>
      </c>
      <c r="W1275" s="33">
        <f t="shared" si="86"/>
        <v>6.6215657303182089E-3</v>
      </c>
      <c r="X1275" s="35">
        <f t="shared" si="87"/>
        <v>7.0282253745031133E-5</v>
      </c>
      <c r="Y1275" s="33">
        <f t="shared" si="85"/>
        <v>2.7851485091926267E-4</v>
      </c>
      <c r="Z1275" s="54"/>
    </row>
    <row r="1276" spans="15:26" x14ac:dyDescent="0.25">
      <c r="O1276" s="37" t="s">
        <v>19</v>
      </c>
      <c r="P1276" s="31">
        <f>_xll.qlCalendarAdvance(Calendar,P1275,O1275,"f",,Trigger)</f>
        <v>62879</v>
      </c>
      <c r="Q1276" s="31">
        <f>_xll.qlInterestRateIndexValueDate(Index,P1276,Trigger)</f>
        <v>62883</v>
      </c>
      <c r="R1276" s="31">
        <f>_xll.qlInterestRateIndexMaturity(Index,Q1276,Trigger)</f>
        <v>62975</v>
      </c>
      <c r="S1276" s="32">
        <f>_xll.qlDayCounterYearFraction(DayCounter,Q1276,R1276,,,Trigger)</f>
        <v>0.25555555555555554</v>
      </c>
      <c r="T1276" s="33">
        <f>_xll.qlIndexFixing(Index,P1276,,AllTriggers)</f>
        <v>6.906216872716647E-3</v>
      </c>
      <c r="U1276" s="34">
        <f>_xll.qlYieldTSDiscount(OisCurve,Q1276,,AllTriggers)</f>
        <v>0.68372688280144844</v>
      </c>
      <c r="V1276" s="34">
        <f>_xll.qlYieldTSDiscount(OisCurve,R1276,,AllTriggers)</f>
        <v>0.68257072057408641</v>
      </c>
      <c r="W1276" s="33">
        <f t="shared" si="86"/>
        <v>6.6280502916761588E-3</v>
      </c>
      <c r="X1276" s="35">
        <f t="shared" si="87"/>
        <v>7.0964291059494981E-5</v>
      </c>
      <c r="Y1276" s="33">
        <f t="shared" si="85"/>
        <v>2.7816658104048812E-4</v>
      </c>
      <c r="Z1276" s="54"/>
    </row>
    <row r="1277" spans="15:26" x14ac:dyDescent="0.25">
      <c r="O1277" s="37" t="s">
        <v>19</v>
      </c>
      <c r="P1277" s="31">
        <f>_xll.qlCalendarAdvance(Calendar,P1276,O1276,"f",,Trigger)</f>
        <v>62908</v>
      </c>
      <c r="Q1277" s="31">
        <f>_xll.qlInterestRateIndexValueDate(Index,P1277,Trigger)</f>
        <v>62912</v>
      </c>
      <c r="R1277" s="31">
        <f>_xll.qlInterestRateIndexMaturity(Index,Q1277,Trigger)</f>
        <v>63004</v>
      </c>
      <c r="S1277" s="32">
        <f>_xll.qlDayCounterYearFraction(DayCounter,Q1277,R1277,,,Trigger)</f>
        <v>0.25555555555555554</v>
      </c>
      <c r="T1277" s="33">
        <f>_xll.qlIndexFixing(Index,P1277,,AllTriggers)</f>
        <v>6.9113268462140318E-3</v>
      </c>
      <c r="U1277" s="34">
        <f>_xll.qlYieldTSDiscount(OisCurve,Q1277,,AllTriggers)</f>
        <v>0.68336255789790701</v>
      </c>
      <c r="V1277" s="34">
        <f>_xll.qlYieldTSDiscount(OisCurve,R1277,,AllTriggers)</f>
        <v>0.68220607056662863</v>
      </c>
      <c r="W1277" s="33">
        <f t="shared" si="86"/>
        <v>6.6334578430115665E-3</v>
      </c>
      <c r="X1277" s="35">
        <f t="shared" si="87"/>
        <v>7.0888279575215358E-5</v>
      </c>
      <c r="Y1277" s="33">
        <f t="shared" si="85"/>
        <v>2.7786900320246524E-4</v>
      </c>
      <c r="Z1277" s="54"/>
    </row>
    <row r="1278" spans="15:26" x14ac:dyDescent="0.25">
      <c r="O1278" s="37" t="s">
        <v>19</v>
      </c>
      <c r="P1278" s="31">
        <f>_xll.qlCalendarAdvance(Calendar,P1277,O1277,"f",,Trigger)</f>
        <v>62939</v>
      </c>
      <c r="Q1278" s="31">
        <f>_xll.qlInterestRateIndexValueDate(Index,P1278,Trigger)</f>
        <v>62941</v>
      </c>
      <c r="R1278" s="31">
        <f>_xll.qlInterestRateIndexMaturity(Index,Q1278,Trigger)</f>
        <v>63032</v>
      </c>
      <c r="S1278" s="32">
        <f>_xll.qlDayCounterYearFraction(DayCounter,Q1278,R1278,,,Trigger)</f>
        <v>0.25277777777777777</v>
      </c>
      <c r="T1278" s="33">
        <f>_xll.qlIndexFixing(Index,P1278,,AllTriggers)</f>
        <v>6.9161516408467278E-3</v>
      </c>
      <c r="U1278" s="34">
        <f>_xll.qlYieldTSDiscount(OisCurve,Q1278,,AllTriggers)</f>
        <v>0.68299812156081374</v>
      </c>
      <c r="V1278" s="34">
        <f>_xll.qlYieldTSDiscount(OisCurve,R1278,,AllTriggers)</f>
        <v>0.68185391365401771</v>
      </c>
      <c r="W1278" s="33">
        <f t="shared" si="86"/>
        <v>6.6385726964314088E-3</v>
      </c>
      <c r="X1278" s="35">
        <f t="shared" si="87"/>
        <v>7.0045788653830255E-5</v>
      </c>
      <c r="Y1278" s="33">
        <f t="shared" si="85"/>
        <v>2.7757894441531906E-4</v>
      </c>
      <c r="Z1278" s="54"/>
    </row>
    <row r="1279" spans="15:26" x14ac:dyDescent="0.25">
      <c r="O1279" s="37" t="s">
        <v>19</v>
      </c>
      <c r="P1279" s="31">
        <f>_xll.qlCalendarAdvance(Calendar,P1278,O1278,"f",,Trigger)</f>
        <v>62969</v>
      </c>
      <c r="Q1279" s="31">
        <f>_xll.qlInterestRateIndexValueDate(Index,P1279,Trigger)</f>
        <v>62971</v>
      </c>
      <c r="R1279" s="31">
        <f>_xll.qlInterestRateIndexMaturity(Index,Q1279,Trigger)</f>
        <v>63065</v>
      </c>
      <c r="S1279" s="32">
        <f>_xll.qlDayCounterYearFraction(DayCounter,Q1279,R1279,,,Trigger)</f>
        <v>0.26111111111111113</v>
      </c>
      <c r="T1279" s="33">
        <f>_xll.qlIndexFixing(Index,P1279,,AllTriggers)</f>
        <v>6.9215998777843891E-3</v>
      </c>
      <c r="U1279" s="34">
        <f>_xll.qlYieldTSDiscount(OisCurve,Q1279,,AllTriggers)</f>
        <v>0.6826210099722051</v>
      </c>
      <c r="V1279" s="34">
        <f>_xll.qlYieldTSDiscount(OisCurve,R1279,,AllTriggers)</f>
        <v>0.68143877950882725</v>
      </c>
      <c r="W1279" s="33">
        <f t="shared" si="86"/>
        <v>6.6443109381067039E-3</v>
      </c>
      <c r="X1279" s="35">
        <f t="shared" si="87"/>
        <v>7.2275216171135417E-5</v>
      </c>
      <c r="Y1279" s="33">
        <f t="shared" si="85"/>
        <v>2.7728893967768516E-4</v>
      </c>
      <c r="Z1279" s="54"/>
    </row>
    <row r="1280" spans="15:26" x14ac:dyDescent="0.25">
      <c r="O1280" s="37" t="s">
        <v>19</v>
      </c>
      <c r="P1280" s="31">
        <f>_xll.qlCalendarAdvance(Calendar,P1279,O1279,"f",,Trigger)</f>
        <v>63002</v>
      </c>
      <c r="Q1280" s="31">
        <f>_xll.qlInterestRateIndexValueDate(Index,P1280,Trigger)</f>
        <v>63004</v>
      </c>
      <c r="R1280" s="31">
        <f>_xll.qlInterestRateIndexMaturity(Index,Q1280,Trigger)</f>
        <v>63096</v>
      </c>
      <c r="S1280" s="32">
        <f>_xll.qlDayCounterYearFraction(DayCounter,Q1280,R1280,,,Trigger)</f>
        <v>0.25555555555555554</v>
      </c>
      <c r="T1280" s="33">
        <f>_xll.qlIndexFixing(Index,P1280,,AllTriggers)</f>
        <v>6.9266417538317651E-3</v>
      </c>
      <c r="U1280" s="34">
        <f>_xll.qlYieldTSDiscount(OisCurve,Q1280,,AllTriggers)</f>
        <v>0.68220607056662863</v>
      </c>
      <c r="V1280" s="34">
        <f>_xll.qlYieldTSDiscount(OisCurve,R1280,,AllTriggers)</f>
        <v>0.68104872446824449</v>
      </c>
      <c r="W1280" s="33">
        <f t="shared" si="86"/>
        <v>6.6496646123355256E-3</v>
      </c>
      <c r="X1280" s="35">
        <f t="shared" si="87"/>
        <v>7.0660469033845432E-5</v>
      </c>
      <c r="Y1280" s="33">
        <f t="shared" si="85"/>
        <v>2.769771414962395E-4</v>
      </c>
      <c r="Z1280" s="54"/>
    </row>
    <row r="1281" spans="15:26" x14ac:dyDescent="0.25">
      <c r="O1281" s="37" t="s">
        <v>19</v>
      </c>
      <c r="P1281" s="31">
        <f>_xll.qlCalendarAdvance(Calendar,P1280,O1280,"f",,Trigger)</f>
        <v>63032</v>
      </c>
      <c r="Q1281" s="31">
        <f>_xll.qlInterestRateIndexValueDate(Index,P1281,Trigger)</f>
        <v>63034</v>
      </c>
      <c r="R1281" s="31">
        <f>_xll.qlInterestRateIndexMaturity(Index,Q1281,Trigger)</f>
        <v>63128</v>
      </c>
      <c r="S1281" s="32">
        <f>_xll.qlDayCounterYearFraction(DayCounter,Q1281,R1281,,,Trigger)</f>
        <v>0.26111111111111113</v>
      </c>
      <c r="T1281" s="33">
        <f>_xll.qlIndexFixing(Index,P1281,,AllTriggers)</f>
        <v>6.9316261794184313E-3</v>
      </c>
      <c r="U1281" s="34">
        <f>_xll.qlYieldTSDiscount(OisCurve,Q1281,,AllTriggers)</f>
        <v>0.68182875674049825</v>
      </c>
      <c r="V1281" s="34">
        <f>_xll.qlYieldTSDiscount(OisCurve,R1281,,AllTriggers)</f>
        <v>0.68064601596147667</v>
      </c>
      <c r="W1281" s="33">
        <f t="shared" si="86"/>
        <v>6.6549211050330312E-3</v>
      </c>
      <c r="X1281" s="35">
        <f t="shared" si="87"/>
        <v>7.2122838019790671E-5</v>
      </c>
      <c r="Y1281" s="33">
        <f t="shared" si="85"/>
        <v>2.767050743854001E-4</v>
      </c>
      <c r="Z1281" s="54"/>
    </row>
    <row r="1282" spans="15:26" x14ac:dyDescent="0.25">
      <c r="O1282" s="37" t="s">
        <v>19</v>
      </c>
      <c r="P1282" s="31">
        <f>_xll.qlCalendarAdvance(Calendar,P1281,O1281,"f",,Trigger)</f>
        <v>63065</v>
      </c>
      <c r="Q1282" s="31">
        <f>_xll.qlInterestRateIndexValueDate(Index,P1282,Trigger)</f>
        <v>63067</v>
      </c>
      <c r="R1282" s="31">
        <f>_xll.qlInterestRateIndexMaturity(Index,Q1282,Trigger)</f>
        <v>63158</v>
      </c>
      <c r="S1282" s="32">
        <f>_xll.qlDayCounterYearFraction(DayCounter,Q1282,R1282,,,Trigger)</f>
        <v>0.25277777777777777</v>
      </c>
      <c r="T1282" s="33">
        <f>_xll.qlIndexFixing(Index,P1282,,AllTriggers)</f>
        <v>6.9362030865294739E-3</v>
      </c>
      <c r="U1282" s="34">
        <f>_xll.qlYieldTSDiscount(OisCurve,Q1282,,AllTriggers)</f>
        <v>0.68141361690866897</v>
      </c>
      <c r="V1282" s="34">
        <f>_xll.qlYieldTSDiscount(OisCurve,R1282,,AllTriggers)</f>
        <v>0.68026842081431782</v>
      </c>
      <c r="W1282" s="33">
        <f t="shared" si="86"/>
        <v>6.6597918541036749E-3</v>
      </c>
      <c r="X1282" s="35">
        <f t="shared" si="87"/>
        <v>6.9750758617181119E-5</v>
      </c>
      <c r="Y1282" s="33">
        <f t="shared" si="85"/>
        <v>2.7641123242579894E-4</v>
      </c>
      <c r="Z1282" s="54"/>
    </row>
    <row r="1283" spans="15:26" x14ac:dyDescent="0.25">
      <c r="O1283" s="37" t="s">
        <v>19</v>
      </c>
      <c r="P1283" s="31">
        <f>_xll.qlCalendarAdvance(Calendar,P1282,O1282,"f",,Trigger)</f>
        <v>63096</v>
      </c>
      <c r="Q1283" s="31">
        <f>_xll.qlInterestRateIndexValueDate(Index,P1283,Trigger)</f>
        <v>63100</v>
      </c>
      <c r="R1283" s="31">
        <f>_xll.qlInterestRateIndexMaturity(Index,Q1283,Trigger)</f>
        <v>63192</v>
      </c>
      <c r="S1283" s="32">
        <f>_xll.qlDayCounterYearFraction(DayCounter,Q1283,R1283,,,Trigger)</f>
        <v>0.25555555555555554</v>
      </c>
      <c r="T1283" s="33">
        <f>_xll.qlIndexFixing(Index,P1283,,AllTriggers)</f>
        <v>6.9411697847396201E-3</v>
      </c>
      <c r="U1283" s="34">
        <f>_xll.qlYieldTSDiscount(OisCurve,Q1283,,AllTriggers)</f>
        <v>0.68099838963350734</v>
      </c>
      <c r="V1283" s="34">
        <f>_xll.qlYieldTSDiscount(OisCurve,R1283,,AllTriggers)</f>
        <v>0.67984042582280546</v>
      </c>
      <c r="W1283" s="33">
        <f t="shared" si="86"/>
        <v>6.6650386846959283E-3</v>
      </c>
      <c r="X1283" s="35">
        <f t="shared" si="87"/>
        <v>7.0444364172627443E-5</v>
      </c>
      <c r="Y1283" s="33">
        <f t="shared" si="85"/>
        <v>2.7613110004369185E-4</v>
      </c>
      <c r="Z1283" s="54"/>
    </row>
    <row r="1284" spans="15:26" x14ac:dyDescent="0.25">
      <c r="O1284" s="37" t="s">
        <v>19</v>
      </c>
      <c r="P1284" s="31">
        <f>_xll.qlCalendarAdvance(Calendar,P1283,O1283,"f",,Trigger)</f>
        <v>63128</v>
      </c>
      <c r="Q1284" s="31">
        <f>_xll.qlInterestRateIndexValueDate(Index,P1284,Trigger)</f>
        <v>63130</v>
      </c>
      <c r="R1284" s="31">
        <f>_xll.qlInterestRateIndexMaturity(Index,Q1284,Trigger)</f>
        <v>63222</v>
      </c>
      <c r="S1284" s="32">
        <f>_xll.qlDayCounterYearFraction(DayCounter,Q1284,R1284,,,Trigger)</f>
        <v>0.25555555555555554</v>
      </c>
      <c r="T1284" s="33">
        <f>_xll.qlIndexFixing(Index,P1284,,AllTriggers)</f>
        <v>6.9454055272928465E-3</v>
      </c>
      <c r="U1284" s="34">
        <f>_xll.qlYieldTSDiscount(OisCurve,Q1284,,AllTriggers)</f>
        <v>0.68062084452951188</v>
      </c>
      <c r="V1284" s="34">
        <f>_xll.qlYieldTSDiscount(OisCurve,R1284,,AllTriggers)</f>
        <v>0.67946274568853637</v>
      </c>
      <c r="W1284" s="33">
        <f t="shared" si="86"/>
        <v>6.6695210968017648E-3</v>
      </c>
      <c r="X1284" s="35">
        <f t="shared" si="87"/>
        <v>7.0381357535569093E-5</v>
      </c>
      <c r="Y1284" s="33">
        <f t="shared" ref="Y1284:Y1310" si="88">T1284-W1284</f>
        <v>2.758844304910817E-4</v>
      </c>
      <c r="Z1284" s="54"/>
    </row>
    <row r="1285" spans="15:26" x14ac:dyDescent="0.25">
      <c r="O1285" s="37" t="s">
        <v>19</v>
      </c>
      <c r="P1285" s="31">
        <f>_xll.qlCalendarAdvance(Calendar,P1284,O1284,"f",,Trigger)</f>
        <v>63158</v>
      </c>
      <c r="Q1285" s="31">
        <f>_xll.qlInterestRateIndexValueDate(Index,P1285,Trigger)</f>
        <v>63160</v>
      </c>
      <c r="R1285" s="31">
        <f>_xll.qlInterestRateIndexMaturity(Index,Q1285,Trigger)</f>
        <v>63250</v>
      </c>
      <c r="S1285" s="32">
        <f>_xll.qlDayCounterYearFraction(DayCounter,Q1285,R1285,,,Trigger)</f>
        <v>0.25</v>
      </c>
      <c r="T1285" s="33">
        <f>_xll.qlIndexFixing(Index,P1285,,AllTriggers)</f>
        <v>6.9492307262288833E-3</v>
      </c>
      <c r="U1285" s="34">
        <f>_xll.qlYieldTSDiscount(OisCurve,Q1285,,AllTriggers)</f>
        <v>0.68024324610785103</v>
      </c>
      <c r="V1285" s="34">
        <f>_xll.qlYieldTSDiscount(OisCurve,R1285,,AllTriggers)</f>
        <v>0.67911022077390903</v>
      </c>
      <c r="W1285" s="33">
        <f t="shared" si="86"/>
        <v>6.6735872869108093E-3</v>
      </c>
      <c r="X1285" s="35">
        <f t="shared" si="87"/>
        <v>6.8793714325293554E-5</v>
      </c>
      <c r="Y1285" s="33">
        <f t="shared" si="88"/>
        <v>2.75643439318074E-4</v>
      </c>
      <c r="Z1285" s="54"/>
    </row>
    <row r="1286" spans="15:26" x14ac:dyDescent="0.25">
      <c r="O1286" s="37" t="s">
        <v>19</v>
      </c>
      <c r="P1286" s="31">
        <f>_xll.qlCalendarAdvance(Calendar,P1285,O1285,"f",,Trigger)</f>
        <v>63188</v>
      </c>
      <c r="Q1286" s="31">
        <f>_xll.qlInterestRateIndexValueDate(Index,P1286,Trigger)</f>
        <v>63192</v>
      </c>
      <c r="R1286" s="31">
        <f>_xll.qlInterestRateIndexMaturity(Index,Q1286,Trigger)</f>
        <v>63282</v>
      </c>
      <c r="S1286" s="32">
        <f>_xll.qlDayCounterYearFraction(DayCounter,Q1286,R1286,,,Trigger)</f>
        <v>0.25</v>
      </c>
      <c r="T1286" s="33">
        <f>_xll.qlIndexFixing(Index,P1286,,AllTriggers)</f>
        <v>6.9534395902204338E-3</v>
      </c>
      <c r="U1286" s="34">
        <f>_xll.qlYieldTSDiscount(OisCurve,Q1286,,AllTriggers)</f>
        <v>0.67984042582280546</v>
      </c>
      <c r="V1286" s="34">
        <f>_xll.qlYieldTSDiscount(OisCurve,R1286,,AllTriggers)</f>
        <v>0.67870731695585362</v>
      </c>
      <c r="W1286" s="33">
        <f t="shared" si="86"/>
        <v>6.6780412625231378E-3</v>
      </c>
      <c r="X1286" s="35">
        <f t="shared" si="87"/>
        <v>6.8732466289102198E-5</v>
      </c>
      <c r="Y1286" s="33">
        <f t="shared" si="88"/>
        <v>2.75398327697296E-4</v>
      </c>
      <c r="Z1286" s="54"/>
    </row>
    <row r="1287" spans="15:26" x14ac:dyDescent="0.25">
      <c r="O1287" s="37" t="s">
        <v>19</v>
      </c>
      <c r="P1287" s="31">
        <f>_xll.qlCalendarAdvance(Calendar,P1286,O1286,"f",,Trigger)</f>
        <v>63219</v>
      </c>
      <c r="Q1287" s="31">
        <f>_xll.qlInterestRateIndexValueDate(Index,P1287,Trigger)</f>
        <v>63221</v>
      </c>
      <c r="R1287" s="31">
        <f>_xll.qlInterestRateIndexMaturity(Index,Q1287,Trigger)</f>
        <v>63311</v>
      </c>
      <c r="S1287" s="32">
        <f>_xll.qlDayCounterYearFraction(DayCounter,Q1287,R1287,,,Trigger)</f>
        <v>0.25</v>
      </c>
      <c r="T1287" s="33">
        <f>_xll.qlIndexFixing(Index,P1287,,AllTriggers)</f>
        <v>6.9571114831514791E-3</v>
      </c>
      <c r="U1287" s="34">
        <f>_xll.qlYieldTSDiscount(OisCurve,Q1287,,AllTriggers)</f>
        <v>0.67947533549163419</v>
      </c>
      <c r="V1287" s="34">
        <f>_xll.qlYieldTSDiscount(OisCurve,R1287,,AllTriggers)</f>
        <v>0.67834217726498514</v>
      </c>
      <c r="W1287" s="33">
        <f t="shared" si="86"/>
        <v>6.6819269957107963E-3</v>
      </c>
      <c r="X1287" s="35">
        <f t="shared" si="87"/>
        <v>6.8679032391629917E-5</v>
      </c>
      <c r="Y1287" s="33">
        <f t="shared" si="88"/>
        <v>2.751844874406828E-4</v>
      </c>
      <c r="Z1287" s="54"/>
    </row>
    <row r="1288" spans="15:26" x14ac:dyDescent="0.25">
      <c r="O1288" s="37" t="s">
        <v>19</v>
      </c>
      <c r="P1288" s="31">
        <f>_xll.qlCalendarAdvance(Calendar,P1287,O1287,"f",,Trigger)</f>
        <v>63248</v>
      </c>
      <c r="Q1288" s="31">
        <f>_xll.qlInterestRateIndexValueDate(Index,P1288,Trigger)</f>
        <v>63250</v>
      </c>
      <c r="R1288" s="31">
        <f>_xll.qlInterestRateIndexMaturity(Index,Q1288,Trigger)</f>
        <v>63342</v>
      </c>
      <c r="S1288" s="32">
        <f>_xll.qlDayCounterYearFraction(DayCounter,Q1288,R1288,,,Trigger)</f>
        <v>0.25555555555555554</v>
      </c>
      <c r="T1288" s="33">
        <f>_xll.qlIndexFixing(Index,P1288,,AllTriggers)</f>
        <v>6.9608995937757139E-3</v>
      </c>
      <c r="U1288" s="34">
        <f>_xll.qlYieldTSDiscount(OisCurve,Q1288,,AllTriggers)</f>
        <v>0.67911022077390903</v>
      </c>
      <c r="V1288" s="34">
        <f>_xll.qlYieldTSDiscount(OisCurve,R1288,,AllTriggers)</f>
        <v>0.67795185640013855</v>
      </c>
      <c r="W1288" s="33">
        <f t="shared" si="86"/>
        <v>6.6859174666184205E-3</v>
      </c>
      <c r="X1288" s="35">
        <f t="shared" si="87"/>
        <v>7.015088399976244E-5</v>
      </c>
      <c r="Y1288" s="33">
        <f t="shared" si="88"/>
        <v>2.7498212715729338E-4</v>
      </c>
      <c r="Z1288" s="54"/>
    </row>
    <row r="1289" spans="15:26" x14ac:dyDescent="0.25">
      <c r="O1289" s="37" t="s">
        <v>19</v>
      </c>
      <c r="P1289" s="31">
        <f>_xll.qlCalendarAdvance(Calendar,P1288,O1288,"f",,Trigger)</f>
        <v>63276</v>
      </c>
      <c r="Q1289" s="31">
        <f>_xll.qlInterestRateIndexValueDate(Index,P1289,Trigger)</f>
        <v>63278</v>
      </c>
      <c r="R1289" s="31">
        <f>_xll.qlInterestRateIndexMaturity(Index,Q1289,Trigger)</f>
        <v>63370</v>
      </c>
      <c r="S1289" s="32">
        <f>_xll.qlDayCounterYearFraction(DayCounter,Q1289,R1289,,,Trigger)</f>
        <v>0.25555555555555554</v>
      </c>
      <c r="T1289" s="33">
        <f>_xll.qlIndexFixing(Index,P1289,,AllTriggers)</f>
        <v>6.9641813041617607E-3</v>
      </c>
      <c r="U1289" s="34">
        <f>_xll.qlYieldTSDiscount(OisCurve,Q1289,,AllTriggers)</f>
        <v>0.67875768064949471</v>
      </c>
      <c r="V1289" s="34">
        <f>_xll.qlYieldTSDiscount(OisCurve,R1289,,AllTriggers)</f>
        <v>0.67759931726353118</v>
      </c>
      <c r="W1289" s="33">
        <f t="shared" si="86"/>
        <v>6.6893902892435457E-3</v>
      </c>
      <c r="X1289" s="35">
        <f t="shared" si="87"/>
        <v>7.0102068823733551E-5</v>
      </c>
      <c r="Y1289" s="33">
        <f t="shared" si="88"/>
        <v>2.7479101491821502E-4</v>
      </c>
      <c r="Z1289" s="54"/>
    </row>
    <row r="1290" spans="15:26" x14ac:dyDescent="0.25">
      <c r="O1290" s="37" t="s">
        <v>19</v>
      </c>
      <c r="P1290" s="31">
        <f>_xll.qlCalendarAdvance(Calendar,P1289,O1289,"f",,Trigger)</f>
        <v>63307</v>
      </c>
      <c r="Q1290" s="31">
        <f>_xll.qlInterestRateIndexValueDate(Index,P1290,Trigger)</f>
        <v>63312</v>
      </c>
      <c r="R1290" s="31">
        <f>_xll.qlInterestRateIndexMaturity(Index,Q1290,Trigger)</f>
        <v>63404</v>
      </c>
      <c r="S1290" s="32">
        <f>_xll.qlDayCounterYearFraction(DayCounter,Q1290,R1290,,,Trigger)</f>
        <v>0.25555555555555554</v>
      </c>
      <c r="T1290" s="33">
        <f>_xll.qlIndexFixing(Index,P1290,,AllTriggers)</f>
        <v>6.9679965535303671E-3</v>
      </c>
      <c r="U1290" s="34">
        <f>_xll.qlYieldTSDiscount(OisCurve,Q1290,,AllTriggers)</f>
        <v>0.67832958620588912</v>
      </c>
      <c r="V1290" s="34">
        <f>_xll.qlYieldTSDiscount(OisCurve,R1290,,AllTriggers)</f>
        <v>0.67717125589804705</v>
      </c>
      <c r="W1290" s="33">
        <f t="shared" si="86"/>
        <v>6.6934277220055752E-3</v>
      </c>
      <c r="X1290" s="35">
        <f t="shared" si="87"/>
        <v>7.0045317349652671E-5</v>
      </c>
      <c r="Y1290" s="33">
        <f t="shared" si="88"/>
        <v>2.7456883152479194E-4</v>
      </c>
      <c r="Z1290" s="54"/>
    </row>
    <row r="1291" spans="15:26" x14ac:dyDescent="0.25">
      <c r="O1291" s="37" t="s">
        <v>19</v>
      </c>
      <c r="P1291" s="31">
        <f>_xll.qlCalendarAdvance(Calendar,P1290,O1290,"f",,Trigger)</f>
        <v>63338</v>
      </c>
      <c r="Q1291" s="31">
        <f>_xll.qlInterestRateIndexValueDate(Index,P1291,Trigger)</f>
        <v>63340</v>
      </c>
      <c r="R1291" s="31">
        <f>_xll.qlInterestRateIndexMaturity(Index,Q1291,Trigger)</f>
        <v>63432</v>
      </c>
      <c r="S1291" s="32">
        <f>_xll.qlDayCounterYearFraction(DayCounter,Q1291,R1291,,,Trigger)</f>
        <v>0.25555555555555554</v>
      </c>
      <c r="T1291" s="33">
        <f>_xll.qlIndexFixing(Index,P1291,,AllTriggers)</f>
        <v>6.9709987829215461E-3</v>
      </c>
      <c r="U1291" s="34">
        <f>_xll.qlYieldTSDiscount(OisCurve,Q1291,,AllTriggers)</f>
        <v>0.67797703817975663</v>
      </c>
      <c r="V1291" s="34">
        <f>_xll.qlYieldTSDiscount(OisCurve,R1291,,AllTriggers)</f>
        <v>0.67681876130833363</v>
      </c>
      <c r="W1291" s="33">
        <f t="shared" si="86"/>
        <v>6.6966047882313284E-3</v>
      </c>
      <c r="X1291" s="35">
        <f t="shared" si="87"/>
        <v>7.0000659510134906E-5</v>
      </c>
      <c r="Y1291" s="33">
        <f t="shared" si="88"/>
        <v>2.7439399469021773E-4</v>
      </c>
      <c r="Z1291" s="54"/>
    </row>
    <row r="1292" spans="15:26" x14ac:dyDescent="0.25">
      <c r="O1292" s="37" t="s">
        <v>19</v>
      </c>
      <c r="P1292" s="31">
        <f>_xll.qlCalendarAdvance(Calendar,P1291,O1291,"f",,Trigger)</f>
        <v>63369</v>
      </c>
      <c r="Q1292" s="31">
        <f>_xll.qlInterestRateIndexValueDate(Index,P1292,Trigger)</f>
        <v>63373</v>
      </c>
      <c r="R1292" s="31">
        <f>_xll.qlInterestRateIndexMaturity(Index,Q1292,Trigger)</f>
        <v>63465</v>
      </c>
      <c r="S1292" s="32">
        <f>_xll.qlDayCounterYearFraction(DayCounter,Q1292,R1292,,,Trigger)</f>
        <v>0.25555555555555554</v>
      </c>
      <c r="T1292" s="33">
        <f>_xll.qlIndexFixing(Index,P1292,,AllTriggers)</f>
        <v>6.9743750862723579E-3</v>
      </c>
      <c r="U1292" s="34">
        <f>_xll.qlYieldTSDiscount(OisCurve,Q1292,,AllTriggers)</f>
        <v>0.67756154602067975</v>
      </c>
      <c r="V1292" s="34">
        <f>_xll.qlYieldTSDiscount(OisCurve,R1292,,AllTriggers)</f>
        <v>0.67640336243310295</v>
      </c>
      <c r="W1292" s="33">
        <f t="shared" si="86"/>
        <v>6.7001777130351733E-3</v>
      </c>
      <c r="X1292" s="35">
        <f t="shared" si="87"/>
        <v>6.9950437401139457E-5</v>
      </c>
      <c r="Y1292" s="33">
        <f t="shared" si="88"/>
        <v>2.7419737323718454E-4</v>
      </c>
      <c r="Z1292" s="54"/>
    </row>
    <row r="1293" spans="15:26" x14ac:dyDescent="0.25">
      <c r="O1293" s="37" t="s">
        <v>19</v>
      </c>
      <c r="P1293" s="31">
        <f>_xll.qlCalendarAdvance(Calendar,P1292,O1292,"f",,Trigger)</f>
        <v>63401</v>
      </c>
      <c r="Q1293" s="31">
        <f>_xll.qlInterestRateIndexValueDate(Index,P1293,Trigger)</f>
        <v>63403</v>
      </c>
      <c r="R1293" s="31">
        <f>_xll.qlInterestRateIndexMaturity(Index,Q1293,Trigger)</f>
        <v>63495</v>
      </c>
      <c r="S1293" s="32">
        <f>_xll.qlDayCounterYearFraction(DayCounter,Q1293,R1293,,,Trigger)</f>
        <v>0.25555555555555554</v>
      </c>
      <c r="T1293" s="33">
        <f>_xll.qlIndexFixing(Index,P1293,,AllTriggers)</f>
        <v>6.9772923151699365E-3</v>
      </c>
      <c r="U1293" s="34">
        <f>_xll.qlYieldTSDiscount(OisCurve,Q1293,,AllTriggers)</f>
        <v>0.67718384548594757</v>
      </c>
      <c r="V1293" s="34">
        <f>_xll.qlYieldTSDiscount(OisCurve,R1293,,AllTriggers)</f>
        <v>0.67602577509218686</v>
      </c>
      <c r="W1293" s="33">
        <f t="shared" si="86"/>
        <v>6.7032648289989047E-3</v>
      </c>
      <c r="X1293" s="35">
        <f t="shared" si="87"/>
        <v>6.9907044004797873E-5</v>
      </c>
      <c r="Y1293" s="33">
        <f t="shared" si="88"/>
        <v>2.7402748617103186E-4</v>
      </c>
      <c r="Z1293" s="54"/>
    </row>
    <row r="1294" spans="15:26" x14ac:dyDescent="0.25">
      <c r="O1294" s="37" t="s">
        <v>19</v>
      </c>
      <c r="P1294" s="31">
        <f>_xll.qlCalendarAdvance(Calendar,P1293,O1293,"f",,Trigger)</f>
        <v>63432</v>
      </c>
      <c r="Q1294" s="31">
        <f>_xll.qlInterestRateIndexValueDate(Index,P1294,Trigger)</f>
        <v>63436</v>
      </c>
      <c r="R1294" s="31">
        <f>_xll.qlInterestRateIndexMaturity(Index,Q1294,Trigger)</f>
        <v>63527</v>
      </c>
      <c r="S1294" s="32">
        <f>_xll.qlDayCounterYearFraction(DayCounter,Q1294,R1294,,,Trigger)</f>
        <v>0.25277777777777777</v>
      </c>
      <c r="T1294" s="33">
        <f>_xll.qlIndexFixing(Index,P1294,,AllTriggers)</f>
        <v>6.980222733593641E-3</v>
      </c>
      <c r="U1294" s="34">
        <f>_xll.qlYieldTSDiscount(OisCurve,Q1294,,AllTriggers)</f>
        <v>0.67676840735489385</v>
      </c>
      <c r="V1294" s="34">
        <f>_xll.qlYieldTSDiscount(OisCurve,R1294,,AllTriggers)</f>
        <v>0.67562307586099657</v>
      </c>
      <c r="W1294" s="33">
        <f t="shared" si="86"/>
        <v>6.70637504251188E-3</v>
      </c>
      <c r="X1294" s="35">
        <f t="shared" si="87"/>
        <v>6.9103073989751086E-5</v>
      </c>
      <c r="Y1294" s="33">
        <f t="shared" si="88"/>
        <v>2.7384769108176107E-4</v>
      </c>
      <c r="Z1294" s="54"/>
    </row>
    <row r="1295" spans="15:26" x14ac:dyDescent="0.25">
      <c r="O1295" s="37" t="s">
        <v>19</v>
      </c>
      <c r="P1295" s="31">
        <f>_xll.qlCalendarAdvance(Calendar,P1294,O1294,"f",,Trigger)</f>
        <v>63464</v>
      </c>
      <c r="Q1295" s="31">
        <f>_xll.qlInterestRateIndexValueDate(Index,P1295,Trigger)</f>
        <v>63466</v>
      </c>
      <c r="R1295" s="31">
        <f>_xll.qlInterestRateIndexMaturity(Index,Q1295,Trigger)</f>
        <v>63558</v>
      </c>
      <c r="S1295" s="32">
        <f>_xll.qlDayCounterYearFraction(DayCounter,Q1295,R1295,,,Trigger)</f>
        <v>0.25555555555555554</v>
      </c>
      <c r="T1295" s="33">
        <f>_xll.qlIndexFixing(Index,P1295,,AllTriggers)</f>
        <v>6.9829468672660587E-3</v>
      </c>
      <c r="U1295" s="34">
        <f>_xll.qlYieldTSDiscount(OisCurve,Q1295,,AllTriggers)</f>
        <v>0.67639077539841452</v>
      </c>
      <c r="V1295" s="34">
        <f>_xll.qlYieldTSDiscount(OisCurve,R1295,,AllTriggers)</f>
        <v>0.67523303045064975</v>
      </c>
      <c r="W1295" s="33">
        <f t="shared" si="86"/>
        <v>6.7092486786625022E-3</v>
      </c>
      <c r="X1295" s="35">
        <f t="shared" si="87"/>
        <v>6.9822933377628778E-5</v>
      </c>
      <c r="Y1295" s="33">
        <f t="shared" si="88"/>
        <v>2.7369818860355655E-4</v>
      </c>
      <c r="Z1295" s="54"/>
    </row>
    <row r="1296" spans="15:26" x14ac:dyDescent="0.25">
      <c r="O1296" s="37" t="s">
        <v>19</v>
      </c>
      <c r="P1296" s="31">
        <f>_xll.qlCalendarAdvance(Calendar,P1295,O1295,"f",,Trigger)</f>
        <v>63495</v>
      </c>
      <c r="Q1296" s="31">
        <f>_xll.qlInterestRateIndexValueDate(Index,P1296,Trigger)</f>
        <v>63499</v>
      </c>
      <c r="R1296" s="31">
        <f>_xll.qlInterestRateIndexMaturity(Index,Q1296,Trigger)</f>
        <v>63591</v>
      </c>
      <c r="S1296" s="32">
        <f>_xll.qlDayCounterYearFraction(DayCounter,Q1296,R1296,,,Trigger)</f>
        <v>0.25555555555555554</v>
      </c>
      <c r="T1296" s="33">
        <f>_xll.qlIndexFixing(Index,P1296,,AllTriggers)</f>
        <v>6.9856537620787045E-3</v>
      </c>
      <c r="U1296" s="34">
        <f>_xll.qlYieldTSDiscount(OisCurve,Q1296,,AllTriggers)</f>
        <v>0.67597543406131178</v>
      </c>
      <c r="V1296" s="34">
        <f>_xll.qlYieldTSDiscount(OisCurve,R1296,,AllTriggers)</f>
        <v>0.67481790687982712</v>
      </c>
      <c r="W1296" s="33">
        <f t="shared" si="86"/>
        <v>6.7121132119348252E-3</v>
      </c>
      <c r="X1296" s="35">
        <f t="shared" si="87"/>
        <v>6.9782668760029305E-5</v>
      </c>
      <c r="Y1296" s="33">
        <f t="shared" si="88"/>
        <v>2.735405501438793E-4</v>
      </c>
      <c r="Z1296" s="54"/>
    </row>
    <row r="1297" spans="15:26" x14ac:dyDescent="0.25">
      <c r="O1297" s="37" t="s">
        <v>19</v>
      </c>
      <c r="P1297" s="31">
        <f>_xll.qlCalendarAdvance(Calendar,P1296,O1296,"f",,Trigger)</f>
        <v>63527</v>
      </c>
      <c r="Q1297" s="31">
        <f>_xll.qlInterestRateIndexValueDate(Index,P1297,Trigger)</f>
        <v>63529</v>
      </c>
      <c r="R1297" s="31">
        <f>_xll.qlInterestRateIndexMaturity(Index,Q1297,Trigger)</f>
        <v>63619</v>
      </c>
      <c r="S1297" s="32">
        <f>_xll.qlDayCounterYearFraction(DayCounter,Q1297,R1297,,,Trigger)</f>
        <v>0.25</v>
      </c>
      <c r="T1297" s="33">
        <f>_xll.qlIndexFixing(Index,P1297,,AllTriggers)</f>
        <v>6.9877546986480965E-3</v>
      </c>
      <c r="U1297" s="34">
        <f>_xll.qlYieldTSDiscount(OisCurve,Q1297,,AllTriggers)</f>
        <v>0.67559790947139808</v>
      </c>
      <c r="V1297" s="34">
        <f>_xll.qlYieldTSDiscount(OisCurve,R1297,,AllTriggers)</f>
        <v>0.67446575887167803</v>
      </c>
      <c r="W1297" s="33">
        <f t="shared" si="86"/>
        <v>6.7143547901622469E-3</v>
      </c>
      <c r="X1297" s="35">
        <f t="shared" si="87"/>
        <v>6.8233109955104831E-5</v>
      </c>
      <c r="Y1297" s="33">
        <f t="shared" si="88"/>
        <v>2.7339990848584961E-4</v>
      </c>
      <c r="Z1297" s="54"/>
    </row>
    <row r="1298" spans="15:26" x14ac:dyDescent="0.25">
      <c r="O1298" s="37" t="s">
        <v>19</v>
      </c>
      <c r="P1298" s="31">
        <f>_xll.qlCalendarAdvance(Calendar,P1297,O1297,"f",,Trigger)</f>
        <v>63558</v>
      </c>
      <c r="Q1298" s="31">
        <f>_xll.qlInterestRateIndexValueDate(Index,P1298,Trigger)</f>
        <v>63562</v>
      </c>
      <c r="R1298" s="31">
        <f>_xll.qlInterestRateIndexMaturity(Index,Q1298,Trigger)</f>
        <v>63653</v>
      </c>
      <c r="S1298" s="32">
        <f>_xll.qlDayCounterYearFraction(DayCounter,Q1298,R1298,,,Trigger)</f>
        <v>0.25277777777777777</v>
      </c>
      <c r="T1298" s="33">
        <f>_xll.qlIndexFixing(Index,P1298,,AllTriggers)</f>
        <v>6.9902333920575759E-3</v>
      </c>
      <c r="U1298" s="34">
        <f>_xll.qlYieldTSDiscount(OisCurve,Q1298,,AllTriggers)</f>
        <v>0.67518270749663511</v>
      </c>
      <c r="V1298" s="34">
        <f>_xll.qlYieldTSDiscount(OisCurve,R1298,,AllTriggers)</f>
        <v>0.67403825765682035</v>
      </c>
      <c r="W1298" s="33">
        <f t="shared" si="86"/>
        <v>6.7169686888895836E-3</v>
      </c>
      <c r="X1298" s="35">
        <f t="shared" si="87"/>
        <v>6.895578281795711E-5</v>
      </c>
      <c r="Y1298" s="33">
        <f t="shared" si="88"/>
        <v>2.7326470316799221E-4</v>
      </c>
      <c r="Z1298" s="54"/>
    </row>
    <row r="1299" spans="15:26" x14ac:dyDescent="0.25">
      <c r="O1299" s="37" t="s">
        <v>19</v>
      </c>
      <c r="P1299" s="31">
        <f>_xll.qlCalendarAdvance(Calendar,P1298,O1298,"f",,Trigger)</f>
        <v>63590</v>
      </c>
      <c r="Q1299" s="31">
        <f>_xll.qlInterestRateIndexValueDate(Index,P1299,Trigger)</f>
        <v>63592</v>
      </c>
      <c r="R1299" s="31">
        <f>_xll.qlInterestRateIndexMaturity(Index,Q1299,Trigger)</f>
        <v>63681</v>
      </c>
      <c r="S1299" s="32">
        <f>_xll.qlDayCounterYearFraction(DayCounter,Q1299,R1299,,,Trigger)</f>
        <v>0.24722222222222223</v>
      </c>
      <c r="T1299" s="33">
        <f>_xll.qlIndexFixing(Index,P1299,,AllTriggers)</f>
        <v>6.992042294859821E-3</v>
      </c>
      <c r="U1299" s="34">
        <f>_xll.qlYieldTSDiscount(OisCurve,Q1299,,AllTriggers)</f>
        <v>0.67480532888207545</v>
      </c>
      <c r="V1299" s="34">
        <f>_xll.qlYieldTSDiscount(OisCurve,R1299,,AllTriggers)</f>
        <v>0.67368629438458183</v>
      </c>
      <c r="W1299" s="33">
        <f t="shared" si="86"/>
        <v>6.7189012348697176E-3</v>
      </c>
      <c r="X1299" s="35">
        <f t="shared" si="87"/>
        <v>6.7412287828074537E-5</v>
      </c>
      <c r="Y1299" s="33">
        <f t="shared" si="88"/>
        <v>2.7314105999010335E-4</v>
      </c>
      <c r="Z1299" s="54"/>
    </row>
    <row r="1300" spans="15:26" x14ac:dyDescent="0.25">
      <c r="O1300" s="37" t="s">
        <v>19</v>
      </c>
      <c r="P1300" s="31">
        <f>_xll.qlCalendarAdvance(Calendar,P1299,O1299,"f",,Trigger)</f>
        <v>63618</v>
      </c>
      <c r="Q1300" s="31">
        <f>_xll.qlInterestRateIndexValueDate(Index,P1300,Trigger)</f>
        <v>63620</v>
      </c>
      <c r="R1300" s="31">
        <f>_xll.qlInterestRateIndexMaturity(Index,Q1300,Trigger)</f>
        <v>63712</v>
      </c>
      <c r="S1300" s="32">
        <f>_xll.qlDayCounterYearFraction(DayCounter,Q1300,R1300,,,Trigger)</f>
        <v>0.25555555555555554</v>
      </c>
      <c r="T1300" s="33">
        <f>_xll.qlIndexFixing(Index,P1300,,AllTriggers)</f>
        <v>6.9940790616263024E-3</v>
      </c>
      <c r="U1300" s="34">
        <f>_xll.qlYieldTSDiscount(OisCurve,Q1300,,AllTriggers)</f>
        <v>0.67445318357891226</v>
      </c>
      <c r="V1300" s="34">
        <f>_xll.qlYieldTSDiscount(OisCurve,R1300,,AllTriggers)</f>
        <v>0.67329673157519854</v>
      </c>
      <c r="W1300" s="33">
        <f t="shared" si="86"/>
        <v>6.7210291671350522E-3</v>
      </c>
      <c r="X1300" s="35">
        <f t="shared" si="87"/>
        <v>6.9657343985520624E-5</v>
      </c>
      <c r="Y1300" s="33">
        <f t="shared" si="88"/>
        <v>2.730498944912502E-4</v>
      </c>
      <c r="Z1300" s="54"/>
    </row>
    <row r="1301" spans="15:26" x14ac:dyDescent="0.25">
      <c r="O1301" s="37" t="s">
        <v>19</v>
      </c>
      <c r="P1301" s="31">
        <f>_xll.qlCalendarAdvance(Calendar,P1300,O1300,"f",,Trigger)</f>
        <v>63649</v>
      </c>
      <c r="Q1301" s="31">
        <f>_xll.qlInterestRateIndexValueDate(Index,P1301,Trigger)</f>
        <v>63653</v>
      </c>
      <c r="R1301" s="31">
        <f>_xll.qlInterestRateIndexMaturity(Index,Q1301,Trigger)</f>
        <v>63744</v>
      </c>
      <c r="S1301" s="32">
        <f>_xll.qlDayCounterYearFraction(DayCounter,Q1301,R1301,,,Trigger)</f>
        <v>0.25277777777777777</v>
      </c>
      <c r="T1301" s="33">
        <f>_xll.qlIndexFixing(Index,P1301,,AllTriggers)</f>
        <v>6.995873766317536E-3</v>
      </c>
      <c r="U1301" s="34">
        <f>_xll.qlYieldTSDiscount(OisCurve,Q1301,,AllTriggers)</f>
        <v>0.67403825765682035</v>
      </c>
      <c r="V1301" s="34">
        <f>_xll.qlYieldTSDiscount(OisCurve,R1301,,AllTriggers)</f>
        <v>0.6728947341471162</v>
      </c>
      <c r="W1301" s="33">
        <f t="shared" si="86"/>
        <v>6.722937540733138E-3</v>
      </c>
      <c r="X1301" s="35">
        <f t="shared" si="87"/>
        <v>6.8872793702285509E-5</v>
      </c>
      <c r="Y1301" s="33">
        <f t="shared" si="88"/>
        <v>2.7293622558439805E-4</v>
      </c>
      <c r="Z1301" s="54"/>
    </row>
    <row r="1302" spans="15:26" x14ac:dyDescent="0.25">
      <c r="O1302" s="37" t="s">
        <v>19</v>
      </c>
      <c r="P1302" s="31">
        <f>_xll.qlCalendarAdvance(Calendar,P1301,O1301,"f",,Trigger)</f>
        <v>63681</v>
      </c>
      <c r="Q1302" s="31">
        <f>_xll.qlInterestRateIndexValueDate(Index,P1302,Trigger)</f>
        <v>63683</v>
      </c>
      <c r="R1302" s="31">
        <f>_xll.qlInterestRateIndexMaturity(Index,Q1302,Trigger)</f>
        <v>63775</v>
      </c>
      <c r="S1302" s="32">
        <f>_xll.qlDayCounterYearFraction(DayCounter,Q1302,R1302,,,Trigger)</f>
        <v>0.25555555555555554</v>
      </c>
      <c r="T1302" s="33">
        <f>_xll.qlIndexFixing(Index,P1302,,AllTriggers)</f>
        <v>6.9975326628695491E-3</v>
      </c>
      <c r="U1302" s="34">
        <f>_xll.qlYieldTSDiscount(OisCurve,Q1302,,AllTriggers)</f>
        <v>0.67366115769319723</v>
      </c>
      <c r="V1302" s="34">
        <f>_xll.qlYieldTSDiscount(OisCurve,R1302,,AllTriggers)</f>
        <v>0.67250543670440488</v>
      </c>
      <c r="W1302" s="33">
        <f t="shared" si="86"/>
        <v>6.7246838925868911E-3</v>
      </c>
      <c r="X1302" s="35">
        <f t="shared" si="87"/>
        <v>6.9605972382624936E-5</v>
      </c>
      <c r="Y1302" s="33">
        <f t="shared" si="88"/>
        <v>2.7284877028265798E-4</v>
      </c>
      <c r="Z1302" s="54"/>
    </row>
    <row r="1303" spans="15:26" x14ac:dyDescent="0.25">
      <c r="O1303" s="37" t="s">
        <v>19</v>
      </c>
      <c r="P1303" s="31">
        <f>_xll.qlCalendarAdvance(Calendar,P1302,O1302,"f",,Trigger)</f>
        <v>63712</v>
      </c>
      <c r="Q1303" s="31">
        <f>_xll.qlInterestRateIndexValueDate(Index,P1303,Trigger)</f>
        <v>63716</v>
      </c>
      <c r="R1303" s="31">
        <f>_xll.qlInterestRateIndexMaturity(Index,Q1303,Trigger)</f>
        <v>63808</v>
      </c>
      <c r="S1303" s="32">
        <f>_xll.qlDayCounterYearFraction(DayCounter,Q1303,R1303,,,Trigger)</f>
        <v>0.25555555555555554</v>
      </c>
      <c r="T1303" s="33">
        <f>_xll.qlIndexFixing(Index,P1303,,AllTriggers)</f>
        <v>6.9990866757505352E-3</v>
      </c>
      <c r="U1303" s="34">
        <f>_xll.qlYieldTSDiscount(OisCurve,Q1303,,AllTriggers)</f>
        <v>0.67324647435886642</v>
      </c>
      <c r="V1303" s="34">
        <f>_xll.qlYieldTSDiscount(OisCurve,R1303,,AllTriggers)</f>
        <v>0.67209118282198921</v>
      </c>
      <c r="W1303" s="33">
        <f t="shared" si="86"/>
        <v>6.7263284051512764E-3</v>
      </c>
      <c r="X1303" s="35">
        <f t="shared" si="87"/>
        <v>6.9582856777921083E-5</v>
      </c>
      <c r="Y1303" s="33">
        <f t="shared" si="88"/>
        <v>2.7275827059925883E-4</v>
      </c>
      <c r="Z1303" s="54"/>
    </row>
    <row r="1304" spans="15:26" x14ac:dyDescent="0.25">
      <c r="O1304" s="37" t="s">
        <v>19</v>
      </c>
      <c r="P1304" s="31">
        <f>_xll.qlCalendarAdvance(Calendar,P1303,O1303,"f",,Trigger)</f>
        <v>63744</v>
      </c>
      <c r="Q1304" s="31">
        <f>_xll.qlInterestRateIndexValueDate(Index,P1304,Trigger)</f>
        <v>63746</v>
      </c>
      <c r="R1304" s="31">
        <f>_xll.qlInterestRateIndexMaturity(Index,Q1304,Trigger)</f>
        <v>63838</v>
      </c>
      <c r="S1304" s="32">
        <f>_xll.qlDayCounterYearFraction(DayCounter,Q1304,R1304,,,Trigger)</f>
        <v>0.25555555555555554</v>
      </c>
      <c r="T1304" s="33">
        <f>_xll.qlIndexFixing(Index,P1304,,AllTriggers)</f>
        <v>7.0003472740632275E-3</v>
      </c>
      <c r="U1304" s="34">
        <f>_xll.qlYieldTSDiscount(OisCurve,Q1304,,AllTriggers)</f>
        <v>0.67286961399289213</v>
      </c>
      <c r="V1304" s="34">
        <f>_xll.qlYieldTSDiscount(OisCurve,R1304,,AllTriggers)</f>
        <v>0.67171474054483538</v>
      </c>
      <c r="W1304" s="33">
        <f t="shared" si="86"/>
        <v>6.727662415848836E-3</v>
      </c>
      <c r="X1304" s="35">
        <f t="shared" si="87"/>
        <v>6.9564105658045044E-5</v>
      </c>
      <c r="Y1304" s="33">
        <f t="shared" si="88"/>
        <v>2.7268485821439151E-4</v>
      </c>
      <c r="Z1304" s="54"/>
    </row>
    <row r="1305" spans="15:26" x14ac:dyDescent="0.25">
      <c r="O1305" s="37" t="s">
        <v>19</v>
      </c>
      <c r="P1305" s="31">
        <f>_xll.qlCalendarAdvance(Calendar,P1304,O1304,"f",,Trigger)</f>
        <v>63775</v>
      </c>
      <c r="Q1305" s="31">
        <f>_xll.qlInterestRateIndexValueDate(Index,P1305,Trigger)</f>
        <v>63779</v>
      </c>
      <c r="R1305" s="31">
        <f>_xll.qlInterestRateIndexMaturity(Index,Q1305,Trigger)</f>
        <v>63871</v>
      </c>
      <c r="S1305" s="32">
        <f>_xll.qlDayCounterYearFraction(DayCounter,Q1305,R1305,,,Trigger)</f>
        <v>0.25555555555555554</v>
      </c>
      <c r="T1305" s="33">
        <f>_xll.qlIndexFixing(Index,P1305,,AllTriggers)</f>
        <v>7.0015665772998658E-3</v>
      </c>
      <c r="U1305" s="34">
        <f>_xll.qlYieldTSDiscount(OisCurve,Q1305,,AllTriggers)</f>
        <v>0.67245521513567119</v>
      </c>
      <c r="V1305" s="34">
        <f>_xll.qlYieldTSDiscount(OisCurve,R1305,,AllTriggers)</f>
        <v>0.67130083195830814</v>
      </c>
      <c r="W1305" s="33">
        <f t="shared" si="86"/>
        <v>6.728952726629666E-3</v>
      </c>
      <c r="X1305" s="35">
        <f t="shared" si="87"/>
        <v>6.9545968798593702E-5</v>
      </c>
      <c r="Y1305" s="33">
        <f t="shared" si="88"/>
        <v>2.7261385067019975E-4</v>
      </c>
      <c r="Z1305" s="54"/>
    </row>
    <row r="1306" spans="15:26" x14ac:dyDescent="0.25">
      <c r="O1306" s="37" t="s">
        <v>19</v>
      </c>
      <c r="P1306" s="31">
        <f>_xll.qlCalendarAdvance(Calendar,P1305,O1305,"f",,Trigger)</f>
        <v>63807</v>
      </c>
      <c r="Q1306" s="31">
        <f>_xll.qlInterestRateIndexValueDate(Index,P1306,Trigger)</f>
        <v>63809</v>
      </c>
      <c r="R1306" s="31">
        <f>_xll.qlInterestRateIndexMaturity(Index,Q1306,Trigger)</f>
        <v>63900</v>
      </c>
      <c r="S1306" s="32">
        <f>_xll.qlDayCounterYearFraction(DayCounter,Q1306,R1306,,,Trigger)</f>
        <v>0.25277777777777777</v>
      </c>
      <c r="T1306" s="33">
        <f>_xll.qlIndexFixing(Index,P1306,,AllTriggers)</f>
        <v>7.0024413068315973E-3</v>
      </c>
      <c r="U1306" s="34">
        <f>_xll.qlYieldTSDiscount(OisCurve,Q1306,,AllTriggers)</f>
        <v>0.67207863235919751</v>
      </c>
      <c r="V1306" s="34">
        <f>_xll.qlYieldTSDiscount(OisCurve,R1306,,AllTriggers)</f>
        <v>0.67093725669603832</v>
      </c>
      <c r="W1306" s="33">
        <f t="shared" si="86"/>
        <v>6.729887554690007E-3</v>
      </c>
      <c r="X1306" s="35">
        <f t="shared" si="87"/>
        <v>6.8776162961874321E-5</v>
      </c>
      <c r="Y1306" s="33">
        <f t="shared" si="88"/>
        <v>2.7255375214159036E-4</v>
      </c>
      <c r="Z1306" s="54"/>
    </row>
    <row r="1307" spans="15:26" x14ac:dyDescent="0.25">
      <c r="O1307" s="37" t="s">
        <v>19</v>
      </c>
      <c r="P1307" s="31">
        <f>_xll.qlCalendarAdvance(Calendar,P1306,O1306,"f",,Trigger)</f>
        <v>63837</v>
      </c>
      <c r="Q1307" s="31">
        <f>_xll.qlInterestRateIndexValueDate(Index,P1307,Trigger)</f>
        <v>63839</v>
      </c>
      <c r="R1307" s="31">
        <f>_xll.qlInterestRateIndexMaturity(Index,Q1307,Trigger)</f>
        <v>63933</v>
      </c>
      <c r="S1307" s="32">
        <f>_xll.qlDayCounterYearFraction(DayCounter,Q1307,R1307,,,Trigger)</f>
        <v>0.26111111111111113</v>
      </c>
      <c r="T1307" s="33">
        <f>_xll.qlIndexFixing(Index,P1307,,AllTriggers)</f>
        <v>7.0034925327897186E-3</v>
      </c>
      <c r="U1307" s="34">
        <f>_xll.qlYieldTSDiscount(OisCurve,Q1307,,AllTriggers)</f>
        <v>0.67170219506954476</v>
      </c>
      <c r="V1307" s="34">
        <f>_xll.qlYieldTSDiscount(OisCurve,R1307,,AllTriggers)</f>
        <v>0.67052372835133478</v>
      </c>
      <c r="W1307" s="33">
        <f t="shared" si="86"/>
        <v>6.7309725253747394E-3</v>
      </c>
      <c r="X1307" s="35">
        <f t="shared" si="87"/>
        <v>7.1030636171074102E-5</v>
      </c>
      <c r="Y1307" s="33">
        <f t="shared" si="88"/>
        <v>2.7252000741497927E-4</v>
      </c>
      <c r="Z1307" s="54"/>
    </row>
    <row r="1308" spans="15:26" x14ac:dyDescent="0.25">
      <c r="O1308" s="37" t="s">
        <v>19</v>
      </c>
      <c r="P1308" s="31">
        <f>_xll.qlCalendarAdvance(Calendar,P1307,O1307,"f",,Trigger)</f>
        <v>63870</v>
      </c>
      <c r="Q1308" s="31">
        <f>_xll.qlInterestRateIndexValueDate(Index,P1308,Trigger)</f>
        <v>63872</v>
      </c>
      <c r="R1308" s="31">
        <f>_xll.qlInterestRateIndexMaturity(Index,Q1308,Trigger)</f>
        <v>63964</v>
      </c>
      <c r="S1308" s="32">
        <f>_xll.qlDayCounterYearFraction(DayCounter,Q1308,R1308,,,Trigger)</f>
        <v>0.25555555555555554</v>
      </c>
      <c r="T1308" s="33">
        <f>_xll.qlIndexFixing(Index,P1308,,AllTriggers)</f>
        <v>7.0040595211051668E-3</v>
      </c>
      <c r="U1308" s="34">
        <f>_xll.qlYieldTSDiscount(OisCurve,Q1308,,AllTriggers)</f>
        <v>0.67128829229826148</v>
      </c>
      <c r="V1308" s="34">
        <f>_xll.qlYieldTSDiscount(OisCurve,R1308,,AllTriggers)</f>
        <v>0.67013546132034363</v>
      </c>
      <c r="W1308" s="33">
        <f t="shared" si="86"/>
        <v>6.7315908499911694E-3</v>
      </c>
      <c r="X1308" s="35">
        <f t="shared" si="87"/>
        <v>6.9508886842342061E-5</v>
      </c>
      <c r="Y1308" s="33">
        <f t="shared" si="88"/>
        <v>2.7246867111399738E-4</v>
      </c>
      <c r="Z1308" s="54"/>
    </row>
    <row r="1309" spans="15:26" x14ac:dyDescent="0.25">
      <c r="O1309" s="37" t="s">
        <v>19</v>
      </c>
      <c r="P1309" s="31">
        <f>_xll.qlCalendarAdvance(Calendar,P1308,O1308,"f",,Trigger)</f>
        <v>63900</v>
      </c>
      <c r="Q1309" s="31">
        <f>_xll.qlInterestRateIndexValueDate(Index,P1309,Trigger)</f>
        <v>63902</v>
      </c>
      <c r="R1309" s="31">
        <f>_xll.qlInterestRateIndexMaturity(Index,Q1309,Trigger)</f>
        <v>63992</v>
      </c>
      <c r="S1309" s="32">
        <f>_xll.qlDayCounterYearFraction(DayCounter,Q1309,R1309,,,Trigger)</f>
        <v>0.25</v>
      </c>
      <c r="T1309" s="33">
        <f>_xll.qlIndexFixing(Index,P1309,,AllTriggers)</f>
        <v>7.0044183253008541E-3</v>
      </c>
      <c r="U1309" s="34">
        <f>_xll.qlYieldTSDiscount(OisCurve,Q1309,,AllTriggers)</f>
        <v>0.67091218835515654</v>
      </c>
      <c r="V1309" s="34">
        <f>_xll.qlYieldTSDiscount(OisCurve,R1309,,AllTriggers)</f>
        <v>0.66978494216151818</v>
      </c>
      <c r="W1309" s="33">
        <f t="shared" si="86"/>
        <v>6.7319888679522322E-3</v>
      </c>
      <c r="X1309" s="35">
        <f t="shared" si="87"/>
        <v>6.799062100655555E-5</v>
      </c>
      <c r="Y1309" s="33">
        <f t="shared" si="88"/>
        <v>2.724294573486219E-4</v>
      </c>
      <c r="Z1309" s="54"/>
    </row>
    <row r="1310" spans="15:26" x14ac:dyDescent="0.25">
      <c r="O1310" s="37" t="s">
        <v>19</v>
      </c>
      <c r="P1310" s="31">
        <f>_xll.qlCalendarAdvance(Calendar,P1309,O1309,"f",,Trigger)</f>
        <v>63933</v>
      </c>
      <c r="Q1310" s="31">
        <f>_xll.qlInterestRateIndexValueDate(Index,P1310,Trigger)</f>
        <v>63935</v>
      </c>
      <c r="R1310" s="31">
        <f>_xll.qlInterestRateIndexMaturity(Index,Q1310,Trigger)</f>
        <v>64025</v>
      </c>
      <c r="S1310" s="32">
        <f>_xll.qlDayCounterYearFraction(DayCounter,Q1310,R1310,,,Trigger)</f>
        <v>0.25</v>
      </c>
      <c r="T1310" s="33">
        <f>_xll.qlIndexFixing(Index,P1310,,AllTriggers)</f>
        <v>7.0048141189706925E-3</v>
      </c>
      <c r="U1310" s="34">
        <f>_xll.qlYieldTSDiscount(OisCurve,Q1310,,AllTriggers)</f>
        <v>0.67049867294189269</v>
      </c>
      <c r="V1310" s="34">
        <f>_xll.qlYieldTSDiscount(OisCurve,R1310,,AllTriggers)</f>
        <v>0.66937205155141322</v>
      </c>
      <c r="W1310" s="33">
        <f t="shared" si="86"/>
        <v>6.7324077117847381E-3</v>
      </c>
      <c r="X1310" s="35">
        <f t="shared" si="87"/>
        <v>6.7984861432311678E-5</v>
      </c>
      <c r="Y1310" s="33">
        <f t="shared" si="88"/>
        <v>2.7240640718595444E-4</v>
      </c>
      <c r="Z1310" s="54"/>
    </row>
    <row r="1311" spans="15:26" x14ac:dyDescent="0.25">
      <c r="O1311" s="37"/>
      <c r="P1311" s="31"/>
      <c r="Q1311" s="31"/>
      <c r="R1311" s="31"/>
      <c r="S1311" s="32"/>
      <c r="T1311" s="33"/>
      <c r="U1311" s="34"/>
      <c r="V1311" s="34"/>
      <c r="W1311" s="33"/>
      <c r="X1311" s="35"/>
      <c r="Y1311" s="54"/>
      <c r="Z1311" s="54"/>
    </row>
    <row r="1312" spans="15:26" x14ac:dyDescent="0.25">
      <c r="O1312" s="37"/>
      <c r="P1312" s="31"/>
      <c r="Q1312" s="31"/>
      <c r="R1312" s="31"/>
      <c r="S1312" s="32"/>
      <c r="T1312" s="33"/>
      <c r="U1312" s="34"/>
      <c r="V1312" s="34"/>
      <c r="W1312" s="33"/>
      <c r="X1312" s="35"/>
      <c r="Y1312" s="54"/>
      <c r="Z1312" s="54"/>
    </row>
    <row r="1313" spans="15:26" x14ac:dyDescent="0.25">
      <c r="O1313" s="37"/>
      <c r="P1313" s="31"/>
      <c r="Q1313" s="31"/>
      <c r="R1313" s="31"/>
      <c r="S1313" s="32"/>
      <c r="T1313" s="33"/>
      <c r="U1313" s="34"/>
      <c r="V1313" s="34"/>
      <c r="W1313" s="33"/>
      <c r="X1313" s="35"/>
      <c r="Y1313" s="54"/>
      <c r="Z1313" s="54"/>
    </row>
    <row r="1314" spans="15:26" x14ac:dyDescent="0.25">
      <c r="O1314" s="37"/>
      <c r="P1314" s="31"/>
      <c r="Q1314" s="31"/>
      <c r="R1314" s="31"/>
      <c r="S1314" s="32"/>
      <c r="T1314" s="33"/>
      <c r="U1314" s="34"/>
      <c r="V1314" s="34"/>
      <c r="W1314" s="33"/>
      <c r="X1314" s="35"/>
      <c r="Y1314" s="54"/>
      <c r="Z1314" s="54"/>
    </row>
    <row r="1315" spans="15:26" x14ac:dyDescent="0.25">
      <c r="O1315" s="37"/>
      <c r="P1315" s="31"/>
      <c r="Q1315" s="31"/>
      <c r="R1315" s="31"/>
      <c r="S1315" s="32"/>
      <c r="T1315" s="33"/>
      <c r="U1315" s="34"/>
      <c r="V1315" s="34"/>
      <c r="W1315" s="33"/>
      <c r="X1315" s="35"/>
      <c r="Y1315" s="54"/>
      <c r="Z1315" s="54"/>
    </row>
    <row r="1316" spans="15:26" x14ac:dyDescent="0.25">
      <c r="O1316" s="37"/>
      <c r="P1316" s="31"/>
      <c r="Q1316" s="31"/>
      <c r="R1316" s="31"/>
      <c r="S1316" s="32"/>
      <c r="T1316" s="33"/>
      <c r="U1316" s="34"/>
      <c r="V1316" s="34"/>
      <c r="W1316" s="33"/>
      <c r="X1316" s="35"/>
      <c r="Y1316" s="54"/>
      <c r="Z1316" s="54"/>
    </row>
    <row r="1317" spans="15:26" x14ac:dyDescent="0.25">
      <c r="O1317" s="37"/>
      <c r="P1317" s="31"/>
      <c r="Q1317" s="31"/>
      <c r="R1317" s="31"/>
      <c r="S1317" s="32"/>
      <c r="T1317" s="33"/>
      <c r="U1317" s="34"/>
      <c r="V1317" s="34"/>
      <c r="W1317" s="33"/>
      <c r="X1317" s="35"/>
      <c r="Y1317" s="54"/>
      <c r="Z1317" s="54"/>
    </row>
    <row r="1318" spans="15:26" x14ac:dyDescent="0.25">
      <c r="O1318" s="37"/>
      <c r="P1318" s="31"/>
      <c r="Q1318" s="31"/>
      <c r="R1318" s="31"/>
      <c r="S1318" s="32"/>
      <c r="T1318" s="33"/>
      <c r="U1318" s="34"/>
      <c r="V1318" s="34"/>
      <c r="W1318" s="33"/>
      <c r="X1318" s="35"/>
      <c r="Y1318" s="54"/>
      <c r="Z1318" s="54"/>
    </row>
    <row r="1319" spans="15:26" x14ac:dyDescent="0.25">
      <c r="O1319" s="37"/>
      <c r="P1319" s="31"/>
      <c r="Q1319" s="31"/>
      <c r="R1319" s="31"/>
      <c r="S1319" s="32"/>
      <c r="T1319" s="33"/>
      <c r="U1319" s="34"/>
      <c r="V1319" s="34"/>
      <c r="W1319" s="33"/>
      <c r="X1319" s="35"/>
      <c r="Y1319" s="54"/>
      <c r="Z1319" s="54"/>
    </row>
    <row r="1320" spans="15:26" x14ac:dyDescent="0.25">
      <c r="O1320" s="37"/>
      <c r="P1320" s="31"/>
      <c r="Q1320" s="31"/>
      <c r="R1320" s="31"/>
      <c r="S1320" s="32"/>
      <c r="T1320" s="33"/>
      <c r="U1320" s="34"/>
      <c r="V1320" s="34"/>
      <c r="W1320" s="33"/>
      <c r="X1320" s="35"/>
      <c r="Y1320" s="54"/>
      <c r="Z1320" s="54"/>
    </row>
    <row r="1321" spans="15:26" x14ac:dyDescent="0.25">
      <c r="O1321" s="37"/>
      <c r="P1321" s="31"/>
      <c r="Q1321" s="31"/>
      <c r="R1321" s="31"/>
      <c r="S1321" s="32"/>
      <c r="T1321" s="33"/>
      <c r="U1321" s="34"/>
      <c r="V1321" s="34"/>
      <c r="W1321" s="33"/>
      <c r="X1321" s="35"/>
      <c r="Y1321" s="54"/>
      <c r="Z1321" s="54"/>
    </row>
    <row r="1322" spans="15:26" x14ac:dyDescent="0.25">
      <c r="O1322" s="37"/>
      <c r="P1322" s="31"/>
      <c r="Q1322" s="31"/>
      <c r="R1322" s="31"/>
      <c r="S1322" s="32"/>
      <c r="T1322" s="33"/>
      <c r="U1322" s="34"/>
      <c r="V1322" s="34"/>
      <c r="W1322" s="33"/>
      <c r="X1322" s="35"/>
      <c r="Y1322" s="54"/>
      <c r="Z1322" s="54"/>
    </row>
    <row r="1323" spans="15:26" x14ac:dyDescent="0.25">
      <c r="O1323" s="37"/>
      <c r="P1323" s="31"/>
      <c r="Q1323" s="31"/>
      <c r="R1323" s="31"/>
      <c r="S1323" s="32"/>
      <c r="T1323" s="33"/>
      <c r="U1323" s="34"/>
      <c r="V1323" s="34"/>
      <c r="W1323" s="33"/>
      <c r="X1323" s="35"/>
      <c r="Y1323" s="54"/>
      <c r="Z1323" s="54"/>
    </row>
    <row r="1324" spans="15:26" x14ac:dyDescent="0.25">
      <c r="O1324" s="37"/>
      <c r="P1324" s="31"/>
      <c r="Q1324" s="31"/>
      <c r="R1324" s="31"/>
      <c r="S1324" s="32"/>
      <c r="T1324" s="33"/>
      <c r="U1324" s="34"/>
      <c r="V1324" s="34"/>
      <c r="W1324" s="33"/>
      <c r="X1324" s="35"/>
      <c r="Y1324" s="54"/>
      <c r="Z1324" s="54"/>
    </row>
    <row r="1325" spans="15:26" x14ac:dyDescent="0.25">
      <c r="O1325" s="37"/>
      <c r="P1325" s="31"/>
      <c r="Q1325" s="31"/>
      <c r="R1325" s="31"/>
      <c r="S1325" s="32"/>
      <c r="T1325" s="33"/>
      <c r="U1325" s="34"/>
      <c r="V1325" s="34"/>
      <c r="W1325" s="33"/>
      <c r="X1325" s="35"/>
      <c r="Y1325" s="54"/>
      <c r="Z1325" s="54"/>
    </row>
    <row r="1326" spans="15:26" x14ac:dyDescent="0.25">
      <c r="O1326" s="37"/>
      <c r="P1326" s="31"/>
      <c r="Q1326" s="31"/>
      <c r="R1326" s="31"/>
      <c r="S1326" s="32"/>
      <c r="T1326" s="33"/>
      <c r="U1326" s="34"/>
      <c r="V1326" s="34"/>
      <c r="W1326" s="33"/>
      <c r="X1326" s="35"/>
      <c r="Y1326" s="54"/>
      <c r="Z1326" s="54"/>
    </row>
    <row r="1327" spans="15:26" x14ac:dyDescent="0.25">
      <c r="O1327" s="37"/>
      <c r="P1327" s="31"/>
      <c r="Q1327" s="31"/>
      <c r="R1327" s="31"/>
      <c r="S1327" s="32"/>
      <c r="T1327" s="33"/>
      <c r="U1327" s="34"/>
      <c r="V1327" s="34"/>
      <c r="W1327" s="33"/>
      <c r="X1327" s="35"/>
      <c r="Y1327" s="54"/>
      <c r="Z1327" s="54"/>
    </row>
    <row r="1328" spans="15:26" x14ac:dyDescent="0.25">
      <c r="O1328" s="37"/>
      <c r="P1328" s="31"/>
      <c r="Q1328" s="31"/>
      <c r="R1328" s="31"/>
      <c r="S1328" s="32"/>
      <c r="T1328" s="33"/>
      <c r="U1328" s="34"/>
      <c r="V1328" s="34"/>
      <c r="W1328" s="33"/>
      <c r="X1328" s="35"/>
      <c r="Y1328" s="54"/>
      <c r="Z1328" s="54"/>
    </row>
    <row r="1329" spans="15:26" x14ac:dyDescent="0.25">
      <c r="O1329" s="37"/>
      <c r="P1329" s="31"/>
      <c r="Q1329" s="31"/>
      <c r="R1329" s="31"/>
      <c r="S1329" s="32"/>
      <c r="T1329" s="33"/>
      <c r="U1329" s="34"/>
      <c r="V1329" s="34"/>
      <c r="W1329" s="33"/>
      <c r="X1329" s="35"/>
      <c r="Y1329" s="54"/>
      <c r="Z1329" s="54"/>
    </row>
    <row r="1330" spans="15:26" x14ac:dyDescent="0.25">
      <c r="O1330" s="37"/>
      <c r="P1330" s="31"/>
      <c r="Q1330" s="31"/>
      <c r="R1330" s="31"/>
      <c r="S1330" s="32"/>
      <c r="T1330" s="33"/>
      <c r="U1330" s="34"/>
      <c r="V1330" s="34"/>
      <c r="W1330" s="33"/>
      <c r="X1330" s="35"/>
      <c r="Y1330" s="54"/>
      <c r="Z1330" s="54"/>
    </row>
    <row r="1331" spans="15:26" x14ac:dyDescent="0.25">
      <c r="O1331" s="37"/>
      <c r="P1331" s="31"/>
      <c r="Q1331" s="31"/>
      <c r="R1331" s="31"/>
      <c r="S1331" s="32"/>
      <c r="T1331" s="33"/>
      <c r="U1331" s="34"/>
      <c r="V1331" s="34"/>
      <c r="W1331" s="33"/>
      <c r="X1331" s="35"/>
      <c r="Y1331" s="54"/>
      <c r="Z1331" s="54"/>
    </row>
    <row r="1332" spans="15:26" x14ac:dyDescent="0.25">
      <c r="O1332" s="37"/>
      <c r="P1332" s="31"/>
      <c r="Q1332" s="31"/>
      <c r="R1332" s="31"/>
      <c r="S1332" s="32"/>
      <c r="T1332" s="33"/>
      <c r="U1332" s="34"/>
      <c r="V1332" s="34"/>
      <c r="W1332" s="33"/>
      <c r="X1332" s="35"/>
      <c r="Y1332" s="54"/>
      <c r="Z1332" s="54"/>
    </row>
    <row r="1333" spans="15:26" x14ac:dyDescent="0.25">
      <c r="O1333" s="37"/>
      <c r="P1333" s="31"/>
      <c r="Q1333" s="31"/>
      <c r="R1333" s="31"/>
      <c r="S1333" s="32"/>
      <c r="T1333" s="33"/>
      <c r="U1333" s="34"/>
      <c r="V1333" s="34"/>
      <c r="W1333" s="33"/>
      <c r="X1333" s="35"/>
      <c r="Y1333" s="54"/>
      <c r="Z1333" s="54"/>
    </row>
    <row r="1334" spans="15:26" x14ac:dyDescent="0.25">
      <c r="O1334" s="37"/>
      <c r="P1334" s="31"/>
      <c r="Q1334" s="31"/>
      <c r="R1334" s="31"/>
      <c r="S1334" s="32"/>
      <c r="T1334" s="33"/>
      <c r="U1334" s="34"/>
      <c r="V1334" s="34"/>
      <c r="W1334" s="33"/>
      <c r="X1334" s="35"/>
      <c r="Y1334" s="54"/>
      <c r="Z1334" s="54"/>
    </row>
    <row r="1335" spans="15:26" x14ac:dyDescent="0.25">
      <c r="O1335" s="37"/>
      <c r="P1335" s="31"/>
      <c r="Q1335" s="31"/>
      <c r="R1335" s="31"/>
      <c r="S1335" s="32"/>
      <c r="T1335" s="33"/>
      <c r="U1335" s="34"/>
      <c r="V1335" s="34"/>
      <c r="W1335" s="33"/>
      <c r="X1335" s="35"/>
      <c r="Y1335" s="54"/>
      <c r="Z1335" s="54"/>
    </row>
    <row r="1336" spans="15:26" x14ac:dyDescent="0.25">
      <c r="O1336" s="37"/>
      <c r="P1336" s="31"/>
      <c r="Q1336" s="31"/>
      <c r="R1336" s="31"/>
      <c r="S1336" s="32"/>
      <c r="T1336" s="33"/>
      <c r="U1336" s="34"/>
      <c r="V1336" s="34"/>
      <c r="W1336" s="33"/>
      <c r="X1336" s="35"/>
      <c r="Y1336" s="54"/>
      <c r="Z1336" s="54"/>
    </row>
    <row r="1337" spans="15:26" x14ac:dyDescent="0.25">
      <c r="O1337" s="37"/>
      <c r="P1337" s="31"/>
      <c r="Q1337" s="31"/>
      <c r="R1337" s="31"/>
      <c r="S1337" s="32"/>
      <c r="T1337" s="33"/>
      <c r="U1337" s="34"/>
      <c r="V1337" s="34"/>
      <c r="W1337" s="33"/>
      <c r="X1337" s="35"/>
      <c r="Y1337" s="54"/>
      <c r="Z1337" s="54"/>
    </row>
    <row r="1338" spans="15:26" x14ac:dyDescent="0.25">
      <c r="O1338" s="37"/>
      <c r="P1338" s="31"/>
      <c r="Q1338" s="31"/>
      <c r="R1338" s="31"/>
      <c r="S1338" s="32"/>
      <c r="T1338" s="33"/>
      <c r="U1338" s="34"/>
      <c r="V1338" s="34"/>
      <c r="W1338" s="33"/>
      <c r="X1338" s="35"/>
      <c r="Y1338" s="54"/>
      <c r="Z1338" s="54"/>
    </row>
    <row r="1339" spans="15:26" x14ac:dyDescent="0.25">
      <c r="O1339" s="37"/>
      <c r="P1339" s="31"/>
      <c r="Q1339" s="31"/>
      <c r="R1339" s="31"/>
      <c r="S1339" s="32"/>
      <c r="T1339" s="33"/>
      <c r="U1339" s="34"/>
      <c r="V1339" s="34"/>
      <c r="W1339" s="33"/>
      <c r="X1339" s="35"/>
      <c r="Y1339" s="54"/>
      <c r="Z1339" s="54"/>
    </row>
    <row r="1340" spans="15:26" x14ac:dyDescent="0.25">
      <c r="O1340" s="37"/>
      <c r="P1340" s="31"/>
      <c r="Q1340" s="31"/>
      <c r="R1340" s="31"/>
      <c r="S1340" s="32"/>
      <c r="T1340" s="33"/>
      <c r="U1340" s="34"/>
      <c r="V1340" s="34"/>
      <c r="W1340" s="33"/>
      <c r="X1340" s="35"/>
      <c r="Y1340" s="54"/>
      <c r="Z1340" s="54"/>
    </row>
    <row r="1341" spans="15:26" x14ac:dyDescent="0.25">
      <c r="O1341" s="37"/>
      <c r="P1341" s="31"/>
      <c r="Q1341" s="31"/>
      <c r="R1341" s="31"/>
      <c r="S1341" s="32"/>
      <c r="T1341" s="33"/>
      <c r="U1341" s="34"/>
      <c r="V1341" s="34"/>
      <c r="W1341" s="33"/>
      <c r="X1341" s="35"/>
      <c r="Y1341" s="54"/>
      <c r="Z1341" s="54"/>
    </row>
    <row r="1342" spans="15:26" x14ac:dyDescent="0.25">
      <c r="O1342" s="37"/>
      <c r="P1342" s="31"/>
      <c r="Q1342" s="31"/>
      <c r="R1342" s="31"/>
      <c r="S1342" s="32"/>
      <c r="T1342" s="33"/>
      <c r="U1342" s="34"/>
      <c r="V1342" s="34"/>
      <c r="W1342" s="33"/>
      <c r="X1342" s="35"/>
      <c r="Y1342" s="54"/>
      <c r="Z1342" s="54"/>
    </row>
    <row r="1343" spans="15:26" x14ac:dyDescent="0.25">
      <c r="O1343" s="37"/>
      <c r="P1343" s="31"/>
      <c r="Q1343" s="31"/>
      <c r="R1343" s="31"/>
      <c r="S1343" s="32"/>
      <c r="T1343" s="33"/>
      <c r="U1343" s="34"/>
      <c r="V1343" s="34"/>
      <c r="W1343" s="33"/>
      <c r="X1343" s="35"/>
      <c r="Y1343" s="54"/>
      <c r="Z1343" s="54"/>
    </row>
    <row r="1344" spans="15:26" x14ac:dyDescent="0.25">
      <c r="O1344" s="37"/>
      <c r="P1344" s="31"/>
      <c r="Q1344" s="31"/>
      <c r="R1344" s="31"/>
      <c r="S1344" s="32"/>
      <c r="T1344" s="33"/>
      <c r="U1344" s="34"/>
      <c r="V1344" s="34"/>
      <c r="W1344" s="33"/>
      <c r="X1344" s="35"/>
      <c r="Y1344" s="54"/>
      <c r="Z1344" s="54"/>
    </row>
    <row r="1345" spans="15:26" x14ac:dyDescent="0.25">
      <c r="O1345" s="37"/>
      <c r="P1345" s="31"/>
      <c r="Q1345" s="31"/>
      <c r="R1345" s="31"/>
      <c r="S1345" s="32"/>
      <c r="T1345" s="33"/>
      <c r="U1345" s="34"/>
      <c r="V1345" s="34"/>
      <c r="W1345" s="33"/>
      <c r="X1345" s="35"/>
      <c r="Y1345" s="54"/>
      <c r="Z1345" s="54"/>
    </row>
    <row r="1346" spans="15:26" x14ac:dyDescent="0.25">
      <c r="O1346" s="37"/>
      <c r="P1346" s="31"/>
      <c r="Q1346" s="31"/>
      <c r="R1346" s="31"/>
      <c r="S1346" s="32"/>
      <c r="T1346" s="33"/>
      <c r="U1346" s="34"/>
      <c r="V1346" s="34"/>
      <c r="W1346" s="33"/>
      <c r="X1346" s="35"/>
      <c r="Y1346" s="54"/>
      <c r="Z1346" s="54"/>
    </row>
    <row r="1347" spans="15:26" x14ac:dyDescent="0.25">
      <c r="O1347" s="37"/>
      <c r="P1347" s="31"/>
      <c r="Q1347" s="31"/>
      <c r="R1347" s="31"/>
      <c r="S1347" s="32"/>
      <c r="T1347" s="33"/>
      <c r="U1347" s="34"/>
      <c r="V1347" s="34"/>
      <c r="W1347" s="33"/>
      <c r="X1347" s="35"/>
      <c r="Y1347" s="54"/>
      <c r="Z1347" s="54"/>
    </row>
    <row r="1348" spans="15:26" x14ac:dyDescent="0.25">
      <c r="O1348" s="37"/>
      <c r="P1348" s="31"/>
      <c r="Q1348" s="31"/>
      <c r="R1348" s="31"/>
      <c r="S1348" s="32"/>
      <c r="T1348" s="33"/>
      <c r="U1348" s="34"/>
      <c r="V1348" s="34"/>
      <c r="W1348" s="33"/>
      <c r="X1348" s="35"/>
      <c r="Y1348" s="54"/>
      <c r="Z1348" s="54"/>
    </row>
    <row r="1349" spans="15:26" x14ac:dyDescent="0.25">
      <c r="O1349" s="37"/>
      <c r="P1349" s="31"/>
      <c r="Q1349" s="31"/>
      <c r="R1349" s="31"/>
      <c r="S1349" s="32"/>
      <c r="T1349" s="33"/>
      <c r="U1349" s="34"/>
      <c r="V1349" s="34"/>
      <c r="W1349" s="33"/>
      <c r="X1349" s="35"/>
      <c r="Y1349" s="54"/>
      <c r="Z1349" s="54"/>
    </row>
    <row r="1350" spans="15:26" x14ac:dyDescent="0.25">
      <c r="O1350" s="37"/>
      <c r="P1350" s="31"/>
      <c r="Q1350" s="31"/>
      <c r="R1350" s="31"/>
      <c r="S1350" s="32"/>
      <c r="T1350" s="33"/>
      <c r="U1350" s="34"/>
      <c r="V1350" s="34"/>
      <c r="W1350" s="33"/>
      <c r="X1350" s="35"/>
      <c r="Y1350" s="54"/>
      <c r="Z1350" s="54"/>
    </row>
    <row r="1351" spans="15:26" x14ac:dyDescent="0.25">
      <c r="O1351" s="37"/>
      <c r="P1351" s="31"/>
      <c r="Q1351" s="31"/>
      <c r="R1351" s="31"/>
      <c r="S1351" s="32"/>
      <c r="T1351" s="33"/>
      <c r="U1351" s="34"/>
      <c r="V1351" s="34"/>
      <c r="W1351" s="33"/>
      <c r="X1351" s="35"/>
      <c r="Y1351" s="54"/>
      <c r="Z1351" s="54"/>
    </row>
    <row r="1352" spans="15:26" x14ac:dyDescent="0.25">
      <c r="O1352" s="37"/>
      <c r="P1352" s="31"/>
      <c r="Q1352" s="31"/>
      <c r="R1352" s="31"/>
      <c r="S1352" s="32"/>
      <c r="T1352" s="33"/>
      <c r="U1352" s="34"/>
      <c r="V1352" s="34"/>
      <c r="W1352" s="33"/>
      <c r="X1352" s="35"/>
      <c r="Y1352" s="54"/>
      <c r="Z1352" s="54"/>
    </row>
    <row r="1353" spans="15:26" x14ac:dyDescent="0.25">
      <c r="O1353" s="37"/>
      <c r="P1353" s="31"/>
      <c r="Q1353" s="31"/>
      <c r="R1353" s="31"/>
      <c r="S1353" s="32"/>
      <c r="T1353" s="33"/>
      <c r="U1353" s="34"/>
      <c r="V1353" s="34"/>
      <c r="W1353" s="33"/>
      <c r="X1353" s="35"/>
      <c r="Y1353" s="54"/>
      <c r="Z1353" s="54"/>
    </row>
    <row r="1354" spans="15:26" x14ac:dyDescent="0.25">
      <c r="O1354" s="37"/>
      <c r="P1354" s="31"/>
      <c r="Q1354" s="31"/>
      <c r="R1354" s="31"/>
      <c r="S1354" s="32"/>
      <c r="T1354" s="33"/>
      <c r="U1354" s="34"/>
      <c r="V1354" s="34"/>
      <c r="W1354" s="33"/>
      <c r="X1354" s="35"/>
      <c r="Y1354" s="54"/>
      <c r="Z1354" s="54"/>
    </row>
    <row r="1355" spans="15:26" x14ac:dyDescent="0.25">
      <c r="O1355" s="37"/>
      <c r="P1355" s="31"/>
      <c r="Q1355" s="31"/>
      <c r="R1355" s="31"/>
      <c r="S1355" s="32"/>
      <c r="T1355" s="33"/>
      <c r="U1355" s="34"/>
      <c r="V1355" s="34"/>
      <c r="W1355" s="33"/>
      <c r="X1355" s="35"/>
      <c r="Y1355" s="54"/>
      <c r="Z1355" s="54"/>
    </row>
    <row r="1356" spans="15:26" x14ac:dyDescent="0.25">
      <c r="O1356" s="37"/>
      <c r="P1356" s="31"/>
      <c r="Q1356" s="31"/>
      <c r="R1356" s="31"/>
      <c r="S1356" s="32"/>
      <c r="T1356" s="33"/>
      <c r="U1356" s="34"/>
      <c r="V1356" s="34"/>
      <c r="W1356" s="33"/>
      <c r="X1356" s="35"/>
      <c r="Y1356" s="54"/>
      <c r="Z1356" s="54"/>
    </row>
    <row r="1357" spans="15:26" x14ac:dyDescent="0.25">
      <c r="O1357" s="37"/>
      <c r="P1357" s="31"/>
      <c r="Q1357" s="31"/>
      <c r="R1357" s="31"/>
      <c r="S1357" s="32"/>
      <c r="T1357" s="33"/>
      <c r="U1357" s="34"/>
      <c r="V1357" s="34"/>
      <c r="W1357" s="33"/>
      <c r="X1357" s="35"/>
      <c r="Y1357" s="54"/>
      <c r="Z1357" s="54"/>
    </row>
    <row r="1358" spans="15:26" x14ac:dyDescent="0.25">
      <c r="O1358" s="37"/>
      <c r="P1358" s="31"/>
      <c r="Q1358" s="31"/>
      <c r="R1358" s="31"/>
      <c r="S1358" s="32"/>
      <c r="T1358" s="33"/>
      <c r="U1358" s="34"/>
      <c r="V1358" s="34"/>
      <c r="W1358" s="33"/>
      <c r="X1358" s="35"/>
      <c r="Y1358" s="54"/>
      <c r="Z1358" s="54"/>
    </row>
    <row r="1359" spans="15:26" x14ac:dyDescent="0.25">
      <c r="O1359" s="37"/>
      <c r="P1359" s="31"/>
      <c r="Q1359" s="31"/>
      <c r="R1359" s="31"/>
      <c r="S1359" s="32"/>
      <c r="T1359" s="33"/>
      <c r="U1359" s="34"/>
      <c r="V1359" s="34"/>
      <c r="W1359" s="33"/>
      <c r="X1359" s="35"/>
      <c r="Y1359" s="54"/>
      <c r="Z1359" s="54"/>
    </row>
    <row r="1360" spans="15:26" x14ac:dyDescent="0.25">
      <c r="O1360" s="37"/>
      <c r="P1360" s="31"/>
      <c r="Q1360" s="31"/>
      <c r="R1360" s="31"/>
      <c r="S1360" s="32"/>
      <c r="T1360" s="33"/>
      <c r="U1360" s="34"/>
      <c r="V1360" s="34"/>
      <c r="W1360" s="33"/>
      <c r="X1360" s="35"/>
      <c r="Y1360" s="54"/>
      <c r="Z1360" s="54"/>
    </row>
    <row r="1361" spans="15:26" x14ac:dyDescent="0.25">
      <c r="O1361" s="37"/>
      <c r="P1361" s="31"/>
      <c r="Q1361" s="31"/>
      <c r="R1361" s="31"/>
      <c r="S1361" s="32"/>
      <c r="T1361" s="33"/>
      <c r="U1361" s="34"/>
      <c r="V1361" s="34"/>
      <c r="W1361" s="33"/>
      <c r="X1361" s="35"/>
      <c r="Y1361" s="54"/>
      <c r="Z1361" s="54"/>
    </row>
    <row r="1362" spans="15:26" x14ac:dyDescent="0.25">
      <c r="O1362" s="37"/>
      <c r="P1362" s="31"/>
      <c r="Q1362" s="31"/>
      <c r="R1362" s="31"/>
      <c r="S1362" s="32"/>
      <c r="T1362" s="33"/>
      <c r="U1362" s="34"/>
      <c r="V1362" s="34"/>
      <c r="W1362" s="33"/>
      <c r="X1362" s="35"/>
      <c r="Y1362" s="54"/>
      <c r="Z1362" s="54"/>
    </row>
    <row r="1363" spans="15:26" x14ac:dyDescent="0.25">
      <c r="O1363" s="37"/>
      <c r="P1363" s="31"/>
      <c r="Q1363" s="31"/>
      <c r="R1363" s="31"/>
      <c r="S1363" s="32"/>
      <c r="T1363" s="33"/>
      <c r="U1363" s="34"/>
      <c r="V1363" s="34"/>
      <c r="W1363" s="33"/>
      <c r="X1363" s="35"/>
      <c r="Y1363" s="54"/>
      <c r="Z1363" s="54"/>
    </row>
    <row r="1364" spans="15:26" x14ac:dyDescent="0.25">
      <c r="O1364" s="37"/>
      <c r="P1364" s="31"/>
      <c r="Q1364" s="31"/>
      <c r="R1364" s="31"/>
      <c r="S1364" s="32"/>
      <c r="T1364" s="33"/>
      <c r="U1364" s="34"/>
      <c r="V1364" s="34"/>
      <c r="W1364" s="33"/>
      <c r="X1364" s="35"/>
      <c r="Y1364" s="54"/>
      <c r="Z1364" s="54"/>
    </row>
    <row r="1365" spans="15:26" x14ac:dyDescent="0.25">
      <c r="O1365" s="37"/>
      <c r="P1365" s="31"/>
      <c r="Q1365" s="31"/>
      <c r="R1365" s="31"/>
      <c r="S1365" s="32"/>
      <c r="T1365" s="33"/>
      <c r="U1365" s="34"/>
      <c r="V1365" s="34"/>
      <c r="W1365" s="33"/>
      <c r="X1365" s="35"/>
      <c r="Y1365" s="54"/>
      <c r="Z1365" s="54"/>
    </row>
    <row r="1366" spans="15:26" x14ac:dyDescent="0.25">
      <c r="O1366" s="37"/>
      <c r="P1366" s="31"/>
      <c r="Q1366" s="31"/>
      <c r="R1366" s="31"/>
      <c r="S1366" s="32"/>
      <c r="T1366" s="33"/>
      <c r="U1366" s="34"/>
      <c r="V1366" s="34"/>
      <c r="W1366" s="33"/>
      <c r="X1366" s="35"/>
      <c r="Y1366" s="54"/>
      <c r="Z1366" s="54"/>
    </row>
    <row r="1367" spans="15:26" x14ac:dyDescent="0.25">
      <c r="O1367" s="37"/>
      <c r="P1367" s="31"/>
      <c r="Q1367" s="31"/>
      <c r="R1367" s="31"/>
      <c r="S1367" s="32"/>
      <c r="T1367" s="33"/>
      <c r="U1367" s="34"/>
      <c r="V1367" s="34"/>
      <c r="W1367" s="33"/>
      <c r="X1367" s="35"/>
      <c r="Y1367" s="54"/>
      <c r="Z1367" s="54"/>
    </row>
    <row r="1368" spans="15:26" x14ac:dyDescent="0.25">
      <c r="O1368" s="37"/>
      <c r="P1368" s="31"/>
      <c r="Q1368" s="31"/>
      <c r="R1368" s="31"/>
      <c r="S1368" s="32"/>
      <c r="T1368" s="33"/>
      <c r="U1368" s="34"/>
      <c r="V1368" s="34"/>
      <c r="W1368" s="33"/>
      <c r="X1368" s="35"/>
      <c r="Y1368" s="54"/>
      <c r="Z1368" s="54"/>
    </row>
    <row r="1369" spans="15:26" x14ac:dyDescent="0.25">
      <c r="O1369" s="37"/>
      <c r="P1369" s="31"/>
      <c r="Q1369" s="31"/>
      <c r="R1369" s="31"/>
      <c r="S1369" s="32"/>
      <c r="T1369" s="33"/>
      <c r="U1369" s="34"/>
      <c r="V1369" s="34"/>
      <c r="W1369" s="33"/>
      <c r="X1369" s="35"/>
      <c r="Y1369" s="54"/>
      <c r="Z1369" s="54"/>
    </row>
    <row r="1370" spans="15:26" x14ac:dyDescent="0.25">
      <c r="O1370" s="37"/>
      <c r="P1370" s="31"/>
      <c r="Q1370" s="31"/>
      <c r="R1370" s="31"/>
      <c r="S1370" s="32"/>
      <c r="T1370" s="33"/>
      <c r="U1370" s="34"/>
      <c r="V1370" s="34"/>
      <c r="W1370" s="33"/>
      <c r="X1370" s="35"/>
      <c r="Y1370" s="54"/>
      <c r="Z1370" s="54"/>
    </row>
    <row r="1371" spans="15:26" x14ac:dyDescent="0.25">
      <c r="O1371" s="37"/>
      <c r="P1371" s="31"/>
      <c r="Q1371" s="31"/>
      <c r="R1371" s="31"/>
      <c r="S1371" s="32"/>
      <c r="T1371" s="33"/>
      <c r="U1371" s="34"/>
      <c r="V1371" s="34"/>
      <c r="W1371" s="33"/>
      <c r="X1371" s="35"/>
      <c r="Y1371" s="54"/>
      <c r="Z1371" s="54"/>
    </row>
    <row r="1372" spans="15:26" x14ac:dyDescent="0.25">
      <c r="O1372" s="37"/>
      <c r="P1372" s="31"/>
      <c r="Q1372" s="31"/>
      <c r="R1372" s="31"/>
      <c r="S1372" s="32"/>
      <c r="T1372" s="33"/>
      <c r="U1372" s="34"/>
      <c r="V1372" s="34"/>
      <c r="W1372" s="33"/>
      <c r="X1372" s="35"/>
      <c r="Y1372" s="54"/>
      <c r="Z1372" s="54"/>
    </row>
    <row r="1373" spans="15:26" x14ac:dyDescent="0.25">
      <c r="O1373" s="37"/>
      <c r="P1373" s="31"/>
      <c r="Q1373" s="31"/>
      <c r="R1373" s="31"/>
      <c r="S1373" s="32"/>
      <c r="T1373" s="33"/>
      <c r="U1373" s="34"/>
      <c r="V1373" s="34"/>
      <c r="W1373" s="33"/>
      <c r="X1373" s="35"/>
      <c r="Y1373" s="54"/>
      <c r="Z1373" s="54"/>
    </row>
    <row r="1374" spans="15:26" x14ac:dyDescent="0.25">
      <c r="O1374" s="37"/>
      <c r="P1374" s="31"/>
      <c r="Q1374" s="31"/>
      <c r="R1374" s="31"/>
      <c r="S1374" s="32"/>
      <c r="T1374" s="33"/>
      <c r="U1374" s="34"/>
      <c r="V1374" s="34"/>
      <c r="W1374" s="33"/>
      <c r="X1374" s="35"/>
      <c r="Y1374" s="54"/>
      <c r="Z1374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Length4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9</xdr:row>
                    <xdr:rowOff>123825</xdr:rowOff>
                  </from>
                  <to>
                    <xdr:col>28</xdr:col>
                    <xdr:colOff>361950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Length1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</xdr:row>
                    <xdr:rowOff>276225</xdr:rowOff>
                  </from>
                  <to>
                    <xdr:col>28</xdr:col>
                    <xdr:colOff>361950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Length7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17</xdr:row>
                    <xdr:rowOff>152400</xdr:rowOff>
                  </from>
                  <to>
                    <xdr:col>28</xdr:col>
                    <xdr:colOff>361950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Length2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4</xdr:row>
                    <xdr:rowOff>38100</xdr:rowOff>
                  </from>
                  <to>
                    <xdr:col>28</xdr:col>
                    <xdr:colOff>361950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Length3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6</xdr:row>
                    <xdr:rowOff>171450</xdr:rowOff>
                  </from>
                  <to>
                    <xdr:col>28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Length5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12</xdr:row>
                    <xdr:rowOff>66675</xdr:rowOff>
                  </from>
                  <to>
                    <xdr:col>28</xdr:col>
                    <xdr:colOff>361950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Length6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15</xdr:row>
                    <xdr:rowOff>19050</xdr:rowOff>
                  </from>
                  <to>
                    <xdr:col>28</xdr:col>
                    <xdr:colOff>361950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1618"/>
  <sheetViews>
    <sheetView showGridLines="0" tabSelected="1" topLeftCell="K1" workbookViewId="0">
      <selection activeCell="M3" sqref="M3"/>
    </sheetView>
  </sheetViews>
  <sheetFormatPr defaultRowHeight="11.25" outlineLevelCol="1" x14ac:dyDescent="0.2"/>
  <cols>
    <col min="1" max="1" width="10" style="65" hidden="1" customWidth="1" outlineLevel="1"/>
    <col min="2" max="2" width="17.28515625" style="65" hidden="1" customWidth="1" outlineLevel="1"/>
    <col min="3" max="3" width="7" style="65" hidden="1" customWidth="1" outlineLevel="1"/>
    <col min="4" max="4" width="17.28515625" style="65" hidden="1" customWidth="1" outlineLevel="1"/>
    <col min="5" max="5" width="6" style="65" hidden="1" customWidth="1" outlineLevel="1"/>
    <col min="6" max="6" width="10" style="65" hidden="1" customWidth="1" outlineLevel="1"/>
    <col min="7" max="7" width="6" style="65" hidden="1" customWidth="1" outlineLevel="1"/>
    <col min="8" max="8" width="8" style="65" hidden="1" customWidth="1" outlineLevel="1"/>
    <col min="9" max="10" width="12" style="65" hidden="1" customWidth="1" outlineLevel="1"/>
    <col min="11" max="11" width="2.7109375" style="65" customWidth="1" collapsed="1"/>
    <col min="12" max="12" width="13.140625" style="65" bestFit="1" customWidth="1"/>
    <col min="13" max="13" width="15.140625" style="65" bestFit="1" customWidth="1"/>
    <col min="14" max="14" width="2.7109375" style="65" customWidth="1"/>
    <col min="15" max="15" width="3" style="65" bestFit="1" customWidth="1"/>
    <col min="16" max="16" width="6" style="65" bestFit="1" customWidth="1"/>
    <col min="17" max="19" width="17.28515625" style="65" bestFit="1" customWidth="1"/>
    <col min="20" max="20" width="7" style="65" bestFit="1" customWidth="1"/>
    <col min="21" max="21" width="9" style="65" bestFit="1" customWidth="1"/>
    <col min="22" max="23" width="12" style="65" hidden="1" customWidth="1" outlineLevel="1"/>
    <col min="24" max="24" width="9" style="65" bestFit="1" customWidth="1" collapsed="1"/>
    <col min="25" max="25" width="8" style="65" bestFit="1" customWidth="1"/>
    <col min="26" max="26" width="12" style="65" customWidth="1"/>
    <col min="27" max="27" width="9" style="65" bestFit="1" customWidth="1"/>
    <col min="28" max="28" width="9" style="65" customWidth="1"/>
    <col min="29" max="29" width="11" style="65" customWidth="1"/>
    <col min="30" max="30" width="9" style="65" bestFit="1" customWidth="1"/>
    <col min="31" max="16384" width="9.140625" style="65"/>
  </cols>
  <sheetData>
    <row r="1" spans="1:30" x14ac:dyDescent="0.2">
      <c r="A1" s="42" t="s">
        <v>32</v>
      </c>
      <c r="B1" s="42"/>
      <c r="C1" s="42"/>
      <c r="D1" s="42"/>
      <c r="E1" s="42"/>
      <c r="F1" s="42" t="s">
        <v>33</v>
      </c>
      <c r="G1" s="42"/>
      <c r="H1" s="42"/>
      <c r="I1" s="42"/>
      <c r="J1" s="42"/>
      <c r="S1" s="78">
        <f>MIN($T$3:$T$135)</f>
        <v>0.50277777777777777</v>
      </c>
      <c r="T1" s="78">
        <f>AVERAGE($T$3:$T$135)</f>
        <v>0.50893901420217202</v>
      </c>
      <c r="U1" s="78">
        <f>MAX($T$3:$T$135)</f>
        <v>0.51944444444444449</v>
      </c>
      <c r="Y1" s="66"/>
      <c r="Z1" s="66" t="s">
        <v>54</v>
      </c>
      <c r="AA1" s="66" t="s">
        <v>54</v>
      </c>
      <c r="AB1" s="66"/>
      <c r="AC1" s="66" t="s">
        <v>56</v>
      </c>
      <c r="AD1" s="65" t="s">
        <v>56</v>
      </c>
    </row>
    <row r="2" spans="1:30" ht="22.5" x14ac:dyDescent="0.2">
      <c r="A2" s="43" t="s">
        <v>34</v>
      </c>
      <c r="B2" s="43" t="s">
        <v>35</v>
      </c>
      <c r="C2" s="43" t="s">
        <v>36</v>
      </c>
      <c r="D2" s="43" t="s">
        <v>37</v>
      </c>
      <c r="E2" s="43" t="s">
        <v>38</v>
      </c>
      <c r="F2" s="43" t="s">
        <v>35</v>
      </c>
      <c r="G2" s="43" t="s">
        <v>37</v>
      </c>
      <c r="H2" s="43" t="s">
        <v>38</v>
      </c>
      <c r="I2" s="43" t="s">
        <v>39</v>
      </c>
      <c r="J2" s="43" t="s">
        <v>40</v>
      </c>
      <c r="Q2" s="84" t="s">
        <v>22</v>
      </c>
      <c r="R2" s="84" t="s">
        <v>23</v>
      </c>
      <c r="S2" s="84" t="s">
        <v>24</v>
      </c>
      <c r="T2" s="84" t="s">
        <v>28</v>
      </c>
      <c r="U2" s="84" t="s">
        <v>42</v>
      </c>
      <c r="V2" s="84" t="s">
        <v>26</v>
      </c>
      <c r="W2" s="84" t="str">
        <f>"P(d+"&amp;M3&amp;")"</f>
        <v>P(d+6M)</v>
      </c>
      <c r="X2" s="84" t="s">
        <v>27</v>
      </c>
      <c r="Y2" s="84" t="s">
        <v>50</v>
      </c>
      <c r="Z2" s="84" t="s">
        <v>49</v>
      </c>
      <c r="AA2" s="84" t="s">
        <v>51</v>
      </c>
      <c r="AB2" s="84" t="s">
        <v>55</v>
      </c>
      <c r="AC2" s="84" t="s">
        <v>49</v>
      </c>
      <c r="AD2" s="84" t="s">
        <v>51</v>
      </c>
    </row>
    <row r="3" spans="1:30" x14ac:dyDescent="0.2">
      <c r="A3" s="46" t="str">
        <f>_xll.qlPeriodEquivalent(C3&amp;"M")</f>
        <v>1Y</v>
      </c>
      <c r="B3" s="38">
        <f>_xll.qlDateEndOfMonth(EDATE(_xll.qlSettingsEvaluationDate(Trigger),-1))</f>
        <v>42094</v>
      </c>
      <c r="C3" s="39">
        <v>12</v>
      </c>
      <c r="D3" s="38">
        <f>EDATE($Q$3,C3)</f>
        <v>42487</v>
      </c>
      <c r="E3" s="40">
        <f>IF(C3&lt;=12,1,IF(C3&lt;=24,3,IF(C3&lt;=120,6,IF(C3&lt;=240,12,IF(C3&lt;=360,36,60)))))</f>
        <v>1</v>
      </c>
      <c r="F3" s="44">
        <f>ROUNDDOWN(I3*10,2)/10</f>
        <v>1E-3</v>
      </c>
      <c r="G3" s="45">
        <f>IF(J3-I3&gt;1%,(QUOTIENT(J3*10000,50)+1)*0.5%,(QUOTIENT(J3*10000,10)+1)*0.1%)</f>
        <v>3.0000000000000001E-3</v>
      </c>
      <c r="H3" s="40">
        <f>IF(G3-F3&lt;0.5%,0.025%,IF(G3-F3&lt;1%,0.1%,IF(G3-F3&lt;2%,0.25%,0.5%)))</f>
        <v>2.5000000000000001E-4</v>
      </c>
      <c r="I3" s="45">
        <f>MIN(_xll.ohPack($Y$3:INDEX($Y$3:$Y$135,MATCH(D3+1,$R$3:$R$135,1),1)))</f>
        <v>1.8942957375210634E-3</v>
      </c>
      <c r="J3" s="45">
        <f>MAX(_xll.ohPack($Y$3:INDEX($Y$3:$Y$135,MATCH(D3+1,$R$3:$R$135,1),1)))</f>
        <v>2.1875971017809035E-3</v>
      </c>
      <c r="L3" s="85" t="s">
        <v>21</v>
      </c>
      <c r="M3" s="67" t="s">
        <v>41</v>
      </c>
      <c r="N3" s="68"/>
      <c r="O3" s="65">
        <v>0</v>
      </c>
      <c r="P3" s="65" t="str">
        <f>O3&amp;"M"</f>
        <v>0M</v>
      </c>
      <c r="Q3" s="57">
        <f>EvaluationDate</f>
        <v>42121</v>
      </c>
      <c r="R3" s="57">
        <f>_xll.qlInterestRateIndexValueDate(Index,Q3,Trigger)</f>
        <v>42123</v>
      </c>
      <c r="S3" s="57">
        <f>_xll.qlInterestRateIndexMaturity(Index,R3,Trigger)</f>
        <v>42306</v>
      </c>
      <c r="T3" s="58">
        <f>_xll.qlDayCounterYearFraction(DayCounter,R3,S3,,,Trigger)</f>
        <v>0.5083333333333333</v>
      </c>
      <c r="U3" s="59">
        <f>_xll.qlIndexFixing(Index,Q3,,AllTriggers)</f>
        <v>6.7000000000000002E-4</v>
      </c>
      <c r="V3" s="60">
        <f>_xll.qlYieldTSDiscount(OisCurve,R3,,AllTriggers)</f>
        <v>1</v>
      </c>
      <c r="W3" s="60">
        <f>_xll.qlYieldTSDiscount(OisCurve,S3,,AllTriggers)</f>
        <v>1.0006227378943759</v>
      </c>
      <c r="X3" s="59">
        <f>(V3/W3-1)/T3</f>
        <v>-1.2242957375210633E-3</v>
      </c>
      <c r="Y3" s="59">
        <f t="shared" ref="Y3:Y34" si="0">U3-X3</f>
        <v>1.8942957375210634E-3</v>
      </c>
      <c r="Z3" s="59">
        <f>_xll.qlIntegralTenorBasisIntegrate($M$11,R3)</f>
        <v>1.9263043326094255E-3</v>
      </c>
      <c r="AA3" s="59">
        <f t="shared" ref="AA3:AA34" si="1">(Z3-Y3)</f>
        <v>3.2008595088362088E-5</v>
      </c>
      <c r="AB3" s="58">
        <f>_xll.qlDayCounterYearFraction(DayCounter,SettlementDate,R3,,,Trigger)</f>
        <v>0</v>
      </c>
      <c r="AC3" s="59">
        <f>_xll.qlAbcdMathFunctionValue($M$24,AB3)</f>
        <v>1.8942957375210632E-3</v>
      </c>
      <c r="AD3" s="59">
        <f>(AC3-Y3)</f>
        <v>-2.1684043449710089E-19</v>
      </c>
    </row>
    <row r="4" spans="1:30" x14ac:dyDescent="0.2">
      <c r="A4" s="46" t="str">
        <f>_xll.qlPeriodEquivalent(C4&amp;"M")</f>
        <v>2Y</v>
      </c>
      <c r="B4" s="38">
        <f>_xll.qlDateEndOfMonth(EDATE(_xll.qlIMMNextDate(_xll.qlSettingsEvaluationDate(Trigger)-1,TRUE),-3))</f>
        <v>42094</v>
      </c>
      <c r="C4" s="39">
        <v>24</v>
      </c>
      <c r="D4" s="38">
        <f t="shared" ref="D4:D9" si="2">EDATE($Q$3,C4)</f>
        <v>42852</v>
      </c>
      <c r="E4" s="40">
        <f t="shared" ref="E4:E9" si="3">IF(C4&lt;=12,1,IF(C4&lt;=24,3,IF(C4&lt;=120,6,IF(C4&lt;=240,12,IF(C4&lt;=360,36,60)))))</f>
        <v>3</v>
      </c>
      <c r="F4" s="44">
        <f t="shared" ref="F4:F9" si="4">ROUNDDOWN(I4*10,2)/10</f>
        <v>1E-3</v>
      </c>
      <c r="G4" s="45">
        <f t="shared" ref="G4:G9" si="5">IF(J4-I4&gt;1%,(QUOTIENT(J4*10000,50)+1)*0.5%,(QUOTIENT(J4*10000,10)+1)*0.1%)</f>
        <v>3.0000000000000001E-3</v>
      </c>
      <c r="H4" s="40">
        <f t="shared" ref="H4:H9" si="6">IF(G4-F4&lt;0.5%,0.025%,IF(G4-F4&lt;1%,0.1%,IF(G4-F4&lt;2%,0.25%,0.5%)))</f>
        <v>2.5000000000000001E-4</v>
      </c>
      <c r="I4" s="45">
        <f>MIN(_xll.ohPack($Y$3:INDEX($Y$3:$Y$135,MATCH(D4+1,$R$3:$R$135,1),1)))</f>
        <v>1.8942957375210634E-3</v>
      </c>
      <c r="J4" s="45">
        <f>MAX(_xll.ohPack($Y$3:INDEX($Y$3:$Y$135,MATCH(D4+1,$R$3:$R$135,1),1)))</f>
        <v>2.2992278818851934E-3</v>
      </c>
      <c r="L4" s="85" t="s">
        <v>20</v>
      </c>
      <c r="M4" s="67" t="str">
        <f>PROPER(Currency)&amp;IborType&amp;M3</f>
        <v>Euribor6M</v>
      </c>
      <c r="N4" s="68"/>
      <c r="O4" s="65">
        <v>1</v>
      </c>
      <c r="P4" s="55" t="str">
        <f>_xll.qlPeriodEquivalent(P3&amp;"+"&amp;O4&amp;"M")</f>
        <v>1M</v>
      </c>
      <c r="Q4" s="57">
        <f>_xll.qlCalendarAdvance(Calendar,SettlementDate,P4,"f",,Trigger)</f>
        <v>42153</v>
      </c>
      <c r="R4" s="57">
        <f>_xll.qlInterestRateIndexValueDate(Index,Q4,Trigger)</f>
        <v>42157</v>
      </c>
      <c r="S4" s="57">
        <f>_xll.qlInterestRateIndexMaturity(Index,R4,Trigger)</f>
        <v>42340</v>
      </c>
      <c r="T4" s="58">
        <f>_xll.qlDayCounterYearFraction(DayCounter,R4,S4,,,Trigger)</f>
        <v>0.5083333333333333</v>
      </c>
      <c r="U4" s="59">
        <f>_xll.qlIndexFixing(Index,Q4,,AllTriggers)</f>
        <v>6.6332972289967582E-4</v>
      </c>
      <c r="V4" s="60">
        <f>_xll.qlYieldTSDiscount(OisCurve,R4,,AllTriggers)</f>
        <v>1.0000764697691278</v>
      </c>
      <c r="W4" s="60">
        <f>_xll.qlYieldTSDiscount(OisCurve,S4,,AllTriggers)</f>
        <v>1.0007532862516968</v>
      </c>
      <c r="X4" s="59">
        <f t="shared" ref="X4:X67" si="7">(V4/W4-1)/T4</f>
        <v>-1.3304400585865529E-3</v>
      </c>
      <c r="Y4" s="59">
        <f t="shared" si="0"/>
        <v>1.9937697814862289E-3</v>
      </c>
      <c r="Z4" s="59">
        <f>_xll.qlIntegralTenorBasisIntegrate($M$11,R4)</f>
        <v>1.9675604728208265E-3</v>
      </c>
      <c r="AA4" s="59">
        <f t="shared" si="1"/>
        <v>-2.6209308665402394E-5</v>
      </c>
      <c r="AB4" s="58">
        <f>_xll.qlDayCounterYearFraction(DayCounter,SettlementDate,R4,,,Trigger)</f>
        <v>9.4444444444444442E-2</v>
      </c>
      <c r="AC4" s="59">
        <f>_xll.qlAbcdMathFunctionValue($M$24,AB4)</f>
        <v>1.9343766554649712E-3</v>
      </c>
      <c r="AD4" s="59">
        <f t="shared" ref="AD4:AD67" si="8">(AC4-Y4)</f>
        <v>-5.9393126021257698E-5</v>
      </c>
    </row>
    <row r="5" spans="1:30" x14ac:dyDescent="0.2">
      <c r="A5" s="46" t="str">
        <f>_xll.qlPeriodEquivalent(C5&amp;"M")</f>
        <v>5Y</v>
      </c>
      <c r="B5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39">
        <v>60</v>
      </c>
      <c r="D5" s="38">
        <f t="shared" si="2"/>
        <v>43948</v>
      </c>
      <c r="E5" s="40">
        <f t="shared" si="3"/>
        <v>6</v>
      </c>
      <c r="F5" s="44">
        <f t="shared" si="4"/>
        <v>1E-3</v>
      </c>
      <c r="G5" s="45">
        <f t="shared" si="5"/>
        <v>3.0000000000000001E-3</v>
      </c>
      <c r="H5" s="40">
        <f t="shared" si="6"/>
        <v>2.5000000000000001E-4</v>
      </c>
      <c r="I5" s="45">
        <f>MIN(_xll.ohPack($Y$3:INDEX($Y$3:$Y$135,MATCH(D5+1,$R$3:$R$135,1),1)))</f>
        <v>1.8942957375210634E-3</v>
      </c>
      <c r="J5" s="45">
        <f>MAX(_xll.ohPack($Y$3:INDEX($Y$3:$Y$135,MATCH(D5+1,$R$3:$R$135,1),1)))</f>
        <v>2.7462850488762531E-3</v>
      </c>
      <c r="O5" s="65">
        <v>1</v>
      </c>
      <c r="P5" s="56" t="str">
        <f>_xll.qlPeriodEquivalent(P4&amp;"+"&amp;O5&amp;"M")</f>
        <v>2M</v>
      </c>
      <c r="Q5" s="57">
        <f>_xll.qlCalendarAdvance(Calendar,SettlementDate,P5,"f",,Trigger)</f>
        <v>42184</v>
      </c>
      <c r="R5" s="57">
        <f>_xll.qlInterestRateIndexValueDate(Index,Q5,Trigger)</f>
        <v>42186</v>
      </c>
      <c r="S5" s="57">
        <f>_xll.qlInterestRateIndexMaturity(Index,R5,Trigger)</f>
        <v>42373</v>
      </c>
      <c r="T5" s="58">
        <f>_xll.qlDayCounterYearFraction(DayCounter,R5,S5,,,Trigger)</f>
        <v>0.51944444444444449</v>
      </c>
      <c r="U5" s="59">
        <f>_xll.qlIndexFixing(Index,Q5,,AllTriggers)</f>
        <v>6.6931306770816725E-4</v>
      </c>
      <c r="V5" s="60">
        <f>_xll.qlYieldTSDiscount(OisCurve,R5,,AllTriggers)</f>
        <v>1.0001665097984198</v>
      </c>
      <c r="W5" s="60">
        <f>_xll.qlYieldTSDiscount(OisCurve,S5,,AllTriggers)</f>
        <v>1.000895429014687</v>
      </c>
      <c r="X5" s="59">
        <f t="shared" si="7"/>
        <v>-1.4020115385968486E-3</v>
      </c>
      <c r="Y5" s="59">
        <f t="shared" si="0"/>
        <v>2.071324606305016E-3</v>
      </c>
      <c r="Z5" s="59">
        <f>_xll.qlIntegralTenorBasisIntegrate($M$11,R5)</f>
        <v>2.0475265816874491E-3</v>
      </c>
      <c r="AA5" s="59">
        <f t="shared" si="1"/>
        <v>-2.3798024617566887E-5</v>
      </c>
      <c r="AB5" s="58">
        <f>_xll.qlDayCounterYearFraction(DayCounter,SettlementDate,R5,,,Trigger)</f>
        <v>0.17499999999999999</v>
      </c>
      <c r="AC5" s="59">
        <f>_xll.qlAbcdMathFunctionValue($M$24,AB5)</f>
        <v>1.9673734013832731E-3</v>
      </c>
      <c r="AD5" s="59">
        <f t="shared" si="8"/>
        <v>-1.039512049217429E-4</v>
      </c>
    </row>
    <row r="6" spans="1:30" x14ac:dyDescent="0.2">
      <c r="A6" s="46" t="str">
        <f>_xll.qlPeriodEquivalent(C6&amp;"M")</f>
        <v>10Y</v>
      </c>
      <c r="B6" s="38">
        <f t="shared" ref="B6:B9" si="9">B5</f>
        <v>42004</v>
      </c>
      <c r="C6" s="39">
        <v>120</v>
      </c>
      <c r="D6" s="38">
        <f t="shared" si="2"/>
        <v>45774</v>
      </c>
      <c r="E6" s="40">
        <f t="shared" si="3"/>
        <v>6</v>
      </c>
      <c r="F6" s="44">
        <f t="shared" si="4"/>
        <v>1E-3</v>
      </c>
      <c r="G6" s="45">
        <f t="shared" si="5"/>
        <v>3.0000000000000001E-3</v>
      </c>
      <c r="H6" s="40">
        <f t="shared" si="6"/>
        <v>2.5000000000000001E-4</v>
      </c>
      <c r="I6" s="45">
        <f>MIN(_xll.ohPack($Y$3:INDEX($Y$3:$Y$135,MATCH(D6+1,$R$3:$R$135,1),1)))</f>
        <v>1.8942957375210634E-3</v>
      </c>
      <c r="J6" s="45">
        <f>MAX(_xll.ohPack($Y$3:INDEX($Y$3:$Y$135,MATCH(D6+1,$R$3:$R$135,1),1)))</f>
        <v>2.7462850488762531E-3</v>
      </c>
      <c r="L6" s="85" t="s">
        <v>44</v>
      </c>
      <c r="M6" s="79">
        <v>2.7665801210775827E-3</v>
      </c>
      <c r="N6" s="66"/>
      <c r="O6" s="65">
        <v>1</v>
      </c>
      <c r="P6" s="56" t="str">
        <f>_xll.qlPeriodEquivalent(P5&amp;"+"&amp;O6&amp;"M")</f>
        <v>3M</v>
      </c>
      <c r="Q6" s="57">
        <f>_xll.qlCalendarAdvance(Calendar,SettlementDate,P6,"f",,Trigger)</f>
        <v>42214</v>
      </c>
      <c r="R6" s="57">
        <f>_xll.qlInterestRateIndexValueDate(Index,Q6,Trigger)</f>
        <v>42216</v>
      </c>
      <c r="S6" s="57">
        <f>_xll.qlInterestRateIndexMaturity(Index,R6,Trigger)</f>
        <v>42398</v>
      </c>
      <c r="T6" s="58">
        <f>_xll.qlDayCounterYearFraction(DayCounter,R6,S6,,,Trigger)</f>
        <v>0.50555555555555554</v>
      </c>
      <c r="U6" s="59">
        <f>_xll.qlIndexFixing(Index,Q6,,AllTriggers)</f>
        <v>6.5121199216912904E-4</v>
      </c>
      <c r="V6" s="60">
        <f>_xll.qlYieldTSDiscount(OisCurve,R6,,AllTriggers)</f>
        <v>1.0002747144296831</v>
      </c>
      <c r="W6" s="60">
        <f>_xll.qlYieldTSDiscount(OisCurve,S6,,AllTriggers)</f>
        <v>1.0009912943887853</v>
      </c>
      <c r="X6" s="59">
        <f t="shared" si="7"/>
        <v>-1.4160072280946243E-3</v>
      </c>
      <c r="Y6" s="59">
        <f t="shared" si="0"/>
        <v>2.0672192202637533E-3</v>
      </c>
      <c r="Z6" s="59">
        <f>_xll.qlIntegralTenorBasisIntegrate($M$11,R6)</f>
        <v>2.0238019946285228E-3</v>
      </c>
      <c r="AA6" s="59">
        <f t="shared" si="1"/>
        <v>-4.3417225635230573E-5</v>
      </c>
      <c r="AB6" s="58">
        <f>_xll.qlDayCounterYearFraction(DayCounter,SettlementDate,R6,,,Trigger)</f>
        <v>0.25833333333333336</v>
      </c>
      <c r="AC6" s="59">
        <f>_xll.qlAbcdMathFunctionValue($M$24,AB6)</f>
        <v>2.0003800688911232E-3</v>
      </c>
      <c r="AD6" s="59">
        <f t="shared" si="8"/>
        <v>-6.6839151372630103E-5</v>
      </c>
    </row>
    <row r="7" spans="1:30" x14ac:dyDescent="0.2">
      <c r="A7" s="46" t="str">
        <f>_xll.qlPeriodEquivalent(C7&amp;"M")</f>
        <v>20Y</v>
      </c>
      <c r="B7" s="38">
        <f>IF(AND(MONTH(B6)=12),B6,_xll.qlDateEndOfMonth(EDATE(B6,-6)))</f>
        <v>42004</v>
      </c>
      <c r="C7" s="39">
        <v>240</v>
      </c>
      <c r="D7" s="38">
        <f t="shared" si="2"/>
        <v>49426</v>
      </c>
      <c r="E7" s="41">
        <f t="shared" si="3"/>
        <v>12</v>
      </c>
      <c r="F7" s="44">
        <f t="shared" si="4"/>
        <v>1E-3</v>
      </c>
      <c r="G7" s="45">
        <f t="shared" si="5"/>
        <v>3.0000000000000001E-3</v>
      </c>
      <c r="H7" s="40">
        <f t="shared" si="6"/>
        <v>2.5000000000000001E-4</v>
      </c>
      <c r="I7" s="45">
        <f>MIN(_xll.ohPack($Y$3:INDEX($Y$3:$Y$135,MATCH(D7+1,$R$3:$R$135,1),1)))</f>
        <v>1.0065943605525214E-3</v>
      </c>
      <c r="J7" s="45">
        <f>MAX(_xll.ohPack($Y$3:INDEX($Y$3:$Y$135,MATCH(D7+1,$R$3:$R$135,1),1)))</f>
        <v>2.7462850488762531E-3</v>
      </c>
      <c r="L7" s="85" t="s">
        <v>45</v>
      </c>
      <c r="M7" s="80">
        <v>1.4070370147881248E-3</v>
      </c>
      <c r="O7" s="65">
        <v>1</v>
      </c>
      <c r="P7" s="56" t="str">
        <f>_xll.qlPeriodEquivalent(P6&amp;"+"&amp;O7&amp;"M")</f>
        <v>4M</v>
      </c>
      <c r="Q7" s="57">
        <f>_xll.qlCalendarAdvance(Calendar,SettlementDate,P7,"f",,Trigger)</f>
        <v>42247</v>
      </c>
      <c r="R7" s="57">
        <f>_xll.qlInterestRateIndexValueDate(Index,Q7,Trigger)</f>
        <v>42249</v>
      </c>
      <c r="S7" s="57">
        <f>_xll.qlInterestRateIndexMaturity(Index,R7,Trigger)</f>
        <v>42431</v>
      </c>
      <c r="T7" s="58">
        <f>_xll.qlDayCounterYearFraction(DayCounter,R7,S7,,,Trigger)</f>
        <v>0.50555555555555554</v>
      </c>
      <c r="U7" s="59">
        <f>_xll.qlIndexFixing(Index,Q7,,AllTriggers)</f>
        <v>6.2923769933894249E-4</v>
      </c>
      <c r="V7" s="60">
        <f>_xll.qlYieldTSDiscount(OisCurve,R7,,AllTriggers)</f>
        <v>1.0003992709363221</v>
      </c>
      <c r="W7" s="60">
        <f>_xll.qlYieldTSDiscount(OisCurve,S7,,AllTriggers)</f>
        <v>1.0011308510578238</v>
      </c>
      <c r="X7" s="59">
        <f t="shared" si="7"/>
        <v>-1.4454469737752245E-3</v>
      </c>
      <c r="Y7" s="59">
        <f t="shared" si="0"/>
        <v>2.0746846731141671E-3</v>
      </c>
      <c r="Z7" s="59">
        <f>_xll.qlIntegralTenorBasisIntegrate($M$11,R7)</f>
        <v>2.05961909487608E-3</v>
      </c>
      <c r="AA7" s="59">
        <f t="shared" si="1"/>
        <v>-1.5065578238087057E-5</v>
      </c>
      <c r="AB7" s="58">
        <f>_xll.qlDayCounterYearFraction(DayCounter,SettlementDate,R7,,,Trigger)</f>
        <v>0.35</v>
      </c>
      <c r="AC7" s="59">
        <f>_xll.qlAbcdMathFunctionValue($M$24,AB7)</f>
        <v>2.0353909882307166E-3</v>
      </c>
      <c r="AD7" s="59">
        <f t="shared" si="8"/>
        <v>-3.929368488345044E-5</v>
      </c>
    </row>
    <row r="8" spans="1:30" x14ac:dyDescent="0.2">
      <c r="A8" s="46" t="str">
        <f>_xll.qlPeriodEquivalent(C8&amp;"M")</f>
        <v>30Y</v>
      </c>
      <c r="B8" s="38">
        <f t="shared" si="9"/>
        <v>42004</v>
      </c>
      <c r="C8" s="39">
        <v>360</v>
      </c>
      <c r="D8" s="38">
        <f t="shared" si="2"/>
        <v>53079</v>
      </c>
      <c r="E8" s="41">
        <f t="shared" si="3"/>
        <v>36</v>
      </c>
      <c r="F8" s="44">
        <f t="shared" si="4"/>
        <v>0</v>
      </c>
      <c r="G8" s="45">
        <f t="shared" si="5"/>
        <v>3.0000000000000001E-3</v>
      </c>
      <c r="H8" s="40">
        <f t="shared" si="6"/>
        <v>2.5000000000000001E-4</v>
      </c>
      <c r="I8" s="45">
        <f>MIN(_xll.ohPack($Y$3:INDEX($Y$3:$Y$135,MATCH(D8+1,$R$3:$R$135,1),1)))</f>
        <v>6.2496116589794322E-4</v>
      </c>
      <c r="J8" s="45">
        <f>MAX(_xll.ohPack($Y$3:INDEX($Y$3:$Y$135,MATCH(D8+1,$R$3:$R$135,1),1)))</f>
        <v>2.7462850488762531E-3</v>
      </c>
      <c r="L8" s="85" t="s">
        <v>46</v>
      </c>
      <c r="M8" s="80">
        <v>0.15878272205138827</v>
      </c>
      <c r="O8" s="65">
        <v>1</v>
      </c>
      <c r="P8" s="56" t="str">
        <f>_xll.qlPeriodEquivalent(P7&amp;"+"&amp;O8&amp;"M")</f>
        <v>5M</v>
      </c>
      <c r="Q8" s="57">
        <f>_xll.qlCalendarAdvance(Calendar,SettlementDate,P8,"f",,Trigger)</f>
        <v>42276</v>
      </c>
      <c r="R8" s="57">
        <f>_xll.qlInterestRateIndexValueDate(Index,Q8,Trigger)</f>
        <v>42278</v>
      </c>
      <c r="S8" s="57">
        <f>_xll.qlInterestRateIndexMaturity(Index,R8,Trigger)</f>
        <v>42461</v>
      </c>
      <c r="T8" s="58">
        <f>_xll.qlDayCounterYearFraction(DayCounter,R8,S8,,,Trigger)</f>
        <v>0.5083333333333333</v>
      </c>
      <c r="U8" s="59">
        <f>_xll.qlIndexFixing(Index,Q8,,AllTriggers)</f>
        <v>6.1777495188239796E-4</v>
      </c>
      <c r="V8" s="60">
        <f>_xll.qlYieldTSDiscount(OisCurve,R8,,AllTriggers)</f>
        <v>1.0005092012492021</v>
      </c>
      <c r="W8" s="60">
        <f>_xll.qlYieldTSDiscount(OisCurve,S8,,AllTriggers)</f>
        <v>1.0012705328747962</v>
      </c>
      <c r="X8" s="59">
        <f t="shared" si="7"/>
        <v>-1.4958010940815175E-3</v>
      </c>
      <c r="Y8" s="59">
        <f t="shared" si="0"/>
        <v>2.1135760459639157E-3</v>
      </c>
      <c r="Z8" s="59">
        <f>_xll.qlIntegralTenorBasisIntegrate($M$11,R8)</f>
        <v>2.1019405564676576E-3</v>
      </c>
      <c r="AA8" s="59">
        <f t="shared" si="1"/>
        <v>-1.1635489496258054E-5</v>
      </c>
      <c r="AB8" s="58">
        <f>_xll.qlDayCounterYearFraction(DayCounter,SettlementDate,R8,,,Trigger)</f>
        <v>0.43055555555555558</v>
      </c>
      <c r="AC8" s="59">
        <f>_xll.qlAbcdMathFunctionValue($M$24,AB8)</f>
        <v>2.0650610753661443E-3</v>
      </c>
      <c r="AD8" s="59">
        <f t="shared" si="8"/>
        <v>-4.8514970597771361E-5</v>
      </c>
    </row>
    <row r="9" spans="1:30" x14ac:dyDescent="0.2">
      <c r="A9" s="47" t="str">
        <f>_xll.qlPeriodEquivalent(C9&amp;"M")</f>
        <v>60Y</v>
      </c>
      <c r="B9" s="48">
        <f t="shared" si="9"/>
        <v>42004</v>
      </c>
      <c r="C9" s="49">
        <v>720</v>
      </c>
      <c r="D9" s="48">
        <f t="shared" si="2"/>
        <v>64036</v>
      </c>
      <c r="E9" s="50">
        <f t="shared" si="3"/>
        <v>60</v>
      </c>
      <c r="F9" s="51">
        <f t="shared" si="4"/>
        <v>0</v>
      </c>
      <c r="G9" s="52">
        <f t="shared" si="5"/>
        <v>3.0000000000000001E-3</v>
      </c>
      <c r="H9" s="53">
        <f t="shared" si="6"/>
        <v>2.5000000000000001E-4</v>
      </c>
      <c r="I9" s="52">
        <f>MIN(_xll.ohPack($Y$3:INDEX($Y$3:$Y$135,MATCH(D9+1,$R$3:$R$135,1),1)))</f>
        <v>1.0419478323922191E-4</v>
      </c>
      <c r="J9" s="52">
        <f>MAX(_xll.ohPack($Y$3:INDEX($Y$3:$Y$135,MATCH(D9+1,$R$3:$R$135,1),1)))</f>
        <v>2.7462850488762531E-3</v>
      </c>
      <c r="L9" s="85" t="s">
        <v>47</v>
      </c>
      <c r="M9" s="79">
        <v>7.9262982673245939E-4</v>
      </c>
      <c r="O9" s="65">
        <v>1</v>
      </c>
      <c r="P9" s="56" t="str">
        <f>_xll.qlPeriodEquivalent(P8&amp;"+"&amp;O9&amp;"M")</f>
        <v>6M</v>
      </c>
      <c r="Q9" s="57">
        <f>_xll.qlCalendarAdvance(Calendar,SettlementDate,P9,"f",,Trigger)</f>
        <v>42306</v>
      </c>
      <c r="R9" s="57">
        <f>_xll.qlInterestRateIndexValueDate(Index,Q9,Trigger)</f>
        <v>42310</v>
      </c>
      <c r="S9" s="57">
        <f>_xll.qlInterestRateIndexMaturity(Index,R9,Trigger)</f>
        <v>42492</v>
      </c>
      <c r="T9" s="58">
        <f>_xll.qlDayCounterYearFraction(DayCounter,R9,S9,,,Trigger)</f>
        <v>0.50555555555555554</v>
      </c>
      <c r="U9" s="59">
        <f>_xll.qlIndexFixing(Index,Q9,,AllTriggers)</f>
        <v>5.9836874437840749E-4</v>
      </c>
      <c r="V9" s="60">
        <f>_xll.qlYieldTSDiscount(OisCurve,R9,,AllTriggers)</f>
        <v>1.0006378926042219</v>
      </c>
      <c r="W9" s="60">
        <f>_xll.qlYieldTSDiscount(OisCurve,S9,,AllTriggers)</f>
        <v>1.0014074336543519</v>
      </c>
      <c r="X9" s="59">
        <f t="shared" si="7"/>
        <v>-1.5200297690946937E-3</v>
      </c>
      <c r="Y9" s="59">
        <f t="shared" si="0"/>
        <v>2.1183985134731013E-3</v>
      </c>
      <c r="Z9" s="59">
        <f>_xll.qlIntegralTenorBasisIntegrate($M$11,R9)</f>
        <v>2.1222332163543588E-3</v>
      </c>
      <c r="AA9" s="59">
        <f t="shared" si="1"/>
        <v>3.8347028812574062E-6</v>
      </c>
      <c r="AB9" s="58">
        <f>_xll.qlDayCounterYearFraction(DayCounter,SettlementDate,R9,,,Trigger)</f>
        <v>0.51944444444444449</v>
      </c>
      <c r="AC9" s="59">
        <f>_xll.qlAbcdMathFunctionValue($M$24,AB9)</f>
        <v>2.0966356743028231E-3</v>
      </c>
      <c r="AD9" s="59">
        <f t="shared" si="8"/>
        <v>-2.1762839170278228E-5</v>
      </c>
    </row>
    <row r="10" spans="1:30" x14ac:dyDescent="0.2">
      <c r="A10" s="46" t="str">
        <f>_xll.qlPeriodEquivalent(C10&amp;"M")</f>
        <v>1Y</v>
      </c>
      <c r="B10" s="38">
        <f>_xll.qlDateEndOfMonth(EDATE(_xll.qlSettingsEvaluationDate(Trigger),-1))</f>
        <v>42094</v>
      </c>
      <c r="C10" s="39">
        <v>12</v>
      </c>
      <c r="D10" s="38">
        <f>EDATE($Q$3,C10)</f>
        <v>42487</v>
      </c>
      <c r="E10" s="40">
        <f>IF(C10&lt;=12,1,IF(C10&lt;=24,3,IF(C10&lt;=120,6,IF(C10&lt;=240,12,IF(C10&lt;=360,36,60)))))</f>
        <v>1</v>
      </c>
      <c r="F10" s="44">
        <f>ROUNDDOWN(I10*10,2)/10</f>
        <v>1E-3</v>
      </c>
      <c r="G10" s="45">
        <f>IF(J10-I10&gt;1%,(QUOTIENT(J10*10000,50)+1)*0.5%,(QUOTIENT(J10*10000,10)+1)*0.1%)</f>
        <v>3.0000000000000001E-3</v>
      </c>
      <c r="H10" s="40">
        <f>IF(G10-F10&lt;0.5%,0.025%,IF(G10-F10&lt;1%,0.1%,IF(G10-F10&lt;2%,0.25%,0.5%)))</f>
        <v>2.5000000000000001E-4</v>
      </c>
      <c r="I10" s="45">
        <f>MIN(_xll.ohPack($Y$3:INDEX($Y$3:$Y$135,MATCH(D10+1,$R$3:$R$135,1),1)))</f>
        <v>1.8942957375210634E-3</v>
      </c>
      <c r="J10" s="45">
        <f>MAX(_xll.ohPack($Y$3:INDEX($Y$3:$Y$135,MATCH(D10+1,$R$3:$R$135,1),1)))</f>
        <v>2.1875971017809035E-3</v>
      </c>
      <c r="L10" s="85" t="s">
        <v>53</v>
      </c>
      <c r="M10" s="67" t="str">
        <f>_xll.qlAbcdMathFunction(,M6,M7,M8,M9)</f>
        <v>obj_00c3a#0001</v>
      </c>
      <c r="O10" s="65">
        <v>1</v>
      </c>
      <c r="P10" s="56" t="str">
        <f>_xll.qlPeriodEquivalent(P9&amp;"+"&amp;O10&amp;"M")</f>
        <v>7M</v>
      </c>
      <c r="Q10" s="57">
        <f>_xll.qlCalendarAdvance(Calendar,SettlementDate,P10,"f",,Trigger)</f>
        <v>42338</v>
      </c>
      <c r="R10" s="57">
        <f>_xll.qlInterestRateIndexValueDate(Index,Q10,Trigger)</f>
        <v>42340</v>
      </c>
      <c r="S10" s="57">
        <f>_xll.qlInterestRateIndexMaturity(Index,R10,Trigger)</f>
        <v>42523</v>
      </c>
      <c r="T10" s="58">
        <f>_xll.qlDayCounterYearFraction(DayCounter,R10,S10,,,Trigger)</f>
        <v>0.5083333333333333</v>
      </c>
      <c r="U10" s="59">
        <f>_xll.qlIndexFixing(Index,Q10,,AllTriggers)</f>
        <v>6.0018314016401712E-4</v>
      </c>
      <c r="V10" s="60">
        <f>_xll.qlYieldTSDiscount(OisCurve,R10,,AllTriggers)</f>
        <v>1.0007532862516968</v>
      </c>
      <c r="W10" s="60">
        <f>_xll.qlYieldTSDiscount(OisCurve,S10,,AllTriggers)</f>
        <v>1.0015427629892117</v>
      </c>
      <c r="X10" s="59">
        <f t="shared" si="7"/>
        <v>-1.5506766652652396E-3</v>
      </c>
      <c r="Y10" s="59">
        <f t="shared" si="0"/>
        <v>2.1508598054292569E-3</v>
      </c>
      <c r="Z10" s="59">
        <f>_xll.qlIntegralTenorBasisIntegrate($M$11,R10)</f>
        <v>2.1636482051303678E-3</v>
      </c>
      <c r="AA10" s="59">
        <f t="shared" si="1"/>
        <v>1.2788399701110873E-5</v>
      </c>
      <c r="AB10" s="58">
        <f>_xll.qlDayCounterYearFraction(DayCounter,SettlementDate,R10,,,Trigger)</f>
        <v>0.60277777777777775</v>
      </c>
      <c r="AC10" s="59">
        <f>_xll.qlAbcdMathFunctionValue($M$24,AB10)</f>
        <v>2.1251507099771202E-3</v>
      </c>
      <c r="AD10" s="59">
        <f t="shared" si="8"/>
        <v>-2.5709095452136708E-5</v>
      </c>
    </row>
    <row r="11" spans="1:30" x14ac:dyDescent="0.2">
      <c r="A11" s="46" t="str">
        <f>_xll.qlPeriodEquivalent(C11&amp;"M")</f>
        <v>2Y</v>
      </c>
      <c r="B11" s="38">
        <f>_xll.qlDateEndOfMonth(EDATE(_xll.qlIMMNextDate(_xll.qlSettingsEvaluationDate(Trigger)-1,TRUE),-3))</f>
        <v>42094</v>
      </c>
      <c r="C11" s="39">
        <v>24</v>
      </c>
      <c r="D11" s="38">
        <f t="shared" ref="D11:D16" si="10">EDATE($Q$3,C11)</f>
        <v>42852</v>
      </c>
      <c r="E11" s="40">
        <f t="shared" ref="E11:E16" si="11">IF(C11&lt;=12,1,IF(C11&lt;=24,3,IF(C11&lt;=120,6,IF(C11&lt;=240,12,IF(C11&lt;=360,36,60)))))</f>
        <v>3</v>
      </c>
      <c r="F11" s="44">
        <f t="shared" ref="F11:F16" si="12">ROUNDDOWN(I11*10,2)/10</f>
        <v>1E-3</v>
      </c>
      <c r="G11" s="45">
        <f t="shared" ref="G11:G16" si="13">IF(J11-I11&gt;1%,(QUOTIENT(J11*10000,50)+1)*0.5%,(QUOTIENT(J11*10000,10)+1)*0.1%)</f>
        <v>3.0000000000000001E-3</v>
      </c>
      <c r="H11" s="40">
        <f t="shared" ref="H11:H16" si="14">IF(G11-F11&lt;0.5%,0.025%,IF(G11-F11&lt;1%,0.1%,IF(G11-F11&lt;2%,0.25%,0.5%)))</f>
        <v>2.5000000000000001E-4</v>
      </c>
      <c r="I11" s="45">
        <f>MIN(_xll.ohPack($Y$3:INDEX($Y$3:$Y$135,MATCH(D11+1,$R$3:$R$135,1),1)))</f>
        <v>1.8942957375210634E-3</v>
      </c>
      <c r="J11" s="45">
        <f>MAX(_xll.ohPack($Y$3:INDEX($Y$3:$Y$135,MATCH(D11+1,$R$3:$R$135,1),1)))</f>
        <v>2.2992278818851934E-3</v>
      </c>
      <c r="L11" s="85" t="s">
        <v>52</v>
      </c>
      <c r="M11" s="67" t="str">
        <f>_xll.qlAbcdIntegralTenorBasis(,SettlementDate,Index,Currency&amp;"ON",$M$10,,Trigger)</f>
        <v>obj_00c3b#0004</v>
      </c>
      <c r="O11" s="65">
        <v>1</v>
      </c>
      <c r="P11" s="56" t="str">
        <f>_xll.qlPeriodEquivalent(P10&amp;"+"&amp;O11&amp;"M")</f>
        <v>8M</v>
      </c>
      <c r="Q11" s="57">
        <f>_xll.qlCalendarAdvance(Calendar,SettlementDate,P11,"f",,Trigger)</f>
        <v>42367</v>
      </c>
      <c r="R11" s="57">
        <f>_xll.qlInterestRateIndexValueDate(Index,Q11,Trigger)</f>
        <v>42369</v>
      </c>
      <c r="S11" s="57">
        <f>_xll.qlInterestRateIndexMaturity(Index,R11,Trigger)</f>
        <v>42551</v>
      </c>
      <c r="T11" s="58">
        <f>_xll.qlDayCounterYearFraction(DayCounter,R11,S11,,,Trigger)</f>
        <v>0.50555555555555554</v>
      </c>
      <c r="U11" s="59">
        <f>_xll.qlIndexFixing(Index,Q11,,AllTriggers)</f>
        <v>5.9945497581858698E-4</v>
      </c>
      <c r="V11" s="60">
        <f>_xll.qlYieldTSDiscount(OisCurve,R11,,AllTriggers)</f>
        <v>1.0008771958318359</v>
      </c>
      <c r="W11" s="60">
        <f>_xll.qlYieldTSDiscount(OisCurve,S11,,AllTriggers)</f>
        <v>1.0016637458582134</v>
      </c>
      <c r="X11" s="59">
        <f t="shared" si="7"/>
        <v>-1.5532290605721692E-3</v>
      </c>
      <c r="Y11" s="59">
        <f t="shared" si="0"/>
        <v>2.1526840363907561E-3</v>
      </c>
      <c r="Z11" s="59">
        <f>_xll.qlIntegralTenorBasisIntegrate($M$11,R11)</f>
        <v>2.1785175944912544E-3</v>
      </c>
      <c r="AA11" s="59">
        <f t="shared" si="1"/>
        <v>2.5833558100498387E-5</v>
      </c>
      <c r="AB11" s="58">
        <f>_xll.qlDayCounterYearFraction(DayCounter,SettlementDate,R11,,,Trigger)</f>
        <v>0.68333333333333335</v>
      </c>
      <c r="AC11" s="59">
        <f>_xll.qlAbcdMathFunctionValue($M$24,AB11)</f>
        <v>2.1517375635079299E-3</v>
      </c>
      <c r="AD11" s="59">
        <f t="shared" si="8"/>
        <v>-9.4647288282614581E-7</v>
      </c>
    </row>
    <row r="12" spans="1:30" x14ac:dyDescent="0.2">
      <c r="A12" s="46" t="str">
        <f>_xll.qlPeriodEquivalent(C12&amp;"M")</f>
        <v>5Y</v>
      </c>
      <c r="B12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39">
        <v>60</v>
      </c>
      <c r="D12" s="38">
        <f t="shared" si="10"/>
        <v>43948</v>
      </c>
      <c r="E12" s="40">
        <f t="shared" si="11"/>
        <v>6</v>
      </c>
      <c r="F12" s="44">
        <f t="shared" si="12"/>
        <v>1E-3</v>
      </c>
      <c r="G12" s="45">
        <f t="shared" si="13"/>
        <v>3.0000000000000001E-3</v>
      </c>
      <c r="H12" s="40">
        <f t="shared" si="14"/>
        <v>2.5000000000000001E-4</v>
      </c>
      <c r="I12" s="45">
        <f>MIN(_xll.ohPack($Y$3:INDEX($Y$3:$Y$135,MATCH(D12+1,$R$3:$R$135,1),1)))</f>
        <v>1.8942957375210634E-3</v>
      </c>
      <c r="J12" s="45">
        <f>MAX(_xll.ohPack($Y$3:INDEX($Y$3:$Y$135,MATCH(D12+1,$R$3:$R$135,1),1)))</f>
        <v>2.7462850488762531E-3</v>
      </c>
      <c r="L12" s="85" t="s">
        <v>48</v>
      </c>
      <c r="M12" s="79">
        <f>SQRT(SUMPRODUCT(AA3:AA135,AA3:AA135)/(COUNT(AA3:AA135)-1))</f>
        <v>1.4108681489056652E-4</v>
      </c>
      <c r="N12" s="66"/>
      <c r="O12" s="65">
        <v>1</v>
      </c>
      <c r="P12" s="56" t="str">
        <f>_xll.qlPeriodEquivalent(P11&amp;"+"&amp;O12&amp;"M")</f>
        <v>9M</v>
      </c>
      <c r="Q12" s="57">
        <f>_xll.qlCalendarAdvance(Calendar,SettlementDate,P12,"f",,Trigger)</f>
        <v>42398</v>
      </c>
      <c r="R12" s="57">
        <f>_xll.qlInterestRateIndexValueDate(Index,Q12,Trigger)</f>
        <v>42402</v>
      </c>
      <c r="S12" s="57">
        <f>_xll.qlInterestRateIndexMaturity(Index,R12,Trigger)</f>
        <v>42584</v>
      </c>
      <c r="T12" s="58">
        <f>_xll.qlDayCounterYearFraction(DayCounter,R12,S12,,,Trigger)</f>
        <v>0.50555555555555554</v>
      </c>
      <c r="U12" s="59">
        <f>_xll.qlIndexFixing(Index,Q12,,AllTriggers)</f>
        <v>5.9992279346957826E-4</v>
      </c>
      <c r="V12" s="60">
        <f>_xll.qlYieldTSDiscount(OisCurve,R12,,AllTriggers)</f>
        <v>1.0010028618502183</v>
      </c>
      <c r="W12" s="60">
        <f>_xll.qlYieldTSDiscount(OisCurve,S12,,AllTriggers)</f>
        <v>1.0018069697951772</v>
      </c>
      <c r="X12" s="59">
        <f t="shared" si="7"/>
        <v>-1.5876743083113251E-3</v>
      </c>
      <c r="Y12" s="59">
        <f t="shared" si="0"/>
        <v>2.1875971017809035E-3</v>
      </c>
      <c r="Z12" s="59">
        <f>_xll.qlIntegralTenorBasisIntegrate($M$11,R12)</f>
        <v>2.2082313703125503E-3</v>
      </c>
      <c r="AA12" s="59">
        <f t="shared" si="1"/>
        <v>2.0634268531646849E-5</v>
      </c>
      <c r="AB12" s="58">
        <f>_xll.qlDayCounterYearFraction(DayCounter,SettlementDate,R12,,,Trigger)</f>
        <v>0.77500000000000002</v>
      </c>
      <c r="AC12" s="59">
        <f>_xll.qlAbcdMathFunctionValue($M$24,AB12)</f>
        <v>2.1808479275649316E-3</v>
      </c>
      <c r="AD12" s="59">
        <f t="shared" si="8"/>
        <v>-6.7491742159718482E-6</v>
      </c>
    </row>
    <row r="13" spans="1:30" x14ac:dyDescent="0.2">
      <c r="A13" s="46" t="str">
        <f>_xll.qlPeriodEquivalent(C13&amp;"M")</f>
        <v>10Y</v>
      </c>
      <c r="B13" s="38">
        <f t="shared" ref="B13:B16" si="15">B12</f>
        <v>42004</v>
      </c>
      <c r="C13" s="39">
        <v>120</v>
      </c>
      <c r="D13" s="38">
        <f t="shared" si="10"/>
        <v>45774</v>
      </c>
      <c r="E13" s="40">
        <f t="shared" si="11"/>
        <v>6</v>
      </c>
      <c r="F13" s="44">
        <f t="shared" si="12"/>
        <v>1E-3</v>
      </c>
      <c r="G13" s="45">
        <f t="shared" si="13"/>
        <v>3.0000000000000001E-3</v>
      </c>
      <c r="H13" s="40">
        <f t="shared" si="14"/>
        <v>2.5000000000000001E-4</v>
      </c>
      <c r="I13" s="45">
        <f>MIN(_xll.ohPack($Y$3:INDEX($Y$3:$Y$135,MATCH(D13+1,$R$3:$R$135,1),1)))</f>
        <v>1.8942957375210634E-3</v>
      </c>
      <c r="J13" s="45">
        <f>MAX(_xll.ohPack($Y$3:INDEX($Y$3:$Y$135,MATCH(D13+1,$R$3:$R$135,1),1)))</f>
        <v>2.7462850488762531E-3</v>
      </c>
      <c r="O13" s="65">
        <v>1</v>
      </c>
      <c r="P13" s="56" t="str">
        <f>_xll.qlPeriodEquivalent(P12&amp;"+"&amp;O13&amp;"M")</f>
        <v>10M</v>
      </c>
      <c r="Q13" s="57">
        <f>_xll.qlCalendarAdvance(Calendar,SettlementDate,P13,"f",,Trigger)</f>
        <v>42429</v>
      </c>
      <c r="R13" s="57">
        <f>_xll.qlInterestRateIndexValueDate(Index,Q13,Trigger)</f>
        <v>42431</v>
      </c>
      <c r="S13" s="57">
        <f>_xll.qlInterestRateIndexMaturity(Index,R13,Trigger)</f>
        <v>42615</v>
      </c>
      <c r="T13" s="58">
        <f>_xll.qlDayCounterYearFraction(DayCounter,R13,S13,,,Trigger)</f>
        <v>0.51111111111111107</v>
      </c>
      <c r="U13" s="59">
        <f>_xll.qlIndexFixing(Index,Q13,,AllTriggers)</f>
        <v>6.0048479500285845E-4</v>
      </c>
      <c r="V13" s="60">
        <f>_xll.qlYieldTSDiscount(OisCurve,R13,,AllTriggers)</f>
        <v>1.0011308510578238</v>
      </c>
      <c r="W13" s="60">
        <f>_xll.qlYieldTSDiscount(OisCurve,S13,,AllTriggers)</f>
        <v>1.001943106953509</v>
      </c>
      <c r="X13" s="59">
        <f t="shared" si="7"/>
        <v>-1.58611432786533E-3</v>
      </c>
      <c r="Y13" s="59">
        <f t="shared" si="0"/>
        <v>2.1865991228681883E-3</v>
      </c>
      <c r="Z13" s="59">
        <f>_xll.qlIntegralTenorBasisIntegrate($M$11,R13)</f>
        <v>2.2586931728868038E-3</v>
      </c>
      <c r="AA13" s="59">
        <f t="shared" si="1"/>
        <v>7.2094050018615529E-5</v>
      </c>
      <c r="AB13" s="58">
        <f>_xll.qlDayCounterYearFraction(DayCounter,SettlementDate,R13,,,Trigger)</f>
        <v>0.85555555555555551</v>
      </c>
      <c r="AC13" s="59">
        <f>_xll.qlAbcdMathFunctionValue($M$24,AB13)</f>
        <v>2.2054464728427374E-3</v>
      </c>
      <c r="AD13" s="59">
        <f t="shared" si="8"/>
        <v>1.8847349974549128E-5</v>
      </c>
    </row>
    <row r="14" spans="1:30" x14ac:dyDescent="0.2">
      <c r="A14" s="46" t="str">
        <f>_xll.qlPeriodEquivalent(C14&amp;"M")</f>
        <v>20Y</v>
      </c>
      <c r="B14" s="38">
        <f>IF(AND(MONTH(B13)=12),B13,_xll.qlDateEndOfMonth(EDATE(B13,-6)))</f>
        <v>42004</v>
      </c>
      <c r="C14" s="39">
        <v>240</v>
      </c>
      <c r="D14" s="38">
        <f t="shared" si="10"/>
        <v>49426</v>
      </c>
      <c r="E14" s="41">
        <f t="shared" si="11"/>
        <v>12</v>
      </c>
      <c r="F14" s="44">
        <f t="shared" si="12"/>
        <v>1E-3</v>
      </c>
      <c r="G14" s="45">
        <f t="shared" si="13"/>
        <v>3.0000000000000001E-3</v>
      </c>
      <c r="H14" s="40">
        <f t="shared" si="14"/>
        <v>2.5000000000000001E-4</v>
      </c>
      <c r="I14" s="45">
        <f>MIN(_xll.ohPack($Y$3:INDEX($Y$3:$Y$135,MATCH(D14+1,$R$3:$R$135,1),1)))</f>
        <v>1.0065943605525214E-3</v>
      </c>
      <c r="J14" s="45">
        <f>MAX(_xll.ohPack($Y$3:INDEX($Y$3:$Y$135,MATCH(D14+1,$R$3:$R$135,1),1)))</f>
        <v>2.7462850488762531E-3</v>
      </c>
      <c r="L14" s="85" t="s">
        <v>44</v>
      </c>
      <c r="M14" s="79">
        <f>_xll.qlAbcdIntegralTenorBasisA($M$11)</f>
        <v>2.9968213193844436E-3</v>
      </c>
      <c r="O14" s="65">
        <v>1</v>
      </c>
      <c r="P14" s="56" t="str">
        <f>_xll.qlPeriodEquivalent(P13&amp;"+"&amp;O14&amp;"M")</f>
        <v>11M</v>
      </c>
      <c r="Q14" s="57">
        <f>_xll.qlCalendarAdvance(Calendar,SettlementDate,P14,"f",,Trigger)</f>
        <v>42458</v>
      </c>
      <c r="R14" s="57">
        <f>_xll.qlInterestRateIndexValueDate(Index,Q14,Trigger)</f>
        <v>42460</v>
      </c>
      <c r="S14" s="57">
        <f>_xll.qlInterestRateIndexMaturity(Index,R14,Trigger)</f>
        <v>42643</v>
      </c>
      <c r="T14" s="58">
        <f>_xll.qlDayCounterYearFraction(DayCounter,R14,S14,,,Trigger)</f>
        <v>0.5083333333333333</v>
      </c>
      <c r="U14" s="59">
        <f>_xll.qlIndexFixing(Index,Q14,,AllTriggers)</f>
        <v>6.1138628863064283E-4</v>
      </c>
      <c r="V14" s="60">
        <f>_xll.qlYieldTSDiscount(OisCurve,R14,,AllTriggers)</f>
        <v>1.0012662775900434</v>
      </c>
      <c r="W14" s="60">
        <f>_xll.qlYieldTSDiscount(OisCurve,S14,,AllTriggers)</f>
        <v>1.0020670111936687</v>
      </c>
      <c r="X14" s="59">
        <f t="shared" si="7"/>
        <v>-1.5719643785096467E-3</v>
      </c>
      <c r="Y14" s="59">
        <f t="shared" si="0"/>
        <v>2.1833506671402898E-3</v>
      </c>
      <c r="Z14" s="59">
        <f>_xll.qlIntegralTenorBasisIntegrate($M$11,R14)</f>
        <v>2.270291239329458E-3</v>
      </c>
      <c r="AA14" s="59">
        <f t="shared" si="1"/>
        <v>8.6940572189168203E-5</v>
      </c>
      <c r="AB14" s="58">
        <f>_xll.qlDayCounterYearFraction(DayCounter,SettlementDate,R14,,,Trigger)</f>
        <v>0.93611111111111112</v>
      </c>
      <c r="AC14" s="59">
        <f>_xll.qlAbcdMathFunctionValue($M$24,AB14)</f>
        <v>2.2291451252911534E-3</v>
      </c>
      <c r="AD14" s="59">
        <f t="shared" si="8"/>
        <v>4.5794458150863644E-5</v>
      </c>
    </row>
    <row r="15" spans="1:30" x14ac:dyDescent="0.2">
      <c r="A15" s="46" t="str">
        <f>_xll.qlPeriodEquivalent(C15&amp;"M")</f>
        <v>30Y</v>
      </c>
      <c r="B15" s="38">
        <f t="shared" si="15"/>
        <v>42004</v>
      </c>
      <c r="C15" s="39">
        <v>360</v>
      </c>
      <c r="D15" s="38">
        <f t="shared" si="10"/>
        <v>53079</v>
      </c>
      <c r="E15" s="41">
        <f t="shared" si="11"/>
        <v>36</v>
      </c>
      <c r="F15" s="44">
        <f t="shared" si="12"/>
        <v>0</v>
      </c>
      <c r="G15" s="45">
        <f t="shared" si="13"/>
        <v>3.0000000000000001E-3</v>
      </c>
      <c r="H15" s="40">
        <f t="shared" si="14"/>
        <v>2.5000000000000001E-4</v>
      </c>
      <c r="I15" s="45">
        <f>MIN(_xll.ohPack($Y$3:INDEX($Y$3:$Y$135,MATCH(D15+1,$R$3:$R$135,1),1)))</f>
        <v>6.2496116589794322E-4</v>
      </c>
      <c r="J15" s="45">
        <f>MAX(_xll.ohPack($Y$3:INDEX($Y$3:$Y$135,MATCH(D15+1,$R$3:$R$135,1),1)))</f>
        <v>2.7462850488762531E-3</v>
      </c>
      <c r="L15" s="85" t="s">
        <v>45</v>
      </c>
      <c r="M15" s="80">
        <f>_xll.qlAbcdIntegralTenorBasisB($M$11)</f>
        <v>1.3517502673613031E-3</v>
      </c>
      <c r="O15" s="65">
        <v>1</v>
      </c>
      <c r="P15" s="56" t="str">
        <f>_xll.qlPeriodEquivalent(P14&amp;"+"&amp;O15&amp;"M")</f>
        <v>1Y</v>
      </c>
      <c r="Q15" s="57">
        <f>_xll.qlCalendarAdvance(Calendar,SettlementDate,P15,"f",,Trigger)</f>
        <v>42489</v>
      </c>
      <c r="R15" s="57">
        <f>_xll.qlInterestRateIndexValueDate(Index,Q15,Trigger)</f>
        <v>42493</v>
      </c>
      <c r="S15" s="57">
        <f>_xll.qlInterestRateIndexMaturity(Index,R15,Trigger)</f>
        <v>42677</v>
      </c>
      <c r="T15" s="58">
        <f>_xll.qlDayCounterYearFraction(DayCounter,R15,S15,,,Trigger)</f>
        <v>0.51111111111111107</v>
      </c>
      <c r="U15" s="59">
        <f>_xll.qlIndexFixing(Index,Q15,,AllTriggers)</f>
        <v>6.2074447446214265E-4</v>
      </c>
      <c r="V15" s="60">
        <f>_xll.qlYieldTSDiscount(OisCurve,R15,,AllTriggers)</f>
        <v>1.0014118544193236</v>
      </c>
      <c r="W15" s="60">
        <f>_xll.qlYieldTSDiscount(OisCurve,S15,,AllTriggers)</f>
        <v>1.002217870493127</v>
      </c>
      <c r="X15" s="59">
        <f t="shared" si="7"/>
        <v>-1.5734981553553753E-3</v>
      </c>
      <c r="Y15" s="59">
        <f t="shared" si="0"/>
        <v>2.1942426298175179E-3</v>
      </c>
      <c r="Z15" s="59">
        <f>_xll.qlIntegralTenorBasisIntegrate($M$11,R15)</f>
        <v>2.3097414649041062E-3</v>
      </c>
      <c r="AA15" s="59">
        <f t="shared" si="1"/>
        <v>1.1549883508658832E-4</v>
      </c>
      <c r="AB15" s="58">
        <f>_xll.qlDayCounterYearFraction(DayCounter,SettlementDate,R15,,,Trigger)</f>
        <v>1.0277777777777777</v>
      </c>
      <c r="AC15" s="59">
        <f>_xll.qlAbcdMathFunctionValue($M$24,AB15)</f>
        <v>2.2550417432800904E-3</v>
      </c>
      <c r="AD15" s="59">
        <f t="shared" si="8"/>
        <v>6.0799113462572506E-5</v>
      </c>
    </row>
    <row r="16" spans="1:30" x14ac:dyDescent="0.2">
      <c r="A16" s="47" t="str">
        <f>_xll.qlPeriodEquivalent(C16&amp;"M")</f>
        <v>60Y</v>
      </c>
      <c r="B16" s="48">
        <f t="shared" si="15"/>
        <v>42004</v>
      </c>
      <c r="C16" s="49">
        <v>720</v>
      </c>
      <c r="D16" s="48">
        <f t="shared" si="10"/>
        <v>64036</v>
      </c>
      <c r="E16" s="50">
        <f t="shared" si="11"/>
        <v>60</v>
      </c>
      <c r="F16" s="51">
        <f t="shared" si="12"/>
        <v>0</v>
      </c>
      <c r="G16" s="52">
        <f t="shared" si="13"/>
        <v>3.0000000000000001E-3</v>
      </c>
      <c r="H16" s="53">
        <f t="shared" si="14"/>
        <v>2.5000000000000001E-4</v>
      </c>
      <c r="I16" s="52">
        <f>MIN(_xll.ohPack($Y$3:INDEX($Y$3:$Y$135,MATCH(D16+1,$R$3:$R$135,1),1)))</f>
        <v>1.0419478323922191E-4</v>
      </c>
      <c r="J16" s="52">
        <f>MAX(_xll.ohPack($Y$3:INDEX($Y$3:$Y$135,MATCH(D16+1,$R$3:$R$135,1),1)))</f>
        <v>2.7462850488762531E-3</v>
      </c>
      <c r="L16" s="85" t="s">
        <v>46</v>
      </c>
      <c r="M16" s="80">
        <f>_xll.qlAbcdIntegralTenorBasisC($M$11)</f>
        <v>0.15878272205138827</v>
      </c>
      <c r="O16" s="65">
        <v>1</v>
      </c>
      <c r="P16" s="56" t="str">
        <f>_xll.qlPeriodEquivalent(P15&amp;"+"&amp;O16&amp;"M")</f>
        <v>1Y1M</v>
      </c>
      <c r="Q16" s="57">
        <f>_xll.qlCalendarAdvance(Calendar,SettlementDate,P16,"f",,Trigger)</f>
        <v>42520</v>
      </c>
      <c r="R16" s="57">
        <f>_xll.qlInterestRateIndexValueDate(Index,Q16,Trigger)</f>
        <v>42522</v>
      </c>
      <c r="S16" s="57">
        <f>_xll.qlInterestRateIndexMaturity(Index,R16,Trigger)</f>
        <v>42705</v>
      </c>
      <c r="T16" s="58">
        <f>_xll.qlDayCounterYearFraction(DayCounter,R16,S16,,,Trigger)</f>
        <v>0.5083333333333333</v>
      </c>
      <c r="U16" s="59">
        <f>_xll.qlIndexFixing(Index,Q16,,AllTriggers)</f>
        <v>6.2839586717936859E-4</v>
      </c>
      <c r="V16" s="60">
        <f>_xll.qlYieldTSDiscount(OisCurve,R16,,AllTriggers)</f>
        <v>1.0015384353754349</v>
      </c>
      <c r="W16" s="60">
        <f>_xll.qlYieldTSDiscount(OisCurve,S16,,AllTriggers)</f>
        <v>1.0023415500844521</v>
      </c>
      <c r="X16" s="59">
        <f t="shared" si="7"/>
        <v>-1.5762070205486455E-3</v>
      </c>
      <c r="Y16" s="59">
        <f t="shared" si="0"/>
        <v>2.2046028877280143E-3</v>
      </c>
      <c r="Z16" s="59">
        <f>_xll.qlIntegralTenorBasisIntegrate($M$11,R16)</f>
        <v>2.3191623933560418E-3</v>
      </c>
      <c r="AA16" s="59">
        <f t="shared" si="1"/>
        <v>1.1455950562802748E-4</v>
      </c>
      <c r="AB16" s="58">
        <f>_xll.qlDayCounterYearFraction(DayCounter,SettlementDate,R16,,,Trigger)</f>
        <v>1.1083333333333334</v>
      </c>
      <c r="AC16" s="59">
        <f>_xll.qlAbcdMathFunctionValue($M$24,AB16)</f>
        <v>2.2768789147649101E-3</v>
      </c>
      <c r="AD16" s="59">
        <f t="shared" si="8"/>
        <v>7.227602703689575E-5</v>
      </c>
    </row>
    <row r="17" spans="12:30" x14ac:dyDescent="0.2">
      <c r="L17" s="85" t="s">
        <v>47</v>
      </c>
      <c r="M17" s="79">
        <f>_xll.qlAbcdIntegralTenorBasisD($M$11)</f>
        <v>7.9262982673245939E-4</v>
      </c>
      <c r="O17" s="65">
        <v>1</v>
      </c>
      <c r="P17" s="56" t="str">
        <f>_xll.qlPeriodEquivalent(P16&amp;"+"&amp;O17&amp;"M")</f>
        <v>1Y2M</v>
      </c>
      <c r="Q17" s="57">
        <f>_xll.qlCalendarAdvance(Calendar,SettlementDate,P17,"f",,Trigger)</f>
        <v>42550</v>
      </c>
      <c r="R17" s="57">
        <f>_xll.qlInterestRateIndexValueDate(Index,Q17,Trigger)</f>
        <v>42552</v>
      </c>
      <c r="S17" s="57">
        <f>_xll.qlInterestRateIndexMaturity(Index,R17,Trigger)</f>
        <v>42737</v>
      </c>
      <c r="T17" s="58">
        <f>_xll.qlDayCounterYearFraction(DayCounter,R17,S17,,,Trigger)</f>
        <v>0.51388888888888884</v>
      </c>
      <c r="U17" s="59">
        <f>_xll.qlIndexFixing(Index,Q17,,AllTriggers)</f>
        <v>6.5563823861916842E-4</v>
      </c>
      <c r="V17" s="60">
        <f>_xll.qlYieldTSDiscount(OisCurve,R17,,AllTriggers)</f>
        <v>1.0016680682762877</v>
      </c>
      <c r="W17" s="60">
        <f>_xll.qlYieldTSDiscount(OisCurve,S17,,AllTriggers)</f>
        <v>1.0024736163791006</v>
      </c>
      <c r="X17" s="59">
        <f t="shared" si="7"/>
        <v>-1.5636851078386219E-3</v>
      </c>
      <c r="Y17" s="59">
        <f t="shared" si="0"/>
        <v>2.2193233464577905E-3</v>
      </c>
      <c r="Z17" s="59">
        <f>_xll.qlIntegralTenorBasisIntegrate($M$11,R17)</f>
        <v>2.3676533713970285E-3</v>
      </c>
      <c r="AA17" s="59">
        <f t="shared" si="1"/>
        <v>1.4833002493923808E-4</v>
      </c>
      <c r="AB17" s="58">
        <f>_xll.qlDayCounterYearFraction(DayCounter,SettlementDate,R17,,,Trigger)</f>
        <v>1.1916666666666667</v>
      </c>
      <c r="AC17" s="59">
        <f>_xll.qlAbcdMathFunctionValue($M$24,AB17)</f>
        <v>2.2985830471260126E-3</v>
      </c>
      <c r="AD17" s="59">
        <f t="shared" si="8"/>
        <v>7.9259700668222154E-5</v>
      </c>
    </row>
    <row r="18" spans="12:30" x14ac:dyDescent="0.2">
      <c r="L18" s="85" t="s">
        <v>57</v>
      </c>
      <c r="M18" s="81">
        <f>_xll.qlAbcdIntegralTenorBasisMaximumLocation($M$11)</f>
        <v>43592</v>
      </c>
      <c r="O18" s="65">
        <v>1</v>
      </c>
      <c r="P18" s="56" t="str">
        <f>_xll.qlPeriodEquivalent(P17&amp;"+"&amp;O18&amp;"M")</f>
        <v>1Y3M</v>
      </c>
      <c r="Q18" s="57">
        <f>_xll.qlCalendarAdvance(Calendar,SettlementDate,P18,"f",,Trigger)</f>
        <v>42580</v>
      </c>
      <c r="R18" s="57">
        <f>_xll.qlInterestRateIndexValueDate(Index,Q18,Trigger)</f>
        <v>42584</v>
      </c>
      <c r="S18" s="57">
        <f>_xll.qlInterestRateIndexMaturity(Index,R18,Trigger)</f>
        <v>42768</v>
      </c>
      <c r="T18" s="58">
        <f>_xll.qlDayCounterYearFraction(DayCounter,R18,S18,,,Trigger)</f>
        <v>0.51111111111111107</v>
      </c>
      <c r="U18" s="59">
        <f>_xll.qlIndexFixing(Index,Q18,,AllTriggers)</f>
        <v>7.0646172026518931E-4</v>
      </c>
      <c r="V18" s="60">
        <f>_xll.qlYieldTSDiscount(OisCurve,R18,,AllTriggers)</f>
        <v>1.0018069697951772</v>
      </c>
      <c r="W18" s="60">
        <f>_xll.qlYieldTSDiscount(OisCurve,S18,,AllTriggers)</f>
        <v>1.0026030058056383</v>
      </c>
      <c r="X18" s="59">
        <f t="shared" si="7"/>
        <v>-1.5534182029966846E-3</v>
      </c>
      <c r="Y18" s="59">
        <f t="shared" si="0"/>
        <v>2.2598799232618739E-3</v>
      </c>
      <c r="Z18" s="59">
        <f>_xll.qlIntegralTenorBasisIntegrate($M$11,R18)</f>
        <v>2.3772891132367289E-3</v>
      </c>
      <c r="AA18" s="59">
        <f t="shared" si="1"/>
        <v>1.1740918997485503E-4</v>
      </c>
      <c r="AB18" s="58">
        <f>_xll.qlDayCounterYearFraction(DayCounter,SettlementDate,R18,,,Trigger)</f>
        <v>1.2805555555555554</v>
      </c>
      <c r="AC18" s="59">
        <f>_xll.qlAbcdMathFunctionValue($M$24,AB18)</f>
        <v>2.320762798156714E-3</v>
      </c>
      <c r="AD18" s="59">
        <f t="shared" si="8"/>
        <v>6.0882874894840119E-5</v>
      </c>
    </row>
    <row r="19" spans="12:30" x14ac:dyDescent="0.2">
      <c r="O19" s="65">
        <v>1</v>
      </c>
      <c r="P19" s="56" t="str">
        <f>_xll.qlPeriodEquivalent(P18&amp;"+"&amp;O19&amp;"M")</f>
        <v>1Y4M</v>
      </c>
      <c r="Q19" s="57">
        <f>_xll.qlCalendarAdvance(Calendar,SettlementDate,P19,"f",,Trigger)</f>
        <v>42611</v>
      </c>
      <c r="R19" s="57">
        <f>_xll.qlInterestRateIndexValueDate(Index,Q19,Trigger)</f>
        <v>42613</v>
      </c>
      <c r="S19" s="57">
        <f>_xll.qlInterestRateIndexMaturity(Index,R19,Trigger)</f>
        <v>42794</v>
      </c>
      <c r="T19" s="58">
        <f>_xll.qlDayCounterYearFraction(DayCounter,R19,S19,,,Trigger)</f>
        <v>0.50277777777777777</v>
      </c>
      <c r="U19" s="59">
        <f>_xll.qlIndexFixing(Index,Q19,,AllTriggers)</f>
        <v>7.4264666961181567E-4</v>
      </c>
      <c r="V19" s="60">
        <f>_xll.qlYieldTSDiscount(OisCurve,R19,,AllTriggers)</f>
        <v>1.0019342837773668</v>
      </c>
      <c r="W19" s="60">
        <f>_xll.qlYieldTSDiscount(OisCurve,S19,,AllTriggers)</f>
        <v>1.0027064113052495</v>
      </c>
      <c r="X19" s="59">
        <f t="shared" si="7"/>
        <v>-1.5315781793775664E-3</v>
      </c>
      <c r="Y19" s="59">
        <f t="shared" si="0"/>
        <v>2.2742248489893823E-3</v>
      </c>
      <c r="Z19" s="59">
        <f>_xll.qlIntegralTenorBasisIntegrate($M$11,R19)</f>
        <v>2.3570282914107074E-3</v>
      </c>
      <c r="AA19" s="59">
        <f t="shared" si="1"/>
        <v>8.2803442421325053E-5</v>
      </c>
      <c r="AB19" s="58">
        <f>_xll.qlDayCounterYearFraction(DayCounter,SettlementDate,R19,,,Trigger)</f>
        <v>1.3611111111111112</v>
      </c>
      <c r="AC19" s="59">
        <f>_xll.qlAbcdMathFunctionValue($M$24,AB19)</f>
        <v>2.3400162584973306E-3</v>
      </c>
      <c r="AD19" s="59">
        <f t="shared" si="8"/>
        <v>6.5791409507948324E-5</v>
      </c>
    </row>
    <row r="20" spans="12:30" x14ac:dyDescent="0.2">
      <c r="L20" s="85" t="s">
        <v>44</v>
      </c>
      <c r="M20" s="79">
        <f>Y3-M23</f>
        <v>1.4953963750001624E-3</v>
      </c>
      <c r="O20" s="65">
        <v>1</v>
      </c>
      <c r="P20" s="56" t="str">
        <f>_xll.qlPeriodEquivalent(P19&amp;"+"&amp;O20&amp;"M")</f>
        <v>1Y5M</v>
      </c>
      <c r="Q20" s="57">
        <f>_xll.qlCalendarAdvance(Calendar,SettlementDate,P20,"f",,Trigger)</f>
        <v>42642</v>
      </c>
      <c r="R20" s="57">
        <f>_xll.qlInterestRateIndexValueDate(Index,Q20,Trigger)</f>
        <v>42646</v>
      </c>
      <c r="S20" s="57">
        <f>_xll.qlInterestRateIndexMaturity(Index,R20,Trigger)</f>
        <v>42828</v>
      </c>
      <c r="T20" s="58">
        <f>_xll.qlDayCounterYearFraction(DayCounter,R20,S20,,,Trigger)</f>
        <v>0.50555555555555554</v>
      </c>
      <c r="U20" s="59">
        <f>_xll.qlIndexFixing(Index,Q20,,AllTriggers)</f>
        <v>7.9955130638364286E-4</v>
      </c>
      <c r="V20" s="60">
        <f>_xll.qlYieldTSDiscount(OisCurve,R20,,AllTriggers)</f>
        <v>1.0020803162148639</v>
      </c>
      <c r="W20" s="60">
        <f>_xll.qlYieldTSDiscount(OisCurve,S20,,AllTriggers)</f>
        <v>1.002834332757331</v>
      </c>
      <c r="X20" s="59">
        <f t="shared" si="7"/>
        <v>-1.4872459428978584E-3</v>
      </c>
      <c r="Y20" s="59">
        <f t="shared" si="0"/>
        <v>2.2867972492815014E-3</v>
      </c>
      <c r="Z20" s="59">
        <f>_xll.qlIntegralTenorBasisIntegrate($M$11,R20)</f>
        <v>2.3916553949652991E-3</v>
      </c>
      <c r="AA20" s="59">
        <f t="shared" si="1"/>
        <v>1.048581456837977E-4</v>
      </c>
      <c r="AB20" s="58">
        <f>_xll.qlDayCounterYearFraction(DayCounter,SettlementDate,R20,,,Trigger)</f>
        <v>1.4527777777777777</v>
      </c>
      <c r="AC20" s="59">
        <f>_xll.qlAbcdMathFunctionValue($M$24,AB20)</f>
        <v>2.3609682290386428E-3</v>
      </c>
      <c r="AD20" s="59">
        <f t="shared" si="8"/>
        <v>7.4170979757141441E-5</v>
      </c>
    </row>
    <row r="21" spans="12:30" x14ac:dyDescent="0.2">
      <c r="L21" s="85" t="s">
        <v>45</v>
      </c>
      <c r="M21" s="80">
        <v>6.6728478528807478E-4</v>
      </c>
      <c r="O21" s="65">
        <v>1</v>
      </c>
      <c r="P21" s="56" t="str">
        <f>_xll.qlPeriodEquivalent(P20&amp;"+"&amp;O21&amp;"M")</f>
        <v>1Y6M</v>
      </c>
      <c r="Q21" s="57">
        <f>_xll.qlCalendarAdvance(Calendar,SettlementDate,P21,"f",,Trigger)</f>
        <v>42674</v>
      </c>
      <c r="R21" s="57">
        <f>_xll.qlInterestRateIndexValueDate(Index,Q21,Trigger)</f>
        <v>42676</v>
      </c>
      <c r="S21" s="57">
        <f>_xll.qlInterestRateIndexMaturity(Index,R21,Trigger)</f>
        <v>42857</v>
      </c>
      <c r="T21" s="58">
        <f>_xll.qlDayCounterYearFraction(DayCounter,R21,S21,,,Trigger)</f>
        <v>0.50277777777777777</v>
      </c>
      <c r="U21" s="59">
        <f>_xll.qlIndexFixing(Index,Q21,,AllTriggers)</f>
        <v>8.643790388662637E-4</v>
      </c>
      <c r="V21" s="60">
        <f>_xll.qlYieldTSDiscount(OisCurve,R21,,AllTriggers)</f>
        <v>1.0022134354693211</v>
      </c>
      <c r="W21" s="60">
        <f>_xll.qlYieldTSDiscount(OisCurve,S21,,AllTriggers)</f>
        <v>1.0029369643378352</v>
      </c>
      <c r="X21" s="59">
        <f t="shared" si="7"/>
        <v>-1.4348488430189297E-3</v>
      </c>
      <c r="Y21" s="59">
        <f t="shared" si="0"/>
        <v>2.2992278818851934E-3</v>
      </c>
      <c r="Z21" s="59">
        <f>_xll.qlIntegralTenorBasisIntegrate($M$11,R21)</f>
        <v>2.3965897616451087E-3</v>
      </c>
      <c r="AA21" s="59">
        <f t="shared" si="1"/>
        <v>9.7361879759915327E-5</v>
      </c>
      <c r="AB21" s="58">
        <f>_xll.qlDayCounterYearFraction(DayCounter,SettlementDate,R21,,,Trigger)</f>
        <v>1.5361111111111112</v>
      </c>
      <c r="AC21" s="59">
        <f>_xll.qlAbcdMathFunctionValue($M$24,AB21)</f>
        <v>2.3791511989861378E-3</v>
      </c>
      <c r="AD21" s="59">
        <f t="shared" si="8"/>
        <v>7.9923317100944434E-5</v>
      </c>
    </row>
    <row r="22" spans="12:30" x14ac:dyDescent="0.2">
      <c r="L22" s="85" t="s">
        <v>46</v>
      </c>
      <c r="M22" s="80">
        <v>0.15702087248561541</v>
      </c>
      <c r="O22" s="65">
        <v>6</v>
      </c>
      <c r="P22" s="56" t="str">
        <f>_xll.qlPeriodEquivalent(P21&amp;"+"&amp;O22&amp;"M")</f>
        <v>2Y</v>
      </c>
      <c r="Q22" s="57">
        <f>_xll.qlCalendarAdvance(Calendar,SettlementDate,P22,"f",,Trigger)</f>
        <v>42857</v>
      </c>
      <c r="R22" s="57">
        <f>_xll.qlInterestRateIndexValueDate(Index,Q22,Trigger)</f>
        <v>42859</v>
      </c>
      <c r="S22" s="57">
        <f>_xll.qlInterestRateIndexMaturity(Index,R22,Trigger)</f>
        <v>43045</v>
      </c>
      <c r="T22" s="58">
        <f>_xll.qlDayCounterYearFraction(DayCounter,R22,S22,,,Trigger)</f>
        <v>0.51666666666666672</v>
      </c>
      <c r="U22" s="59">
        <f>_xll.qlIndexFixing(Index,Q22,,AllTriggers)</f>
        <v>1.3682722866351887E-3</v>
      </c>
      <c r="V22" s="60">
        <f>_xll.qlYieldTSDiscount(OisCurve,R22,,AllTriggers)</f>
        <v>1.0029438238461408</v>
      </c>
      <c r="W22" s="60">
        <f>_xll.qlYieldTSDiscount(OisCurve,S22,,AllTriggers)</f>
        <v>1.0034509748886107</v>
      </c>
      <c r="X22" s="59">
        <f t="shared" si="7"/>
        <v>-9.7820689541292579E-4</v>
      </c>
      <c r="Y22" s="59">
        <f t="shared" si="0"/>
        <v>2.3464791820481147E-3</v>
      </c>
      <c r="Z22" s="59">
        <f>_xll.qlIntegralTenorBasisIntegrate($M$11,R22)</f>
        <v>2.5613695479919118E-3</v>
      </c>
      <c r="AA22" s="59">
        <f t="shared" si="1"/>
        <v>2.148903659437971E-4</v>
      </c>
      <c r="AB22" s="58">
        <f>_xll.qlDayCounterYearFraction(DayCounter,SettlementDate,R22,,,Trigger)</f>
        <v>2.0444444444444443</v>
      </c>
      <c r="AC22" s="59">
        <f>_xll.qlAbcdMathFunctionValue($M$24,AB22)</f>
        <v>2.4732939873221165E-3</v>
      </c>
      <c r="AD22" s="59">
        <f t="shared" si="8"/>
        <v>1.2681480527400183E-4</v>
      </c>
    </row>
    <row r="23" spans="12:30" x14ac:dyDescent="0.2">
      <c r="L23" s="85" t="s">
        <v>47</v>
      </c>
      <c r="M23" s="79">
        <v>3.9889936252090086E-4</v>
      </c>
      <c r="O23" s="65">
        <v>6</v>
      </c>
      <c r="P23" s="56" t="str">
        <f>_xll.qlPeriodEquivalent(P22&amp;"+"&amp;O23&amp;"M")</f>
        <v>2Y6M</v>
      </c>
      <c r="Q23" s="57">
        <f>_xll.qlCalendarAdvance(Calendar,SettlementDate,P23,"f",,Trigger)</f>
        <v>43038</v>
      </c>
      <c r="R23" s="57">
        <f>_xll.qlInterestRateIndexValueDate(Index,Q23,Trigger)</f>
        <v>43040</v>
      </c>
      <c r="S23" s="57">
        <f>_xll.qlInterestRateIndexMaturity(Index,R23,Trigger)</f>
        <v>43222</v>
      </c>
      <c r="T23" s="58">
        <f>_xll.qlDayCounterYearFraction(DayCounter,R23,S23,,,Trigger)</f>
        <v>0.50555555555555554</v>
      </c>
      <c r="U23" s="59">
        <f>_xll.qlIndexFixing(Index,Q23,,AllTriggers)</f>
        <v>2.0662690177536721E-3</v>
      </c>
      <c r="V23" s="60">
        <f>_xll.qlYieldTSDiscount(OisCurve,R23,,AllTriggers)</f>
        <v>1.0034409105598172</v>
      </c>
      <c r="W23" s="60">
        <f>_xll.qlYieldTSDiscount(OisCurve,S23,,AllTriggers)</f>
        <v>1.0036672525715147</v>
      </c>
      <c r="X23" s="59">
        <f t="shared" si="7"/>
        <v>-4.4607360909735481E-4</v>
      </c>
      <c r="Y23" s="59">
        <f t="shared" si="0"/>
        <v>2.5123426268510271E-3</v>
      </c>
      <c r="Z23" s="59">
        <f>_xll.qlIntegralTenorBasisIntegrate($M$11,R23)</f>
        <v>2.5732969931652047E-3</v>
      </c>
      <c r="AA23" s="59">
        <f t="shared" si="1"/>
        <v>6.0954366314177558E-5</v>
      </c>
      <c r="AB23" s="58">
        <f>_xll.qlDayCounterYearFraction(DayCounter,SettlementDate,R23,,,Trigger)</f>
        <v>2.5472222222222221</v>
      </c>
      <c r="AC23" s="59">
        <f>_xll.qlAbcdMathFunctionValue($M$24,AB23)</f>
        <v>2.5407222430698893E-3</v>
      </c>
      <c r="AD23" s="59">
        <f t="shared" si="8"/>
        <v>2.8379616218862213E-5</v>
      </c>
    </row>
    <row r="24" spans="12:30" x14ac:dyDescent="0.2">
      <c r="L24" s="85" t="s">
        <v>52</v>
      </c>
      <c r="M24" s="67" t="str">
        <f>_xll.qlAbcdMathFunction(,M20,M21,M22,M23)</f>
        <v>obj_00c3c#0150</v>
      </c>
      <c r="O24" s="65">
        <v>6</v>
      </c>
      <c r="P24" s="56" t="str">
        <f>_xll.qlPeriodEquivalent(P23&amp;"+"&amp;O24&amp;"M")</f>
        <v>3Y</v>
      </c>
      <c r="Q24" s="57">
        <f>_xll.qlCalendarAdvance(Calendar,SettlementDate,P24,"f",,Trigger)</f>
        <v>43220</v>
      </c>
      <c r="R24" s="57">
        <f>_xll.qlInterestRateIndexValueDate(Index,Q24,Trigger)</f>
        <v>43223</v>
      </c>
      <c r="S24" s="57">
        <f>_xll.qlInterestRateIndexMaturity(Index,R24,Trigger)</f>
        <v>43409</v>
      </c>
      <c r="T24" s="58">
        <f>_xll.qlDayCounterYearFraction(DayCounter,R24,S24,,,Trigger)</f>
        <v>0.51666666666666672</v>
      </c>
      <c r="U24" s="59">
        <f>_xll.qlIndexFixing(Index,Q24,,AllTriggers)</f>
        <v>2.7641305023645159E-3</v>
      </c>
      <c r="V24" s="60">
        <f>_xll.qlYieldTSDiscount(OisCurve,R24,,AllTriggers)</f>
        <v>1.003667664896214</v>
      </c>
      <c r="W24" s="60">
        <f>_xll.qlYieldTSDiscount(OisCurve,S24,,AllTriggers)</f>
        <v>1.0035820569316898</v>
      </c>
      <c r="X24" s="59">
        <f t="shared" si="7"/>
        <v>1.6510143183440059E-4</v>
      </c>
      <c r="Y24" s="59">
        <f t="shared" si="0"/>
        <v>2.5990290705301153E-3</v>
      </c>
      <c r="Z24" s="59">
        <f>_xll.qlIntegralTenorBasisIntegrate($M$11,R24)</f>
        <v>2.6766294697957711E-3</v>
      </c>
      <c r="AA24" s="59">
        <f t="shared" si="1"/>
        <v>7.7600399265655845E-5</v>
      </c>
      <c r="AB24" s="58">
        <f>_xll.qlDayCounterYearFraction(DayCounter,SettlementDate,R24,,,Trigger)</f>
        <v>3.0555555555555554</v>
      </c>
      <c r="AC24" s="59">
        <f>_xll.qlAbcdMathFunctionValue($M$24,AB24)</f>
        <v>2.5863472495142492E-3</v>
      </c>
      <c r="AD24" s="59">
        <f t="shared" si="8"/>
        <v>-1.2681821015866034E-5</v>
      </c>
    </row>
    <row r="25" spans="12:30" x14ac:dyDescent="0.2">
      <c r="L25" s="85" t="s">
        <v>48</v>
      </c>
      <c r="M25" s="79">
        <f>SQRT(SUMPRODUCT(AD3:AD135,AD3:AD135)/(COUNT(AD3:AD135)-1))</f>
        <v>1.3704131650612057E-4</v>
      </c>
      <c r="O25" s="65">
        <v>6</v>
      </c>
      <c r="P25" s="56" t="str">
        <f>_xll.qlPeriodEquivalent(P24&amp;"+"&amp;O25&amp;"M")</f>
        <v>3Y6M</v>
      </c>
      <c r="Q25" s="57">
        <f>_xll.qlCalendarAdvance(Calendar,SettlementDate,P25,"f",,Trigger)</f>
        <v>43402</v>
      </c>
      <c r="R25" s="57">
        <f>_xll.qlInterestRateIndexValueDate(Index,Q25,Trigger)</f>
        <v>43404</v>
      </c>
      <c r="S25" s="57">
        <f>_xll.qlInterestRateIndexMaturity(Index,R25,Trigger)</f>
        <v>43585</v>
      </c>
      <c r="T25" s="58">
        <f>_xll.qlDayCounterYearFraction(DayCounter,R25,S25,,,Trigger)</f>
        <v>0.50277777777777777</v>
      </c>
      <c r="U25" s="59">
        <f>_xll.qlIndexFixing(Index,Q25,,AllTriggers)</f>
        <v>3.4229810207391772E-3</v>
      </c>
      <c r="V25" s="60">
        <f>_xll.qlYieldTSDiscount(OisCurve,R25,,AllTriggers)</f>
        <v>1.0035885214134888</v>
      </c>
      <c r="W25" s="60">
        <f>_xll.qlYieldTSDiscount(OisCurve,S25,,AllTriggers)</f>
        <v>1.003212187192313</v>
      </c>
      <c r="X25" s="59">
        <f t="shared" si="7"/>
        <v>7.4611339726858117E-4</v>
      </c>
      <c r="Y25" s="59">
        <f t="shared" si="0"/>
        <v>2.6768676234705958E-3</v>
      </c>
      <c r="Z25" s="59">
        <f>_xll.qlIntegralTenorBasisIntegrate($M$11,R25)</f>
        <v>2.6293008123413233E-3</v>
      </c>
      <c r="AA25" s="59">
        <f t="shared" si="1"/>
        <v>-4.7566811129272444E-5</v>
      </c>
      <c r="AB25" s="58">
        <f>_xll.qlDayCounterYearFraction(DayCounter,SettlementDate,R25,,,Trigger)</f>
        <v>3.5583333333333331</v>
      </c>
      <c r="AC25" s="59">
        <f>_xll.qlAbcdMathFunctionValue($M$24,AB25)</f>
        <v>2.612177841301357E-3</v>
      </c>
      <c r="AD25" s="59">
        <f t="shared" si="8"/>
        <v>-6.4689782169238819E-5</v>
      </c>
    </row>
    <row r="26" spans="12:30" x14ac:dyDescent="0.2">
      <c r="L26" s="85" t="s">
        <v>57</v>
      </c>
      <c r="M26" s="81">
        <f>_xll.qlAbcdMathFunctionMaximumLocation(M24)*360+SettlementDate</f>
        <v>43608.922800452121</v>
      </c>
      <c r="O26" s="65">
        <v>6</v>
      </c>
      <c r="P26" s="56" t="str">
        <f>_xll.qlPeriodEquivalent(P25&amp;"+"&amp;O26&amp;"M")</f>
        <v>4Y</v>
      </c>
      <c r="Q26" s="57">
        <f>_xll.qlCalendarAdvance(Calendar,SettlementDate,P26,"f",,Trigger)</f>
        <v>43584</v>
      </c>
      <c r="R26" s="57">
        <f>_xll.qlInterestRateIndexValueDate(Index,Q26,Trigger)</f>
        <v>43587</v>
      </c>
      <c r="S26" s="57">
        <f>_xll.qlInterestRateIndexMaturity(Index,R26,Trigger)</f>
        <v>43773</v>
      </c>
      <c r="T26" s="58">
        <f>_xll.qlDayCounterYearFraction(DayCounter,R26,S26,,,Trigger)</f>
        <v>0.51666666666666672</v>
      </c>
      <c r="U26" s="59">
        <f>_xll.qlIndexFixing(Index,Q26,,AllTriggers)</f>
        <v>4.0904854923251577E-3</v>
      </c>
      <c r="V26" s="60">
        <f>_xll.qlYieldTSDiscount(OisCurve,R26,,AllTriggers)</f>
        <v>1.0032064177097504</v>
      </c>
      <c r="W26" s="60">
        <f>_xll.qlYieldTSDiscount(OisCurve,S26,,AllTriggers)</f>
        <v>1.0025101708247217</v>
      </c>
      <c r="X26" s="59">
        <f t="shared" si="7"/>
        <v>1.3442004434489044E-3</v>
      </c>
      <c r="Y26" s="59">
        <f t="shared" si="0"/>
        <v>2.7462850488762531E-3</v>
      </c>
      <c r="Z26" s="59">
        <f>_xll.qlIntegralTenorBasisIntegrate($M$11,R26)</f>
        <v>2.7103587533644385E-3</v>
      </c>
      <c r="AA26" s="59">
        <f t="shared" si="1"/>
        <v>-3.5926295511814598E-5</v>
      </c>
      <c r="AB26" s="58">
        <f>_xll.qlDayCounterYearFraction(DayCounter,SettlementDate,R26,,,Trigger)</f>
        <v>4.0666666666666664</v>
      </c>
      <c r="AC26" s="59">
        <f>_xll.qlAbcdMathFunctionValue($M$24,AB26)</f>
        <v>2.621501338949454E-3</v>
      </c>
      <c r="AD26" s="59">
        <f t="shared" si="8"/>
        <v>-1.2478370992679904E-4</v>
      </c>
    </row>
    <row r="27" spans="12:30" x14ac:dyDescent="0.2">
      <c r="O27" s="65">
        <v>6</v>
      </c>
      <c r="P27" s="56" t="str">
        <f>_xll.qlPeriodEquivalent(P26&amp;"+"&amp;O27&amp;"M")</f>
        <v>4Y6M</v>
      </c>
      <c r="Q27" s="57">
        <f>_xll.qlCalendarAdvance(Calendar,SettlementDate,P27,"f",,Trigger)</f>
        <v>43767</v>
      </c>
      <c r="R27" s="57">
        <f>_xll.qlInterestRateIndexValueDate(Index,Q27,Trigger)</f>
        <v>43769</v>
      </c>
      <c r="S27" s="57">
        <f>_xll.qlInterestRateIndexMaturity(Index,R27,Trigger)</f>
        <v>43951</v>
      </c>
      <c r="T27" s="58">
        <f>_xll.qlDayCounterYearFraction(DayCounter,R27,S27,,,Trigger)</f>
        <v>0.50555555555555554</v>
      </c>
      <c r="U27" s="59">
        <f>_xll.qlIndexFixing(Index,Q27,,AllTriggers)</f>
        <v>4.7058011097934607E-3</v>
      </c>
      <c r="V27" s="60">
        <f>_xll.qlYieldTSDiscount(OisCurve,R27,,AllTriggers)</f>
        <v>1.0025286277378254</v>
      </c>
      <c r="W27" s="60">
        <f>_xll.qlYieldTSDiscount(OisCurve,S27,,AllTriggers)</f>
        <v>1.0015198493982509</v>
      </c>
      <c r="X27" s="59">
        <f t="shared" si="7"/>
        <v>1.992357643065823E-3</v>
      </c>
      <c r="Y27" s="59">
        <f t="shared" si="0"/>
        <v>2.7134434667276377E-3</v>
      </c>
      <c r="Z27" s="59">
        <f>_xll.qlIntegralTenorBasisIntegrate($M$11,R27)</f>
        <v>2.6456316761051713E-3</v>
      </c>
      <c r="AA27" s="59">
        <f t="shared" si="1"/>
        <v>-6.7811790622466454E-5</v>
      </c>
      <c r="AB27" s="58">
        <f>_xll.qlDayCounterYearFraction(DayCounter,SettlementDate,R27,,,Trigger)</f>
        <v>4.572222222222222</v>
      </c>
      <c r="AC27" s="59">
        <f>_xll.qlAbcdMathFunctionValue($M$24,AB27)</f>
        <v>2.6164315349836344E-3</v>
      </c>
      <c r="AD27" s="59">
        <f t="shared" si="8"/>
        <v>-9.7011931744003278E-5</v>
      </c>
    </row>
    <row r="28" spans="12:30" x14ac:dyDescent="0.2">
      <c r="O28" s="65">
        <v>6</v>
      </c>
      <c r="P28" s="56" t="str">
        <f>_xll.qlPeriodEquivalent(P27&amp;"+"&amp;O28&amp;"M")</f>
        <v>5Y</v>
      </c>
      <c r="Q28" s="57">
        <f>_xll.qlCalendarAdvance(Calendar,SettlementDate,P28,"f",,Trigger)</f>
        <v>43950</v>
      </c>
      <c r="R28" s="57">
        <f>_xll.qlInterestRateIndexValueDate(Index,Q28,Trigger)</f>
        <v>43955</v>
      </c>
      <c r="S28" s="57">
        <f>_xll.qlInterestRateIndexMaturity(Index,R28,Trigger)</f>
        <v>44139</v>
      </c>
      <c r="T28" s="58">
        <f>_xll.qlDayCounterYearFraction(DayCounter,R28,S28,,,Trigger)</f>
        <v>0.51111111111111107</v>
      </c>
      <c r="U28" s="59">
        <f>_xll.qlIndexFixing(Index,Q28,,AllTriggers)</f>
        <v>5.336075397329383E-3</v>
      </c>
      <c r="V28" s="60">
        <f>_xll.qlYieldTSDiscount(OisCurve,R28,,AllTriggers)</f>
        <v>1.0014936382055692</v>
      </c>
      <c r="W28" s="60">
        <f>_xll.qlYieldTSDiscount(OisCurve,S28,,AllTriggers)</f>
        <v>1.000086954152519</v>
      </c>
      <c r="X28" s="59">
        <f t="shared" si="7"/>
        <v>2.7519686347806131E-3</v>
      </c>
      <c r="Y28" s="59">
        <f t="shared" si="0"/>
        <v>2.5841067625487699E-3</v>
      </c>
      <c r="Z28" s="59">
        <f>_xll.qlIntegralTenorBasisIntegrate($M$11,R28)</f>
        <v>2.6549449269576467E-3</v>
      </c>
      <c r="AA28" s="59">
        <f t="shared" si="1"/>
        <v>7.0838164408876855E-5</v>
      </c>
      <c r="AB28" s="58">
        <f>_xll.qlDayCounterYearFraction(DayCounter,SettlementDate,R28,,,Trigger)</f>
        <v>5.0888888888888886</v>
      </c>
      <c r="AC28" s="59">
        <f>_xll.qlAbcdMathFunctionValue($M$24,AB28)</f>
        <v>2.598690697849649E-3</v>
      </c>
      <c r="AD28" s="59">
        <f t="shared" si="8"/>
        <v>1.4583935300879151E-5</v>
      </c>
    </row>
    <row r="29" spans="12:30" x14ac:dyDescent="0.2">
      <c r="O29" s="65">
        <v>6</v>
      </c>
      <c r="P29" s="56" t="str">
        <f>_xll.qlPeriodEquivalent(P28&amp;"+"&amp;O29&amp;"M")</f>
        <v>5Y6M</v>
      </c>
      <c r="Q29" s="57">
        <f>_xll.qlCalendarAdvance(Calendar,SettlementDate,P29,"f",,Trigger)</f>
        <v>44133</v>
      </c>
      <c r="R29" s="57">
        <f>_xll.qlInterestRateIndexValueDate(Index,Q29,Trigger)</f>
        <v>44137</v>
      </c>
      <c r="S29" s="57">
        <f>_xll.qlInterestRateIndexMaturity(Index,R29,Trigger)</f>
        <v>44319</v>
      </c>
      <c r="T29" s="58">
        <f>_xll.qlDayCounterYearFraction(DayCounter,R29,S29,,,Trigger)</f>
        <v>0.50555555555555554</v>
      </c>
      <c r="U29" s="59">
        <f>_xll.qlIndexFixing(Index,Q29,,AllTriggers)</f>
        <v>6.0404200729486865E-3</v>
      </c>
      <c r="V29" s="60">
        <f>_xll.qlYieldTSDiscount(OisCurve,R29,,AllTriggers)</f>
        <v>1.0001044190188435</v>
      </c>
      <c r="W29" s="60">
        <f>_xll.qlYieldTSDiscount(OisCurve,S29,,AllTriggers)</f>
        <v>0.99830891247130304</v>
      </c>
      <c r="X29" s="59">
        <f t="shared" si="7"/>
        <v>3.5575675708690488E-3</v>
      </c>
      <c r="Y29" s="59">
        <f t="shared" si="0"/>
        <v>2.4828525020796377E-3</v>
      </c>
      <c r="Z29" s="59">
        <f>_xll.qlIntegralTenorBasisIntegrate($M$11,R29)</f>
        <v>2.5967136428518963E-3</v>
      </c>
      <c r="AA29" s="59">
        <f t="shared" si="1"/>
        <v>1.1386114077225869E-4</v>
      </c>
      <c r="AB29" s="58">
        <f>_xll.qlDayCounterYearFraction(DayCounter,SettlementDate,R29,,,Trigger)</f>
        <v>5.5944444444444441</v>
      </c>
      <c r="AC29" s="59">
        <f>_xll.qlAbcdMathFunctionValue($M$24,AB29)</f>
        <v>2.570961106339364E-3</v>
      </c>
      <c r="AD29" s="59">
        <f t="shared" si="8"/>
        <v>8.8108604259726393E-5</v>
      </c>
    </row>
    <row r="30" spans="12:30" x14ac:dyDescent="0.2">
      <c r="O30" s="65">
        <v>6</v>
      </c>
      <c r="P30" s="56" t="str">
        <f>_xll.qlPeriodEquivalent(P29&amp;"+"&amp;O30&amp;"M")</f>
        <v>6Y</v>
      </c>
      <c r="Q30" s="57">
        <f>_xll.qlCalendarAdvance(Calendar,SettlementDate,P30,"f",,Trigger)</f>
        <v>44315</v>
      </c>
      <c r="R30" s="57">
        <f>_xll.qlInterestRateIndexValueDate(Index,Q30,Trigger)</f>
        <v>44319</v>
      </c>
      <c r="S30" s="57">
        <f>_xll.qlInterestRateIndexMaturity(Index,R30,Trigger)</f>
        <v>44503</v>
      </c>
      <c r="T30" s="58">
        <f>_xll.qlDayCounterYearFraction(DayCounter,R30,S30,,,Trigger)</f>
        <v>0.51111111111111107</v>
      </c>
      <c r="U30" s="59">
        <f>_xll.qlIndexFixing(Index,Q30,,AllTriggers)</f>
        <v>6.8240494664359328E-3</v>
      </c>
      <c r="V30" s="60">
        <f>_xll.qlYieldTSDiscount(OisCurve,R30,,AllTriggers)</f>
        <v>0.99830891247130304</v>
      </c>
      <c r="W30" s="60">
        <f>_xll.qlYieldTSDiscount(OisCurve,S30,,AllTriggers)</f>
        <v>0.99607336237016453</v>
      </c>
      <c r="X30" s="59">
        <f t="shared" si="7"/>
        <v>4.3911448062271203E-3</v>
      </c>
      <c r="Y30" s="59">
        <f t="shared" si="0"/>
        <v>2.4329046602088126E-3</v>
      </c>
      <c r="Z30" s="59">
        <f>_xll.qlIntegralTenorBasisIntegrate($M$11,R30)</f>
        <v>2.5863827993808895E-3</v>
      </c>
      <c r="AA30" s="59">
        <f t="shared" si="1"/>
        <v>1.5347813917207694E-4</v>
      </c>
      <c r="AB30" s="58">
        <f>_xll.qlDayCounterYearFraction(DayCounter,SettlementDate,R30,,,Trigger)</f>
        <v>6.1</v>
      </c>
      <c r="AC30" s="59">
        <f>_xll.qlAbcdMathFunctionValue($M$24,AB30)</f>
        <v>2.5346527058414019E-3</v>
      </c>
      <c r="AD30" s="59">
        <f t="shared" si="8"/>
        <v>1.0174804563258932E-4</v>
      </c>
    </row>
    <row r="31" spans="12:30" x14ac:dyDescent="0.2">
      <c r="O31" s="65">
        <v>6</v>
      </c>
      <c r="P31" s="56" t="str">
        <f>_xll.qlPeriodEquivalent(P30&amp;"+"&amp;O31&amp;"M")</f>
        <v>6Y6M</v>
      </c>
      <c r="Q31" s="57">
        <f>_xll.qlCalendarAdvance(Calendar,SettlementDate,P31,"f",,Trigger)</f>
        <v>44498</v>
      </c>
      <c r="R31" s="57">
        <f>_xll.qlInterestRateIndexValueDate(Index,Q31,Trigger)</f>
        <v>44502</v>
      </c>
      <c r="S31" s="57">
        <f>_xll.qlInterestRateIndexMaturity(Index,R31,Trigger)</f>
        <v>44683</v>
      </c>
      <c r="T31" s="58">
        <f>_xll.qlDayCounterYearFraction(DayCounter,R31,S31,,,Trigger)</f>
        <v>0.50277777777777777</v>
      </c>
      <c r="U31" s="59">
        <f>_xll.qlIndexFixing(Index,Q31,,AllTriggers)</f>
        <v>7.4954870704891374E-3</v>
      </c>
      <c r="V31" s="60">
        <f>_xll.qlYieldTSDiscount(OisCurve,R31,,AllTriggers)</f>
        <v>0.99608652060930702</v>
      </c>
      <c r="W31" s="60">
        <f>_xll.qlYieldTSDiscount(OisCurve,S31,,AllTriggers)</f>
        <v>0.99355921032395467</v>
      </c>
      <c r="X31" s="59">
        <f t="shared" si="7"/>
        <v>5.0592802502074869E-3</v>
      </c>
      <c r="Y31" s="59">
        <f t="shared" si="0"/>
        <v>2.4362068202816506E-3</v>
      </c>
      <c r="Z31" s="59">
        <f>_xll.qlIntegralTenorBasisIntegrate($M$11,R31)</f>
        <v>2.4991911859430986E-3</v>
      </c>
      <c r="AA31" s="59">
        <f t="shared" si="1"/>
        <v>6.2984365661448039E-5</v>
      </c>
      <c r="AB31" s="58">
        <f>_xll.qlDayCounterYearFraction(DayCounter,SettlementDate,R31,,,Trigger)</f>
        <v>6.6083333333333334</v>
      </c>
      <c r="AC31" s="59">
        <f>_xll.qlAbcdMathFunctionValue($M$24,AB31)</f>
        <v>2.4909806316102236E-3</v>
      </c>
      <c r="AD31" s="59">
        <f t="shared" si="8"/>
        <v>5.4773811328573049E-5</v>
      </c>
    </row>
    <row r="32" spans="12:30" x14ac:dyDescent="0.2">
      <c r="O32" s="65">
        <v>6</v>
      </c>
      <c r="P32" s="56" t="str">
        <f>_xll.qlPeriodEquivalent(P31&amp;"+"&amp;O32&amp;"M")</f>
        <v>7Y</v>
      </c>
      <c r="Q32" s="57">
        <f>_xll.qlCalendarAdvance(Calendar,SettlementDate,P32,"f",,Trigger)</f>
        <v>44680</v>
      </c>
      <c r="R32" s="57">
        <f>_xll.qlInterestRateIndexValueDate(Index,Q32,Trigger)</f>
        <v>44684</v>
      </c>
      <c r="S32" s="57">
        <f>_xll.qlInterestRateIndexMaturity(Index,R32,Trigger)</f>
        <v>44868</v>
      </c>
      <c r="T32" s="58">
        <f>_xll.qlDayCounterYearFraction(DayCounter,R32,S32,,,Trigger)</f>
        <v>0.51111111111111107</v>
      </c>
      <c r="U32" s="59">
        <f>_xll.qlIndexFixing(Index,Q32,,AllTriggers)</f>
        <v>8.0465582860850017E-3</v>
      </c>
      <c r="V32" s="60">
        <f>_xll.qlYieldTSDiscount(OisCurve,R32,,AllTriggers)</f>
        <v>0.99354452718735309</v>
      </c>
      <c r="W32" s="60">
        <f>_xll.qlYieldTSDiscount(OisCurve,S32,,AllTriggers)</f>
        <v>0.99071806327613998</v>
      </c>
      <c r="X32" s="59">
        <f t="shared" si="7"/>
        <v>5.5818484512830573E-3</v>
      </c>
      <c r="Y32" s="59">
        <f t="shared" si="0"/>
        <v>2.4647098348019444E-3</v>
      </c>
      <c r="Z32" s="59">
        <f>_xll.qlIntegralTenorBasisIntegrate($M$11,R32)</f>
        <v>2.4883656409931064E-3</v>
      </c>
      <c r="AA32" s="59">
        <f t="shared" si="1"/>
        <v>2.3655806191162036E-5</v>
      </c>
      <c r="AB32" s="58">
        <f>_xll.qlDayCounterYearFraction(DayCounter,SettlementDate,R32,,,Trigger)</f>
        <v>7.1138888888888889</v>
      </c>
      <c r="AC32" s="59">
        <f>_xll.qlAbcdMathFunctionValue($M$24,AB32)</f>
        <v>2.4417239914915475E-3</v>
      </c>
      <c r="AD32" s="59">
        <f t="shared" si="8"/>
        <v>-2.2985843310396881E-5</v>
      </c>
    </row>
    <row r="33" spans="15:30" x14ac:dyDescent="0.2">
      <c r="O33" s="65">
        <v>6</v>
      </c>
      <c r="P33" s="56" t="str">
        <f>_xll.qlPeriodEquivalent(P32&amp;"+"&amp;O33&amp;"M")</f>
        <v>7Y6M</v>
      </c>
      <c r="Q33" s="57">
        <f>_xll.qlCalendarAdvance(Calendar,SettlementDate,P33,"f",,Trigger)</f>
        <v>44865</v>
      </c>
      <c r="R33" s="57">
        <f>_xll.qlInterestRateIndexValueDate(Index,Q33,Trigger)</f>
        <v>44867</v>
      </c>
      <c r="S33" s="57">
        <f>_xll.qlInterestRateIndexMaturity(Index,R33,Trigger)</f>
        <v>45048</v>
      </c>
      <c r="T33" s="58">
        <f>_xll.qlDayCounterYearFraction(DayCounter,R33,S33,,,Trigger)</f>
        <v>0.50277777777777777</v>
      </c>
      <c r="U33" s="59">
        <f>_xll.qlIndexFixing(Index,Q33,,AllTriggers)</f>
        <v>8.5415738150988324E-3</v>
      </c>
      <c r="V33" s="60">
        <f>_xll.qlYieldTSDiscount(OisCurve,R33,,AllTriggers)</f>
        <v>0.99073412884139977</v>
      </c>
      <c r="W33" s="60">
        <f>_xll.qlYieldTSDiscount(OisCurve,S33,,AllTriggers)</f>
        <v>0.98768913778989997</v>
      </c>
      <c r="X33" s="59">
        <f t="shared" si="7"/>
        <v>6.1318238313222027E-3</v>
      </c>
      <c r="Y33" s="59">
        <f t="shared" si="0"/>
        <v>2.4097499837766297E-3</v>
      </c>
      <c r="Z33" s="59">
        <f>_xll.qlIntegralTenorBasisIntegrate($M$11,R33)</f>
        <v>2.3923366735965354E-3</v>
      </c>
      <c r="AA33" s="59">
        <f t="shared" si="1"/>
        <v>-1.741331018009426E-5</v>
      </c>
      <c r="AB33" s="58">
        <f>_xll.qlDayCounterYearFraction(DayCounter,SettlementDate,R33,,,Trigger)</f>
        <v>7.6222222222222218</v>
      </c>
      <c r="AC33" s="59">
        <f>_xll.qlAbcdMathFunctionValue($M$24,AB33)</f>
        <v>2.3874941783164983E-3</v>
      </c>
      <c r="AD33" s="59">
        <f t="shared" si="8"/>
        <v>-2.2255805460131423E-5</v>
      </c>
    </row>
    <row r="34" spans="15:30" x14ac:dyDescent="0.2">
      <c r="O34" s="65">
        <v>6</v>
      </c>
      <c r="P34" s="56" t="str">
        <f>_xll.qlPeriodEquivalent(P33&amp;"+"&amp;O34&amp;"M")</f>
        <v>8Y</v>
      </c>
      <c r="Q34" s="57">
        <f>_xll.qlCalendarAdvance(Calendar,SettlementDate,P34,"f",,Trigger)</f>
        <v>45048</v>
      </c>
      <c r="R34" s="57">
        <f>_xll.qlInterestRateIndexValueDate(Index,Q34,Trigger)</f>
        <v>45050</v>
      </c>
      <c r="S34" s="57">
        <f>_xll.qlInterestRateIndexMaturity(Index,R34,Trigger)</f>
        <v>45236</v>
      </c>
      <c r="T34" s="58">
        <f>_xll.qlDayCounterYearFraction(DayCounter,R34,S34,,,Trigger)</f>
        <v>0.51666666666666672</v>
      </c>
      <c r="U34" s="59">
        <f>_xll.qlIndexFixing(Index,Q34,,AllTriggers)</f>
        <v>8.9893917209483299E-3</v>
      </c>
      <c r="V34" s="60">
        <f>_xll.qlYieldTSDiscount(OisCurve,R34,,AllTriggers)</f>
        <v>0.98765388651840869</v>
      </c>
      <c r="W34" s="60">
        <f>_xll.qlYieldTSDiscount(OisCurve,S34,,AllTriggers)</f>
        <v>0.98424253621066793</v>
      </c>
      <c r="X34" s="59">
        <f t="shared" si="7"/>
        <v>6.7083196020701142E-3</v>
      </c>
      <c r="Y34" s="59">
        <f t="shared" si="0"/>
        <v>2.2810721188782157E-3</v>
      </c>
      <c r="Z34" s="59">
        <f>_xll.qlIntegralTenorBasisIntegrate($M$11,R34)</f>
        <v>2.3963543443336812E-3</v>
      </c>
      <c r="AA34" s="59">
        <f t="shared" si="1"/>
        <v>1.1528222545546547E-4</v>
      </c>
      <c r="AB34" s="58">
        <f>_xll.qlDayCounterYearFraction(DayCounter,SettlementDate,R34,,,Trigger)</f>
        <v>8.1305555555555564</v>
      </c>
      <c r="AC34" s="59">
        <f>_xll.qlAbcdMathFunctionValue($M$24,AB34)</f>
        <v>2.3295621238679644E-3</v>
      </c>
      <c r="AD34" s="59">
        <f t="shared" si="8"/>
        <v>4.8490004989748623E-5</v>
      </c>
    </row>
    <row r="35" spans="15:30" x14ac:dyDescent="0.2">
      <c r="O35" s="65">
        <v>6</v>
      </c>
      <c r="P35" s="56" t="str">
        <f>_xll.qlPeriodEquivalent(P34&amp;"+"&amp;O35&amp;"M")</f>
        <v>8Y6M</v>
      </c>
      <c r="Q35" s="57">
        <f>_xll.qlCalendarAdvance(Calendar,SettlementDate,P35,"f",,Trigger)</f>
        <v>45229</v>
      </c>
      <c r="R35" s="57">
        <f>_xll.qlInterestRateIndexValueDate(Index,Q35,Trigger)</f>
        <v>45231</v>
      </c>
      <c r="S35" s="57">
        <f>_xll.qlInterestRateIndexMaturity(Index,R35,Trigger)</f>
        <v>45414</v>
      </c>
      <c r="T35" s="58">
        <f>_xll.qlDayCounterYearFraction(DayCounter,R35,S35,,,Trigger)</f>
        <v>0.5083333333333333</v>
      </c>
      <c r="U35" s="59">
        <f>_xll.qlIndexFixing(Index,Q35,,AllTriggers)</f>
        <v>9.2759334949781402E-3</v>
      </c>
      <c r="V35" s="60">
        <f>_xll.qlYieldTSDiscount(OisCurve,R35,,AllTriggers)</f>
        <v>0.98433707044569263</v>
      </c>
      <c r="W35" s="60">
        <f>_xll.qlYieldTSDiscount(OisCurve,S35,,AllTriggers)</f>
        <v>0.98081863334766495</v>
      </c>
      <c r="X35" s="59">
        <f t="shared" si="7"/>
        <v>7.0568761311695831E-3</v>
      </c>
      <c r="Y35" s="59">
        <f t="shared" ref="Y35:Y66" si="16">U35-X35</f>
        <v>2.219057363808557E-3</v>
      </c>
      <c r="Z35" s="59">
        <f>_xll.qlIntegralTenorBasisIntegrate($M$11,R35)</f>
        <v>2.2959022077594375E-3</v>
      </c>
      <c r="AA35" s="59">
        <f t="shared" ref="AA35:AA66" si="17">(Z35-Y35)</f>
        <v>7.6844843950880492E-5</v>
      </c>
      <c r="AB35" s="58">
        <f>_xll.qlDayCounterYearFraction(DayCounter,SettlementDate,R35,,,Trigger)</f>
        <v>8.6333333333333329</v>
      </c>
      <c r="AC35" s="59">
        <f>_xll.qlAbcdMathFunctionValue($M$24,AB35)</f>
        <v>2.2694912903625467E-3</v>
      </c>
      <c r="AD35" s="59">
        <f t="shared" si="8"/>
        <v>5.0433926553989684E-5</v>
      </c>
    </row>
    <row r="36" spans="15:30" x14ac:dyDescent="0.2">
      <c r="O36" s="65">
        <v>6</v>
      </c>
      <c r="P36" s="56" t="str">
        <f>_xll.qlPeriodEquivalent(P35&amp;"+"&amp;O36&amp;"M")</f>
        <v>9Y</v>
      </c>
      <c r="Q36" s="57">
        <f>_xll.qlCalendarAdvance(Calendar,SettlementDate,P36,"f",,Trigger)</f>
        <v>45411</v>
      </c>
      <c r="R36" s="57">
        <f>_xll.qlInterestRateIndexValueDate(Index,Q36,Trigger)</f>
        <v>45414</v>
      </c>
      <c r="S36" s="57">
        <f>_xll.qlInterestRateIndexMaturity(Index,R36,Trigger)</f>
        <v>45600</v>
      </c>
      <c r="T36" s="58">
        <f>_xll.qlDayCounterYearFraction(DayCounter,R36,S36,,,Trigger)</f>
        <v>0.51666666666666672</v>
      </c>
      <c r="U36" s="59">
        <f>_xll.qlIndexFixing(Index,Q36,,AllTriggers)</f>
        <v>9.4434649982755286E-3</v>
      </c>
      <c r="V36" s="60">
        <f>_xll.qlYieldTSDiscount(OisCurve,R36,,AllTriggers)</f>
        <v>0.98081863334766495</v>
      </c>
      <c r="W36" s="60">
        <f>_xll.qlYieldTSDiscount(OisCurve,S36,,AllTriggers)</f>
        <v>0.97716334618914735</v>
      </c>
      <c r="X36" s="59">
        <f t="shared" si="7"/>
        <v>7.2400887391625831E-3</v>
      </c>
      <c r="Y36" s="59">
        <f t="shared" si="16"/>
        <v>2.2033762591129455E-3</v>
      </c>
      <c r="Z36" s="59">
        <f>_xll.qlIntegralTenorBasisIntegrate($M$11,R36)</f>
        <v>2.266946124738268E-3</v>
      </c>
      <c r="AA36" s="59">
        <f t="shared" si="17"/>
        <v>6.3569865625322589E-5</v>
      </c>
      <c r="AB36" s="58">
        <f>_xll.qlDayCounterYearFraction(DayCounter,SettlementDate,R36,,,Trigger)</f>
        <v>9.1416666666666675</v>
      </c>
      <c r="AC36" s="59">
        <f>_xll.qlAbcdMathFunctionValue($M$24,AB36)</f>
        <v>2.2067205666015683E-3</v>
      </c>
      <c r="AD36" s="59">
        <f t="shared" si="8"/>
        <v>3.3443074886228483E-6</v>
      </c>
    </row>
    <row r="37" spans="15:30" x14ac:dyDescent="0.2">
      <c r="O37" s="65">
        <v>6</v>
      </c>
      <c r="P37" s="56" t="str">
        <f>_xll.qlPeriodEquivalent(P36&amp;"+"&amp;O37&amp;"M")</f>
        <v>9Y6M</v>
      </c>
      <c r="Q37" s="57">
        <f>_xll.qlCalendarAdvance(Calendar,SettlementDate,P37,"f",,Trigger)</f>
        <v>45594</v>
      </c>
      <c r="R37" s="57">
        <f>_xll.qlInterestRateIndexValueDate(Index,Q37,Trigger)</f>
        <v>45596</v>
      </c>
      <c r="S37" s="57">
        <f>_xll.qlInterestRateIndexMaturity(Index,R37,Trigger)</f>
        <v>45777</v>
      </c>
      <c r="T37" s="58">
        <f>_xll.qlDayCounterYearFraction(DayCounter,R37,S37,,,Trigger)</f>
        <v>0.50277777777777777</v>
      </c>
      <c r="U37" s="59">
        <f>_xll.qlIndexFixing(Index,Q37,,AllTriggers)</f>
        <v>9.6386919344009139E-3</v>
      </c>
      <c r="V37" s="60">
        <f>_xll.qlYieldTSDiscount(OisCurve,R37,,AllTriggers)</f>
        <v>0.97724323143559577</v>
      </c>
      <c r="W37" s="60">
        <f>_xll.qlYieldTSDiscount(OisCurve,S37,,AllTriggers)</f>
        <v>0.97353444143440504</v>
      </c>
      <c r="X37" s="59">
        <f t="shared" si="7"/>
        <v>7.5771319261467773E-3</v>
      </c>
      <c r="Y37" s="59">
        <f t="shared" si="16"/>
        <v>2.0615600082541366E-3</v>
      </c>
      <c r="Z37" s="59">
        <f>_xll.qlIntegralTenorBasisIntegrate($M$11,R37)</f>
        <v>2.1417037282888533E-3</v>
      </c>
      <c r="AA37" s="59">
        <f t="shared" si="17"/>
        <v>8.0143720034716714E-5</v>
      </c>
      <c r="AB37" s="58">
        <f>_xll.qlDayCounterYearFraction(DayCounter,SettlementDate,R37,,,Trigger)</f>
        <v>9.6472222222222221</v>
      </c>
      <c r="AC37" s="59">
        <f>_xll.qlAbcdMathFunctionValue($M$24,AB37)</f>
        <v>2.1429249182086862E-3</v>
      </c>
      <c r="AD37" s="59">
        <f t="shared" si="8"/>
        <v>8.1364909954549647E-5</v>
      </c>
    </row>
    <row r="38" spans="15:30" x14ac:dyDescent="0.2">
      <c r="O38" s="65">
        <v>6</v>
      </c>
      <c r="P38" s="56" t="str">
        <f>_xll.qlPeriodEquivalent(P37&amp;"+"&amp;O38&amp;"M")</f>
        <v>10Y</v>
      </c>
      <c r="Q38" s="57">
        <f>_xll.qlCalendarAdvance(Calendar,SettlementDate,P38,"f",,Trigger)</f>
        <v>45776</v>
      </c>
      <c r="R38" s="57">
        <f>_xll.qlInterestRateIndexValueDate(Index,Q38,Trigger)</f>
        <v>45779</v>
      </c>
      <c r="S38" s="57">
        <f>_xll.qlInterestRateIndexMaturity(Index,R38,Trigger)</f>
        <v>45964</v>
      </c>
      <c r="T38" s="58">
        <f>_xll.qlDayCounterYearFraction(DayCounter,R38,S38,,,Trigger)</f>
        <v>0.51388888888888884</v>
      </c>
      <c r="U38" s="59">
        <f>_xll.qlIndexFixing(Index,Q38,,AllTriggers)</f>
        <v>9.8925525137168024E-3</v>
      </c>
      <c r="V38" s="60">
        <f>_xll.qlYieldTSDiscount(OisCurve,R38,,AllTriggers)</f>
        <v>0.9734921757048921</v>
      </c>
      <c r="W38" s="60">
        <f>_xll.qlYieldTSDiscount(OisCurve,S38,,AllTriggers)</f>
        <v>0.9694772812033714</v>
      </c>
      <c r="X38" s="59">
        <f t="shared" si="7"/>
        <v>8.0587424069777213E-3</v>
      </c>
      <c r="Y38" s="59">
        <f t="shared" si="16"/>
        <v>1.8338101067390811E-3</v>
      </c>
      <c r="Z38" s="59">
        <f>_xll.qlIntegralTenorBasisIntegrate($M$11,R38)</f>
        <v>2.1205679560475157E-3</v>
      </c>
      <c r="AA38" s="59">
        <f t="shared" si="17"/>
        <v>2.8675784930843468E-4</v>
      </c>
      <c r="AB38" s="58">
        <f>_xll.qlDayCounterYearFraction(DayCounter,SettlementDate,R38,,,Trigger)</f>
        <v>10.155555555555555</v>
      </c>
      <c r="AC38" s="59">
        <f>_xll.qlAbcdMathFunctionValue($M$24,AB38)</f>
        <v>2.0779817614249856E-3</v>
      </c>
      <c r="AD38" s="59">
        <f t="shared" si="8"/>
        <v>2.4417165468590451E-4</v>
      </c>
    </row>
    <row r="39" spans="15:30" x14ac:dyDescent="0.2">
      <c r="O39" s="65">
        <v>6</v>
      </c>
      <c r="P39" s="56" t="str">
        <f>_xll.qlPeriodEquivalent(P38&amp;"+"&amp;O39&amp;"M")</f>
        <v>10Y6M</v>
      </c>
      <c r="Q39" s="57">
        <f>_xll.qlCalendarAdvance(Calendar,SettlementDate,P39,"f",,Trigger)</f>
        <v>45959</v>
      </c>
      <c r="R39" s="57">
        <f>_xll.qlInterestRateIndexValueDate(Index,Q39,Trigger)</f>
        <v>45961</v>
      </c>
      <c r="S39" s="57">
        <f>_xll.qlInterestRateIndexMaturity(Index,R39,Trigger)</f>
        <v>46142</v>
      </c>
      <c r="T39" s="58">
        <f>_xll.qlDayCounterYearFraction(DayCounter,R39,S39,,,Trigger)</f>
        <v>0.50277777777777777</v>
      </c>
      <c r="U39" s="59">
        <f>_xll.qlIndexFixing(Index,Q39,,AllTriggers)</f>
        <v>1.0107641750027605E-2</v>
      </c>
      <c r="V39" s="60">
        <f>_xll.qlYieldTSDiscount(OisCurve,R39,,AllTriggers)</f>
        <v>0.96954351226518853</v>
      </c>
      <c r="W39" s="60">
        <f>_xll.qlYieldTSDiscount(OisCurve,S39,,AllTriggers)</f>
        <v>0.9655432746610817</v>
      </c>
      <c r="X39" s="59">
        <f t="shared" si="7"/>
        <v>8.2402041384619946E-3</v>
      </c>
      <c r="Y39" s="59">
        <f t="shared" si="16"/>
        <v>1.8674376115656102E-3</v>
      </c>
      <c r="Z39" s="59">
        <f>_xll.qlIntegralTenorBasisIntegrate($M$11,R39)</f>
        <v>2.0093421245120108E-3</v>
      </c>
      <c r="AA39" s="59">
        <f t="shared" si="17"/>
        <v>1.4190451294640062E-4</v>
      </c>
      <c r="AB39" s="58">
        <f>_xll.qlDayCounterYearFraction(DayCounter,SettlementDate,R39,,,Trigger)</f>
        <v>10.661111111111111</v>
      </c>
      <c r="AC39" s="59">
        <f>_xll.qlAbcdMathFunctionValue($M$24,AB39)</f>
        <v>2.0130952327214978E-3</v>
      </c>
      <c r="AD39" s="59">
        <f t="shared" si="8"/>
        <v>1.4565762115588757E-4</v>
      </c>
    </row>
    <row r="40" spans="15:30" x14ac:dyDescent="0.2">
      <c r="O40" s="65">
        <v>6</v>
      </c>
      <c r="P40" s="56" t="str">
        <f>_xll.qlPeriodEquivalent(P39&amp;"+"&amp;O40&amp;"M")</f>
        <v>11Y</v>
      </c>
      <c r="Q40" s="57">
        <f>_xll.qlCalendarAdvance(Calendar,SettlementDate,P40,"f",,Trigger)</f>
        <v>46141</v>
      </c>
      <c r="R40" s="57">
        <f>_xll.qlInterestRateIndexValueDate(Index,Q40,Trigger)</f>
        <v>46146</v>
      </c>
      <c r="S40" s="57">
        <f>_xll.qlInterestRateIndexMaturity(Index,R40,Trigger)</f>
        <v>46330</v>
      </c>
      <c r="T40" s="58">
        <f>_xll.qlDayCounterYearFraction(DayCounter,R40,S40,,,Trigger)</f>
        <v>0.51111111111111107</v>
      </c>
      <c r="U40" s="59">
        <f>_xll.qlIndexFixing(Index,Q40,,AllTriggers)</f>
        <v>1.0278865302158758E-2</v>
      </c>
      <c r="V40" s="60">
        <f>_xll.qlYieldTSDiscount(OisCurve,R40,,AllTriggers)</f>
        <v>0.96545548066898212</v>
      </c>
      <c r="W40" s="60">
        <f>_xll.qlYieldTSDiscount(OisCurve,S40,,AllTriggers)</f>
        <v>0.96145285146673998</v>
      </c>
      <c r="X40" s="59">
        <f t="shared" si="7"/>
        <v>8.1452054938713214E-3</v>
      </c>
      <c r="Y40" s="59">
        <f t="shared" si="16"/>
        <v>2.1336598082874365E-3</v>
      </c>
      <c r="Z40" s="59">
        <f>_xll.qlIntegralTenorBasisIntegrate($M$11,R40)</f>
        <v>1.9740229839747669E-3</v>
      </c>
      <c r="AA40" s="59">
        <f t="shared" si="17"/>
        <v>-1.5963682431266966E-4</v>
      </c>
      <c r="AB40" s="58">
        <f>_xll.qlDayCounterYearFraction(DayCounter,SettlementDate,R40,,,Trigger)</f>
        <v>11.175000000000001</v>
      </c>
      <c r="AC40" s="59">
        <f>_xll.qlAbcdMathFunctionValue($M$24,AB40)</f>
        <v>1.9472692044539531E-3</v>
      </c>
      <c r="AD40" s="59">
        <f t="shared" si="8"/>
        <v>-1.8639060383348347E-4</v>
      </c>
    </row>
    <row r="41" spans="15:30" x14ac:dyDescent="0.2">
      <c r="O41" s="65">
        <v>6</v>
      </c>
      <c r="P41" s="56" t="str">
        <f>_xll.qlPeriodEquivalent(P40&amp;"+"&amp;O41&amp;"M")</f>
        <v>11Y6M</v>
      </c>
      <c r="Q41" s="57">
        <f>_xll.qlCalendarAdvance(Calendar,SettlementDate,P41,"f",,Trigger)</f>
        <v>46324</v>
      </c>
      <c r="R41" s="57">
        <f>_xll.qlInterestRateIndexValueDate(Index,Q41,Trigger)</f>
        <v>46328</v>
      </c>
      <c r="S41" s="57">
        <f>_xll.qlInterestRateIndexMaturity(Index,R41,Trigger)</f>
        <v>46510</v>
      </c>
      <c r="T41" s="58">
        <f>_xll.qlDayCounterYearFraction(DayCounter,R41,S41,,,Trigger)</f>
        <v>0.50555555555555554</v>
      </c>
      <c r="U41" s="59">
        <f>_xll.qlIndexFixing(Index,Q41,,AllTriggers)</f>
        <v>1.0393366210892131E-2</v>
      </c>
      <c r="V41" s="60">
        <f>_xll.qlYieldTSDiscount(OisCurve,R41,,AllTriggers)</f>
        <v>0.96149622226472331</v>
      </c>
      <c r="W41" s="60">
        <f>_xll.qlYieldTSDiscount(OisCurve,S41,,AllTriggers)</f>
        <v>0.9575195121283343</v>
      </c>
      <c r="X41" s="59">
        <f t="shared" si="7"/>
        <v>8.2149971362108307E-3</v>
      </c>
      <c r="Y41" s="59">
        <f t="shared" si="16"/>
        <v>2.1783690746813005E-3</v>
      </c>
      <c r="Z41" s="59">
        <f>_xll.qlIntegralTenorBasisIntegrate($M$11,R41)</f>
        <v>1.8872792558823823E-3</v>
      </c>
      <c r="AA41" s="59">
        <f t="shared" si="17"/>
        <v>-2.9108981879891823E-4</v>
      </c>
      <c r="AB41" s="58">
        <f>_xll.qlDayCounterYearFraction(DayCounter,SettlementDate,R41,,,Trigger)</f>
        <v>11.680555555555555</v>
      </c>
      <c r="AC41" s="59">
        <f>_xll.qlAbcdMathFunctionValue($M$24,AB41)</f>
        <v>1.8830018688316252E-3</v>
      </c>
      <c r="AD41" s="59">
        <f t="shared" si="8"/>
        <v>-2.9536720584967535E-4</v>
      </c>
    </row>
    <row r="42" spans="15:30" x14ac:dyDescent="0.2">
      <c r="O42" s="65">
        <v>6</v>
      </c>
      <c r="P42" s="56" t="str">
        <f>_xll.qlPeriodEquivalent(P41&amp;"+"&amp;O42&amp;"M")</f>
        <v>12Y</v>
      </c>
      <c r="Q42" s="57">
        <f>_xll.qlCalendarAdvance(Calendar,SettlementDate,P42,"f",,Trigger)</f>
        <v>46506</v>
      </c>
      <c r="R42" s="57">
        <f>_xll.qlInterestRateIndexValueDate(Index,Q42,Trigger)</f>
        <v>46510</v>
      </c>
      <c r="S42" s="57">
        <f>_xll.qlInterestRateIndexMaturity(Index,R42,Trigger)</f>
        <v>46694</v>
      </c>
      <c r="T42" s="58">
        <f>_xll.qlDayCounterYearFraction(DayCounter,R42,S42,,,Trigger)</f>
        <v>0.51111111111111107</v>
      </c>
      <c r="U42" s="59">
        <f>_xll.qlIndexFixing(Index,Q42,,AllTriggers)</f>
        <v>1.0464984058263552E-2</v>
      </c>
      <c r="V42" s="60">
        <f>_xll.qlYieldTSDiscount(OisCurve,R42,,AllTriggers)</f>
        <v>0.9575195121283343</v>
      </c>
      <c r="W42" s="60">
        <f>_xll.qlYieldTSDiscount(OisCurve,S42,,AllTriggers)</f>
        <v>0.95338039124396401</v>
      </c>
      <c r="X42" s="59">
        <f t="shared" si="7"/>
        <v>8.4942800014930573E-3</v>
      </c>
      <c r="Y42" s="59">
        <f t="shared" si="16"/>
        <v>1.9707040567704948E-3</v>
      </c>
      <c r="Z42" s="59">
        <f>_xll.qlIntegralTenorBasisIntegrate($M$11,R42)</f>
        <v>1.8421944950474051E-3</v>
      </c>
      <c r="AA42" s="59">
        <f t="shared" si="17"/>
        <v>-1.2850956172308966E-4</v>
      </c>
      <c r="AB42" s="58">
        <f>_xll.qlDayCounterYearFraction(DayCounter,SettlementDate,R42,,,Trigger)</f>
        <v>12.186111111111112</v>
      </c>
      <c r="AC42" s="59">
        <f>_xll.qlAbcdMathFunctionValue($M$24,AB42)</f>
        <v>1.8195261222573394E-3</v>
      </c>
      <c r="AD42" s="59">
        <f t="shared" si="8"/>
        <v>-1.511779345131554E-4</v>
      </c>
    </row>
    <row r="43" spans="15:30" x14ac:dyDescent="0.2">
      <c r="O43" s="65">
        <v>6</v>
      </c>
      <c r="P43" s="56" t="str">
        <f>_xll.qlPeriodEquivalent(P42&amp;"+"&amp;O43&amp;"M")</f>
        <v>12Y6M</v>
      </c>
      <c r="Q43" s="57">
        <f>_xll.qlCalendarAdvance(Calendar,SettlementDate,P43,"f",,Trigger)</f>
        <v>46689</v>
      </c>
      <c r="R43" s="57">
        <f>_xll.qlInterestRateIndexValueDate(Index,Q43,Trigger)</f>
        <v>46693</v>
      </c>
      <c r="S43" s="57">
        <f>_xll.qlInterestRateIndexMaturity(Index,R43,Trigger)</f>
        <v>46875</v>
      </c>
      <c r="T43" s="58">
        <f>_xll.qlDayCounterYearFraction(DayCounter,R43,S43,,,Trigger)</f>
        <v>0.50555555555555554</v>
      </c>
      <c r="U43" s="59">
        <f>_xll.qlIndexFixing(Index,Q43,,AllTriggers)</f>
        <v>1.0514942380302587E-2</v>
      </c>
      <c r="V43" s="60">
        <f>_xll.qlYieldTSDiscount(OisCurve,R43,,AllTriggers)</f>
        <v>0.95340322054201732</v>
      </c>
      <c r="W43" s="60">
        <f>_xll.qlYieldTSDiscount(OisCurve,S43,,AllTriggers)</f>
        <v>0.9491980677266918</v>
      </c>
      <c r="X43" s="59">
        <f t="shared" si="7"/>
        <v>8.7630653416477054E-3</v>
      </c>
      <c r="Y43" s="59">
        <f t="shared" si="16"/>
        <v>1.751877038654882E-3</v>
      </c>
      <c r="Z43" s="59">
        <f>_xll.qlIntegralTenorBasisIntegrate($M$11,R43)</f>
        <v>1.7585648434988448E-3</v>
      </c>
      <c r="AA43" s="59">
        <f t="shared" si="17"/>
        <v>6.6878048439627559E-6</v>
      </c>
      <c r="AB43" s="58">
        <f>_xll.qlDayCounterYearFraction(DayCounter,SettlementDate,R43,,,Trigger)</f>
        <v>12.694444444444445</v>
      </c>
      <c r="AC43" s="59">
        <f>_xll.qlAbcdMathFunctionValue($M$24,AB43)</f>
        <v>1.7567556929756569E-3</v>
      </c>
      <c r="AD43" s="59">
        <f t="shared" si="8"/>
        <v>4.8786543207749063E-6</v>
      </c>
    </row>
    <row r="44" spans="15:30" x14ac:dyDescent="0.2">
      <c r="O44" s="65">
        <v>6</v>
      </c>
      <c r="P44" s="56" t="str">
        <f>_xll.qlPeriodEquivalent(P43&amp;"+"&amp;O44&amp;"M")</f>
        <v>13Y</v>
      </c>
      <c r="Q44" s="57">
        <f>_xll.qlCalendarAdvance(Calendar,SettlementDate,P44,"f",,Trigger)</f>
        <v>46875</v>
      </c>
      <c r="R44" s="57">
        <f>_xll.qlInterestRateIndexValueDate(Index,Q44,Trigger)</f>
        <v>46877</v>
      </c>
      <c r="S44" s="57">
        <f>_xll.qlInterestRateIndexMaturity(Index,R44,Trigger)</f>
        <v>47063</v>
      </c>
      <c r="T44" s="58">
        <f>_xll.qlDayCounterYearFraction(DayCounter,R44,S44,,,Trigger)</f>
        <v>0.51666666666666672</v>
      </c>
      <c r="U44" s="59">
        <f>_xll.qlIndexFixing(Index,Q44,,AllTriggers)</f>
        <v>1.0551280662953456E-2</v>
      </c>
      <c r="V44" s="60">
        <f>_xll.qlYieldTSDiscount(OisCurve,R44,,AllTriggers)</f>
        <v>0.94915135134522788</v>
      </c>
      <c r="W44" s="60">
        <f>_xll.qlYieldTSDiscount(OisCurve,S44,,AllTriggers)</f>
        <v>0.94476915653714144</v>
      </c>
      <c r="X44" s="59">
        <f t="shared" si="7"/>
        <v>8.9775024002453248E-3</v>
      </c>
      <c r="Y44" s="59">
        <f t="shared" si="16"/>
        <v>1.5737782627081309E-3</v>
      </c>
      <c r="Z44" s="59">
        <f>_xll.qlIntegralTenorBasisIntegrate($M$11,R44)</f>
        <v>1.7322182212234573E-3</v>
      </c>
      <c r="AA44" s="59">
        <f t="shared" si="17"/>
        <v>1.5843995851532637E-4</v>
      </c>
      <c r="AB44" s="58">
        <f>_xll.qlDayCounterYearFraction(DayCounter,SettlementDate,R44,,,Trigger)</f>
        <v>13.205555555555556</v>
      </c>
      <c r="AC44" s="59">
        <f>_xll.qlAbcdMathFunctionValue($M$24,AB44)</f>
        <v>1.6949230902377423E-3</v>
      </c>
      <c r="AD44" s="59">
        <f t="shared" si="8"/>
        <v>1.2114482752961135E-4</v>
      </c>
    </row>
    <row r="45" spans="15:30" x14ac:dyDescent="0.2">
      <c r="O45" s="65">
        <v>6</v>
      </c>
      <c r="P45" s="56" t="str">
        <f>_xll.qlPeriodEquivalent(P44&amp;"+"&amp;O45&amp;"M")</f>
        <v>13Y6M</v>
      </c>
      <c r="Q45" s="57">
        <f>_xll.qlCalendarAdvance(Calendar,SettlementDate,P45,"f",,Trigger)</f>
        <v>47056</v>
      </c>
      <c r="R45" s="57">
        <f>_xll.qlInterestRateIndexValueDate(Index,Q45,Trigger)</f>
        <v>47058</v>
      </c>
      <c r="S45" s="57">
        <f>_xll.qlInterestRateIndexMaturity(Index,R45,Trigger)</f>
        <v>47240</v>
      </c>
      <c r="T45" s="58">
        <f>_xll.qlDayCounterYearFraction(DayCounter,R45,S45,,,Trigger)</f>
        <v>0.50555555555555554</v>
      </c>
      <c r="U45" s="59">
        <f>_xll.qlIndexFixing(Index,Q45,,AllTriggers)</f>
        <v>1.0570200102479449E-2</v>
      </c>
      <c r="V45" s="60">
        <f>_xll.qlYieldTSDiscount(OisCurve,R45,,AllTriggers)</f>
        <v>0.94488779654814847</v>
      </c>
      <c r="W45" s="60">
        <f>_xll.qlYieldTSDiscount(OisCurve,S45,,AllTriggers)</f>
        <v>0.94054876381775288</v>
      </c>
      <c r="X45" s="59">
        <f t="shared" si="7"/>
        <v>9.1252069368963473E-3</v>
      </c>
      <c r="Y45" s="59">
        <f t="shared" si="16"/>
        <v>1.4449931655831014E-3</v>
      </c>
      <c r="Z45" s="59">
        <f>_xll.qlIntegralTenorBasisIntegrate($M$11,R45)</f>
        <v>1.6352601411866209E-3</v>
      </c>
      <c r="AA45" s="59">
        <f t="shared" si="17"/>
        <v>1.9026697560351954E-4</v>
      </c>
      <c r="AB45" s="58">
        <f>_xll.qlDayCounterYearFraction(DayCounter,SettlementDate,R45,,,Trigger)</f>
        <v>13.708333333333334</v>
      </c>
      <c r="AC45" s="59">
        <f>_xll.qlAbcdMathFunctionValue($M$24,AB45)</f>
        <v>1.635523578500408E-3</v>
      </c>
      <c r="AD45" s="59">
        <f t="shared" si="8"/>
        <v>1.9053041291730664E-4</v>
      </c>
    </row>
    <row r="46" spans="15:30" x14ac:dyDescent="0.2">
      <c r="O46" s="65">
        <v>6</v>
      </c>
      <c r="P46" s="56" t="str">
        <f>_xll.qlPeriodEquivalent(P45&amp;"+"&amp;O46&amp;"M")</f>
        <v>14Y</v>
      </c>
      <c r="Q46" s="57">
        <f>_xll.qlCalendarAdvance(Calendar,SettlementDate,P46,"f",,Trigger)</f>
        <v>47238</v>
      </c>
      <c r="R46" s="57">
        <f>_xll.qlInterestRateIndexValueDate(Index,Q46,Trigger)</f>
        <v>47241</v>
      </c>
      <c r="S46" s="57">
        <f>_xll.qlInterestRateIndexMaturity(Index,R46,Trigger)</f>
        <v>47427</v>
      </c>
      <c r="T46" s="58">
        <f>_xll.qlDayCounterYearFraction(DayCounter,R46,S46,,,Trigger)</f>
        <v>0.51666666666666672</v>
      </c>
      <c r="U46" s="59">
        <f>_xll.qlIndexFixing(Index,Q46,,AllTriggers)</f>
        <v>1.0575602857341874E-2</v>
      </c>
      <c r="V46" s="60">
        <f>_xll.qlYieldTSDiscount(OisCurve,R46,,AllTriggers)</f>
        <v>0.94052483208130155</v>
      </c>
      <c r="W46" s="60">
        <f>_xll.qlYieldTSDiscount(OisCurve,S46,,AllTriggers)</f>
        <v>0.93606631324693235</v>
      </c>
      <c r="X46" s="59">
        <f t="shared" si="7"/>
        <v>9.2187820138453763E-3</v>
      </c>
      <c r="Y46" s="59">
        <f t="shared" si="16"/>
        <v>1.3568208434964982E-3</v>
      </c>
      <c r="Z46" s="59">
        <f>_xll.qlIntegralTenorBasisIntegrate($M$11,R46)</f>
        <v>1.6098686430673886E-3</v>
      </c>
      <c r="AA46" s="59">
        <f t="shared" si="17"/>
        <v>2.5304779957089035E-4</v>
      </c>
      <c r="AB46" s="58">
        <f>_xll.qlDayCounterYearFraction(DayCounter,SettlementDate,R46,,,Trigger)</f>
        <v>14.216666666666667</v>
      </c>
      <c r="AC46" s="59">
        <f>_xll.qlAbcdMathFunctionValue($M$24,AB46)</f>
        <v>1.5770437892574786E-3</v>
      </c>
      <c r="AD46" s="59">
        <f t="shared" si="8"/>
        <v>2.2022294576098033E-4</v>
      </c>
    </row>
    <row r="47" spans="15:30" x14ac:dyDescent="0.2">
      <c r="O47" s="65">
        <v>6</v>
      </c>
      <c r="P47" s="56" t="str">
        <f>_xll.qlPeriodEquivalent(P46&amp;"+"&amp;O47&amp;"M")</f>
        <v>14Y6M</v>
      </c>
      <c r="Q47" s="57">
        <f>_xll.qlCalendarAdvance(Calendar,SettlementDate,P47,"f",,Trigger)</f>
        <v>47420</v>
      </c>
      <c r="R47" s="57">
        <f>_xll.qlInterestRateIndexValueDate(Index,Q47,Trigger)</f>
        <v>47422</v>
      </c>
      <c r="S47" s="57">
        <f>_xll.qlInterestRateIndexMaturity(Index,R47,Trigger)</f>
        <v>47603</v>
      </c>
      <c r="T47" s="58">
        <f>_xll.qlDayCounterYearFraction(DayCounter,R47,S47,,,Trigger)</f>
        <v>0.50277777777777777</v>
      </c>
      <c r="U47" s="59">
        <f>_xll.qlIndexFixing(Index,Q47,,AllTriggers)</f>
        <v>1.0564711690545457E-2</v>
      </c>
      <c r="V47" s="60">
        <f>_xll.qlYieldTSDiscount(OisCurve,R47,,AllTriggers)</f>
        <v>0.93618622571811683</v>
      </c>
      <c r="W47" s="60">
        <f>_xll.qlYieldTSDiscount(OisCurve,S47,,AllTriggers)</f>
        <v>0.93185216377852986</v>
      </c>
      <c r="X47" s="59">
        <f t="shared" si="7"/>
        <v>9.2506451420816191E-3</v>
      </c>
      <c r="Y47" s="59">
        <f t="shared" si="16"/>
        <v>1.3140665484638377E-3</v>
      </c>
      <c r="Z47" s="59">
        <f>_xll.qlIntegralTenorBasisIntegrate($M$11,R47)</f>
        <v>1.5107196245373034E-3</v>
      </c>
      <c r="AA47" s="59">
        <f t="shared" si="17"/>
        <v>1.9665307607346564E-4</v>
      </c>
      <c r="AB47" s="58">
        <f>_xll.qlDayCounterYearFraction(DayCounter,SettlementDate,R47,,,Trigger)</f>
        <v>14.719444444444445</v>
      </c>
      <c r="AC47" s="59">
        <f>_xll.qlAbcdMathFunctionValue($M$24,AB47)</f>
        <v>1.5208697943228E-3</v>
      </c>
      <c r="AD47" s="59">
        <f t="shared" si="8"/>
        <v>2.0680324585896229E-4</v>
      </c>
    </row>
    <row r="48" spans="15:30" x14ac:dyDescent="0.2">
      <c r="O48" s="65">
        <v>6</v>
      </c>
      <c r="P48" s="56" t="str">
        <f>_xll.qlPeriodEquivalent(P47&amp;"+"&amp;O48&amp;"M")</f>
        <v>15Y</v>
      </c>
      <c r="Q48" s="57">
        <f>_xll.qlCalendarAdvance(Calendar,SettlementDate,P48,"f",,Trigger)</f>
        <v>47602</v>
      </c>
      <c r="R48" s="57">
        <f>_xll.qlInterestRateIndexValueDate(Index,Q48,Trigger)</f>
        <v>47605</v>
      </c>
      <c r="S48" s="57">
        <f>_xll.qlInterestRateIndexMaturity(Index,R48,Trigger)</f>
        <v>47791</v>
      </c>
      <c r="T48" s="58">
        <f>_xll.qlDayCounterYearFraction(DayCounter,R48,S48,,,Trigger)</f>
        <v>0.51666666666666672</v>
      </c>
      <c r="U48" s="59">
        <f>_xll.qlIndexFixing(Index,Q48,,AllTriggers)</f>
        <v>1.053925455572426E-2</v>
      </c>
      <c r="V48" s="60">
        <f>_xll.qlYieldTSDiscount(OisCurve,R48,,AllTriggers)</f>
        <v>0.93180440102398188</v>
      </c>
      <c r="W48" s="60">
        <f>_xll.qlYieldTSDiscount(OisCurve,S48,,AllTriggers)</f>
        <v>0.92738013305695155</v>
      </c>
      <c r="X48" s="59">
        <f t="shared" si="7"/>
        <v>9.2336453906981201E-3</v>
      </c>
      <c r="Y48" s="59">
        <f t="shared" si="16"/>
        <v>1.3056091650261396E-3</v>
      </c>
      <c r="Z48" s="59">
        <f>_xll.qlIntegralTenorBasisIntegrate($M$11,R48)</f>
        <v>1.4947148369595057E-3</v>
      </c>
      <c r="AA48" s="59">
        <f t="shared" si="17"/>
        <v>1.8910567193336611E-4</v>
      </c>
      <c r="AB48" s="58">
        <f>_xll.qlDayCounterYearFraction(DayCounter,SettlementDate,R48,,,Trigger)</f>
        <v>15.227777777777778</v>
      </c>
      <c r="AC48" s="59">
        <f>_xll.qlAbcdMathFunctionValue($M$24,AB48)</f>
        <v>1.4658437029606659E-3</v>
      </c>
      <c r="AD48" s="59">
        <f t="shared" si="8"/>
        <v>1.6023453793452633E-4</v>
      </c>
    </row>
    <row r="49" spans="15:30" x14ac:dyDescent="0.2">
      <c r="O49" s="65">
        <v>6</v>
      </c>
      <c r="P49" s="56" t="str">
        <f>_xll.qlPeriodEquivalent(P48&amp;"+"&amp;O49&amp;"M")</f>
        <v>15Y6M</v>
      </c>
      <c r="Q49" s="57">
        <f>_xll.qlCalendarAdvance(Calendar,SettlementDate,P49,"f",,Trigger)</f>
        <v>47785</v>
      </c>
      <c r="R49" s="57">
        <f>_xll.qlInterestRateIndexValueDate(Index,Q49,Trigger)</f>
        <v>47787</v>
      </c>
      <c r="S49" s="57">
        <f>_xll.qlInterestRateIndexMaturity(Index,R49,Trigger)</f>
        <v>47968</v>
      </c>
      <c r="T49" s="58">
        <f>_xll.qlDayCounterYearFraction(DayCounter,R49,S49,,,Trigger)</f>
        <v>0.50277777777777777</v>
      </c>
      <c r="U49" s="59">
        <f>_xll.qlIndexFixing(Index,Q49,,AllTriggers)</f>
        <v>1.0497105178987821E-2</v>
      </c>
      <c r="V49" s="60">
        <f>_xll.qlYieldTSDiscount(OisCurve,R49,,AllTriggers)</f>
        <v>0.92747489458053678</v>
      </c>
      <c r="W49" s="60">
        <f>_xll.qlYieldTSDiscount(OisCurve,S49,,AllTriggers)</f>
        <v>0.92320522739258282</v>
      </c>
      <c r="X49" s="59">
        <f t="shared" si="7"/>
        <v>9.198556811611084E-3</v>
      </c>
      <c r="Y49" s="59">
        <f t="shared" si="16"/>
        <v>1.2985483673767367E-3</v>
      </c>
      <c r="Z49" s="59">
        <f>_xll.qlIntegralTenorBasisIntegrate($M$11,R49)</f>
        <v>1.4020274207319741E-3</v>
      </c>
      <c r="AA49" s="59">
        <f t="shared" si="17"/>
        <v>1.034790533552374E-4</v>
      </c>
      <c r="AB49" s="58">
        <f>_xll.qlDayCounterYearFraction(DayCounter,SettlementDate,R49,,,Trigger)</f>
        <v>15.733333333333333</v>
      </c>
      <c r="AC49" s="59">
        <f>_xll.qlAbcdMathFunctionValue($M$24,AB49)</f>
        <v>1.4129427157506718E-3</v>
      </c>
      <c r="AD49" s="59">
        <f t="shared" si="8"/>
        <v>1.1439434837393504E-4</v>
      </c>
    </row>
    <row r="50" spans="15:30" x14ac:dyDescent="0.2">
      <c r="O50" s="65">
        <v>6</v>
      </c>
      <c r="P50" s="56" t="str">
        <f>_xll.qlPeriodEquivalent(P49&amp;"+"&amp;O50&amp;"M")</f>
        <v>16Y</v>
      </c>
      <c r="Q50" s="57">
        <f>_xll.qlCalendarAdvance(Calendar,SettlementDate,P50,"f",,Trigger)</f>
        <v>47967</v>
      </c>
      <c r="R50" s="57">
        <f>_xll.qlInterestRateIndexValueDate(Index,Q50,Trigger)</f>
        <v>47970</v>
      </c>
      <c r="S50" s="57">
        <f>_xll.qlInterestRateIndexMaturity(Index,R50,Trigger)</f>
        <v>48155</v>
      </c>
      <c r="T50" s="58">
        <f>_xll.qlDayCounterYearFraction(DayCounter,R50,S50,,,Trigger)</f>
        <v>0.51388888888888884</v>
      </c>
      <c r="U50" s="59">
        <f>_xll.qlIndexFixing(Index,Q50,,AllTriggers)</f>
        <v>1.0438226994525365E-2</v>
      </c>
      <c r="V50" s="60">
        <f>_xll.qlYieldTSDiscount(OisCurve,R50,,AllTriggers)</f>
        <v>0.92315826548694224</v>
      </c>
      <c r="W50" s="60">
        <f>_xll.qlYieldTSDiscount(OisCurve,S50,,AllTriggers)</f>
        <v>0.91883627059314599</v>
      </c>
      <c r="X50" s="59">
        <f t="shared" si="7"/>
        <v>9.1532830289258963E-3</v>
      </c>
      <c r="Y50" s="59">
        <f t="shared" si="16"/>
        <v>1.2849439655994686E-3</v>
      </c>
      <c r="Z50" s="59">
        <f>_xll.qlIntegralTenorBasisIntegrate($M$11,R50)</f>
        <v>1.3797129427633398E-3</v>
      </c>
      <c r="AA50" s="59">
        <f t="shared" si="17"/>
        <v>9.4768977163871152E-5</v>
      </c>
      <c r="AB50" s="58">
        <f>_xll.qlDayCounterYearFraction(DayCounter,SettlementDate,R50,,,Trigger)</f>
        <v>16.241666666666667</v>
      </c>
      <c r="AC50" s="59">
        <f>_xll.qlAbcdMathFunctionValue($M$24,AB50)</f>
        <v>1.3616269669576506E-3</v>
      </c>
      <c r="AD50" s="59">
        <f t="shared" si="8"/>
        <v>7.6683001358181929E-5</v>
      </c>
    </row>
    <row r="51" spans="15:30" x14ac:dyDescent="0.2">
      <c r="O51" s="65">
        <v>6</v>
      </c>
      <c r="P51" s="56" t="str">
        <f>_xll.qlPeriodEquivalent(P50&amp;"+"&amp;O51&amp;"M")</f>
        <v>16Y6M</v>
      </c>
      <c r="Q51" s="57">
        <f>_xll.qlCalendarAdvance(Calendar,SettlementDate,P51,"f",,Trigger)</f>
        <v>48150</v>
      </c>
      <c r="R51" s="57">
        <f>_xll.qlInterestRateIndexValueDate(Index,Q51,Trigger)</f>
        <v>48152</v>
      </c>
      <c r="S51" s="57">
        <f>_xll.qlInterestRateIndexMaturity(Index,R51,Trigger)</f>
        <v>48334</v>
      </c>
      <c r="T51" s="58">
        <f>_xll.qlDayCounterYearFraction(DayCounter,R51,S51,,,Trigger)</f>
        <v>0.50555555555555554</v>
      </c>
      <c r="U51" s="59">
        <f>_xll.qlIndexFixing(Index,Q51,,AllTriggers)</f>
        <v>1.0363387410676675E-2</v>
      </c>
      <c r="V51" s="60">
        <f>_xll.qlYieldTSDiscount(OisCurve,R51,,AllTriggers)</f>
        <v>0.91890599838818121</v>
      </c>
      <c r="W51" s="60">
        <f>_xll.qlYieldTSDiscount(OisCurve,S51,,AllTriggers)</f>
        <v>0.9146986085883132</v>
      </c>
      <c r="X51" s="59">
        <f t="shared" si="7"/>
        <v>9.0984171355507019E-3</v>
      </c>
      <c r="Y51" s="59">
        <f t="shared" si="16"/>
        <v>1.264970275125973E-3</v>
      </c>
      <c r="Z51" s="59">
        <f>_xll.qlIntegralTenorBasisIntegrate($M$11,R51)</f>
        <v>1.3081233054175086E-3</v>
      </c>
      <c r="AA51" s="59">
        <f t="shared" si="17"/>
        <v>4.3153030291535541E-5</v>
      </c>
      <c r="AB51" s="58">
        <f>_xll.qlDayCounterYearFraction(DayCounter,SettlementDate,R51,,,Trigger)</f>
        <v>16.747222222222224</v>
      </c>
      <c r="AC51" s="59">
        <f>_xll.qlAbcdMathFunctionValue($M$24,AB51)</f>
        <v>1.3124814752108515E-3</v>
      </c>
      <c r="AD51" s="59">
        <f t="shared" si="8"/>
        <v>4.7511200084878434E-5</v>
      </c>
    </row>
    <row r="52" spans="15:30" x14ac:dyDescent="0.2">
      <c r="O52" s="65">
        <v>6</v>
      </c>
      <c r="P52" s="56" t="str">
        <f>_xll.qlPeriodEquivalent(P51&amp;"+"&amp;O52&amp;"M")</f>
        <v>17Y</v>
      </c>
      <c r="Q52" s="57">
        <f>_xll.qlCalendarAdvance(Calendar,SettlementDate,P52,"f",,Trigger)</f>
        <v>48333</v>
      </c>
      <c r="R52" s="57">
        <f>_xll.qlInterestRateIndexValueDate(Index,Q52,Trigger)</f>
        <v>48337</v>
      </c>
      <c r="S52" s="57">
        <f>_xll.qlInterestRateIndexMaturity(Index,R52,Trigger)</f>
        <v>48521</v>
      </c>
      <c r="T52" s="58">
        <f>_xll.qlDayCounterYearFraction(DayCounter,R52,S52,,,Trigger)</f>
        <v>0.51111111111111107</v>
      </c>
      <c r="U52" s="59">
        <f>_xll.qlIndexFixing(Index,Q52,,AllTriggers)</f>
        <v>1.0270042461908194E-2</v>
      </c>
      <c r="V52" s="60">
        <f>_xll.qlYieldTSDiscount(OisCurve,R52,,AllTriggers)</f>
        <v>0.91462965532807439</v>
      </c>
      <c r="W52" s="60">
        <f>_xll.qlYieldTSDiscount(OisCurve,S52,,AllTriggers)</f>
        <v>0.91042671348823712</v>
      </c>
      <c r="X52" s="59">
        <f t="shared" si="7"/>
        <v>9.0321900226720681E-3</v>
      </c>
      <c r="Y52" s="59">
        <f t="shared" si="16"/>
        <v>1.237852439236126E-3</v>
      </c>
      <c r="Z52" s="59">
        <f>_xll.qlIntegralTenorBasisIntegrate($M$11,R52)</f>
        <v>1.2732713394886254E-3</v>
      </c>
      <c r="AA52" s="59">
        <f t="shared" si="17"/>
        <v>3.5418900252499452E-5</v>
      </c>
      <c r="AB52" s="58">
        <f>_xll.qlDayCounterYearFraction(DayCounter,SettlementDate,R52,,,Trigger)</f>
        <v>17.261111111111113</v>
      </c>
      <c r="AC52" s="59">
        <f>_xll.qlAbcdMathFunctionValue($M$24,AB52)</f>
        <v>1.2644672187687893E-3</v>
      </c>
      <c r="AD52" s="59">
        <f t="shared" si="8"/>
        <v>2.6614779532663354E-5</v>
      </c>
    </row>
    <row r="53" spans="15:30" x14ac:dyDescent="0.2">
      <c r="O53" s="65">
        <v>6</v>
      </c>
      <c r="P53" s="56" t="str">
        <f>_xll.qlPeriodEquivalent(P52&amp;"+"&amp;O53&amp;"M")</f>
        <v>17Y6M</v>
      </c>
      <c r="Q53" s="57">
        <f>_xll.qlCalendarAdvance(Calendar,SettlementDate,P53,"f",,Trigger)</f>
        <v>48516</v>
      </c>
      <c r="R53" s="57">
        <f>_xll.qlInterestRateIndexValueDate(Index,Q53,Trigger)</f>
        <v>48520</v>
      </c>
      <c r="S53" s="57">
        <f>_xll.qlInterestRateIndexMaturity(Index,R53,Trigger)</f>
        <v>48701</v>
      </c>
      <c r="T53" s="58">
        <f>_xll.qlDayCounterYearFraction(DayCounter,R53,S53,,,Trigger)</f>
        <v>0.50277777777777777</v>
      </c>
      <c r="U53" s="59">
        <f>_xll.qlIndexFixing(Index,Q53,,AllTriggers)</f>
        <v>1.0161693776765833E-2</v>
      </c>
      <c r="V53" s="60">
        <f>_xll.qlYieldTSDiscount(OisCurve,R53,,AllTriggers)</f>
        <v>0.91044941245230326</v>
      </c>
      <c r="W53" s="60">
        <f>_xll.qlYieldTSDiscount(OisCurve,S53,,AllTriggers)</f>
        <v>0.90636769388130789</v>
      </c>
      <c r="X53" s="59">
        <f t="shared" si="7"/>
        <v>8.9569998292448605E-3</v>
      </c>
      <c r="Y53" s="59">
        <f t="shared" si="16"/>
        <v>1.2046939475209729E-3</v>
      </c>
      <c r="Z53" s="59">
        <f>_xll.qlIntegralTenorBasisIntegrate($M$11,R53)</f>
        <v>1.2072114614509097E-3</v>
      </c>
      <c r="AA53" s="59">
        <f t="shared" si="17"/>
        <v>2.5175139299368592E-6</v>
      </c>
      <c r="AB53" s="58">
        <f>_xll.qlDayCounterYearFraction(DayCounter,SettlementDate,R53,,,Trigger)</f>
        <v>17.769444444444446</v>
      </c>
      <c r="AC53" s="59">
        <f>_xll.qlAbcdMathFunctionValue($M$24,AB53)</f>
        <v>1.2188945284895931E-3</v>
      </c>
      <c r="AD53" s="59">
        <f t="shared" si="8"/>
        <v>1.4200580968620237E-5</v>
      </c>
    </row>
    <row r="54" spans="15:30" x14ac:dyDescent="0.2">
      <c r="O54" s="65">
        <v>6</v>
      </c>
      <c r="P54" s="56" t="str">
        <f>_xll.qlPeriodEquivalent(P53&amp;"+"&amp;O54&amp;"M")</f>
        <v>18Y</v>
      </c>
      <c r="Q54" s="57">
        <f>_xll.qlCalendarAdvance(Calendar,SettlementDate,P54,"f",,Trigger)</f>
        <v>48698</v>
      </c>
      <c r="R54" s="57">
        <f>_xll.qlInterestRateIndexValueDate(Index,Q54,Trigger)</f>
        <v>48702</v>
      </c>
      <c r="S54" s="57">
        <f>_xll.qlInterestRateIndexMaturity(Index,R54,Trigger)</f>
        <v>48886</v>
      </c>
      <c r="T54" s="58">
        <f>_xll.qlDayCounterYearFraction(DayCounter,R54,S54,,,Trigger)</f>
        <v>0.51111111111111107</v>
      </c>
      <c r="U54" s="59">
        <f>_xll.qlIndexFixing(Index,Q54,,AllTriggers)</f>
        <v>1.0036324020824598E-2</v>
      </c>
      <c r="V54" s="60">
        <f>_xll.qlYieldTSDiscount(OisCurve,R54,,AllTriggers)</f>
        <v>0.90634529624783833</v>
      </c>
      <c r="W54" s="60">
        <f>_xll.qlYieldTSDiscount(OisCurve,S54,,AllTriggers)</f>
        <v>0.90225416017265359</v>
      </c>
      <c r="X54" s="59">
        <f t="shared" si="7"/>
        <v>8.8715541830342512E-3</v>
      </c>
      <c r="Y54" s="59">
        <f t="shared" si="16"/>
        <v>1.164769837790347E-3</v>
      </c>
      <c r="Z54" s="59">
        <f>_xll.qlIntegralTenorBasisIntegrate($M$11,R54)</f>
        <v>1.182646786207108E-3</v>
      </c>
      <c r="AA54" s="59">
        <f t="shared" si="17"/>
        <v>1.7876948416760928E-5</v>
      </c>
      <c r="AB54" s="58">
        <f>_xll.qlDayCounterYearFraction(DayCounter,SettlementDate,R54,,,Trigger)</f>
        <v>18.274999999999999</v>
      </c>
      <c r="AC54" s="59">
        <f>_xll.qlAbcdMathFunctionValue($M$24,AB54)</f>
        <v>1.1754535000577022E-3</v>
      </c>
      <c r="AD54" s="59">
        <f t="shared" si="8"/>
        <v>1.0683662267355152E-5</v>
      </c>
    </row>
    <row r="55" spans="15:30" x14ac:dyDescent="0.2">
      <c r="O55" s="65">
        <v>6</v>
      </c>
      <c r="P55" s="56" t="str">
        <f>_xll.qlPeriodEquivalent(P54&amp;"+"&amp;O55&amp;"M")</f>
        <v>18Y6M</v>
      </c>
      <c r="Q55" s="57">
        <f>_xll.qlCalendarAdvance(Calendar,SettlementDate,P55,"f",,Trigger)</f>
        <v>48883</v>
      </c>
      <c r="R55" s="57">
        <f>_xll.qlInterestRateIndexValueDate(Index,Q55,Trigger)</f>
        <v>48885</v>
      </c>
      <c r="S55" s="57">
        <f>_xll.qlInterestRateIndexMaturity(Index,R55,Trigger)</f>
        <v>49066</v>
      </c>
      <c r="T55" s="58">
        <f>_xll.qlDayCounterYearFraction(DayCounter,R55,S55,,,Trigger)</f>
        <v>0.50277777777777777</v>
      </c>
      <c r="U55" s="59">
        <f>_xll.qlIndexFixing(Index,Q55,,AllTriggers)</f>
        <v>9.8950729014279249E-3</v>
      </c>
      <c r="V55" s="60">
        <f>_xll.qlYieldTSDiscount(OisCurve,R55,,AllTriggers)</f>
        <v>0.90227622954023912</v>
      </c>
      <c r="W55" s="60">
        <f>_xll.qlYieldTSDiscount(OisCurve,S55,,AllTriggers)</f>
        <v>0.89831232978392772</v>
      </c>
      <c r="X55" s="59">
        <f t="shared" si="7"/>
        <v>8.7764569781777924E-3</v>
      </c>
      <c r="Y55" s="59">
        <f t="shared" si="16"/>
        <v>1.1186159232501325E-3</v>
      </c>
      <c r="Z55" s="59">
        <f>_xll.qlIntegralTenorBasisIntegrate($M$11,R55)</f>
        <v>1.1218890463533505E-3</v>
      </c>
      <c r="AA55" s="59">
        <f t="shared" si="17"/>
        <v>3.2731231032179751E-6</v>
      </c>
      <c r="AB55" s="58">
        <f>_xll.qlDayCounterYearFraction(DayCounter,SettlementDate,R55,,,Trigger)</f>
        <v>18.783333333333335</v>
      </c>
      <c r="AC55" s="59">
        <f>_xll.qlAbcdMathFunctionValue($M$24,AB55)</f>
        <v>1.1336438659546007E-3</v>
      </c>
      <c r="AD55" s="59">
        <f t="shared" si="8"/>
        <v>1.5027942704468229E-5</v>
      </c>
    </row>
    <row r="56" spans="15:30" x14ac:dyDescent="0.2">
      <c r="O56" s="65">
        <v>6</v>
      </c>
      <c r="P56" s="56" t="str">
        <f>_xll.qlPeriodEquivalent(P55&amp;"+"&amp;O56&amp;"M")</f>
        <v>19Y</v>
      </c>
      <c r="Q56" s="57">
        <f>_xll.qlCalendarAdvance(Calendar,SettlementDate,P56,"f",,Trigger)</f>
        <v>49066</v>
      </c>
      <c r="R56" s="57">
        <f>_xll.qlInterestRateIndexValueDate(Index,Q56,Trigger)</f>
        <v>49068</v>
      </c>
      <c r="S56" s="57">
        <f>_xll.qlInterestRateIndexMaturity(Index,R56,Trigger)</f>
        <v>49254</v>
      </c>
      <c r="T56" s="58">
        <f>_xll.qlDayCounterYearFraction(DayCounter,R56,S56,,,Trigger)</f>
        <v>0.51666666666666672</v>
      </c>
      <c r="U56" s="59">
        <f>_xll.qlIndexFixing(Index,Q56,,AllTriggers)</f>
        <v>9.7348219571650064E-3</v>
      </c>
      <c r="V56" s="60">
        <f>_xll.qlYieldTSDiscount(OisCurve,R56,,AllTriggers)</f>
        <v>0.89826888123102455</v>
      </c>
      <c r="W56" s="60">
        <f>_xll.qlYieldTSDiscount(OisCurve,S56,,AllTriggers)</f>
        <v>0.89426309890976496</v>
      </c>
      <c r="X56" s="59">
        <f t="shared" si="7"/>
        <v>8.6698501625056996E-3</v>
      </c>
      <c r="Y56" s="59">
        <f t="shared" si="16"/>
        <v>1.0649717946593067E-3</v>
      </c>
      <c r="Z56" s="59">
        <f>_xll.qlIntegralTenorBasisIntegrate($M$11,R56)</f>
        <v>1.1112958159689244E-3</v>
      </c>
      <c r="AA56" s="59">
        <f t="shared" si="17"/>
        <v>4.632402130961763E-5</v>
      </c>
      <c r="AB56" s="58">
        <f>_xll.qlDayCounterYearFraction(DayCounter,SettlementDate,R56,,,Trigger)</f>
        <v>19.291666666666668</v>
      </c>
      <c r="AC56" s="59">
        <f>_xll.qlAbcdMathFunctionValue($M$24,AB56)</f>
        <v>1.0936788610420782E-3</v>
      </c>
      <c r="AD56" s="59">
        <f t="shared" si="8"/>
        <v>2.8707066382771453E-5</v>
      </c>
    </row>
    <row r="57" spans="15:30" x14ac:dyDescent="0.2">
      <c r="O57" s="65">
        <v>6</v>
      </c>
      <c r="P57" s="56" t="str">
        <f>_xll.qlPeriodEquivalent(P56&amp;"+"&amp;O57&amp;"M")</f>
        <v>19Y6M</v>
      </c>
      <c r="Q57" s="57">
        <f>_xll.qlCalendarAdvance(Calendar,SettlementDate,P57,"f",,Trigger)</f>
        <v>49247</v>
      </c>
      <c r="R57" s="57">
        <f>_xll.qlInterestRateIndexValueDate(Index,Q57,Trigger)</f>
        <v>49249</v>
      </c>
      <c r="S57" s="57">
        <f>_xll.qlInterestRateIndexMaturity(Index,R57,Trigger)</f>
        <v>49431</v>
      </c>
      <c r="T57" s="58">
        <f>_xll.qlDayCounterYearFraction(DayCounter,R57,S57,,,Trigger)</f>
        <v>0.50555555555555554</v>
      </c>
      <c r="U57" s="59">
        <f>_xll.qlIndexFixing(Index,Q57,,AllTriggers)</f>
        <v>9.5628860561873513E-3</v>
      </c>
      <c r="V57" s="60">
        <f>_xll.qlYieldTSDiscount(OisCurve,R57,,AllTriggers)</f>
        <v>0.89436985988157547</v>
      </c>
      <c r="W57" s="60">
        <f>_xll.qlYieldTSDiscount(OisCurve,S57,,AllTriggers)</f>
        <v>0.89051776428505081</v>
      </c>
      <c r="X57" s="59">
        <f t="shared" si="7"/>
        <v>8.5562916956348298E-3</v>
      </c>
      <c r="Y57" s="59">
        <f t="shared" si="16"/>
        <v>1.0065943605525214E-3</v>
      </c>
      <c r="Z57" s="59">
        <f>_xll.qlIntegralTenorBasisIntegrate($M$11,R57)</f>
        <v>1.0499313693091874E-3</v>
      </c>
      <c r="AA57" s="59">
        <f t="shared" si="17"/>
        <v>4.3337008756666028E-5</v>
      </c>
      <c r="AB57" s="58">
        <f>_xll.qlDayCounterYearFraction(DayCounter,SettlementDate,R57,,,Trigger)</f>
        <v>19.794444444444444</v>
      </c>
      <c r="AC57" s="59">
        <f>_xll.qlAbcdMathFunctionValue($M$24,AB57)</f>
        <v>1.0559289225920481E-3</v>
      </c>
      <c r="AD57" s="59">
        <f t="shared" si="8"/>
        <v>4.9334562039526735E-5</v>
      </c>
    </row>
    <row r="58" spans="15:30" x14ac:dyDescent="0.2">
      <c r="O58" s="65">
        <v>6</v>
      </c>
      <c r="P58" s="56" t="str">
        <f>_xll.qlPeriodEquivalent(P57&amp;"+"&amp;O58&amp;"M")</f>
        <v>20Y</v>
      </c>
      <c r="Q58" s="57">
        <f>_xll.qlCalendarAdvance(Calendar,SettlementDate,P58,"f",,Trigger)</f>
        <v>49429</v>
      </c>
      <c r="R58" s="57">
        <f>_xll.qlInterestRateIndexValueDate(Index,Q58,Trigger)</f>
        <v>49432</v>
      </c>
      <c r="S58" s="57">
        <f>_xll.qlInterestRateIndexMaturity(Index,R58,Trigger)</f>
        <v>49618</v>
      </c>
      <c r="T58" s="58">
        <f>_xll.qlDayCounterYearFraction(DayCounter,R58,S58,,,Trigger)</f>
        <v>0.51666666666666672</v>
      </c>
      <c r="U58" s="59">
        <f>_xll.qlIndexFixing(Index,Q58,,AllTriggers)</f>
        <v>9.3768942870666293E-3</v>
      </c>
      <c r="V58" s="60">
        <f>_xll.qlYieldTSDiscount(OisCurve,R58,,AllTriggers)</f>
        <v>0.89049679542240789</v>
      </c>
      <c r="W58" s="60">
        <f>_xll.qlYieldTSDiscount(OisCurve,S58,,AllTriggers)</f>
        <v>0.88663306678910703</v>
      </c>
      <c r="X58" s="59">
        <f t="shared" si="7"/>
        <v>8.4343622313025456E-3</v>
      </c>
      <c r="Y58" s="59">
        <f t="shared" si="16"/>
        <v>9.4253205576408372E-4</v>
      </c>
      <c r="Z58" s="59">
        <f>_xll.qlIntegralTenorBasisIntegrate($M$11,R58)</f>
        <v>1.0352991408167952E-3</v>
      </c>
      <c r="AA58" s="59">
        <f t="shared" si="17"/>
        <v>9.2767085052711511E-5</v>
      </c>
      <c r="AB58" s="58">
        <f>_xll.qlDayCounterYearFraction(DayCounter,SettlementDate,R58,,,Trigger)</f>
        <v>20.302777777777777</v>
      </c>
      <c r="AC58" s="59">
        <f>_xll.qlAbcdMathFunctionValue($M$24,AB58)</f>
        <v>1.0195180596995431E-3</v>
      </c>
      <c r="AD58" s="59">
        <f t="shared" si="8"/>
        <v>7.6986003935459405E-5</v>
      </c>
    </row>
    <row r="59" spans="15:30" x14ac:dyDescent="0.2">
      <c r="O59" s="65">
        <v>6</v>
      </c>
      <c r="P59" s="56" t="str">
        <f>_xll.qlPeriodEquivalent(P58&amp;"+"&amp;O59&amp;"M")</f>
        <v>20Y6M</v>
      </c>
      <c r="Q59" s="57">
        <f>_xll.qlCalendarAdvance(Calendar,SettlementDate,P59,"f",,Trigger)</f>
        <v>49611</v>
      </c>
      <c r="R59" s="57">
        <f>_xll.qlInterestRateIndexValueDate(Index,Q59,Trigger)</f>
        <v>49613</v>
      </c>
      <c r="S59" s="57">
        <f>_xll.qlInterestRateIndexMaturity(Index,R59,Trigger)</f>
        <v>49795</v>
      </c>
      <c r="T59" s="58">
        <f>_xll.qlDayCounterYearFraction(DayCounter,R59,S59,,,Trigger)</f>
        <v>0.50555555555555554</v>
      </c>
      <c r="U59" s="59">
        <f>_xll.qlIndexFixing(Index,Q59,,AllTriggers)</f>
        <v>9.2135013076306733E-3</v>
      </c>
      <c r="V59" s="60">
        <f>_xll.qlYieldTSDiscount(OisCurve,R59,,AllTriggers)</f>
        <v>0.88673601749062758</v>
      </c>
      <c r="W59" s="60">
        <f>_xll.qlYieldTSDiscount(OisCurve,S59,,AllTriggers)</f>
        <v>0.88301856137506651</v>
      </c>
      <c r="X59" s="59">
        <f t="shared" si="7"/>
        <v>8.3273559815792448E-3</v>
      </c>
      <c r="Y59" s="59">
        <f t="shared" si="16"/>
        <v>8.8614532605142855E-4</v>
      </c>
      <c r="Z59" s="59">
        <f>_xll.qlIntegralTenorBasisIntegrate($M$11,R59)</f>
        <v>9.7903903259741469E-4</v>
      </c>
      <c r="AA59" s="59">
        <f t="shared" si="17"/>
        <v>9.2893706545986139E-5</v>
      </c>
      <c r="AB59" s="58">
        <f>_xll.qlDayCounterYearFraction(DayCounter,SettlementDate,R59,,,Trigger)</f>
        <v>20.805555555555557</v>
      </c>
      <c r="AC59" s="59">
        <f>_xll.qlAbcdMathFunctionValue($M$24,AB59)</f>
        <v>9.8519694724989509E-4</v>
      </c>
      <c r="AD59" s="59">
        <f t="shared" si="8"/>
        <v>9.9051621198466538E-5</v>
      </c>
    </row>
    <row r="60" spans="15:30" x14ac:dyDescent="0.2">
      <c r="O60" s="65">
        <v>6</v>
      </c>
      <c r="P60" s="56" t="str">
        <f>_xll.qlPeriodEquivalent(P59&amp;"+"&amp;O60&amp;"M")</f>
        <v>21Y</v>
      </c>
      <c r="Q60" s="57">
        <f>_xll.qlCalendarAdvance(Calendar,SettlementDate,P60,"f",,Trigger)</f>
        <v>49794</v>
      </c>
      <c r="R60" s="57">
        <f>_xll.qlInterestRateIndexValueDate(Index,Q60,Trigger)</f>
        <v>49797</v>
      </c>
      <c r="S60" s="57">
        <f>_xll.qlInterestRateIndexMaturity(Index,R60,Trigger)</f>
        <v>49982</v>
      </c>
      <c r="T60" s="58">
        <f>_xll.qlDayCounterYearFraction(DayCounter,R60,S60,,,Trigger)</f>
        <v>0.51388888888888884</v>
      </c>
      <c r="U60" s="59">
        <f>_xll.qlIndexFixing(Index,Q60,,AllTriggers)</f>
        <v>9.0699881117369853E-3</v>
      </c>
      <c r="V60" s="60">
        <f>_xll.qlYieldTSDiscount(OisCurve,R60,,AllTriggers)</f>
        <v>0.8829780381066844</v>
      </c>
      <c r="W60" s="60">
        <f>_xll.qlYieldTSDiscount(OisCurve,S60,,AllTriggers)</f>
        <v>0.87925772577874761</v>
      </c>
      <c r="X60" s="59">
        <f t="shared" si="7"/>
        <v>8.2336799324560696E-3</v>
      </c>
      <c r="Y60" s="59">
        <f t="shared" si="16"/>
        <v>8.3630817928091565E-4</v>
      </c>
      <c r="Z60" s="59">
        <f>_xll.qlIntegralTenorBasisIntegrate($M$11,R60)</f>
        <v>9.6112190223675981E-4</v>
      </c>
      <c r="AA60" s="59">
        <f t="shared" si="17"/>
        <v>1.2481372295584416E-4</v>
      </c>
      <c r="AB60" s="58">
        <f>_xll.qlDayCounterYearFraction(DayCounter,SettlementDate,R60,,,Trigger)</f>
        <v>21.316666666666666</v>
      </c>
      <c r="AC60" s="59">
        <f>_xll.qlAbcdMathFunctionValue($M$24,AB60)</f>
        <v>9.5198195694056527E-4</v>
      </c>
      <c r="AD60" s="59">
        <f t="shared" si="8"/>
        <v>1.1567377765964962E-4</v>
      </c>
    </row>
    <row r="61" spans="15:30" x14ac:dyDescent="0.2">
      <c r="O61" s="65">
        <v>6</v>
      </c>
      <c r="P61" s="56" t="str">
        <f>_xll.qlPeriodEquivalent(P60&amp;"+"&amp;O61&amp;"M")</f>
        <v>21Y6M</v>
      </c>
      <c r="Q61" s="57">
        <f>_xll.qlCalendarAdvance(Calendar,SettlementDate,P61,"f",,Trigger)</f>
        <v>49977</v>
      </c>
      <c r="R61" s="57">
        <f>_xll.qlInterestRateIndexValueDate(Index,Q61,Trigger)</f>
        <v>49979</v>
      </c>
      <c r="S61" s="57">
        <f>_xll.qlInterestRateIndexMaturity(Index,R61,Trigger)</f>
        <v>50160</v>
      </c>
      <c r="T61" s="58">
        <f>_xll.qlDayCounterYearFraction(DayCounter,R61,S61,,,Trigger)</f>
        <v>0.50277777777777777</v>
      </c>
      <c r="U61" s="59">
        <f>_xll.qlIndexFixing(Index,Q61,,AllTriggers)</f>
        <v>8.9540750953325653E-3</v>
      </c>
      <c r="V61" s="60">
        <f>_xll.qlYieldTSDiscount(OisCurve,R61,,AllTriggers)</f>
        <v>0.87931763317826339</v>
      </c>
      <c r="W61" s="60">
        <f>_xll.qlYieldTSDiscount(OisCurve,S61,,AllTriggers)</f>
        <v>0.8757256563363931</v>
      </c>
      <c r="X61" s="59">
        <f t="shared" si="7"/>
        <v>8.1581066858137513E-3</v>
      </c>
      <c r="Y61" s="59">
        <f t="shared" si="16"/>
        <v>7.9596840951881402E-4</v>
      </c>
      <c r="Z61" s="59">
        <f>_xll.qlIntegralTenorBasisIntegrate($M$11,R61)</f>
        <v>9.0961696352249868E-4</v>
      </c>
      <c r="AA61" s="59">
        <f t="shared" si="17"/>
        <v>1.1364855400368466E-4</v>
      </c>
      <c r="AB61" s="58">
        <f>_xll.qlDayCounterYearFraction(DayCounter,SettlementDate,R61,,,Trigger)</f>
        <v>21.822222222222223</v>
      </c>
      <c r="AC61" s="59">
        <f>_xll.qlAbcdMathFunctionValue($M$24,AB61)</f>
        <v>9.2073771381801406E-4</v>
      </c>
      <c r="AD61" s="59">
        <f t="shared" si="8"/>
        <v>1.2476930429920004E-4</v>
      </c>
    </row>
    <row r="62" spans="15:30" x14ac:dyDescent="0.2">
      <c r="O62" s="65">
        <v>6</v>
      </c>
      <c r="P62" s="56" t="str">
        <f>_xll.qlPeriodEquivalent(P61&amp;"+"&amp;O62&amp;"M")</f>
        <v>22Y</v>
      </c>
      <c r="Q62" s="57">
        <f>_xll.qlCalendarAdvance(Calendar,SettlementDate,P62,"f",,Trigger)</f>
        <v>50159</v>
      </c>
      <c r="R62" s="57">
        <f>_xll.qlInterestRateIndexValueDate(Index,Q62,Trigger)</f>
        <v>50164</v>
      </c>
      <c r="S62" s="57">
        <f>_xll.qlInterestRateIndexMaturity(Index,R62,Trigger)</f>
        <v>50348</v>
      </c>
      <c r="T62" s="58">
        <f>_xll.qlDayCounterYearFraction(DayCounter,R62,S62,,,Trigger)</f>
        <v>0.51111111111111107</v>
      </c>
      <c r="U62" s="59">
        <f>_xll.qlIndexFixing(Index,Q62,,AllTriggers)</f>
        <v>8.860001620023249E-3</v>
      </c>
      <c r="V62" s="60">
        <f>_xll.qlYieldTSDiscount(OisCurve,R62,,AllTriggers)</f>
        <v>0.87564676281734199</v>
      </c>
      <c r="W62" s="60">
        <f>_xll.qlYieldTSDiscount(OisCurve,S62,,AllTriggers)</f>
        <v>0.87203778929323783</v>
      </c>
      <c r="X62" s="59">
        <f t="shared" si="7"/>
        <v>8.0971664789648672E-3</v>
      </c>
      <c r="Y62" s="59">
        <f t="shared" si="16"/>
        <v>7.6283514105838189E-4</v>
      </c>
      <c r="Z62" s="59">
        <f>_xll.qlIntegralTenorBasisIntegrate($M$11,R62)</f>
        <v>8.9398111081267725E-4</v>
      </c>
      <c r="AA62" s="59">
        <f t="shared" si="17"/>
        <v>1.3114596975429536E-4</v>
      </c>
      <c r="AB62" s="58">
        <f>_xll.qlDayCounterYearFraction(DayCounter,SettlementDate,R62,,,Trigger)</f>
        <v>22.336111111111112</v>
      </c>
      <c r="AC62" s="59">
        <f>_xll.qlAbcdMathFunctionValue($M$24,AB62)</f>
        <v>8.9056432452101341E-4</v>
      </c>
      <c r="AD62" s="59">
        <f t="shared" si="8"/>
        <v>1.2772918346263152E-4</v>
      </c>
    </row>
    <row r="63" spans="15:30" x14ac:dyDescent="0.2">
      <c r="O63" s="65">
        <v>6</v>
      </c>
      <c r="P63" s="56" t="str">
        <f>_xll.qlPeriodEquivalent(P62&amp;"+"&amp;O63&amp;"M")</f>
        <v>22Y6M</v>
      </c>
      <c r="Q63" s="57">
        <f>_xll.qlCalendarAdvance(Calendar,SettlementDate,P63,"f",,Trigger)</f>
        <v>50342</v>
      </c>
      <c r="R63" s="57">
        <f>_xll.qlInterestRateIndexValueDate(Index,Q63,Trigger)</f>
        <v>50346</v>
      </c>
      <c r="S63" s="57">
        <f>_xll.qlInterestRateIndexMaturity(Index,R63,Trigger)</f>
        <v>50528</v>
      </c>
      <c r="T63" s="58">
        <f>_xll.qlDayCounterYearFraction(DayCounter,R63,S63,,,Trigger)</f>
        <v>0.50555555555555554</v>
      </c>
      <c r="U63" s="59">
        <f>_xll.qlIndexFixing(Index,Q63,,AllTriggers)</f>
        <v>8.792578605565737E-3</v>
      </c>
      <c r="V63" s="60">
        <f>_xll.qlYieldTSDiscount(OisCurve,R63,,AllTriggers)</f>
        <v>0.87207681938032067</v>
      </c>
      <c r="W63" s="60">
        <f>_xll.qlYieldTSDiscount(OisCurve,S63,,AllTriggers)</f>
        <v>0.86854045974952743</v>
      </c>
      <c r="X63" s="59">
        <f t="shared" si="7"/>
        <v>8.0537377313611557E-3</v>
      </c>
      <c r="Y63" s="59">
        <f t="shared" si="16"/>
        <v>7.3884087420458128E-4</v>
      </c>
      <c r="Z63" s="59">
        <f>_xll.qlIntegralTenorBasisIntegrate($M$11,R63)</f>
        <v>8.5630203377096484E-4</v>
      </c>
      <c r="AA63" s="59">
        <f t="shared" si="17"/>
        <v>1.1746115956638356E-4</v>
      </c>
      <c r="AB63" s="58">
        <f>_xll.qlDayCounterYearFraction(DayCounter,SettlementDate,R63,,,Trigger)</f>
        <v>22.841666666666665</v>
      </c>
      <c r="AC63" s="59">
        <f>_xll.qlAbcdMathFunctionValue($M$24,AB63)</f>
        <v>8.623853692904305E-4</v>
      </c>
      <c r="AD63" s="59">
        <f t="shared" si="8"/>
        <v>1.2354449508584922E-4</v>
      </c>
    </row>
    <row r="64" spans="15:30" x14ac:dyDescent="0.2">
      <c r="O64" s="65">
        <v>6</v>
      </c>
      <c r="P64" s="56" t="str">
        <f>_xll.qlPeriodEquivalent(P63&amp;"+"&amp;O64&amp;"M")</f>
        <v>23Y</v>
      </c>
      <c r="Q64" s="57">
        <f>_xll.qlCalendarAdvance(Calendar,SettlementDate,P64,"f",,Trigger)</f>
        <v>50524</v>
      </c>
      <c r="R64" s="57">
        <f>_xll.qlInterestRateIndexValueDate(Index,Q64,Trigger)</f>
        <v>50528</v>
      </c>
      <c r="S64" s="57">
        <f>_xll.qlInterestRateIndexMaturity(Index,R64,Trigger)</f>
        <v>50712</v>
      </c>
      <c r="T64" s="58">
        <f>_xll.qlDayCounterYearFraction(DayCounter,R64,S64,,,Trigger)</f>
        <v>0.51111111111111107</v>
      </c>
      <c r="U64" s="59">
        <f>_xll.qlIndexFixing(Index,Q64,,AllTriggers)</f>
        <v>8.7493885108167763E-3</v>
      </c>
      <c r="V64" s="60">
        <f>_xll.qlYieldTSDiscount(OisCurve,R64,,AllTriggers)</f>
        <v>0.86854045974952743</v>
      </c>
      <c r="W64" s="60">
        <f>_xll.qlYieldTSDiscount(OisCurve,S64,,AllTriggers)</f>
        <v>0.86499191365219119</v>
      </c>
      <c r="X64" s="59">
        <f t="shared" si="7"/>
        <v>8.0264421807491777E-3</v>
      </c>
      <c r="Y64" s="59">
        <f t="shared" si="16"/>
        <v>7.2294633006759861E-4</v>
      </c>
      <c r="Z64" s="59">
        <f>_xll.qlIntegralTenorBasisIntegrate($M$11,R64)</f>
        <v>8.3861705979835187E-4</v>
      </c>
      <c r="AA64" s="59">
        <f t="shared" si="17"/>
        <v>1.1567072973075326E-4</v>
      </c>
      <c r="AB64" s="58">
        <f>_xll.qlDayCounterYearFraction(DayCounter,SettlementDate,R64,,,Trigger)</f>
        <v>23.347222222222221</v>
      </c>
      <c r="AC64" s="59">
        <f>_xll.qlAbcdMathFunctionValue($M$24,AB64)</f>
        <v>8.3564394563635726E-4</v>
      </c>
      <c r="AD64" s="59">
        <f t="shared" si="8"/>
        <v>1.1269761556875865E-4</v>
      </c>
    </row>
    <row r="65" spans="15:30" x14ac:dyDescent="0.2">
      <c r="O65" s="65">
        <v>6</v>
      </c>
      <c r="P65" s="56" t="str">
        <f>_xll.qlPeriodEquivalent(P64&amp;"+"&amp;O65&amp;"M")</f>
        <v>23Y6M</v>
      </c>
      <c r="Q65" s="57">
        <f>_xll.qlCalendarAdvance(Calendar,SettlementDate,P65,"f",,Trigger)</f>
        <v>50707</v>
      </c>
      <c r="R65" s="57">
        <f>_xll.qlInterestRateIndexValueDate(Index,Q65,Trigger)</f>
        <v>50711</v>
      </c>
      <c r="S65" s="57">
        <f>_xll.qlInterestRateIndexMaturity(Index,R65,Trigger)</f>
        <v>50892</v>
      </c>
      <c r="T65" s="58">
        <f>_xll.qlDayCounterYearFraction(DayCounter,R65,S65,,,Trigger)</f>
        <v>0.50277777777777777</v>
      </c>
      <c r="U65" s="59">
        <f>_xll.qlIndexFixing(Index,Q65,,AllTriggers)</f>
        <v>8.7302993372255257E-3</v>
      </c>
      <c r="V65" s="60">
        <f>_xll.qlYieldTSDiscount(OisCurve,R65,,AllTriggers)</f>
        <v>0.86501114009210722</v>
      </c>
      <c r="W65" s="60">
        <f>_xll.qlYieldTSDiscount(OisCurve,S65,,AllTriggers)</f>
        <v>0.86153934107033314</v>
      </c>
      <c r="X65" s="59">
        <f t="shared" si="7"/>
        <v>8.01499745193213E-3</v>
      </c>
      <c r="Y65" s="59">
        <f t="shared" si="16"/>
        <v>7.1530188529339567E-4</v>
      </c>
      <c r="Z65" s="59">
        <f>_xll.qlIntegralTenorBasisIntegrate($M$11,R65)</f>
        <v>7.9989840097295412E-4</v>
      </c>
      <c r="AA65" s="59">
        <f t="shared" si="17"/>
        <v>8.459651567955845E-5</v>
      </c>
      <c r="AB65" s="58">
        <f>_xll.qlDayCounterYearFraction(DayCounter,SettlementDate,R65,,,Trigger)</f>
        <v>23.855555555555554</v>
      </c>
      <c r="AC65" s="59">
        <f>_xll.qlAbcdMathFunctionValue($M$24,AB65)</f>
        <v>8.1014913480333107E-4</v>
      </c>
      <c r="AD65" s="59">
        <f t="shared" si="8"/>
        <v>9.4847249509935399E-5</v>
      </c>
    </row>
    <row r="66" spans="15:30" x14ac:dyDescent="0.2">
      <c r="O66" s="65">
        <v>6</v>
      </c>
      <c r="P66" s="56" t="str">
        <f>_xll.qlPeriodEquivalent(P65&amp;"+"&amp;O66&amp;"M")</f>
        <v>24Y</v>
      </c>
      <c r="Q66" s="57">
        <f>_xll.qlCalendarAdvance(Calendar,SettlementDate,P66,"f",,Trigger)</f>
        <v>50889</v>
      </c>
      <c r="R66" s="57">
        <f>_xll.qlInterestRateIndexValueDate(Index,Q66,Trigger)</f>
        <v>50893</v>
      </c>
      <c r="S66" s="57">
        <f>_xll.qlInterestRateIndexMaturity(Index,R66,Trigger)</f>
        <v>51077</v>
      </c>
      <c r="T66" s="58">
        <f>_xll.qlDayCounterYearFraction(DayCounter,R66,S66,,,Trigger)</f>
        <v>0.51111111111111107</v>
      </c>
      <c r="U66" s="59">
        <f>_xll.qlIndexFixing(Index,Q66,,AllTriggers)</f>
        <v>8.7363387165063991E-3</v>
      </c>
      <c r="V66" s="60">
        <f>_xll.qlYieldTSDiscount(OisCurve,R66,,AllTriggers)</f>
        <v>0.86152019914018707</v>
      </c>
      <c r="W66" s="60">
        <f>_xll.qlYieldTSDiscount(OisCurve,S66,,AllTriggers)</f>
        <v>0.85800300989937461</v>
      </c>
      <c r="X66" s="59">
        <f t="shared" si="7"/>
        <v>8.0203182633268848E-3</v>
      </c>
      <c r="Y66" s="59">
        <f t="shared" si="16"/>
        <v>7.1602045317951425E-4</v>
      </c>
      <c r="Z66" s="59">
        <f>_xll.qlIntegralTenorBasisIntegrate($M$11,R66)</f>
        <v>7.8879265345457427E-4</v>
      </c>
      <c r="AA66" s="59">
        <f t="shared" si="17"/>
        <v>7.2772200275060019E-5</v>
      </c>
      <c r="AB66" s="58">
        <f>_xll.qlDayCounterYearFraction(DayCounter,SettlementDate,R66,,,Trigger)</f>
        <v>24.361111111111111</v>
      </c>
      <c r="AC66" s="59">
        <f>_xll.qlAbcdMathFunctionValue($M$24,AB66)</f>
        <v>7.8612408583320396E-4</v>
      </c>
      <c r="AD66" s="59">
        <f t="shared" si="8"/>
        <v>7.0103632653689706E-5</v>
      </c>
    </row>
    <row r="67" spans="15:30" x14ac:dyDescent="0.2">
      <c r="O67" s="65">
        <v>6</v>
      </c>
      <c r="P67" s="56" t="str">
        <f>_xll.qlPeriodEquivalent(P66&amp;"+"&amp;O67&amp;"M")</f>
        <v>24Y6M</v>
      </c>
      <c r="Q67" s="57">
        <f>_xll.qlCalendarAdvance(Calendar,SettlementDate,P67,"f",,Trigger)</f>
        <v>51074</v>
      </c>
      <c r="R67" s="57">
        <f>_xll.qlInterestRateIndexValueDate(Index,Q67,Trigger)</f>
        <v>51076</v>
      </c>
      <c r="S67" s="57">
        <f>_xll.qlInterestRateIndexMaturity(Index,R67,Trigger)</f>
        <v>51258</v>
      </c>
      <c r="T67" s="58">
        <f>_xll.qlDayCounterYearFraction(DayCounter,R67,S67,,,Trigger)</f>
        <v>0.50555555555555554</v>
      </c>
      <c r="U67" s="59">
        <f>_xll.qlIndexFixing(Index,Q67,,AllTriggers)</f>
        <v>8.766211313194272E-3</v>
      </c>
      <c r="V67" s="60">
        <f>_xll.qlYieldTSDiscount(OisCurve,R67,,AllTriggers)</f>
        <v>0.85802210506623633</v>
      </c>
      <c r="W67" s="60">
        <f>_xll.qlYieldTSDiscount(OisCurve,S67,,AllTriggers)</f>
        <v>0.85454808490733514</v>
      </c>
      <c r="X67" s="59">
        <f t="shared" si="7"/>
        <v>8.0413125343825973E-3</v>
      </c>
      <c r="Y67" s="59">
        <f t="shared" ref="Y67:Y98" si="18">U67-X67</f>
        <v>7.2489877881167473E-4</v>
      </c>
      <c r="Z67" s="59">
        <f>_xll.qlIntegralTenorBasisIntegrate($M$11,R67)</f>
        <v>7.5760602428891243E-4</v>
      </c>
      <c r="AA67" s="59">
        <f t="shared" ref="AA67:AA98" si="19">(Z67-Y67)</f>
        <v>3.2707245477237696E-5</v>
      </c>
      <c r="AB67" s="58">
        <f>_xll.qlDayCounterYearFraction(DayCounter,SettlementDate,R67,,,Trigger)</f>
        <v>24.869444444444444</v>
      </c>
      <c r="AC67" s="59">
        <f>_xll.qlAbcdMathFunctionValue($M$24,AB67)</f>
        <v>7.6324928427193598E-4</v>
      </c>
      <c r="AD67" s="59">
        <f t="shared" si="8"/>
        <v>3.8350505460261249E-5</v>
      </c>
    </row>
    <row r="68" spans="15:30" x14ac:dyDescent="0.2">
      <c r="O68" s="65">
        <v>6</v>
      </c>
      <c r="P68" s="56" t="str">
        <f>_xll.qlPeriodEquivalent(P67&amp;"+"&amp;O68&amp;"M")</f>
        <v>25Y</v>
      </c>
      <c r="Q68" s="57">
        <f>_xll.qlCalendarAdvance(Calendar,SettlementDate,P68,"f",,Trigger)</f>
        <v>51256</v>
      </c>
      <c r="R68" s="57">
        <f>_xll.qlInterestRateIndexValueDate(Index,Q68,Trigger)</f>
        <v>51259</v>
      </c>
      <c r="S68" s="57">
        <f>_xll.qlInterestRateIndexMaturity(Index,R68,Trigger)</f>
        <v>51445</v>
      </c>
      <c r="T68" s="58">
        <f>_xll.qlDayCounterYearFraction(DayCounter,R68,S68,,,Trigger)</f>
        <v>0.51666666666666672</v>
      </c>
      <c r="U68" s="59">
        <f>_xll.qlIndexFixing(Index,Q68,,AllTriggers)</f>
        <v>8.8169467899241148E-3</v>
      </c>
      <c r="V68" s="60">
        <f>_xll.qlYieldTSDiscount(OisCurve,R68,,AllTriggers)</f>
        <v>0.8545289977958066</v>
      </c>
      <c r="W68" s="60">
        <f>_xll.qlYieldTSDiscount(OisCurve,S68,,AllTriggers)</f>
        <v>0.85097774952873129</v>
      </c>
      <c r="X68" s="59">
        <f t="shared" ref="X68:X131" si="20">(V68/W68-1)/T68</f>
        <v>8.0770428445783755E-3</v>
      </c>
      <c r="Y68" s="59">
        <f t="shared" si="18"/>
        <v>7.3990394534573928E-4</v>
      </c>
      <c r="Z68" s="59">
        <f t="shared" ref="Z68:Z131" si="21">_xll.qlIntegralTenorBasisIntegrate($M$11,R68)</f>
        <v>7.5205775902766861E-4</v>
      </c>
      <c r="AA68" s="59">
        <f t="shared" si="19"/>
        <v>1.2153813681929334E-5</v>
      </c>
      <c r="AB68" s="58">
        <f>_xll.qlDayCounterYearFraction(DayCounter,SettlementDate,R68,,,Trigger)</f>
        <v>25.377777777777776</v>
      </c>
      <c r="AC68" s="59">
        <f>_xll.qlAbcdMathFunctionValue($M$24,AB68)</f>
        <v>7.4160525144502496E-4</v>
      </c>
      <c r="AD68" s="59">
        <f t="shared" ref="AD68:AD131" si="22">(AC68-Y68)</f>
        <v>1.7013060992856783E-6</v>
      </c>
    </row>
    <row r="69" spans="15:30" x14ac:dyDescent="0.2">
      <c r="O69" s="65">
        <v>6</v>
      </c>
      <c r="P69" s="56" t="str">
        <f>_xll.qlPeriodEquivalent(P68&amp;"+"&amp;O69&amp;"M")</f>
        <v>25Y6M</v>
      </c>
      <c r="Q69" s="57">
        <f>_xll.qlCalendarAdvance(Calendar,SettlementDate,P69,"f",,Trigger)</f>
        <v>51438</v>
      </c>
      <c r="R69" s="57">
        <f>_xll.qlInterestRateIndexValueDate(Index,Q69,Trigger)</f>
        <v>51440</v>
      </c>
      <c r="S69" s="57">
        <f>_xll.qlInterestRateIndexMaturity(Index,R69,Trigger)</f>
        <v>51621</v>
      </c>
      <c r="T69" s="58">
        <f>_xll.qlDayCounterYearFraction(DayCounter,R69,S69,,,Trigger)</f>
        <v>0.50277777777777777</v>
      </c>
      <c r="U69" s="59">
        <f>_xll.qlIndexFixing(Index,Q69,,AllTriggers)</f>
        <v>8.8648512208939611E-3</v>
      </c>
      <c r="V69" s="60">
        <f>_xll.qlYieldTSDiscount(OisCurve,R69,,AllTriggers)</f>
        <v>0.85107324205867141</v>
      </c>
      <c r="W69" s="60">
        <f>_xll.qlYieldTSDiscount(OisCurve,S69,,AllTriggers)</f>
        <v>0.84761528115575191</v>
      </c>
      <c r="X69" s="59">
        <f t="shared" si="20"/>
        <v>8.1141910085926125E-3</v>
      </c>
      <c r="Y69" s="59">
        <f t="shared" si="18"/>
        <v>7.5066021230134859E-4</v>
      </c>
      <c r="Z69" s="59">
        <f t="shared" si="21"/>
        <v>7.1213750642578678E-4</v>
      </c>
      <c r="AA69" s="59">
        <f t="shared" si="19"/>
        <v>-3.8522705875561813E-5</v>
      </c>
      <c r="AB69" s="58">
        <f>_xll.qlDayCounterYearFraction(DayCounter,SettlementDate,R69,,,Trigger)</f>
        <v>25.880555555555556</v>
      </c>
      <c r="AC69" s="59">
        <f>_xll.qlAbcdMathFunctionValue($M$24,AB69)</f>
        <v>7.2135529541213943E-4</v>
      </c>
      <c r="AD69" s="59">
        <f t="shared" si="22"/>
        <v>-2.9304916889209159E-5</v>
      </c>
    </row>
    <row r="70" spans="15:30" x14ac:dyDescent="0.2">
      <c r="O70" s="65">
        <v>6</v>
      </c>
      <c r="P70" s="56" t="str">
        <f>_xll.qlPeriodEquivalent(P69&amp;"+"&amp;O70&amp;"M")</f>
        <v>26Y</v>
      </c>
      <c r="Q70" s="57">
        <f>_xll.qlCalendarAdvance(Calendar,SettlementDate,P70,"f",,Trigger)</f>
        <v>51620</v>
      </c>
      <c r="R70" s="57">
        <f>_xll.qlInterestRateIndexValueDate(Index,Q70,Trigger)</f>
        <v>51623</v>
      </c>
      <c r="S70" s="57">
        <f>_xll.qlInterestRateIndexMaturity(Index,R70,Trigger)</f>
        <v>51809</v>
      </c>
      <c r="T70" s="58">
        <f>_xll.qlDayCounterYearFraction(DayCounter,R70,S70,,,Trigger)</f>
        <v>0.51666666666666672</v>
      </c>
      <c r="U70" s="59">
        <f>_xll.qlIndexFixing(Index,Q70,,AllTriggers)</f>
        <v>8.9108949246066438E-3</v>
      </c>
      <c r="V70" s="60">
        <f>_xll.qlYieldTSDiscount(OisCurve,R70,,AllTriggers)</f>
        <v>0.84757705800123107</v>
      </c>
      <c r="W70" s="60">
        <f>_xll.qlYieldTSDiscount(OisCurve,S70,,AllTriggers)</f>
        <v>0.84402087515503699</v>
      </c>
      <c r="X70" s="59">
        <f t="shared" si="20"/>
        <v>8.1549340112665371E-3</v>
      </c>
      <c r="Y70" s="59">
        <f t="shared" si="18"/>
        <v>7.5596091334010664E-4</v>
      </c>
      <c r="Z70" s="59">
        <f t="shared" si="21"/>
        <v>7.1194033659701533E-4</v>
      </c>
      <c r="AA70" s="59">
        <f t="shared" si="19"/>
        <v>-4.4020576743091303E-5</v>
      </c>
      <c r="AB70" s="58">
        <f>_xll.qlDayCounterYearFraction(DayCounter,SettlementDate,R70,,,Trigger)</f>
        <v>26.388888888888889</v>
      </c>
      <c r="AC70" s="59">
        <f>_xll.qlAbcdMathFunctionValue($M$24,AB70)</f>
        <v>7.0199924153404138E-4</v>
      </c>
      <c r="AD70" s="59">
        <f t="shared" si="22"/>
        <v>-5.3961671806065253E-5</v>
      </c>
    </row>
    <row r="71" spans="15:30" x14ac:dyDescent="0.2">
      <c r="O71" s="65">
        <v>6</v>
      </c>
      <c r="P71" s="56" t="str">
        <f>_xll.qlPeriodEquivalent(P70&amp;"+"&amp;O71&amp;"M")</f>
        <v>26Y6M</v>
      </c>
      <c r="Q71" s="57">
        <f>_xll.qlCalendarAdvance(Calendar,SettlementDate,P71,"f",,Trigger)</f>
        <v>51803</v>
      </c>
      <c r="R71" s="57">
        <f>_xll.qlInterestRateIndexValueDate(Index,Q71,Trigger)</f>
        <v>51805</v>
      </c>
      <c r="S71" s="57">
        <f>_xll.qlInterestRateIndexMaturity(Index,R71,Trigger)</f>
        <v>51986</v>
      </c>
      <c r="T71" s="58">
        <f>_xll.qlDayCounterYearFraction(DayCounter,R71,S71,,,Trigger)</f>
        <v>0.50277777777777777</v>
      </c>
      <c r="U71" s="59">
        <f>_xll.qlIndexFixing(Index,Q71,,AllTriggers)</f>
        <v>8.9497028457862851E-3</v>
      </c>
      <c r="V71" s="60">
        <f>_xll.qlYieldTSDiscount(OisCurve,R71,,AllTriggers)</f>
        <v>0.84409738326068351</v>
      </c>
      <c r="W71" s="60">
        <f>_xll.qlYieldTSDiscount(OisCurve,S71,,AllTriggers)</f>
        <v>0.84063391367632345</v>
      </c>
      <c r="X71" s="59">
        <f t="shared" si="20"/>
        <v>8.1946120356321366E-3</v>
      </c>
      <c r="Y71" s="59">
        <f t="shared" si="18"/>
        <v>7.5509081015414856E-4</v>
      </c>
      <c r="Z71" s="59">
        <f t="shared" si="21"/>
        <v>6.7513780962305504E-4</v>
      </c>
      <c r="AA71" s="59">
        <f t="shared" si="19"/>
        <v>-7.9953000531093519E-5</v>
      </c>
      <c r="AB71" s="58">
        <f>_xll.qlDayCounterYearFraction(DayCounter,SettlementDate,R71,,,Trigger)</f>
        <v>26.894444444444446</v>
      </c>
      <c r="AC71" s="59">
        <f>_xll.qlAbcdMathFunctionValue($M$24,AB71)</f>
        <v>6.8381234735989281E-4</v>
      </c>
      <c r="AD71" s="59">
        <f t="shared" si="22"/>
        <v>-7.1278462794255749E-5</v>
      </c>
    </row>
    <row r="72" spans="15:30" x14ac:dyDescent="0.2">
      <c r="O72" s="65">
        <v>6</v>
      </c>
      <c r="P72" s="56" t="str">
        <f>_xll.qlPeriodEquivalent(P71&amp;"+"&amp;O72&amp;"M")</f>
        <v>27Y</v>
      </c>
      <c r="Q72" s="57">
        <f>_xll.qlCalendarAdvance(Calendar,SettlementDate,P72,"f",,Trigger)</f>
        <v>51985</v>
      </c>
      <c r="R72" s="57">
        <f>_xll.qlInterestRateIndexValueDate(Index,Q72,Trigger)</f>
        <v>51988</v>
      </c>
      <c r="S72" s="57">
        <f>_xll.qlInterestRateIndexMaturity(Index,R72,Trigger)</f>
        <v>52173</v>
      </c>
      <c r="T72" s="58">
        <f>_xll.qlDayCounterYearFraction(DayCounter,R72,S72,,,Trigger)</f>
        <v>0.51388888888888884</v>
      </c>
      <c r="U72" s="59">
        <f>_xll.qlIndexFixing(Index,Q72,,AllTriggers)</f>
        <v>8.9858732305305253E-3</v>
      </c>
      <c r="V72" s="60">
        <f>_xll.qlYieldTSDiscount(OisCurve,R72,,AllTriggers)</f>
        <v>0.84059562579217106</v>
      </c>
      <c r="W72" s="60">
        <f>_xll.qlYieldTSDiscount(OisCurve,S72,,AllTriggers)</f>
        <v>0.83705222324495321</v>
      </c>
      <c r="X72" s="59">
        <f t="shared" si="20"/>
        <v>8.2375622812189755E-3</v>
      </c>
      <c r="Y72" s="59">
        <f t="shared" si="18"/>
        <v>7.483109493115498E-4</v>
      </c>
      <c r="Z72" s="59">
        <f t="shared" si="21"/>
        <v>6.7250606226425746E-4</v>
      </c>
      <c r="AA72" s="59">
        <f t="shared" si="19"/>
        <v>-7.5804887047292344E-5</v>
      </c>
      <c r="AB72" s="58">
        <f>_xll.qlDayCounterYearFraction(DayCounter,SettlementDate,R72,,,Trigger)</f>
        <v>27.402777777777779</v>
      </c>
      <c r="AC72" s="59">
        <f>_xll.qlAbcdMathFunctionValue($M$24,AB72)</f>
        <v>6.6654441094806663E-4</v>
      </c>
      <c r="AD72" s="59">
        <f t="shared" si="22"/>
        <v>-8.1766538363483177E-5</v>
      </c>
    </row>
    <row r="73" spans="15:30" x14ac:dyDescent="0.2">
      <c r="O73" s="65">
        <v>6</v>
      </c>
      <c r="P73" s="56" t="str">
        <f>_xll.qlPeriodEquivalent(P72&amp;"+"&amp;O73&amp;"M")</f>
        <v>27Y6M</v>
      </c>
      <c r="Q73" s="57">
        <f>_xll.qlCalendarAdvance(Calendar,SettlementDate,P73,"f",,Trigger)</f>
        <v>52168</v>
      </c>
      <c r="R73" s="57">
        <f>_xll.qlInterestRateIndexValueDate(Index,Q73,Trigger)</f>
        <v>52170</v>
      </c>
      <c r="S73" s="57">
        <f>_xll.qlInterestRateIndexMaturity(Index,R73,Trigger)</f>
        <v>52351</v>
      </c>
      <c r="T73" s="58">
        <f>_xll.qlDayCounterYearFraction(DayCounter,R73,S73,,,Trigger)</f>
        <v>0.50277777777777777</v>
      </c>
      <c r="U73" s="59">
        <f>_xll.qlIndexFixing(Index,Q73,,AllTriggers)</f>
        <v>9.0155012834120182E-3</v>
      </c>
      <c r="V73" s="60">
        <f>_xll.qlYieldTSDiscount(OisCurve,R73,,AllTriggers)</f>
        <v>0.83710971274127899</v>
      </c>
      <c r="W73" s="60">
        <f>_xll.qlYieldTSDiscount(OisCurve,S73,,AllTriggers)</f>
        <v>0.8336393668989448</v>
      </c>
      <c r="X73" s="59">
        <f t="shared" si="20"/>
        <v>8.2797737197147173E-3</v>
      </c>
      <c r="Y73" s="59">
        <f t="shared" si="18"/>
        <v>7.357275636973009E-4</v>
      </c>
      <c r="Z73" s="59">
        <f t="shared" si="21"/>
        <v>6.4220717922800624E-4</v>
      </c>
      <c r="AA73" s="59">
        <f t="shared" si="19"/>
        <v>-9.3520384469294657E-5</v>
      </c>
      <c r="AB73" s="58">
        <f>_xll.qlDayCounterYearFraction(DayCounter,SettlementDate,R73,,,Trigger)</f>
        <v>27.908333333333335</v>
      </c>
      <c r="AC73" s="59">
        <f>_xll.qlAbcdMathFunctionValue($M$24,AB73)</f>
        <v>6.5033560193069847E-4</v>
      </c>
      <c r="AD73" s="59">
        <f t="shared" si="22"/>
        <v>-8.5391961766602431E-5</v>
      </c>
    </row>
    <row r="74" spans="15:30" x14ac:dyDescent="0.2">
      <c r="O74" s="65">
        <v>6</v>
      </c>
      <c r="P74" s="56" t="str">
        <f>_xll.qlPeriodEquivalent(P73&amp;"+"&amp;O74&amp;"M")</f>
        <v>28Y</v>
      </c>
      <c r="Q74" s="57">
        <f>_xll.qlCalendarAdvance(Calendar,SettlementDate,P74,"f",,Trigger)</f>
        <v>52350</v>
      </c>
      <c r="R74" s="57">
        <f>_xll.qlInterestRateIndexValueDate(Index,Q74,Trigger)</f>
        <v>52355</v>
      </c>
      <c r="S74" s="57">
        <f>_xll.qlInterestRateIndexMaturity(Index,R74,Trigger)</f>
        <v>52539</v>
      </c>
      <c r="T74" s="58">
        <f>_xll.qlDayCounterYearFraction(DayCounter,R74,S74,,,Trigger)</f>
        <v>0.51111111111111107</v>
      </c>
      <c r="U74" s="59">
        <f>_xll.qlIndexFixing(Index,Q74,,AllTriggers)</f>
        <v>9.0420996661713313E-3</v>
      </c>
      <c r="V74" s="60">
        <f>_xll.qlYieldTSDiscount(OisCurve,R74,,AllTriggers)</f>
        <v>0.83356263131913277</v>
      </c>
      <c r="W74" s="60">
        <f>_xll.qlYieldTSDiscount(OisCurve,S74,,AllTriggers)</f>
        <v>0.83003067768496719</v>
      </c>
      <c r="X74" s="59">
        <f t="shared" si="20"/>
        <v>8.3254080272300648E-3</v>
      </c>
      <c r="Y74" s="59">
        <f t="shared" si="18"/>
        <v>7.1669163894126642E-4</v>
      </c>
      <c r="Z74" s="59">
        <f t="shared" si="21"/>
        <v>6.372145817733465E-4</v>
      </c>
      <c r="AA74" s="59">
        <f t="shared" si="19"/>
        <v>-7.9477057167919919E-5</v>
      </c>
      <c r="AB74" s="58">
        <f>_xll.qlDayCounterYearFraction(DayCounter,SettlementDate,R74,,,Trigger)</f>
        <v>28.422222222222221</v>
      </c>
      <c r="AC74" s="59">
        <f>_xll.qlAbcdMathFunctionValue($M$24,AB74)</f>
        <v>6.3479731272821972E-4</v>
      </c>
      <c r="AD74" s="59">
        <f t="shared" si="22"/>
        <v>-8.18943262130467E-5</v>
      </c>
    </row>
    <row r="75" spans="15:30" x14ac:dyDescent="0.2">
      <c r="O75" s="65">
        <v>6</v>
      </c>
      <c r="P75" s="56" t="str">
        <f>_xll.qlPeriodEquivalent(P74&amp;"+"&amp;O75&amp;"M")</f>
        <v>28Y6M</v>
      </c>
      <c r="Q75" s="57">
        <f>_xll.qlCalendarAdvance(Calendar,SettlementDate,P75,"f",,Trigger)</f>
        <v>52533</v>
      </c>
      <c r="R75" s="57">
        <f>_xll.qlInterestRateIndexValueDate(Index,Q75,Trigger)</f>
        <v>52537</v>
      </c>
      <c r="S75" s="57">
        <f>_xll.qlInterestRateIndexMaturity(Index,R75,Trigger)</f>
        <v>52719</v>
      </c>
      <c r="T75" s="58">
        <f>_xll.qlDayCounterYearFraction(DayCounter,R75,S75,,,Trigger)</f>
        <v>0.50555555555555554</v>
      </c>
      <c r="U75" s="59">
        <f>_xll.qlIndexFixing(Index,Q75,,AllTriggers)</f>
        <v>9.0626108360802263E-3</v>
      </c>
      <c r="V75" s="60">
        <f>_xll.qlYieldTSDiscount(OisCurve,R75,,AllTriggers)</f>
        <v>0.83006909135717921</v>
      </c>
      <c r="W75" s="60">
        <f>_xll.qlYieldTSDiscount(OisCurve,S75,,AllTriggers)</f>
        <v>0.82657128509645039</v>
      </c>
      <c r="X75" s="59">
        <f t="shared" si="20"/>
        <v>8.370406501330507E-3</v>
      </c>
      <c r="Y75" s="59">
        <f t="shared" si="18"/>
        <v>6.9220433474971935E-4</v>
      </c>
      <c r="Z75" s="59">
        <f t="shared" si="21"/>
        <v>6.1615086739789503E-4</v>
      </c>
      <c r="AA75" s="59">
        <f t="shared" si="19"/>
        <v>-7.6053467351824312E-5</v>
      </c>
      <c r="AB75" s="58">
        <f>_xll.qlDayCounterYearFraction(DayCounter,SettlementDate,R75,,,Trigger)</f>
        <v>28.927777777777777</v>
      </c>
      <c r="AC75" s="59">
        <f>_xll.qlAbcdMathFunctionValue($M$24,AB75)</f>
        <v>6.2038758848159388E-4</v>
      </c>
      <c r="AD75" s="59">
        <f t="shared" si="22"/>
        <v>-7.1816746268125466E-5</v>
      </c>
    </row>
    <row r="76" spans="15:30" x14ac:dyDescent="0.2">
      <c r="O76" s="65">
        <v>6</v>
      </c>
      <c r="P76" s="56" t="str">
        <f>_xll.qlPeriodEquivalent(P75&amp;"+"&amp;O76&amp;"M")</f>
        <v>29Y</v>
      </c>
      <c r="Q76" s="57">
        <f>_xll.qlCalendarAdvance(Calendar,SettlementDate,P76,"f",,Trigger)</f>
        <v>52716</v>
      </c>
      <c r="R76" s="57">
        <f>_xll.qlInterestRateIndexValueDate(Index,Q76,Trigger)</f>
        <v>52720</v>
      </c>
      <c r="S76" s="57">
        <f>_xll.qlInterestRateIndexMaturity(Index,R76,Trigger)</f>
        <v>52904</v>
      </c>
      <c r="T76" s="58">
        <f>_xll.qlDayCounterYearFraction(DayCounter,R76,S76,,,Trigger)</f>
        <v>0.51111111111111107</v>
      </c>
      <c r="U76" s="59">
        <f>_xll.qlIndexFixing(Index,Q76,,AllTriggers)</f>
        <v>9.0791089132847697E-3</v>
      </c>
      <c r="V76" s="60">
        <f>_xll.qlYieldTSDiscount(OisCurve,R76,,AllTriggers)</f>
        <v>0.82655205401888954</v>
      </c>
      <c r="W76" s="60">
        <f>_xll.qlYieldTSDiscount(OisCurve,S76,,AllTriggers)</f>
        <v>0.82301113046545904</v>
      </c>
      <c r="X76" s="59">
        <f t="shared" si="20"/>
        <v>8.4177402375683764E-3</v>
      </c>
      <c r="Y76" s="59">
        <f t="shared" si="18"/>
        <v>6.6136867571639328E-4</v>
      </c>
      <c r="Z76" s="59">
        <f t="shared" si="21"/>
        <v>6.0924083253309958E-4</v>
      </c>
      <c r="AA76" s="59">
        <f t="shared" si="19"/>
        <v>-5.2127843183293705E-5</v>
      </c>
      <c r="AB76" s="58">
        <f>_xll.qlDayCounterYearFraction(DayCounter,SettlementDate,R76,,,Trigger)</f>
        <v>29.43611111111111</v>
      </c>
      <c r="AC76" s="59">
        <f>_xll.qlAbcdMathFunctionValue($M$24,AB76)</f>
        <v>6.0673092827035792E-4</v>
      </c>
      <c r="AD76" s="59">
        <f t="shared" si="22"/>
        <v>-5.4637747446035362E-5</v>
      </c>
    </row>
    <row r="77" spans="15:30" x14ac:dyDescent="0.2">
      <c r="O77" s="65">
        <v>6</v>
      </c>
      <c r="P77" s="56" t="str">
        <f>_xll.qlPeriodEquivalent(P76&amp;"+"&amp;O77&amp;"M")</f>
        <v>29Y6M</v>
      </c>
      <c r="Q77" s="57">
        <f>_xll.qlCalendarAdvance(Calendar,SettlementDate,P77,"f",,Trigger)</f>
        <v>52901</v>
      </c>
      <c r="R77" s="57">
        <f>_xll.qlInterestRateIndexValueDate(Index,Q77,Trigger)</f>
        <v>52903</v>
      </c>
      <c r="S77" s="57">
        <f>_xll.qlInterestRateIndexMaturity(Index,R77,Trigger)</f>
        <v>53084</v>
      </c>
      <c r="T77" s="58">
        <f>_xll.qlDayCounterYearFraction(DayCounter,R77,S77,,,Trigger)</f>
        <v>0.50277777777777777</v>
      </c>
      <c r="U77" s="59">
        <f>_xll.qlIndexFixing(Index,Q77,,AllTriggers)</f>
        <v>9.0900802091083022E-3</v>
      </c>
      <c r="V77" s="60">
        <f>_xll.qlYieldTSDiscount(OisCurve,R77,,AllTriggers)</f>
        <v>0.82303038782768401</v>
      </c>
      <c r="W77" s="60">
        <f>_xll.qlYieldTSDiscount(OisCurve,S77,,AllTriggers)</f>
        <v>0.81954235513023788</v>
      </c>
      <c r="X77" s="59">
        <f t="shared" si="20"/>
        <v>8.465119043210359E-3</v>
      </c>
      <c r="Y77" s="59">
        <f t="shared" si="18"/>
        <v>6.2496116589794322E-4</v>
      </c>
      <c r="Z77" s="59">
        <f t="shared" si="21"/>
        <v>5.8681119116975279E-4</v>
      </c>
      <c r="AA77" s="59">
        <f t="shared" si="19"/>
        <v>-3.8149974728190431E-5</v>
      </c>
      <c r="AB77" s="58">
        <f>_xll.qlDayCounterYearFraction(DayCounter,SettlementDate,R77,,,Trigger)</f>
        <v>29.944444444444443</v>
      </c>
      <c r="AC77" s="59">
        <f>_xll.qlAbcdMathFunctionValue($M$24,AB77)</f>
        <v>5.9386609885133616E-4</v>
      </c>
      <c r="AD77" s="59">
        <f t="shared" si="22"/>
        <v>-3.1095067046607062E-5</v>
      </c>
    </row>
    <row r="78" spans="15:30" x14ac:dyDescent="0.2">
      <c r="O78" s="65">
        <v>6</v>
      </c>
      <c r="P78" s="56" t="str">
        <f>_xll.qlPeriodEquivalent(P77&amp;"+"&amp;O78&amp;"M")</f>
        <v>30Y</v>
      </c>
      <c r="Q78" s="57">
        <f>_xll.qlCalendarAdvance(Calendar,SettlementDate,P78,"f",,Trigger)</f>
        <v>53084</v>
      </c>
      <c r="R78" s="57">
        <f>_xll.qlInterestRateIndexValueDate(Index,Q78,Trigger)</f>
        <v>53086</v>
      </c>
      <c r="S78" s="57">
        <f>_xll.qlInterestRateIndexMaturity(Index,R78,Trigger)</f>
        <v>53272</v>
      </c>
      <c r="T78" s="58">
        <f>_xll.qlDayCounterYearFraction(DayCounter,R78,S78,,,Trigger)</f>
        <v>0.51666666666666672</v>
      </c>
      <c r="U78" s="59">
        <f>_xll.qlIndexFixing(Index,Q78,,AllTriggers)</f>
        <v>9.0966839175907824E-3</v>
      </c>
      <c r="V78" s="60">
        <f>_xll.qlYieldTSDiscount(OisCurve,R78,,AllTriggers)</f>
        <v>0.81950378529085122</v>
      </c>
      <c r="W78" s="60">
        <f>_xll.qlYieldTSDiscount(OisCurve,S78,,AllTriggers)</f>
        <v>0.8159151950305249</v>
      </c>
      <c r="X78" s="59">
        <f t="shared" si="20"/>
        <v>8.5127211880318202E-3</v>
      </c>
      <c r="Y78" s="59">
        <f t="shared" si="18"/>
        <v>5.8396272955896222E-4</v>
      </c>
      <c r="Z78" s="59">
        <f t="shared" si="21"/>
        <v>5.9067893757407282E-4</v>
      </c>
      <c r="AA78" s="59">
        <f t="shared" si="19"/>
        <v>6.7162080151105972E-6</v>
      </c>
      <c r="AB78" s="58">
        <f>_xll.qlDayCounterYearFraction(DayCounter,SettlementDate,R78,,,Trigger)</f>
        <v>30.452777777777779</v>
      </c>
      <c r="AC78" s="59">
        <f>_xll.qlAbcdMathFunctionValue($M$24,AB78)</f>
        <v>5.8175198245163375E-4</v>
      </c>
      <c r="AD78" s="59">
        <f t="shared" si="22"/>
        <v>-2.2107471073284706E-6</v>
      </c>
    </row>
    <row r="79" spans="15:30" x14ac:dyDescent="0.2">
      <c r="O79" s="65">
        <v>6</v>
      </c>
      <c r="P79" s="56" t="str">
        <f>_xll.qlPeriodEquivalent(P78&amp;"+"&amp;O79&amp;"M")</f>
        <v>30Y6M</v>
      </c>
      <c r="Q79" s="57">
        <f>_xll.qlCalendarAdvance(Calendar,SettlementDate,P79,"f",,Trigger)</f>
        <v>53265</v>
      </c>
      <c r="R79" s="57">
        <f>_xll.qlInterestRateIndexValueDate(Index,Q79,Trigger)</f>
        <v>53267</v>
      </c>
      <c r="S79" s="57">
        <f>_xll.qlInterestRateIndexMaturity(Index,R79,Trigger)</f>
        <v>53449</v>
      </c>
      <c r="T79" s="58">
        <f>_xll.qlDayCounterYearFraction(DayCounter,R79,S79,,,Trigger)</f>
        <v>0.50555555555555554</v>
      </c>
      <c r="U79" s="59">
        <f>_xll.qlIndexFixing(Index,Q79,,AllTriggers)</f>
        <v>9.0945853995224504E-3</v>
      </c>
      <c r="V79" s="60">
        <f>_xll.qlYieldTSDiscount(OisCurve,R79,,AllTriggers)</f>
        <v>0.81601167733562086</v>
      </c>
      <c r="W79" s="60">
        <f>_xll.qlYieldTSDiscount(OisCurve,S79,,AllTriggers)</f>
        <v>0.81250104626080266</v>
      </c>
      <c r="X79" s="59">
        <f t="shared" si="20"/>
        <v>8.5465802840188551E-3</v>
      </c>
      <c r="Y79" s="59">
        <f t="shared" si="18"/>
        <v>5.4800511550359525E-4</v>
      </c>
      <c r="Z79" s="59">
        <f t="shared" si="21"/>
        <v>5.6701125196176761E-4</v>
      </c>
      <c r="AA79" s="59">
        <f t="shared" si="19"/>
        <v>1.9006136458172358E-5</v>
      </c>
      <c r="AB79" s="58">
        <f>_xll.qlDayCounterYearFraction(DayCounter,SettlementDate,R79,,,Trigger)</f>
        <v>30.955555555555556</v>
      </c>
      <c r="AC79" s="59">
        <f>_xll.qlAbcdMathFunctionValue($M$24,AB79)</f>
        <v>5.7047002436310681E-4</v>
      </c>
      <c r="AD79" s="59">
        <f t="shared" si="22"/>
        <v>2.2464908859511556E-5</v>
      </c>
    </row>
    <row r="80" spans="15:30" x14ac:dyDescent="0.2">
      <c r="O80" s="65">
        <v>6</v>
      </c>
      <c r="P80" s="56" t="str">
        <f>_xll.qlPeriodEquivalent(P79&amp;"+"&amp;O80&amp;"M")</f>
        <v>31Y</v>
      </c>
      <c r="Q80" s="57">
        <f>_xll.qlCalendarAdvance(Calendar,SettlementDate,P80,"f",,Trigger)</f>
        <v>53447</v>
      </c>
      <c r="R80" s="57">
        <f>_xll.qlInterestRateIndexValueDate(Index,Q80,Trigger)</f>
        <v>53450</v>
      </c>
      <c r="S80" s="57">
        <f>_xll.qlInterestRateIndexMaturity(Index,R80,Trigger)</f>
        <v>53636</v>
      </c>
      <c r="T80" s="58">
        <f>_xll.qlDayCounterYearFraction(DayCounter,R80,S80,,,Trigger)</f>
        <v>0.51666666666666672</v>
      </c>
      <c r="U80" s="59">
        <f>_xll.qlIndexFixing(Index,Q80,,AllTriggers)</f>
        <v>9.0850675488451573E-3</v>
      </c>
      <c r="V80" s="60">
        <f>_xll.qlYieldTSDiscount(OisCurve,R80,,AllTriggers)</f>
        <v>0.81248176972182196</v>
      </c>
      <c r="W80" s="60">
        <f>_xll.qlYieldTSDiscount(OisCurve,S80,,AllTriggers)</f>
        <v>0.80890073526462947</v>
      </c>
      <c r="X80" s="59">
        <f t="shared" si="20"/>
        <v>8.5684610374453327E-3</v>
      </c>
      <c r="Y80" s="59">
        <f t="shared" si="18"/>
        <v>5.1660651139982458E-4</v>
      </c>
      <c r="Z80" s="59">
        <f t="shared" si="21"/>
        <v>5.6858427527102908E-4</v>
      </c>
      <c r="AA80" s="59">
        <f t="shared" si="19"/>
        <v>5.1977763871204497E-5</v>
      </c>
      <c r="AB80" s="58">
        <f>_xll.qlDayCounterYearFraction(DayCounter,SettlementDate,R80,,,Trigger)</f>
        <v>31.463888888888889</v>
      </c>
      <c r="AC80" s="59">
        <f>_xll.qlAbcdMathFunctionValue($M$24,AB80)</f>
        <v>5.5973340294846624E-4</v>
      </c>
      <c r="AD80" s="59">
        <f t="shared" si="22"/>
        <v>4.3126891548641655E-5</v>
      </c>
    </row>
    <row r="81" spans="15:30" x14ac:dyDescent="0.2">
      <c r="O81" s="65">
        <v>6</v>
      </c>
      <c r="P81" s="56" t="str">
        <f>_xll.qlPeriodEquivalent(P80&amp;"+"&amp;O81&amp;"M")</f>
        <v>31Y6M</v>
      </c>
      <c r="Q81" s="57">
        <f>_xll.qlCalendarAdvance(Calendar,SettlementDate,P81,"f",,Trigger)</f>
        <v>53629</v>
      </c>
      <c r="R81" s="57">
        <f>_xll.qlInterestRateIndexValueDate(Index,Q81,Trigger)</f>
        <v>53631</v>
      </c>
      <c r="S81" s="57">
        <f>_xll.qlInterestRateIndexMaturity(Index,R81,Trigger)</f>
        <v>53812</v>
      </c>
      <c r="T81" s="58">
        <f>_xll.qlDayCounterYearFraction(DayCounter,R81,S81,,,Trigger)</f>
        <v>0.50277777777777777</v>
      </c>
      <c r="U81" s="59">
        <f>_xll.qlIndexFixing(Index,Q81,,AllTriggers)</f>
        <v>9.0669541142950165E-3</v>
      </c>
      <c r="V81" s="60">
        <f>_xll.qlYieldTSDiscount(OisCurve,R81,,AllTriggers)</f>
        <v>0.80899685966918411</v>
      </c>
      <c r="W81" s="60">
        <f>_xll.qlYieldTSDiscount(OisCurve,S81,,AllTriggers)</f>
        <v>0.80552384811575861</v>
      </c>
      <c r="X81" s="59">
        <f t="shared" si="20"/>
        <v>8.575347961129888E-3</v>
      </c>
      <c r="Y81" s="59">
        <f t="shared" si="18"/>
        <v>4.9160615316512848E-4</v>
      </c>
      <c r="Z81" s="59">
        <f t="shared" si="21"/>
        <v>5.4368557893095344E-4</v>
      </c>
      <c r="AA81" s="59">
        <f t="shared" si="19"/>
        <v>5.2079425765824954E-5</v>
      </c>
      <c r="AB81" s="58">
        <f>_xll.qlDayCounterYearFraction(DayCounter,SettlementDate,R81,,,Trigger)</f>
        <v>31.966666666666665</v>
      </c>
      <c r="AC81" s="59">
        <f>_xll.qlAbcdMathFunctionValue($M$24,AB81)</f>
        <v>5.4974141943152897E-4</v>
      </c>
      <c r="AD81" s="59">
        <f t="shared" si="22"/>
        <v>5.8135266266400487E-5</v>
      </c>
    </row>
    <row r="82" spans="15:30" x14ac:dyDescent="0.2">
      <c r="O82" s="65">
        <v>6</v>
      </c>
      <c r="P82" s="56" t="str">
        <f>_xll.qlPeriodEquivalent(P81&amp;"+"&amp;O82&amp;"M")</f>
        <v>32Y</v>
      </c>
      <c r="Q82" s="57">
        <f>_xll.qlCalendarAdvance(Calendar,SettlementDate,P82,"f",,Trigger)</f>
        <v>53811</v>
      </c>
      <c r="R82" s="57">
        <f>_xll.qlInterestRateIndexValueDate(Index,Q82,Trigger)</f>
        <v>53814</v>
      </c>
      <c r="S82" s="57">
        <f>_xll.qlInterestRateIndexMaturity(Index,R82,Trigger)</f>
        <v>54000</v>
      </c>
      <c r="T82" s="58">
        <f>_xll.qlDayCounterYearFraction(DayCounter,R82,S82,,,Trigger)</f>
        <v>0.51666666666666672</v>
      </c>
      <c r="U82" s="59">
        <f>_xll.qlIndexFixing(Index,Q82,,AllTriggers)</f>
        <v>9.0409812180518422E-3</v>
      </c>
      <c r="V82" s="60">
        <f>_xll.qlYieldTSDiscount(OisCurve,R82,,AllTriggers)</f>
        <v>0.80548555906780628</v>
      </c>
      <c r="W82" s="60">
        <f>_xll.qlYieldTSDiscount(OisCurve,S82,,AllTriggers)</f>
        <v>0.80193490868802342</v>
      </c>
      <c r="X82" s="59">
        <f t="shared" si="20"/>
        <v>8.5695565401416336E-3</v>
      </c>
      <c r="Y82" s="59">
        <f t="shared" si="18"/>
        <v>4.7142467791020867E-4</v>
      </c>
      <c r="Z82" s="59">
        <f t="shared" si="21"/>
        <v>5.4905858846503218E-4</v>
      </c>
      <c r="AA82" s="59">
        <f t="shared" si="19"/>
        <v>7.763391055482351E-5</v>
      </c>
      <c r="AB82" s="58">
        <f>_xll.qlDayCounterYearFraction(DayCounter,SettlementDate,R82,,,Trigger)</f>
        <v>32.475000000000001</v>
      </c>
      <c r="AC82" s="59">
        <f>_xll.qlAbcdMathFunctionValue($M$24,AB82)</f>
        <v>5.4023892550180818E-4</v>
      </c>
      <c r="AD82" s="59">
        <f t="shared" si="22"/>
        <v>6.8814247591599507E-5</v>
      </c>
    </row>
    <row r="83" spans="15:30" x14ac:dyDescent="0.2">
      <c r="O83" s="65">
        <v>6</v>
      </c>
      <c r="P83" s="56" t="str">
        <f>_xll.qlPeriodEquivalent(P82&amp;"+"&amp;O83&amp;"M")</f>
        <v>32Y6M</v>
      </c>
      <c r="Q83" s="57">
        <f>_xll.qlCalendarAdvance(Calendar,SettlementDate,P83,"f",,Trigger)</f>
        <v>53994</v>
      </c>
      <c r="R83" s="57">
        <f>_xll.qlInterestRateIndexValueDate(Index,Q83,Trigger)</f>
        <v>53996</v>
      </c>
      <c r="S83" s="57">
        <f>_xll.qlInterestRateIndexMaturity(Index,R83,Trigger)</f>
        <v>54178</v>
      </c>
      <c r="T83" s="58">
        <f>_xll.qlDayCounterYearFraction(DayCounter,R83,S83,,,Trigger)</f>
        <v>0.50555555555555554</v>
      </c>
      <c r="U83" s="59">
        <f>_xll.qlIndexFixing(Index,Q83,,AllTriggers)</f>
        <v>9.0067476038401765E-3</v>
      </c>
      <c r="V83" s="60">
        <f>_xll.qlYieldTSDiscount(OisCurve,R83,,AllTriggers)</f>
        <v>0.80201103378617</v>
      </c>
      <c r="W83" s="60">
        <f>_xll.qlYieldTSDiscount(OisCurve,S83,,AllTriggers)</f>
        <v>0.79855945206137013</v>
      </c>
      <c r="X83" s="59">
        <f t="shared" si="20"/>
        <v>8.5495256401628885E-3</v>
      </c>
      <c r="Y83" s="59">
        <f t="shared" si="18"/>
        <v>4.5722196367728798E-4</v>
      </c>
      <c r="Z83" s="59">
        <f t="shared" si="21"/>
        <v>5.2864689949203524E-4</v>
      </c>
      <c r="AA83" s="59">
        <f t="shared" si="19"/>
        <v>7.1424935814747253E-5</v>
      </c>
      <c r="AB83" s="58">
        <f>_xll.qlDayCounterYearFraction(DayCounter,SettlementDate,R83,,,Trigger)</f>
        <v>32.980555555555554</v>
      </c>
      <c r="AC83" s="59">
        <f>_xll.qlAbcdMathFunctionValue($M$24,AB83)</f>
        <v>5.3135397707445718E-4</v>
      </c>
      <c r="AD83" s="59">
        <f t="shared" si="22"/>
        <v>7.4132013397169199E-5</v>
      </c>
    </row>
    <row r="84" spans="15:30" x14ac:dyDescent="0.2">
      <c r="O84" s="65">
        <v>6</v>
      </c>
      <c r="P84" s="56" t="str">
        <f>_xll.qlPeriodEquivalent(P83&amp;"+"&amp;O84&amp;"M")</f>
        <v>33Y</v>
      </c>
      <c r="Q84" s="57">
        <f>_xll.qlCalendarAdvance(Calendar,SettlementDate,P84,"f",,Trigger)</f>
        <v>54177</v>
      </c>
      <c r="R84" s="57">
        <f>_xll.qlInterestRateIndexValueDate(Index,Q84,Trigger)</f>
        <v>54182</v>
      </c>
      <c r="S84" s="57">
        <f>_xll.qlInterestRateIndexMaturity(Index,R84,Trigger)</f>
        <v>54366</v>
      </c>
      <c r="T84" s="58">
        <f>_xll.qlDayCounterYearFraction(DayCounter,R84,S84,,,Trigger)</f>
        <v>0.51111111111111107</v>
      </c>
      <c r="U84" s="59">
        <f>_xll.qlIndexFixing(Index,Q84,,AllTriggers)</f>
        <v>8.9634460206395004E-3</v>
      </c>
      <c r="V84" s="60">
        <f>_xll.qlYieldTSDiscount(OisCurve,R84,,AllTriggers)</f>
        <v>0.79848389108000672</v>
      </c>
      <c r="W84" s="60">
        <f>_xll.qlYieldTSDiscount(OisCurve,S84,,AllTriggers)</f>
        <v>0.79502379788622846</v>
      </c>
      <c r="X84" s="59">
        <f t="shared" si="20"/>
        <v>8.5151508307596234E-3</v>
      </c>
      <c r="Y84" s="59">
        <f t="shared" si="18"/>
        <v>4.4829518987987704E-4</v>
      </c>
      <c r="Z84" s="59">
        <f t="shared" si="21"/>
        <v>5.2597506636801843E-4</v>
      </c>
      <c r="AA84" s="59">
        <f t="shared" si="19"/>
        <v>7.7679876488141383E-5</v>
      </c>
      <c r="AB84" s="58">
        <f>_xll.qlDayCounterYearFraction(DayCounter,SettlementDate,R84,,,Trigger)</f>
        <v>33.49722222222222</v>
      </c>
      <c r="AC84" s="59">
        <f>_xll.qlAbcdMathFunctionValue($M$24,AB84)</f>
        <v>5.2282418296964168E-4</v>
      </c>
      <c r="AD84" s="59">
        <f t="shared" si="22"/>
        <v>7.452899308976464E-5</v>
      </c>
    </row>
    <row r="85" spans="15:30" x14ac:dyDescent="0.2">
      <c r="O85" s="65">
        <v>6</v>
      </c>
      <c r="P85" s="56" t="str">
        <f>_xll.qlPeriodEquivalent(P84&amp;"+"&amp;O85&amp;"M")</f>
        <v>33Y6M</v>
      </c>
      <c r="Q85" s="57">
        <f>_xll.qlCalendarAdvance(Calendar,SettlementDate,P85,"f",,Trigger)</f>
        <v>54360</v>
      </c>
      <c r="R85" s="57">
        <f>_xll.qlInterestRateIndexValueDate(Index,Q85,Trigger)</f>
        <v>54364</v>
      </c>
      <c r="S85" s="57">
        <f>_xll.qlInterestRateIndexMaturity(Index,R85,Trigger)</f>
        <v>54546</v>
      </c>
      <c r="T85" s="58">
        <f>_xll.qlDayCounterYearFraction(DayCounter,R85,S85,,,Trigger)</f>
        <v>0.50555555555555554</v>
      </c>
      <c r="U85" s="59">
        <f>_xll.qlIndexFixing(Index,Q85,,AllTriggers)</f>
        <v>8.9129506666027446E-3</v>
      </c>
      <c r="V85" s="60">
        <f>_xll.qlYieldTSDiscount(OisCurve,R85,,AllTriggers)</f>
        <v>0.79506123251889149</v>
      </c>
      <c r="W85" s="60">
        <f>_xll.qlYieldTSDiscount(OisCurve,S85,,AllTriggers)</f>
        <v>0.79167213898765776</v>
      </c>
      <c r="X85" s="59">
        <f t="shared" si="20"/>
        <v>8.4677749288042392E-3</v>
      </c>
      <c r="Y85" s="59">
        <f t="shared" si="18"/>
        <v>4.4517573779850536E-4</v>
      </c>
      <c r="Z85" s="59">
        <f t="shared" si="21"/>
        <v>5.1263904210686721E-4</v>
      </c>
      <c r="AA85" s="59">
        <f t="shared" si="19"/>
        <v>6.7463304308361849E-5</v>
      </c>
      <c r="AB85" s="58">
        <f>_xll.qlDayCounterYearFraction(DayCounter,SettlementDate,R85,,,Trigger)</f>
        <v>34.00277777777778</v>
      </c>
      <c r="AC85" s="59">
        <f>_xll.qlAbcdMathFunctionValue($M$24,AB85)</f>
        <v>5.1498628783151431E-4</v>
      </c>
      <c r="AD85" s="59">
        <f t="shared" si="22"/>
        <v>6.981055003300895E-5</v>
      </c>
    </row>
    <row r="86" spans="15:30" x14ac:dyDescent="0.2">
      <c r="O86" s="65">
        <v>6</v>
      </c>
      <c r="P86" s="56" t="str">
        <f>_xll.qlPeriodEquivalent(P85&amp;"+"&amp;O86&amp;"M")</f>
        <v>34Y</v>
      </c>
      <c r="Q86" s="57">
        <f>_xll.qlCalendarAdvance(Calendar,SettlementDate,P86,"f",,Trigger)</f>
        <v>54542</v>
      </c>
      <c r="R86" s="57">
        <f>_xll.qlInterestRateIndexValueDate(Index,Q86,Trigger)</f>
        <v>54546</v>
      </c>
      <c r="S86" s="57">
        <f>_xll.qlInterestRateIndexMaturity(Index,R86,Trigger)</f>
        <v>54730</v>
      </c>
      <c r="T86" s="58">
        <f>_xll.qlDayCounterYearFraction(DayCounter,R86,S86,,,Trigger)</f>
        <v>0.51111111111111107</v>
      </c>
      <c r="U86" s="59">
        <f>_xll.qlIndexFixing(Index,Q86,,AllTriggers)</f>
        <v>8.8541658741210817E-3</v>
      </c>
      <c r="V86" s="60">
        <f>_xll.qlYieldTSDiscount(OisCurve,R86,,AllTriggers)</f>
        <v>0.79167213898765776</v>
      </c>
      <c r="W86" s="60">
        <f>_xll.qlYieldTSDiscount(OisCurve,S86,,AllTriggers)</f>
        <v>0.7882851424949453</v>
      </c>
      <c r="X86" s="59">
        <f t="shared" si="20"/>
        <v>8.4065167680016095E-3</v>
      </c>
      <c r="Y86" s="59">
        <f t="shared" si="18"/>
        <v>4.476491061194722E-4</v>
      </c>
      <c r="Z86" s="59">
        <f t="shared" si="21"/>
        <v>5.1096376254245617E-4</v>
      </c>
      <c r="AA86" s="59">
        <f t="shared" si="19"/>
        <v>6.3314656422983973E-5</v>
      </c>
      <c r="AB86" s="58">
        <f>_xll.qlDayCounterYearFraction(DayCounter,SettlementDate,R86,,,Trigger)</f>
        <v>34.508333333333333</v>
      </c>
      <c r="AC86" s="59">
        <f>_xll.qlAbcdMathFunctionValue($M$24,AB86)</f>
        <v>5.0762295923710587E-4</v>
      </c>
      <c r="AD86" s="59">
        <f t="shared" si="22"/>
        <v>5.9973853117633669E-5</v>
      </c>
    </row>
    <row r="87" spans="15:30" x14ac:dyDescent="0.2">
      <c r="O87" s="65">
        <v>6</v>
      </c>
      <c r="P87" s="56" t="str">
        <f>_xll.qlPeriodEquivalent(P86&amp;"+"&amp;O87&amp;"M")</f>
        <v>34Y6M</v>
      </c>
      <c r="Q87" s="57">
        <f>_xll.qlCalendarAdvance(Calendar,SettlementDate,P87,"f",,Trigger)</f>
        <v>54725</v>
      </c>
      <c r="R87" s="57">
        <f>_xll.qlInterestRateIndexValueDate(Index,Q87,Trigger)</f>
        <v>54729</v>
      </c>
      <c r="S87" s="57">
        <f>_xll.qlInterestRateIndexMaturity(Index,R87,Trigger)</f>
        <v>54910</v>
      </c>
      <c r="T87" s="58">
        <f>_xll.qlDayCounterYearFraction(DayCounter,R87,S87,,,Trigger)</f>
        <v>0.50277777777777777</v>
      </c>
      <c r="U87" s="59">
        <f>_xll.qlIndexFixing(Index,Q87,,AllTriggers)</f>
        <v>8.7872386351293321E-3</v>
      </c>
      <c r="V87" s="60">
        <f>_xll.qlYieldTSDiscount(OisCurve,R87,,AllTriggers)</f>
        <v>0.78830343385802626</v>
      </c>
      <c r="W87" s="60">
        <f>_xll.qlYieldTSDiscount(OisCurve,S87,,AllTriggers)</f>
        <v>0.78501502373603793</v>
      </c>
      <c r="X87" s="59">
        <f t="shared" si="20"/>
        <v>8.3316675767578369E-3</v>
      </c>
      <c r="Y87" s="59">
        <f t="shared" si="18"/>
        <v>4.5557105837149524E-4</v>
      </c>
      <c r="Z87" s="59">
        <f t="shared" si="21"/>
        <v>4.9594164016714831E-4</v>
      </c>
      <c r="AA87" s="59">
        <f t="shared" si="19"/>
        <v>4.0370581795653071E-5</v>
      </c>
      <c r="AB87" s="58">
        <f>_xll.qlDayCounterYearFraction(DayCounter,SettlementDate,R87,,,Trigger)</f>
        <v>35.016666666666666</v>
      </c>
      <c r="AC87" s="59">
        <f>_xll.qlAbcdMathFunctionValue($M$24,AB87)</f>
        <v>5.0067060331236029E-4</v>
      </c>
      <c r="AD87" s="59">
        <f t="shared" si="22"/>
        <v>4.5099544940865053E-5</v>
      </c>
    </row>
    <row r="88" spans="15:30" x14ac:dyDescent="0.2">
      <c r="O88" s="65">
        <v>6</v>
      </c>
      <c r="P88" s="56" t="str">
        <f>_xll.qlPeriodEquivalent(P87&amp;"+"&amp;O88&amp;"M")</f>
        <v>35Y</v>
      </c>
      <c r="Q88" s="57">
        <f>_xll.qlCalendarAdvance(Calendar,SettlementDate,P88,"f",,Trigger)</f>
        <v>54907</v>
      </c>
      <c r="R88" s="57">
        <f>_xll.qlInterestRateIndexValueDate(Index,Q88,Trigger)</f>
        <v>54911</v>
      </c>
      <c r="S88" s="57">
        <f>_xll.qlInterestRateIndexMaturity(Index,R88,Trigger)</f>
        <v>55095</v>
      </c>
      <c r="T88" s="58">
        <f>_xll.qlDayCounterYearFraction(DayCounter,R88,S88,,,Trigger)</f>
        <v>0.51111111111111107</v>
      </c>
      <c r="U88" s="59">
        <f>_xll.qlIndexFixing(Index,Q88,,AllTriggers)</f>
        <v>8.7114808502718622E-3</v>
      </c>
      <c r="V88" s="60">
        <f>_xll.qlYieldTSDiscount(OisCurve,R88,,AllTriggers)</f>
        <v>0.78499698494796488</v>
      </c>
      <c r="W88" s="60">
        <f>_xll.qlYieldTSDiscount(OisCurve,S88,,AllTriggers)</f>
        <v>0.78170370535535916</v>
      </c>
      <c r="X88" s="59">
        <f t="shared" si="20"/>
        <v>8.2427306814908639E-3</v>
      </c>
      <c r="Y88" s="59">
        <f t="shared" si="18"/>
        <v>4.6875016878099827E-4</v>
      </c>
      <c r="Z88" s="59">
        <f t="shared" si="21"/>
        <v>4.9771274252194593E-4</v>
      </c>
      <c r="AA88" s="59">
        <f t="shared" si="19"/>
        <v>2.8962573740947653E-5</v>
      </c>
      <c r="AB88" s="58">
        <f>_xll.qlDayCounterYearFraction(DayCounter,SettlementDate,R88,,,Trigger)</f>
        <v>35.522222222222226</v>
      </c>
      <c r="AC88" s="59">
        <f>_xll.qlAbcdMathFunctionValue($M$24,AB88)</f>
        <v>4.9417962772993896E-4</v>
      </c>
      <c r="AD88" s="59">
        <f t="shared" si="22"/>
        <v>2.542945894894069E-5</v>
      </c>
    </row>
    <row r="89" spans="15:30" x14ac:dyDescent="0.2">
      <c r="O89" s="65">
        <v>6</v>
      </c>
      <c r="P89" s="56" t="str">
        <f>_xll.qlPeriodEquivalent(P88&amp;"+"&amp;O89&amp;"M")</f>
        <v>35Y6M</v>
      </c>
      <c r="Q89" s="57">
        <f>_xll.qlCalendarAdvance(Calendar,SettlementDate,P89,"f",,Trigger)</f>
        <v>55092</v>
      </c>
      <c r="R89" s="57">
        <f>_xll.qlInterestRateIndexValueDate(Index,Q89,Trigger)</f>
        <v>55094</v>
      </c>
      <c r="S89" s="57">
        <f>_xll.qlInterestRateIndexMaturity(Index,R89,Trigger)</f>
        <v>55275</v>
      </c>
      <c r="T89" s="58">
        <f>_xll.qlDayCounterYearFraction(DayCounter,R89,S89,,,Trigger)</f>
        <v>0.50277777777777777</v>
      </c>
      <c r="U89" s="59">
        <f>_xll.qlIndexFixing(Index,Q89,,AllTriggers)</f>
        <v>8.6254495299259108E-3</v>
      </c>
      <c r="V89" s="60">
        <f>_xll.qlYieldTSDiscount(OisCurve,R89,,AllTriggers)</f>
        <v>0.78172146007860532</v>
      </c>
      <c r="W89" s="60">
        <f>_xll.qlYieldTSDiscount(OisCurve,S89,,AllTriggers)</f>
        <v>0.77853498995519121</v>
      </c>
      <c r="X89" s="59">
        <f t="shared" si="20"/>
        <v>8.1405854765364896E-3</v>
      </c>
      <c r="Y89" s="59">
        <f t="shared" si="18"/>
        <v>4.8486405338942114E-4</v>
      </c>
      <c r="Z89" s="59">
        <f t="shared" si="21"/>
        <v>4.8371337060494228E-4</v>
      </c>
      <c r="AA89" s="59">
        <f t="shared" si="19"/>
        <v>-1.1506827844788591E-6</v>
      </c>
      <c r="AB89" s="58">
        <f>_xll.qlDayCounterYearFraction(DayCounter,SettlementDate,R89,,,Trigger)</f>
        <v>36.030555555555559</v>
      </c>
      <c r="AC89" s="59">
        <f>_xll.qlAbcdMathFunctionValue($M$24,AB89)</f>
        <v>4.8805423812224927E-4</v>
      </c>
      <c r="AD89" s="59">
        <f t="shared" si="22"/>
        <v>3.1901847328281302E-6</v>
      </c>
    </row>
    <row r="90" spans="15:30" x14ac:dyDescent="0.2">
      <c r="O90" s="65">
        <v>6</v>
      </c>
      <c r="P90" s="56" t="str">
        <f>_xll.qlPeriodEquivalent(P89&amp;"+"&amp;O90&amp;"M")</f>
        <v>36Y</v>
      </c>
      <c r="Q90" s="57">
        <f>_xll.qlCalendarAdvance(Calendar,SettlementDate,P90,"f",,Trigger)</f>
        <v>55275</v>
      </c>
      <c r="R90" s="57">
        <f>_xll.qlInterestRateIndexValueDate(Index,Q90,Trigger)</f>
        <v>55277</v>
      </c>
      <c r="S90" s="57">
        <f>_xll.qlInterestRateIndexMaturity(Index,R90,Trigger)</f>
        <v>55463</v>
      </c>
      <c r="T90" s="58">
        <f>_xll.qlDayCounterYearFraction(DayCounter,R90,S90,,,Trigger)</f>
        <v>0.51666666666666672</v>
      </c>
      <c r="U90" s="59">
        <f>_xll.qlIndexFixing(Index,Q90,,AllTriggers)</f>
        <v>8.5270677634927752E-3</v>
      </c>
      <c r="V90" s="60">
        <f>_xll.qlYieldTSDiscount(OisCurve,R90,,AllTriggers)</f>
        <v>0.77850009397691589</v>
      </c>
      <c r="W90" s="60">
        <f>_xll.qlYieldTSDiscount(OisCurve,S90,,AllTriggers)</f>
        <v>0.77528642556164074</v>
      </c>
      <c r="X90" s="59">
        <f t="shared" si="20"/>
        <v>8.0228457242723355E-3</v>
      </c>
      <c r="Y90" s="59">
        <f t="shared" si="18"/>
        <v>5.0422203922043975E-4</v>
      </c>
      <c r="Z90" s="59">
        <f t="shared" si="21"/>
        <v>4.9128543610987884E-4</v>
      </c>
      <c r="AA90" s="59">
        <f t="shared" si="19"/>
        <v>-1.2936603110560909E-5</v>
      </c>
      <c r="AB90" s="58">
        <f>_xll.qlDayCounterYearFraction(DayCounter,SettlementDate,R90,,,Trigger)</f>
        <v>36.538888888888891</v>
      </c>
      <c r="AC90" s="59">
        <f>_xll.qlAbcdMathFunctionValue($M$24,AB90)</f>
        <v>4.8230792090362231E-4</v>
      </c>
      <c r="AD90" s="59">
        <f t="shared" si="22"/>
        <v>-2.1914118316817438E-5</v>
      </c>
    </row>
    <row r="91" spans="15:30" x14ac:dyDescent="0.2">
      <c r="O91" s="65">
        <v>6</v>
      </c>
      <c r="P91" s="56" t="str">
        <f>_xll.qlPeriodEquivalent(P90&amp;"+"&amp;O91&amp;"M")</f>
        <v>36Y6M</v>
      </c>
      <c r="Q91" s="57">
        <f>_xll.qlCalendarAdvance(Calendar,SettlementDate,P91,"f",,Trigger)</f>
        <v>55456</v>
      </c>
      <c r="R91" s="57">
        <f>_xll.qlInterestRateIndexValueDate(Index,Q91,Trigger)</f>
        <v>55458</v>
      </c>
      <c r="S91" s="57">
        <f>_xll.qlInterestRateIndexMaturity(Index,R91,Trigger)</f>
        <v>55641</v>
      </c>
      <c r="T91" s="58">
        <f>_xll.qlDayCounterYearFraction(DayCounter,R91,S91,,,Trigger)</f>
        <v>0.5083333333333333</v>
      </c>
      <c r="U91" s="59">
        <f>_xll.qlIndexFixing(Index,Q91,,AllTriggers)</f>
        <v>8.4202962399953247E-3</v>
      </c>
      <c r="V91" s="60">
        <f>_xll.qlYieldTSDiscount(OisCurve,R91,,AllTriggers)</f>
        <v>0.77537197362054067</v>
      </c>
      <c r="W91" s="60">
        <f>_xll.qlYieldTSDiscount(OisCurve,S91,,AllTriggers)</f>
        <v>0.77227271198946434</v>
      </c>
      <c r="X91" s="59">
        <f t="shared" si="20"/>
        <v>7.8947605321974222E-3</v>
      </c>
      <c r="Y91" s="59">
        <f t="shared" si="18"/>
        <v>5.2553570779790247E-4</v>
      </c>
      <c r="Z91" s="59">
        <f t="shared" si="21"/>
        <v>4.7819403032441218E-4</v>
      </c>
      <c r="AA91" s="59">
        <f t="shared" si="19"/>
        <v>-4.7341677473490291E-5</v>
      </c>
      <c r="AB91" s="58">
        <f>_xll.qlDayCounterYearFraction(DayCounter,SettlementDate,R91,,,Trigger)</f>
        <v>37.041666666666664</v>
      </c>
      <c r="AC91" s="59">
        <f>_xll.qlAbcdMathFunctionValue($M$24,AB91)</f>
        <v>4.7697561124444848E-4</v>
      </c>
      <c r="AD91" s="59">
        <f t="shared" si="22"/>
        <v>-4.8560096553453989E-5</v>
      </c>
    </row>
    <row r="92" spans="15:30" x14ac:dyDescent="0.2">
      <c r="O92" s="65">
        <v>6</v>
      </c>
      <c r="P92" s="56" t="str">
        <f>_xll.qlPeriodEquivalent(P91&amp;"+"&amp;O92&amp;"M")</f>
        <v>37Y</v>
      </c>
      <c r="Q92" s="57">
        <f>_xll.qlCalendarAdvance(Calendar,SettlementDate,P92,"f",,Trigger)</f>
        <v>55638</v>
      </c>
      <c r="R92" s="57">
        <f>_xll.qlInterestRateIndexValueDate(Index,Q92,Trigger)</f>
        <v>55641</v>
      </c>
      <c r="S92" s="57">
        <f>_xll.qlInterestRateIndexMaturity(Index,R92,Trigger)</f>
        <v>55827</v>
      </c>
      <c r="T92" s="58">
        <f>_xll.qlDayCounterYearFraction(DayCounter,R92,S92,,,Trigger)</f>
        <v>0.51666666666666672</v>
      </c>
      <c r="U92" s="59">
        <f>_xll.qlIndexFixing(Index,Q92,,AllTriggers)</f>
        <v>8.3000315705313594E-3</v>
      </c>
      <c r="V92" s="60">
        <f>_xll.qlYieldTSDiscount(OisCurve,R92,,AllTriggers)</f>
        <v>0.77227271198946434</v>
      </c>
      <c r="W92" s="60">
        <f>_xll.qlYieldTSDiscount(OisCurve,S92,,AllTriggers)</f>
        <v>0.76919283088252632</v>
      </c>
      <c r="X92" s="59">
        <f t="shared" si="20"/>
        <v>7.7497604861154193E-3</v>
      </c>
      <c r="Y92" s="59">
        <f t="shared" si="18"/>
        <v>5.5027108441594013E-4</v>
      </c>
      <c r="Z92" s="59">
        <f t="shared" si="21"/>
        <v>4.8097509705248396E-4</v>
      </c>
      <c r="AA92" s="59">
        <f t="shared" si="19"/>
        <v>-6.9295987363456166E-5</v>
      </c>
      <c r="AB92" s="58">
        <f>_xll.qlDayCounterYearFraction(DayCounter,SettlementDate,R92,,,Trigger)</f>
        <v>37.549999999999997</v>
      </c>
      <c r="AC92" s="59">
        <f>_xll.qlAbcdMathFunctionValue($M$24,AB92)</f>
        <v>4.7191870227518678E-4</v>
      </c>
      <c r="AD92" s="59">
        <f t="shared" si="22"/>
        <v>-7.8352382140753352E-5</v>
      </c>
    </row>
    <row r="93" spans="15:30" x14ac:dyDescent="0.2">
      <c r="O93" s="65">
        <v>6</v>
      </c>
      <c r="P93" s="56" t="str">
        <f>_xll.qlPeriodEquivalent(P92&amp;"+"&amp;O93&amp;"M")</f>
        <v>37Y6M</v>
      </c>
      <c r="Q93" s="57">
        <f>_xll.qlCalendarAdvance(Calendar,SettlementDate,P93,"f",,Trigger)</f>
        <v>55821</v>
      </c>
      <c r="R93" s="57">
        <f>_xll.qlInterestRateIndexValueDate(Index,Q93,Trigger)</f>
        <v>55823</v>
      </c>
      <c r="S93" s="57">
        <f>_xll.qlInterestRateIndexMaturity(Index,R93,Trigger)</f>
        <v>56004</v>
      </c>
      <c r="T93" s="58">
        <f>_xll.qlDayCounterYearFraction(DayCounter,R93,S93,,,Trigger)</f>
        <v>0.50277777777777777</v>
      </c>
      <c r="U93" s="59">
        <f>_xll.qlIndexFixing(Index,Q93,,AllTriggers)</f>
        <v>8.1715321508977097E-3</v>
      </c>
      <c r="V93" s="60">
        <f>_xll.qlYieldTSDiscount(OisCurve,R93,,AllTriggers)</f>
        <v>0.76925828670647012</v>
      </c>
      <c r="W93" s="60">
        <f>_xll.qlYieldTSDiscount(OisCurve,S93,,AllTriggers)</f>
        <v>0.7663321151521163</v>
      </c>
      <c r="X93" s="59">
        <f t="shared" si="20"/>
        <v>7.594631108747865E-3</v>
      </c>
      <c r="Y93" s="59">
        <f t="shared" si="18"/>
        <v>5.769010421498447E-4</v>
      </c>
      <c r="Z93" s="59">
        <f t="shared" si="21"/>
        <v>4.6355792852723028E-4</v>
      </c>
      <c r="AA93" s="59">
        <f t="shared" si="19"/>
        <v>-1.1334311362261443E-4</v>
      </c>
      <c r="AB93" s="58">
        <f>_xll.qlDayCounterYearFraction(DayCounter,SettlementDate,R93,,,Trigger)</f>
        <v>38.055555555555557</v>
      </c>
      <c r="AC93" s="59">
        <f>_xll.qlAbcdMathFunctionValue($M$24,AB93)</f>
        <v>4.6720325758099616E-4</v>
      </c>
      <c r="AD93" s="59">
        <f t="shared" si="22"/>
        <v>-1.0969778456884855E-4</v>
      </c>
    </row>
    <row r="94" spans="15:30" x14ac:dyDescent="0.2">
      <c r="O94" s="65">
        <v>6</v>
      </c>
      <c r="P94" s="56" t="str">
        <f>_xll.qlPeriodEquivalent(P93&amp;"+"&amp;O94&amp;"M")</f>
        <v>38Y</v>
      </c>
      <c r="Q94" s="57">
        <f>_xll.qlCalendarAdvance(Calendar,SettlementDate,P94,"f",,Trigger)</f>
        <v>56003</v>
      </c>
      <c r="R94" s="57">
        <f>_xll.qlInterestRateIndexValueDate(Index,Q94,Trigger)</f>
        <v>56006</v>
      </c>
      <c r="S94" s="57">
        <f>_xll.qlInterestRateIndexMaturity(Index,R94,Trigger)</f>
        <v>56191</v>
      </c>
      <c r="T94" s="58">
        <f>_xll.qlDayCounterYearFraction(DayCounter,R94,S94,,,Trigger)</f>
        <v>0.51388888888888884</v>
      </c>
      <c r="U94" s="59">
        <f>_xll.qlIndexFixing(Index,Q94,,AllTriggers)</f>
        <v>8.0287728299431853E-3</v>
      </c>
      <c r="V94" s="60">
        <f>_xll.qlYieldTSDiscount(OisCurve,R94,,AllTriggers)</f>
        <v>0.76630019782863668</v>
      </c>
      <c r="W94" s="60">
        <f>_xll.qlYieldTSDiscount(OisCurve,S94,,AllTriggers)</f>
        <v>0.76338874908118881</v>
      </c>
      <c r="X94" s="59">
        <f t="shared" si="20"/>
        <v>7.421542292501279E-3</v>
      </c>
      <c r="Y94" s="59">
        <f t="shared" si="18"/>
        <v>6.0723053744190635E-4</v>
      </c>
      <c r="Z94" s="59">
        <f t="shared" si="21"/>
        <v>4.693756545382365E-4</v>
      </c>
      <c r="AA94" s="59">
        <f t="shared" si="19"/>
        <v>-1.3785488290366985E-4</v>
      </c>
      <c r="AB94" s="58">
        <f>_xll.qlDayCounterYearFraction(DayCounter,SettlementDate,R94,,,Trigger)</f>
        <v>38.56388888888889</v>
      </c>
      <c r="AC94" s="59">
        <f>_xll.qlAbcdMathFunctionValue($M$24,AB94)</f>
        <v>4.627587598385164E-4</v>
      </c>
      <c r="AD94" s="59">
        <f t="shared" si="22"/>
        <v>-1.4447177760338996E-4</v>
      </c>
    </row>
    <row r="95" spans="15:30" x14ac:dyDescent="0.2">
      <c r="O95" s="65">
        <v>6</v>
      </c>
      <c r="P95" s="56" t="str">
        <f>_xll.qlPeriodEquivalent(P94&amp;"+"&amp;O95&amp;"M")</f>
        <v>38Y6M</v>
      </c>
      <c r="Q95" s="57">
        <f>_xll.qlCalendarAdvance(Calendar,SettlementDate,P95,"f",,Trigger)</f>
        <v>56186</v>
      </c>
      <c r="R95" s="57">
        <f>_xll.qlInterestRateIndexValueDate(Index,Q95,Trigger)</f>
        <v>56188</v>
      </c>
      <c r="S95" s="57">
        <f>_xll.qlInterestRateIndexMaturity(Index,R95,Trigger)</f>
        <v>56369</v>
      </c>
      <c r="T95" s="58">
        <f>_xll.qlDayCounterYearFraction(DayCounter,R95,S95,,,Trigger)</f>
        <v>0.50277777777777777</v>
      </c>
      <c r="U95" s="59">
        <f>_xll.qlIndexFixing(Index,Q95,,AllTriggers)</f>
        <v>7.8783678217089984E-3</v>
      </c>
      <c r="V95" s="60">
        <f>_xll.qlYieldTSDiscount(OisCurve,R95,,AllTriggers)</f>
        <v>0.76343530383319758</v>
      </c>
      <c r="W95" s="60">
        <f>_xll.qlYieldTSDiscount(OisCurve,S95,,AllTriggers)</f>
        <v>0.76066675375862591</v>
      </c>
      <c r="X95" s="59">
        <f t="shared" si="20"/>
        <v>7.2390549585651899E-3</v>
      </c>
      <c r="Y95" s="59">
        <f t="shared" si="18"/>
        <v>6.3931286314380855E-4</v>
      </c>
      <c r="Z95" s="59">
        <f t="shared" si="21"/>
        <v>4.5528050443501738E-4</v>
      </c>
      <c r="AA95" s="59">
        <f t="shared" si="19"/>
        <v>-1.8403235870879118E-4</v>
      </c>
      <c r="AB95" s="58">
        <f>_xll.qlDayCounterYearFraction(DayCounter,SettlementDate,R95,,,Trigger)</f>
        <v>39.069444444444443</v>
      </c>
      <c r="AC95" s="59">
        <f>_xll.qlAbcdMathFunctionValue($M$24,AB95)</f>
        <v>4.5861622477973369E-4</v>
      </c>
      <c r="AD95" s="59">
        <f t="shared" si="22"/>
        <v>-1.8069663836407486E-4</v>
      </c>
    </row>
    <row r="96" spans="15:30" x14ac:dyDescent="0.2">
      <c r="O96" s="65">
        <v>6</v>
      </c>
      <c r="P96" s="56" t="str">
        <f>_xll.qlPeriodEquivalent(P95&amp;"+"&amp;O96&amp;"M")</f>
        <v>39Y</v>
      </c>
      <c r="Q96" s="57">
        <f>_xll.qlCalendarAdvance(Calendar,SettlementDate,P96,"f",,Trigger)</f>
        <v>56368</v>
      </c>
      <c r="R96" s="57">
        <f>_xll.qlInterestRateIndexValueDate(Index,Q96,Trigger)</f>
        <v>56373</v>
      </c>
      <c r="S96" s="57">
        <f>_xll.qlInterestRateIndexMaturity(Index,R96,Trigger)</f>
        <v>56557</v>
      </c>
      <c r="T96" s="58">
        <f>_xll.qlDayCounterYearFraction(DayCounter,R96,S96,,,Trigger)</f>
        <v>0.51111111111111107</v>
      </c>
      <c r="U96" s="59">
        <f>_xll.qlIndexFixing(Index,Q96,,AllTriggers)</f>
        <v>7.7118404250878366E-3</v>
      </c>
      <c r="V96" s="60">
        <f>_xll.qlYieldTSDiscount(OisCurve,R96,,AllTriggers)</f>
        <v>0.76060651126933976</v>
      </c>
      <c r="W96" s="60">
        <f>_xll.qlYieldTSDiscount(OisCurve,S96,,AllTriggers)</f>
        <v>0.75788088564665823</v>
      </c>
      <c r="X96" s="59">
        <f t="shared" si="20"/>
        <v>7.0363903939302018E-3</v>
      </c>
      <c r="Y96" s="59">
        <f t="shared" si="18"/>
        <v>6.7545003115763481E-4</v>
      </c>
      <c r="Z96" s="59">
        <f t="shared" si="21"/>
        <v>4.5893715501736041E-4</v>
      </c>
      <c r="AA96" s="59">
        <f t="shared" si="19"/>
        <v>-2.165128761402744E-4</v>
      </c>
      <c r="AB96" s="58">
        <f>_xll.qlDayCounterYearFraction(DayCounter,SettlementDate,R96,,,Trigger)</f>
        <v>39.583333333333336</v>
      </c>
      <c r="AC96" s="59">
        <f>_xll.qlAbcdMathFunctionValue($M$24,AB96)</f>
        <v>4.5467215112085806E-4</v>
      </c>
      <c r="AD96" s="59">
        <f t="shared" si="22"/>
        <v>-2.2077788003677676E-4</v>
      </c>
    </row>
    <row r="97" spans="15:30" x14ac:dyDescent="0.2">
      <c r="O97" s="65">
        <v>6</v>
      </c>
      <c r="P97" s="56" t="str">
        <f>_xll.qlPeriodEquivalent(P96&amp;"+"&amp;O97&amp;"M")</f>
        <v>39Y6M</v>
      </c>
      <c r="Q97" s="57">
        <f>_xll.qlCalendarAdvance(Calendar,SettlementDate,P97,"f",,Trigger)</f>
        <v>56551</v>
      </c>
      <c r="R97" s="57">
        <f>_xll.qlInterestRateIndexValueDate(Index,Q97,Trigger)</f>
        <v>56555</v>
      </c>
      <c r="S97" s="57">
        <f>_xll.qlInterestRateIndexMaturity(Index,R97,Trigger)</f>
        <v>56737</v>
      </c>
      <c r="T97" s="58">
        <f>_xll.qlDayCounterYearFraction(DayCounter,R97,S97,,,Trigger)</f>
        <v>0.50555555555555554</v>
      </c>
      <c r="U97" s="59">
        <f>_xll.qlIndexFixing(Index,Q97,,AllTriggers)</f>
        <v>7.5388720643756561E-3</v>
      </c>
      <c r="V97" s="60">
        <f>_xll.qlYieldTSDiscount(OisCurve,R97,,AllTriggers)</f>
        <v>0.75791002478113956</v>
      </c>
      <c r="W97" s="60">
        <f>_xll.qlYieldTSDiscount(OisCurve,S97,,AllTriggers)</f>
        <v>0.75530364199876587</v>
      </c>
      <c r="X97" s="59">
        <f t="shared" si="20"/>
        <v>6.8257084171210311E-3</v>
      </c>
      <c r="Y97" s="59">
        <f t="shared" si="18"/>
        <v>7.1316364725462506E-4</v>
      </c>
      <c r="Z97" s="59">
        <f t="shared" si="21"/>
        <v>4.5045530877876893E-4</v>
      </c>
      <c r="AA97" s="59">
        <f t="shared" si="19"/>
        <v>-2.6270833847585613E-4</v>
      </c>
      <c r="AB97" s="58">
        <f>_xll.qlDayCounterYearFraction(DayCounter,SettlementDate,R97,,,Trigger)</f>
        <v>40.088888888888889</v>
      </c>
      <c r="AC97" s="59">
        <f>_xll.qlAbcdMathFunctionValue($M$24,AB97)</f>
        <v>4.5103863389919156E-4</v>
      </c>
      <c r="AD97" s="59">
        <f t="shared" si="22"/>
        <v>-2.621250133554335E-4</v>
      </c>
    </row>
    <row r="98" spans="15:30" x14ac:dyDescent="0.2">
      <c r="O98" s="65">
        <v>6</v>
      </c>
      <c r="P98" s="56" t="str">
        <f>_xll.qlPeriodEquivalent(P97&amp;"+"&amp;O98&amp;"M")</f>
        <v>40Y</v>
      </c>
      <c r="Q98" s="57">
        <f>_xll.qlCalendarAdvance(Calendar,SettlementDate,P98,"f",,Trigger)</f>
        <v>56733</v>
      </c>
      <c r="R98" s="57">
        <f>_xll.qlInterestRateIndexValueDate(Index,Q98,Trigger)</f>
        <v>56737</v>
      </c>
      <c r="S98" s="57">
        <f>_xll.qlInterestRateIndexMaturity(Index,R98,Trigger)</f>
        <v>56921</v>
      </c>
      <c r="T98" s="58">
        <f>_xll.qlDayCounterYearFraction(DayCounter,R98,S98,,,Trigger)</f>
        <v>0.51111111111111107</v>
      </c>
      <c r="U98" s="59">
        <f>_xll.qlIndexFixing(Index,Q98,,AllTriggers)</f>
        <v>7.3557343667435514E-3</v>
      </c>
      <c r="V98" s="60">
        <f>_xll.qlYieldTSDiscount(OisCurve,R98,,AllTriggers)</f>
        <v>0.75530364199876587</v>
      </c>
      <c r="W98" s="60">
        <f>_xll.qlYieldTSDiscount(OisCurve,S98,,AllTriggers)</f>
        <v>0.75276248513146615</v>
      </c>
      <c r="X98" s="59">
        <f t="shared" si="20"/>
        <v>6.6047774053780497E-3</v>
      </c>
      <c r="Y98" s="59">
        <f t="shared" si="18"/>
        <v>7.5095696136550164E-4</v>
      </c>
      <c r="Z98" s="59">
        <f t="shared" si="21"/>
        <v>4.52063788449089E-4</v>
      </c>
      <c r="AA98" s="59">
        <f t="shared" si="19"/>
        <v>-2.9889317291641263E-4</v>
      </c>
      <c r="AB98" s="58">
        <f>_xll.qlDayCounterYearFraction(DayCounter,SettlementDate,R98,,,Trigger)</f>
        <v>40.594444444444441</v>
      </c>
      <c r="AC98" s="59">
        <f>_xll.qlAbcdMathFunctionValue($M$24,AB98)</f>
        <v>4.4763488245971514E-4</v>
      </c>
      <c r="AD98" s="59">
        <f t="shared" si="22"/>
        <v>-3.0332207890578649E-4</v>
      </c>
    </row>
    <row r="99" spans="15:30" x14ac:dyDescent="0.2">
      <c r="O99" s="65">
        <v>6</v>
      </c>
      <c r="P99" s="56" t="str">
        <f>_xll.qlPeriodEquivalent(P98&amp;"+"&amp;O99&amp;"M")</f>
        <v>40Y6M</v>
      </c>
      <c r="Q99" s="57">
        <f>_xll.qlCalendarAdvance(Calendar,SettlementDate,P99,"f",,Trigger)</f>
        <v>56916</v>
      </c>
      <c r="R99" s="57">
        <f>_xll.qlInterestRateIndexValueDate(Index,Q99,Trigger)</f>
        <v>56920</v>
      </c>
      <c r="S99" s="57">
        <f>_xll.qlInterestRateIndexMaturity(Index,R99,Trigger)</f>
        <v>57102</v>
      </c>
      <c r="T99" s="58">
        <f>_xll.qlDayCounterYearFraction(DayCounter,R99,S99,,,Trigger)</f>
        <v>0.50555555555555554</v>
      </c>
      <c r="U99" s="59">
        <f>_xll.qlIndexFixing(Index,Q99,,AllTriggers)</f>
        <v>7.1736623278549801E-3</v>
      </c>
      <c r="V99" s="60">
        <f>_xll.qlYieldTSDiscount(OisCurve,R99,,AllTriggers)</f>
        <v>0.75277604915465224</v>
      </c>
      <c r="W99" s="60">
        <f>_xll.qlYieldTSDiscount(OisCurve,S99,,AllTriggers)</f>
        <v>0.75034939731095973</v>
      </c>
      <c r="X99" s="59">
        <f t="shared" si="20"/>
        <v>6.3969807892603229E-3</v>
      </c>
      <c r="Y99" s="59">
        <f t="shared" ref="Y99:Y130" si="23">U99-X99</f>
        <v>7.7668153859465714E-4</v>
      </c>
      <c r="Z99" s="59">
        <f t="shared" si="21"/>
        <v>4.4407431052131805E-4</v>
      </c>
      <c r="AA99" s="59">
        <f t="shared" ref="AA99:AA130" si="24">(Z99-Y99)</f>
        <v>-3.3260722807333909E-4</v>
      </c>
      <c r="AB99" s="58">
        <f>_xll.qlDayCounterYearFraction(DayCounter,SettlementDate,R99,,,Trigger)</f>
        <v>41.102777777777774</v>
      </c>
      <c r="AC99" s="59">
        <f>_xll.qlAbcdMathFunctionValue($M$24,AB99)</f>
        <v>4.4443004485115317E-4</v>
      </c>
      <c r="AD99" s="59">
        <f t="shared" si="22"/>
        <v>-3.3225149374350397E-4</v>
      </c>
    </row>
    <row r="100" spans="15:30" x14ac:dyDescent="0.2">
      <c r="O100" s="65">
        <v>6</v>
      </c>
      <c r="P100" s="56" t="str">
        <f>_xll.qlPeriodEquivalent(P99&amp;"+"&amp;O100&amp;"M")</f>
        <v>41Y</v>
      </c>
      <c r="Q100" s="57">
        <f>_xll.qlCalendarAdvance(Calendar,SettlementDate,P100,"f",,Trigger)</f>
        <v>57102</v>
      </c>
      <c r="R100" s="57">
        <f>_xll.qlInterestRateIndexValueDate(Index,Q100,Trigger)</f>
        <v>57104</v>
      </c>
      <c r="S100" s="57">
        <f>_xll.qlInterestRateIndexMaturity(Index,R100,Trigger)</f>
        <v>57290</v>
      </c>
      <c r="T100" s="58">
        <f>_xll.qlDayCounterYearFraction(DayCounter,R100,S100,,,Trigger)</f>
        <v>0.51666666666666672</v>
      </c>
      <c r="U100" s="59">
        <f>_xll.qlIndexFixing(Index,Q100,,AllTriggers)</f>
        <v>6.9905327165867368E-3</v>
      </c>
      <c r="V100" s="60">
        <f>_xll.qlYieldTSDiscount(OisCurve,R100,,AllTriggers)</f>
        <v>0.75032318670508003</v>
      </c>
      <c r="W100" s="60">
        <f>_xll.qlYieldTSDiscount(OisCurve,S100,,AllTriggers)</f>
        <v>0.74792638594079386</v>
      </c>
      <c r="X100" s="59">
        <f t="shared" si="20"/>
        <v>6.2024409198557064E-3</v>
      </c>
      <c r="Y100" s="59">
        <f t="shared" si="23"/>
        <v>7.8809179673103042E-4</v>
      </c>
      <c r="Z100" s="59">
        <f t="shared" si="21"/>
        <v>4.5083150743240377E-4</v>
      </c>
      <c r="AA100" s="59">
        <f t="shared" si="24"/>
        <v>-3.3726028929862665E-4</v>
      </c>
      <c r="AB100" s="58">
        <f>_xll.qlDayCounterYearFraction(DayCounter,SettlementDate,R100,,,Trigger)</f>
        <v>41.613888888888887</v>
      </c>
      <c r="AC100" s="59">
        <f>_xll.qlAbcdMathFunctionValue($M$24,AB100)</f>
        <v>4.4141425236855915E-4</v>
      </c>
      <c r="AD100" s="59">
        <f t="shared" si="22"/>
        <v>-3.4667754436247127E-4</v>
      </c>
    </row>
    <row r="101" spans="15:30" x14ac:dyDescent="0.2">
      <c r="O101" s="65">
        <v>6</v>
      </c>
      <c r="P101" s="56" t="str">
        <f>_xll.qlPeriodEquivalent(P100&amp;"+"&amp;O101&amp;"M")</f>
        <v>41Y6M</v>
      </c>
      <c r="Q101" s="57">
        <f>_xll.qlCalendarAdvance(Calendar,SettlementDate,P101,"f",,Trigger)</f>
        <v>57283</v>
      </c>
      <c r="R101" s="57">
        <f>_xll.qlInterestRateIndexValueDate(Index,Q101,Trigger)</f>
        <v>57285</v>
      </c>
      <c r="S101" s="57">
        <f>_xll.qlInterestRateIndexMaturity(Index,R101,Trigger)</f>
        <v>57467</v>
      </c>
      <c r="T101" s="58">
        <f>_xll.qlDayCounterYearFraction(DayCounter,R101,S101,,,Trigger)</f>
        <v>0.50555555555555554</v>
      </c>
      <c r="U101" s="59">
        <f>_xll.qlIndexFixing(Index,Q101,,AllTriggers)</f>
        <v>6.8161519828582049E-3</v>
      </c>
      <c r="V101" s="60">
        <f>_xll.qlYieldTSDiscount(OisCurve,R101,,AllTriggers)</f>
        <v>0.74798979270891208</v>
      </c>
      <c r="W101" s="60">
        <f>_xll.qlYieldTSDiscount(OisCurve,S101,,AllTriggers)</f>
        <v>0.74571595594744577</v>
      </c>
      <c r="X101" s="59">
        <f t="shared" si="20"/>
        <v>6.0313837363185135E-3</v>
      </c>
      <c r="Y101" s="59">
        <f t="shared" si="23"/>
        <v>7.8476824653969136E-4</v>
      </c>
      <c r="Z101" s="59">
        <f t="shared" si="21"/>
        <v>4.3849125888751879E-4</v>
      </c>
      <c r="AA101" s="59">
        <f t="shared" si="24"/>
        <v>-3.4627698765217257E-4</v>
      </c>
      <c r="AB101" s="58">
        <f>_xll.qlDayCounterYearFraction(DayCounter,SettlementDate,R101,,,Trigger)</f>
        <v>42.116666666666667</v>
      </c>
      <c r="AC101" s="59">
        <f>_xll.qlAbcdMathFunctionValue($M$24,AB101)</f>
        <v>4.3863733084570621E-4</v>
      </c>
      <c r="AD101" s="59">
        <f t="shared" si="22"/>
        <v>-3.4613091569398515E-4</v>
      </c>
    </row>
    <row r="102" spans="15:30" x14ac:dyDescent="0.2">
      <c r="O102" s="65">
        <v>6</v>
      </c>
      <c r="P102" s="56" t="str">
        <f>_xll.qlPeriodEquivalent(P101&amp;"+"&amp;O102&amp;"M")</f>
        <v>42Y</v>
      </c>
      <c r="Q102" s="57">
        <f>_xll.qlCalendarAdvance(Calendar,SettlementDate,P102,"f",,Trigger)</f>
        <v>57465</v>
      </c>
      <c r="R102" s="57">
        <f>_xll.qlInterestRateIndexValueDate(Index,Q102,Trigger)</f>
        <v>57468</v>
      </c>
      <c r="S102" s="57">
        <f>_xll.qlInterestRateIndexMaturity(Index,R102,Trigger)</f>
        <v>57654</v>
      </c>
      <c r="T102" s="58">
        <f>_xll.qlDayCounterYearFraction(DayCounter,R102,S102,,,Trigger)</f>
        <v>0.51666666666666672</v>
      </c>
      <c r="U102" s="59">
        <f>_xll.qlIndexFixing(Index,Q102,,AllTriggers)</f>
        <v>6.6389306987574455E-3</v>
      </c>
      <c r="V102" s="60">
        <f>_xll.qlYieldTSDiscount(OisCurve,R102,,AllTriggers)</f>
        <v>0.74570365020387952</v>
      </c>
      <c r="W102" s="60">
        <f>_xll.qlYieldTSDiscount(OisCurve,S102,,AllTriggers)</f>
        <v>0.74344804501852435</v>
      </c>
      <c r="X102" s="59">
        <f t="shared" si="20"/>
        <v>5.872215933283396E-3</v>
      </c>
      <c r="Y102" s="59">
        <f t="shared" si="23"/>
        <v>7.6671476547404954E-4</v>
      </c>
      <c r="Z102" s="59">
        <f t="shared" si="21"/>
        <v>4.4551635855269819E-4</v>
      </c>
      <c r="AA102" s="59">
        <f t="shared" si="24"/>
        <v>-3.2119840692135135E-4</v>
      </c>
      <c r="AB102" s="58">
        <f>_xll.qlDayCounterYearFraction(DayCounter,SettlementDate,R102,,,Trigger)</f>
        <v>42.625</v>
      </c>
      <c r="AC102" s="59">
        <f>_xll.qlAbcdMathFunctionValue($M$24,AB102)</f>
        <v>4.3600922882122684E-4</v>
      </c>
      <c r="AD102" s="59">
        <f t="shared" si="22"/>
        <v>-3.307055366528227E-4</v>
      </c>
    </row>
    <row r="103" spans="15:30" x14ac:dyDescent="0.2">
      <c r="O103" s="65">
        <v>6</v>
      </c>
      <c r="P103" s="56" t="str">
        <f>_xll.qlPeriodEquivalent(P102&amp;"+"&amp;O103&amp;"M")</f>
        <v>42Y6M</v>
      </c>
      <c r="Q103" s="57">
        <f>_xll.qlCalendarAdvance(Calendar,SettlementDate,P103,"f",,Trigger)</f>
        <v>57647</v>
      </c>
      <c r="R103" s="57">
        <f>_xll.qlInterestRateIndexValueDate(Index,Q103,Trigger)</f>
        <v>57649</v>
      </c>
      <c r="S103" s="57">
        <f>_xll.qlInterestRateIndexMaturity(Index,R103,Trigger)</f>
        <v>57830</v>
      </c>
      <c r="T103" s="58">
        <f>_xll.qlDayCounterYearFraction(DayCounter,R103,S103,,,Trigger)</f>
        <v>0.50277777777777777</v>
      </c>
      <c r="U103" s="59">
        <f>_xll.qlIndexFixing(Index,Q103,,AllTriggers)</f>
        <v>6.4697675803776344E-3</v>
      </c>
      <c r="V103" s="60">
        <f>_xll.qlYieldTSDiscount(OisCurve,R103,,AllTriggers)</f>
        <v>0.74350784523557911</v>
      </c>
      <c r="W103" s="60">
        <f>_xll.qlYieldTSDiscount(OisCurve,S103,,AllTriggers)</f>
        <v>0.74137027912548348</v>
      </c>
      <c r="X103" s="59">
        <f t="shared" si="20"/>
        <v>5.7346683902377198E-3</v>
      </c>
      <c r="Y103" s="59">
        <f t="shared" si="23"/>
        <v>7.3509919013991457E-4</v>
      </c>
      <c r="Z103" s="59">
        <f t="shared" si="21"/>
        <v>4.3124603760150035E-4</v>
      </c>
      <c r="AA103" s="59">
        <f t="shared" si="24"/>
        <v>-3.0385315253841422E-4</v>
      </c>
      <c r="AB103" s="58">
        <f>_xll.qlDayCounterYearFraction(DayCounter,SettlementDate,R103,,,Trigger)</f>
        <v>43.12777777777778</v>
      </c>
      <c r="AC103" s="59">
        <f>_xll.qlAbcdMathFunctionValue($M$24,AB103)</f>
        <v>4.3357648404840755E-4</v>
      </c>
      <c r="AD103" s="59">
        <f t="shared" si="22"/>
        <v>-3.0152270609150702E-4</v>
      </c>
    </row>
    <row r="104" spans="15:30" x14ac:dyDescent="0.2">
      <c r="O104" s="65">
        <v>6</v>
      </c>
      <c r="P104" s="56" t="str">
        <f>_xll.qlPeriodEquivalent(P103&amp;"+"&amp;O104&amp;"M")</f>
        <v>43Y</v>
      </c>
      <c r="Q104" s="57">
        <f>_xll.qlCalendarAdvance(Calendar,SettlementDate,P104,"f",,Trigger)</f>
        <v>57829</v>
      </c>
      <c r="R104" s="57">
        <f>_xll.qlInterestRateIndexValueDate(Index,Q104,Trigger)</f>
        <v>57832</v>
      </c>
      <c r="S104" s="57">
        <f>_xll.qlInterestRateIndexMaturity(Index,R104,Trigger)</f>
        <v>58018</v>
      </c>
      <c r="T104" s="58">
        <f>_xll.qlDayCounterYearFraction(DayCounter,R104,S104,,,Trigger)</f>
        <v>0.51666666666666672</v>
      </c>
      <c r="U104" s="59">
        <f>_xll.qlIndexFixing(Index,Q104,,AllTriggers)</f>
        <v>6.2970507091188212E-3</v>
      </c>
      <c r="V104" s="60">
        <f>_xll.qlYieldTSDiscount(OisCurve,R104,,AllTriggers)</f>
        <v>0.74134695997448341</v>
      </c>
      <c r="W104" s="60">
        <f>_xll.qlYieldTSDiscount(OisCurve,S104,,AllTriggers)</f>
        <v>0.73920458210623752</v>
      </c>
      <c r="X104" s="59">
        <f t="shared" si="20"/>
        <v>5.6094590183592757E-3</v>
      </c>
      <c r="Y104" s="59">
        <f t="shared" si="23"/>
        <v>6.8759169075954547E-4</v>
      </c>
      <c r="Z104" s="59">
        <f t="shared" si="21"/>
        <v>4.4086920640062466E-4</v>
      </c>
      <c r="AA104" s="59">
        <f t="shared" si="24"/>
        <v>-2.4672248435892081E-4</v>
      </c>
      <c r="AB104" s="58">
        <f>_xll.qlDayCounterYearFraction(DayCounter,SettlementDate,R104,,,Trigger)</f>
        <v>43.636111111111113</v>
      </c>
      <c r="AC104" s="59">
        <f>_xll.qlAbcdMathFunctionValue($M$24,AB104)</f>
        <v>4.3127490803381718E-4</v>
      </c>
      <c r="AD104" s="59">
        <f t="shared" si="22"/>
        <v>-2.5631678272572828E-4</v>
      </c>
    </row>
    <row r="105" spans="15:30" x14ac:dyDescent="0.2">
      <c r="O105" s="65">
        <v>6</v>
      </c>
      <c r="P105" s="56" t="str">
        <f>_xll.qlPeriodEquivalent(P104&amp;"+"&amp;O105&amp;"M")</f>
        <v>43Y6M</v>
      </c>
      <c r="Q105" s="57">
        <f>_xll.qlCalendarAdvance(Calendar,SettlementDate,P105,"f",,Trigger)</f>
        <v>58012</v>
      </c>
      <c r="R105" s="57">
        <f>_xll.qlInterestRateIndexValueDate(Index,Q105,Trigger)</f>
        <v>58014</v>
      </c>
      <c r="S105" s="57">
        <f>_xll.qlInterestRateIndexMaturity(Index,R105,Trigger)</f>
        <v>58195</v>
      </c>
      <c r="T105" s="58">
        <f>_xll.qlDayCounterYearFraction(DayCounter,R105,S105,,,Trigger)</f>
        <v>0.50277777777777777</v>
      </c>
      <c r="U105" s="59">
        <f>_xll.qlIndexFixing(Index,Q105,,AllTriggers)</f>
        <v>6.1317700251927064E-3</v>
      </c>
      <c r="V105" s="60">
        <f>_xll.qlYieldTSDiscount(OisCurve,R105,,AllTriggers)</f>
        <v>0.7392501318412239</v>
      </c>
      <c r="W105" s="60">
        <f>_xll.qlYieldTSDiscount(OisCurve,S105,,AllTriggers)</f>
        <v>0.73720988632427786</v>
      </c>
      <c r="X105" s="59">
        <f t="shared" si="20"/>
        <v>5.5044661768798549E-3</v>
      </c>
      <c r="Y105" s="59">
        <f t="shared" si="23"/>
        <v>6.2730384831285145E-4</v>
      </c>
      <c r="Z105" s="59">
        <f t="shared" si="21"/>
        <v>4.270022856348027E-4</v>
      </c>
      <c r="AA105" s="59">
        <f t="shared" si="24"/>
        <v>-2.0030156267804875E-4</v>
      </c>
      <c r="AB105" s="58">
        <f>_xll.qlDayCounterYearFraction(DayCounter,SettlementDate,R105,,,Trigger)</f>
        <v>44.141666666666666</v>
      </c>
      <c r="AC105" s="59">
        <f>_xll.qlAbcdMathFunctionValue($M$24,AB105)</f>
        <v>4.2913375479463857E-4</v>
      </c>
      <c r="AD105" s="59">
        <f t="shared" si="22"/>
        <v>-1.9817009351821288E-4</v>
      </c>
    </row>
    <row r="106" spans="15:30" x14ac:dyDescent="0.2">
      <c r="O106" s="65">
        <v>6</v>
      </c>
      <c r="P106" s="56" t="str">
        <f>_xll.qlPeriodEquivalent(P105&amp;"+"&amp;O106&amp;"M")</f>
        <v>44Y</v>
      </c>
      <c r="Q106" s="57">
        <f>_xll.qlCalendarAdvance(Calendar,SettlementDate,P106,"f",,Trigger)</f>
        <v>58194</v>
      </c>
      <c r="R106" s="57">
        <f>_xll.qlInterestRateIndexValueDate(Index,Q106,Trigger)</f>
        <v>58197</v>
      </c>
      <c r="S106" s="57">
        <f>_xll.qlInterestRateIndexMaturity(Index,R106,Trigger)</f>
        <v>58382</v>
      </c>
      <c r="T106" s="58">
        <f>_xll.qlDayCounterYearFraction(DayCounter,R106,S106,,,Trigger)</f>
        <v>0.51388888888888884</v>
      </c>
      <c r="U106" s="59">
        <f>_xll.qlIndexFixing(Index,Q106,,AllTriggers)</f>
        <v>5.9643875634072373E-3</v>
      </c>
      <c r="V106" s="60">
        <f>_xll.qlYieldTSDiscount(OisCurve,R106,,AllTriggers)</f>
        <v>0.73718756877693703</v>
      </c>
      <c r="W106" s="60">
        <f>_xll.qlYieldTSDiscount(OisCurve,S106,,AllTriggers)</f>
        <v>0.73514230815905146</v>
      </c>
      <c r="X106" s="59">
        <f t="shared" si="20"/>
        <v>5.4138723395529163E-3</v>
      </c>
      <c r="Y106" s="59">
        <f t="shared" si="23"/>
        <v>5.5051522385432105E-4</v>
      </c>
      <c r="Z106" s="59">
        <f t="shared" si="21"/>
        <v>4.3445514991631958E-4</v>
      </c>
      <c r="AA106" s="59">
        <f t="shared" si="24"/>
        <v>-1.1606007393800147E-4</v>
      </c>
      <c r="AB106" s="58">
        <f>_xll.qlDayCounterYearFraction(DayCounter,SettlementDate,R106,,,Trigger)</f>
        <v>44.65</v>
      </c>
      <c r="AC106" s="59">
        <f>_xll.qlAbcdMathFunctionValue($M$24,AB106)</f>
        <v>4.2712021287969273E-4</v>
      </c>
      <c r="AD106" s="59">
        <f t="shared" si="22"/>
        <v>-1.2339501097462832E-4</v>
      </c>
    </row>
    <row r="107" spans="15:30" x14ac:dyDescent="0.2">
      <c r="O107" s="65">
        <v>6</v>
      </c>
      <c r="P107" s="56" t="str">
        <f>_xll.qlPeriodEquivalent(P106&amp;"+"&amp;O107&amp;"M")</f>
        <v>44Y6M</v>
      </c>
      <c r="Q107" s="57">
        <f>_xll.qlCalendarAdvance(Calendar,SettlementDate,P107,"f",,Trigger)</f>
        <v>58377</v>
      </c>
      <c r="R107" s="57">
        <f>_xll.qlInterestRateIndexValueDate(Index,Q107,Trigger)</f>
        <v>58379</v>
      </c>
      <c r="S107" s="57">
        <f>_xll.qlInterestRateIndexMaturity(Index,R107,Trigger)</f>
        <v>58561</v>
      </c>
      <c r="T107" s="58">
        <f>_xll.qlDayCounterYearFraction(DayCounter,R107,S107,,,Trigger)</f>
        <v>0.50555555555555554</v>
      </c>
      <c r="U107" s="59">
        <f>_xll.qlIndexFixing(Index,Q107,,AllTriggers)</f>
        <v>5.8031428937063917E-3</v>
      </c>
      <c r="V107" s="60">
        <f>_xll.qlYieldTSDiscount(OisCurve,R107,,AllTriggers)</f>
        <v>0.73517519099817663</v>
      </c>
      <c r="W107" s="60">
        <f>_xll.qlYieldTSDiscount(OisCurve,S107,,AllTriggers)</f>
        <v>0.73319509313029207</v>
      </c>
      <c r="X107" s="59">
        <f t="shared" si="20"/>
        <v>5.3419303238763259E-3</v>
      </c>
      <c r="Y107" s="59">
        <f t="shared" si="23"/>
        <v>4.6121256983006585E-4</v>
      </c>
      <c r="Z107" s="59">
        <f t="shared" si="21"/>
        <v>4.2563087338111849E-4</v>
      </c>
      <c r="AA107" s="59">
        <f t="shared" si="24"/>
        <v>-3.5581696448947365E-5</v>
      </c>
      <c r="AB107" s="58">
        <f>_xll.qlDayCounterYearFraction(DayCounter,SettlementDate,R107,,,Trigger)</f>
        <v>45.155555555555559</v>
      </c>
      <c r="AC107" s="59">
        <f>_xll.qlAbcdMathFunctionValue($M$24,AB107)</f>
        <v>4.2524761886790328E-4</v>
      </c>
      <c r="AD107" s="59">
        <f t="shared" si="22"/>
        <v>-3.5964950962162569E-5</v>
      </c>
    </row>
    <row r="108" spans="15:30" x14ac:dyDescent="0.2">
      <c r="O108" s="65">
        <v>6</v>
      </c>
      <c r="P108" s="56" t="str">
        <f>_xll.qlPeriodEquivalent(P107&amp;"+"&amp;O108&amp;"M")</f>
        <v>45Y</v>
      </c>
      <c r="Q108" s="57">
        <f>_xll.qlCalendarAdvance(Calendar,SettlementDate,P108,"f",,Trigger)</f>
        <v>58560</v>
      </c>
      <c r="R108" s="57">
        <f>_xll.qlInterestRateIndexValueDate(Index,Q108,Trigger)</f>
        <v>58564</v>
      </c>
      <c r="S108" s="57">
        <f>_xll.qlInterestRateIndexMaturity(Index,R108,Trigger)</f>
        <v>58748</v>
      </c>
      <c r="T108" s="58">
        <f>_xll.qlDayCounterYearFraction(DayCounter,R108,S108,,,Trigger)</f>
        <v>0.51111111111111107</v>
      </c>
      <c r="U108" s="59">
        <f>_xll.qlIndexFixing(Index,Q108,,AllTriggers)</f>
        <v>5.6455410197142142E-3</v>
      </c>
      <c r="V108" s="60">
        <f>_xll.qlYieldTSDiscount(OisCurve,R108,,AllTriggers)</f>
        <v>0.73316268819963426</v>
      </c>
      <c r="W108" s="60">
        <f>_xll.qlYieldTSDiscount(OisCurve,S108,,AllTriggers)</f>
        <v>0.73118744652536116</v>
      </c>
      <c r="X108" s="59">
        <f t="shared" si="20"/>
        <v>5.2853796849448315E-3</v>
      </c>
      <c r="Y108" s="59">
        <f t="shared" si="23"/>
        <v>3.6016133476938269E-4</v>
      </c>
      <c r="Z108" s="59">
        <f t="shared" si="21"/>
        <v>4.2857756464742775E-4</v>
      </c>
      <c r="AA108" s="59">
        <f t="shared" si="24"/>
        <v>6.8416229878045056E-5</v>
      </c>
      <c r="AB108" s="58">
        <f>_xll.qlDayCounterYearFraction(DayCounter,SettlementDate,R108,,,Trigger)</f>
        <v>45.669444444444444</v>
      </c>
      <c r="AC108" s="59">
        <f>_xll.qlAbcdMathFunctionValue($M$24,AB108)</f>
        <v>4.234685909623269E-4</v>
      </c>
      <c r="AD108" s="59">
        <f t="shared" si="22"/>
        <v>6.3307256192944215E-5</v>
      </c>
    </row>
    <row r="109" spans="15:30" x14ac:dyDescent="0.2">
      <c r="O109" s="65">
        <v>6</v>
      </c>
      <c r="P109" s="56" t="str">
        <f>_xll.qlPeriodEquivalent(P108&amp;"+"&amp;O109&amp;"M")</f>
        <v>45Y6M</v>
      </c>
      <c r="Q109" s="57">
        <f>_xll.qlCalendarAdvance(Calendar,SettlementDate,P109,"f",,Trigger)</f>
        <v>58743</v>
      </c>
      <c r="R109" s="57">
        <f>_xll.qlInterestRateIndexValueDate(Index,Q109,Trigger)</f>
        <v>58747</v>
      </c>
      <c r="S109" s="57">
        <f>_xll.qlInterestRateIndexMaturity(Index,R109,Trigger)</f>
        <v>58928</v>
      </c>
      <c r="T109" s="58">
        <f>_xll.qlDayCounterYearFraction(DayCounter,R109,S109,,,Trigger)</f>
        <v>0.50277777777777777</v>
      </c>
      <c r="U109" s="59">
        <f>_xll.qlIndexFixing(Index,Q109,,AllTriggers)</f>
        <v>5.5209858740295223E-3</v>
      </c>
      <c r="V109" s="60">
        <f>_xll.qlYieldTSDiscount(OisCurve,R109,,AllTriggers)</f>
        <v>0.73119812232240267</v>
      </c>
      <c r="W109" s="60">
        <f>_xll.qlYieldTSDiscount(OisCurve,S109,,AllTriggers)</f>
        <v>0.72927426653731797</v>
      </c>
      <c r="X109" s="59">
        <f t="shared" si="20"/>
        <v>5.2469333840128333E-3</v>
      </c>
      <c r="Y109" s="59">
        <f t="shared" si="23"/>
        <v>2.7405249001668901E-4</v>
      </c>
      <c r="Z109" s="59">
        <f t="shared" si="21"/>
        <v>4.2003889264484939E-4</v>
      </c>
      <c r="AA109" s="59">
        <f t="shared" si="24"/>
        <v>1.4598640262816038E-4</v>
      </c>
      <c r="AB109" s="58">
        <f>_xll.qlDayCounterYearFraction(DayCounter,SettlementDate,R109,,,Trigger)</f>
        <v>46.177777777777777</v>
      </c>
      <c r="AC109" s="59">
        <f>_xll.qlAbcdMathFunctionValue($M$24,AB109)</f>
        <v>4.2182440836731962E-4</v>
      </c>
      <c r="AD109" s="59">
        <f t="shared" si="22"/>
        <v>1.4777191835063061E-4</v>
      </c>
    </row>
    <row r="110" spans="15:30" x14ac:dyDescent="0.2">
      <c r="O110" s="65">
        <v>6</v>
      </c>
      <c r="P110" s="56" t="str">
        <f>_xll.qlPeriodEquivalent(P109&amp;"+"&amp;O110&amp;"M")</f>
        <v>46Y</v>
      </c>
      <c r="Q110" s="57">
        <f>_xll.qlCalendarAdvance(Calendar,SettlementDate,P110,"f",,Trigger)</f>
        <v>58925</v>
      </c>
      <c r="R110" s="57">
        <f>_xll.qlInterestRateIndexValueDate(Index,Q110,Trigger)</f>
        <v>58929</v>
      </c>
      <c r="S110" s="57">
        <f>_xll.qlInterestRateIndexMaturity(Index,R110,Trigger)</f>
        <v>59113</v>
      </c>
      <c r="T110" s="58">
        <f>_xll.qlDayCounterYearFraction(DayCounter,R110,S110,,,Trigger)</f>
        <v>0.51111111111111107</v>
      </c>
      <c r="U110" s="59">
        <f>_xll.qlIndexFixing(Index,Q110,,AllTriggers)</f>
        <v>5.4301931268641024E-3</v>
      </c>
      <c r="V110" s="60">
        <f>_xll.qlYieldTSDiscount(OisCurve,R110,,AllTriggers)</f>
        <v>0.7292636790368181</v>
      </c>
      <c r="W110" s="60">
        <f>_xll.qlYieldTSDiscount(OisCurve,S110,,AllTriggers)</f>
        <v>0.72732118752574337</v>
      </c>
      <c r="X110" s="59">
        <f t="shared" si="20"/>
        <v>5.2253762638525937E-3</v>
      </c>
      <c r="Y110" s="59">
        <f t="shared" si="23"/>
        <v>2.0481686301150864E-4</v>
      </c>
      <c r="Z110" s="59">
        <f t="shared" si="21"/>
        <v>4.2551252482210067E-4</v>
      </c>
      <c r="AA110" s="59">
        <f t="shared" si="24"/>
        <v>2.2069566181059203E-4</v>
      </c>
      <c r="AB110" s="58">
        <f>_xll.qlDayCounterYearFraction(DayCounter,SettlementDate,R110,,,Trigger)</f>
        <v>46.68333333333333</v>
      </c>
      <c r="AC110" s="59">
        <f>_xll.qlAbcdMathFunctionValue($M$24,AB110)</f>
        <v>4.2029601359210847E-4</v>
      </c>
      <c r="AD110" s="59">
        <f t="shared" si="22"/>
        <v>2.1547915058059983E-4</v>
      </c>
    </row>
    <row r="111" spans="15:30" x14ac:dyDescent="0.2">
      <c r="O111" s="65">
        <v>6</v>
      </c>
      <c r="P111" s="56" t="str">
        <f>_xll.qlPeriodEquivalent(P110&amp;"+"&amp;O111&amp;"M")</f>
        <v>46Y6M</v>
      </c>
      <c r="Q111" s="57">
        <f>_xll.qlCalendarAdvance(Calendar,SettlementDate,P111,"f",,Trigger)</f>
        <v>59110</v>
      </c>
      <c r="R111" s="57">
        <f>_xll.qlInterestRateIndexValueDate(Index,Q111,Trigger)</f>
        <v>59112</v>
      </c>
      <c r="S111" s="57">
        <f>_xll.qlInterestRateIndexMaturity(Index,R111,Trigger)</f>
        <v>59293</v>
      </c>
      <c r="T111" s="58">
        <f>_xll.qlDayCounterYearFraction(DayCounter,R111,S111,,,Trigger)</f>
        <v>0.50277777777777777</v>
      </c>
      <c r="U111" s="59">
        <f>_xll.qlIndexFixing(Index,Q111,,AllTriggers)</f>
        <v>5.3744505198318306E-3</v>
      </c>
      <c r="V111" s="60">
        <f>_xll.qlYieldTSDiscount(OisCurve,R111,,AllTriggers)</f>
        <v>0.72733172020056236</v>
      </c>
      <c r="W111" s="60">
        <f>_xll.qlYieldTSDiscount(OisCurve,S111,,AllTriggers)</f>
        <v>0.72542760546920237</v>
      </c>
      <c r="X111" s="59">
        <f t="shared" si="20"/>
        <v>5.2206305527724862E-3</v>
      </c>
      <c r="Y111" s="59">
        <f t="shared" si="23"/>
        <v>1.5381996705934441E-4</v>
      </c>
      <c r="Z111" s="59">
        <f t="shared" si="21"/>
        <v>4.1722245830856002E-4</v>
      </c>
      <c r="AA111" s="59">
        <f t="shared" si="24"/>
        <v>2.6340249124921561E-4</v>
      </c>
      <c r="AB111" s="58">
        <f>_xll.qlDayCounterYearFraction(DayCounter,SettlementDate,R111,,,Trigger)</f>
        <v>47.19166666666667</v>
      </c>
      <c r="AC111" s="59">
        <f>_xll.qlAbcdMathFunctionValue($M$24,AB111)</f>
        <v>4.1885979739783038E-4</v>
      </c>
      <c r="AD111" s="59">
        <f t="shared" si="22"/>
        <v>2.6503983033848597E-4</v>
      </c>
    </row>
    <row r="112" spans="15:30" x14ac:dyDescent="0.2">
      <c r="O112" s="65">
        <v>6</v>
      </c>
      <c r="P112" s="56" t="str">
        <f>_xll.qlPeriodEquivalent(P111&amp;"+"&amp;O112&amp;"M")</f>
        <v>47Y</v>
      </c>
      <c r="Q112" s="57">
        <f>_xll.qlCalendarAdvance(Calendar,SettlementDate,P112,"f",,Trigger)</f>
        <v>59293</v>
      </c>
      <c r="R112" s="57">
        <f>_xll.qlInterestRateIndexValueDate(Index,Q112,Trigger)</f>
        <v>59295</v>
      </c>
      <c r="S112" s="57">
        <f>_xll.qlInterestRateIndexMaturity(Index,R112,Trigger)</f>
        <v>59481</v>
      </c>
      <c r="T112" s="58">
        <f>_xll.qlDayCounterYearFraction(DayCounter,R112,S112,,,Trigger)</f>
        <v>0.51666666666666672</v>
      </c>
      <c r="U112" s="59">
        <f>_xll.qlIndexFixing(Index,Q112,,AllTriggers)</f>
        <v>5.3532782466221424E-3</v>
      </c>
      <c r="V112" s="60">
        <f>_xll.qlYieldTSDiscount(OisCurve,R112,,AllTriggers)</f>
        <v>0.7254065799904833</v>
      </c>
      <c r="W112" s="60">
        <f>_xll.qlYieldTSDiscount(OisCurve,S112,,AllTriggers)</f>
        <v>0.72345040189740295</v>
      </c>
      <c r="X112" s="59">
        <f t="shared" si="20"/>
        <v>5.2334633279177952E-3</v>
      </c>
      <c r="Y112" s="59">
        <f t="shared" si="23"/>
        <v>1.1981491870434718E-4</v>
      </c>
      <c r="Z112" s="59">
        <f t="shared" si="21"/>
        <v>4.2742275589462988E-4</v>
      </c>
      <c r="AA112" s="59">
        <f t="shared" si="24"/>
        <v>3.076078371902827E-4</v>
      </c>
      <c r="AB112" s="58">
        <f>_xll.qlDayCounterYearFraction(DayCounter,SettlementDate,R112,,,Trigger)</f>
        <v>47.7</v>
      </c>
      <c r="AC112" s="59">
        <f>_xll.qlAbcdMathFunctionValue($M$24,AB112)</f>
        <v>4.1751801585444408E-4</v>
      </c>
      <c r="AD112" s="59">
        <f t="shared" si="22"/>
        <v>2.9770309715009691E-4</v>
      </c>
    </row>
    <row r="113" spans="15:30" x14ac:dyDescent="0.2">
      <c r="O113" s="65">
        <v>6</v>
      </c>
      <c r="P113" s="56" t="str">
        <f>_xll.qlPeriodEquivalent(P112&amp;"+"&amp;O113&amp;"M")</f>
        <v>47Y6M</v>
      </c>
      <c r="Q113" s="57">
        <f>_xll.qlCalendarAdvance(Calendar,SettlementDate,P113,"f",,Trigger)</f>
        <v>59474</v>
      </c>
      <c r="R113" s="57">
        <f>_xll.qlInterestRateIndexValueDate(Index,Q113,Trigger)</f>
        <v>59476</v>
      </c>
      <c r="S113" s="57">
        <f>_xll.qlInterestRateIndexMaturity(Index,R113,Trigger)</f>
        <v>59658</v>
      </c>
      <c r="T113" s="58">
        <f>_xll.qlDayCounterYearFraction(DayCounter,R113,S113,,,Trigger)</f>
        <v>0.50555555555555554</v>
      </c>
      <c r="U113" s="59">
        <f>_xll.qlIndexFixing(Index,Q113,,AllTriggers)</f>
        <v>5.3662315858522356E-3</v>
      </c>
      <c r="V113" s="60">
        <f>_xll.qlYieldTSDiscount(OisCurve,R113,,AllTriggers)</f>
        <v>0.723503036221816</v>
      </c>
      <c r="W113" s="60">
        <f>_xll.qlYieldTSDiscount(OisCurve,S113,,AllTriggers)</f>
        <v>0.72158344246976425</v>
      </c>
      <c r="X113" s="59">
        <f t="shared" si="20"/>
        <v>5.2620368026130137E-3</v>
      </c>
      <c r="Y113" s="59">
        <f t="shared" si="23"/>
        <v>1.0419478323922191E-4</v>
      </c>
      <c r="Z113" s="59">
        <f t="shared" si="21"/>
        <v>4.1706246479406814E-4</v>
      </c>
      <c r="AA113" s="59">
        <f t="shared" si="24"/>
        <v>3.1286768155484624E-4</v>
      </c>
      <c r="AB113" s="58">
        <f>_xll.qlDayCounterYearFraction(DayCounter,SettlementDate,R113,,,Trigger)</f>
        <v>48.202777777777776</v>
      </c>
      <c r="AC113" s="59">
        <f>_xll.qlAbcdMathFunctionValue($M$24,AB113)</f>
        <v>4.1627787334717583E-4</v>
      </c>
      <c r="AD113" s="59">
        <f t="shared" si="22"/>
        <v>3.1208309010795392E-4</v>
      </c>
    </row>
    <row r="114" spans="15:30" x14ac:dyDescent="0.2">
      <c r="O114" s="65">
        <v>6</v>
      </c>
      <c r="P114" s="56" t="str">
        <f>_xll.qlPeriodEquivalent(P113&amp;"+"&amp;O114&amp;"M")</f>
        <v>48Y</v>
      </c>
      <c r="Q114" s="57">
        <f>_xll.qlCalendarAdvance(Calendar,SettlementDate,P114,"f",,Trigger)</f>
        <v>59656</v>
      </c>
      <c r="R114" s="57">
        <f>_xll.qlInterestRateIndexValueDate(Index,Q114,Trigger)</f>
        <v>59659</v>
      </c>
      <c r="S114" s="57">
        <f>_xll.qlInterestRateIndexMaturity(Index,R114,Trigger)</f>
        <v>59845</v>
      </c>
      <c r="T114" s="58">
        <f>_xll.qlDayCounterYearFraction(DayCounter,R114,S114,,,Trigger)</f>
        <v>0.51666666666666672</v>
      </c>
      <c r="U114" s="59">
        <f>_xll.qlIndexFixing(Index,Q114,,AllTriggers)</f>
        <v>5.4150391845610556E-3</v>
      </c>
      <c r="V114" s="60">
        <f>_xll.qlYieldTSDiscount(OisCurve,R114,,AllTriggers)</f>
        <v>0.72157286876629656</v>
      </c>
      <c r="W114" s="60">
        <f>_xll.qlYieldTSDiscount(OisCurve,S114,,AllTriggers)</f>
        <v>0.71959899364322544</v>
      </c>
      <c r="X114" s="59">
        <f t="shared" si="20"/>
        <v>5.3090728277238588E-3</v>
      </c>
      <c r="Y114" s="59">
        <f t="shared" si="23"/>
        <v>1.0596635683719682E-4</v>
      </c>
      <c r="Z114" s="59">
        <f t="shared" si="21"/>
        <v>4.2507691275254052E-4</v>
      </c>
      <c r="AA114" s="59">
        <f t="shared" si="24"/>
        <v>3.1911055591534371E-4</v>
      </c>
      <c r="AB114" s="58">
        <f>_xll.qlDayCounterYearFraction(DayCounter,SettlementDate,R114,,,Trigger)</f>
        <v>48.711111111111109</v>
      </c>
      <c r="AC114" s="59">
        <f>_xll.qlAbcdMathFunctionValue($M$24,AB114)</f>
        <v>4.1510634675947139E-4</v>
      </c>
      <c r="AD114" s="59">
        <f t="shared" si="22"/>
        <v>3.0913998992227457E-4</v>
      </c>
    </row>
    <row r="115" spans="15:30" x14ac:dyDescent="0.2">
      <c r="O115" s="65">
        <v>6</v>
      </c>
      <c r="P115" s="56" t="str">
        <f>_xll.qlPeriodEquivalent(P114&amp;"+"&amp;O115&amp;"M")</f>
        <v>48Y6M</v>
      </c>
      <c r="Q115" s="57">
        <f>_xll.qlCalendarAdvance(Calendar,SettlementDate,P115,"f",,Trigger)</f>
        <v>59838</v>
      </c>
      <c r="R115" s="57">
        <f>_xll.qlInterestRateIndexValueDate(Index,Q115,Trigger)</f>
        <v>59840</v>
      </c>
      <c r="S115" s="57">
        <f>_xll.qlInterestRateIndexMaturity(Index,R115,Trigger)</f>
        <v>60022</v>
      </c>
      <c r="T115" s="58">
        <f>_xll.qlDayCounterYearFraction(DayCounter,R115,S115,,,Trigger)</f>
        <v>0.50555555555555554</v>
      </c>
      <c r="U115" s="59">
        <f>_xll.qlIndexFixing(Index,Q115,,AllTriggers)</f>
        <v>5.4956502021690787E-3</v>
      </c>
      <c r="V115" s="60">
        <f>_xll.qlYieldTSDiscount(OisCurve,R115,,AllTriggers)</f>
        <v>0.71965226847831965</v>
      </c>
      <c r="W115" s="60">
        <f>_xll.qlYieldTSDiscount(OisCurve,S115,,AllTriggers)</f>
        <v>0.71770353722455404</v>
      </c>
      <c r="X115" s="59">
        <f t="shared" si="20"/>
        <v>5.3707875874668921E-3</v>
      </c>
      <c r="Y115" s="59">
        <f t="shared" si="23"/>
        <v>1.2486261470218661E-4</v>
      </c>
      <c r="Z115" s="59">
        <f t="shared" si="21"/>
        <v>4.1491743380589165E-4</v>
      </c>
      <c r="AA115" s="59">
        <f t="shared" si="24"/>
        <v>2.9005481910370504E-4</v>
      </c>
      <c r="AB115" s="58">
        <f>_xll.qlDayCounterYearFraction(DayCounter,SettlementDate,R115,,,Trigger)</f>
        <v>49.213888888888889</v>
      </c>
      <c r="AC115" s="59">
        <f>_xll.qlAbcdMathFunctionValue($M$24,AB115)</f>
        <v>4.1402384750588564E-4</v>
      </c>
      <c r="AD115" s="59">
        <f t="shared" si="22"/>
        <v>2.8916123280369903E-4</v>
      </c>
    </row>
    <row r="116" spans="15:30" x14ac:dyDescent="0.2">
      <c r="O116" s="65">
        <v>6</v>
      </c>
      <c r="P116" s="56" t="str">
        <f>_xll.qlPeriodEquivalent(P115&amp;"+"&amp;O116&amp;"M")</f>
        <v>49Y</v>
      </c>
      <c r="Q116" s="57">
        <f>_xll.qlCalendarAdvance(Calendar,SettlementDate,P116,"f",,Trigger)</f>
        <v>60021</v>
      </c>
      <c r="R116" s="57">
        <f>_xll.qlInterestRateIndexValueDate(Index,Q116,Trigger)</f>
        <v>60024</v>
      </c>
      <c r="S116" s="57">
        <f>_xll.qlInterestRateIndexMaturity(Index,R116,Trigger)</f>
        <v>60209</v>
      </c>
      <c r="T116" s="58">
        <f>_xll.qlDayCounterYearFraction(DayCounter,R116,S116,,,Trigger)</f>
        <v>0.51388888888888884</v>
      </c>
      <c r="U116" s="59">
        <f>_xll.qlIndexFixing(Index,Q116,,AllTriggers)</f>
        <v>5.6147149524426627E-3</v>
      </c>
      <c r="V116" s="60">
        <f>_xll.qlYieldTSDiscount(OisCurve,R116,,AllTriggers)</f>
        <v>0.71768200299820772</v>
      </c>
      <c r="W116" s="60">
        <f>_xll.qlYieldTSDiscount(OisCurve,S116,,AllTriggers)</f>
        <v>0.71567677051301481</v>
      </c>
      <c r="X116" s="59">
        <f t="shared" si="20"/>
        <v>5.4522854255043621E-3</v>
      </c>
      <c r="Y116" s="59">
        <f t="shared" si="23"/>
        <v>1.6242952693830068E-4</v>
      </c>
      <c r="Z116" s="59">
        <f t="shared" si="21"/>
        <v>4.2075621251041844E-4</v>
      </c>
      <c r="AA116" s="59">
        <f t="shared" si="24"/>
        <v>2.5832668557211776E-4</v>
      </c>
      <c r="AB116" s="58">
        <f>_xll.qlDayCounterYearFraction(DayCounter,SettlementDate,R116,,,Trigger)</f>
        <v>49.725000000000001</v>
      </c>
      <c r="AC116" s="59">
        <f>_xll.qlAbcdMathFunctionValue($M$24,AB116)</f>
        <v>4.1299610887361249E-4</v>
      </c>
      <c r="AD116" s="59">
        <f t="shared" si="22"/>
        <v>2.5056658193531181E-4</v>
      </c>
    </row>
    <row r="117" spans="15:30" x14ac:dyDescent="0.2">
      <c r="O117" s="65">
        <v>6</v>
      </c>
      <c r="P117" s="56" t="str">
        <f>_xll.qlPeriodEquivalent(P116&amp;"+"&amp;O117&amp;"M")</f>
        <v>49Y6M</v>
      </c>
      <c r="Q117" s="57">
        <f>_xll.qlCalendarAdvance(Calendar,SettlementDate,P117,"f",,Trigger)</f>
        <v>60204</v>
      </c>
      <c r="R117" s="57">
        <f>_xll.qlInterestRateIndexValueDate(Index,Q117,Trigger)</f>
        <v>60206</v>
      </c>
      <c r="S117" s="57">
        <f>_xll.qlInterestRateIndexMaturity(Index,R117,Trigger)</f>
        <v>60387</v>
      </c>
      <c r="T117" s="58">
        <f>_xll.qlDayCounterYearFraction(DayCounter,R117,S117,,,Trigger)</f>
        <v>0.50277777777777777</v>
      </c>
      <c r="U117" s="59">
        <f>_xll.qlIndexFixing(Index,Q117,,AllTriggers)</f>
        <v>5.7640066274448664E-3</v>
      </c>
      <c r="V117" s="60">
        <f>_xll.qlYieldTSDiscount(OisCurve,R117,,AllTriggers)</f>
        <v>0.71570951418778117</v>
      </c>
      <c r="W117" s="60">
        <f>_xll.qlYieldTSDiscount(OisCurve,S117,,AllTriggers)</f>
        <v>0.71371874352569398</v>
      </c>
      <c r="X117" s="59">
        <f t="shared" si="20"/>
        <v>5.5477649903590276E-3</v>
      </c>
      <c r="Y117" s="59">
        <f t="shared" si="23"/>
        <v>2.1624163708583877E-4</v>
      </c>
      <c r="Z117" s="59">
        <f t="shared" si="21"/>
        <v>4.1077248870672998E-4</v>
      </c>
      <c r="AA117" s="59">
        <f t="shared" si="24"/>
        <v>1.9453085162089121E-4</v>
      </c>
      <c r="AB117" s="58">
        <f>_xll.qlDayCounterYearFraction(DayCounter,SettlementDate,R117,,,Trigger)</f>
        <v>50.230555555555554</v>
      </c>
      <c r="AC117" s="59">
        <f>_xll.qlAbcdMathFunctionValue($M$24,AB117)</f>
        <v>4.1204700946966482E-4</v>
      </c>
      <c r="AD117" s="59">
        <f t="shared" si="22"/>
        <v>1.9580537238382605E-4</v>
      </c>
    </row>
    <row r="118" spans="15:30" x14ac:dyDescent="0.2">
      <c r="O118" s="65">
        <v>6</v>
      </c>
      <c r="P118" s="56" t="str">
        <f>_xll.qlPeriodEquivalent(P117&amp;"+"&amp;O118&amp;"M")</f>
        <v>50Y</v>
      </c>
      <c r="Q118" s="57">
        <f>_xll.qlCalendarAdvance(Calendar,SettlementDate,P118,"f",,Trigger)</f>
        <v>60386</v>
      </c>
      <c r="R118" s="57">
        <f>_xll.qlInterestRateIndexValueDate(Index,Q118,Trigger)</f>
        <v>60391</v>
      </c>
      <c r="S118" s="57">
        <f>_xll.qlInterestRateIndexMaturity(Index,R118,Trigger)</f>
        <v>60575</v>
      </c>
      <c r="T118" s="58">
        <f>_xll.qlDayCounterYearFraction(DayCounter,R118,S118,,,Trigger)</f>
        <v>0.51111111111111107</v>
      </c>
      <c r="U118" s="59">
        <f>_xll.qlIndexFixing(Index,Q118,,AllTriggers)</f>
        <v>5.9451786499845668E-3</v>
      </c>
      <c r="V118" s="60">
        <f>_xll.qlYieldTSDiscount(OisCurve,R118,,AllTriggers)</f>
        <v>0.71367437720236859</v>
      </c>
      <c r="W118" s="60">
        <f>_xll.qlYieldTSDiscount(OisCurve,S118,,AllTriggers)</f>
        <v>0.71161564659404752</v>
      </c>
      <c r="X118" s="59">
        <f t="shared" si="20"/>
        <v>5.6602903680829488E-3</v>
      </c>
      <c r="Y118" s="59">
        <f t="shared" si="23"/>
        <v>2.84888281901618E-4</v>
      </c>
      <c r="Z118" s="59">
        <f t="shared" si="21"/>
        <v>4.1671046969096135E-4</v>
      </c>
      <c r="AA118" s="59">
        <f t="shared" si="24"/>
        <v>1.3182218778934335E-4</v>
      </c>
      <c r="AB118" s="58">
        <f>_xll.qlDayCounterYearFraction(DayCounter,SettlementDate,R118,,,Trigger)</f>
        <v>50.744444444444447</v>
      </c>
      <c r="AC118" s="59">
        <f>_xll.qlAbcdMathFunctionValue($M$24,AB118)</f>
        <v>4.1114656494597855E-4</v>
      </c>
      <c r="AD118" s="59">
        <f t="shared" si="22"/>
        <v>1.2625828304436054E-4</v>
      </c>
    </row>
    <row r="119" spans="15:30" x14ac:dyDescent="0.2">
      <c r="O119" s="65">
        <v>6</v>
      </c>
      <c r="P119" s="56" t="str">
        <f>_xll.qlPeriodEquivalent(P118&amp;"+"&amp;O119&amp;"M")</f>
        <v>50Y6M</v>
      </c>
      <c r="Q119" s="57">
        <f>_xll.qlCalendarAdvance(Calendar,SettlementDate,P119,"f",,Trigger)</f>
        <v>60569</v>
      </c>
      <c r="R119" s="57">
        <f>_xll.qlInterestRateIndexValueDate(Index,Q119,Trigger)</f>
        <v>60573</v>
      </c>
      <c r="S119" s="57">
        <f>_xll.qlInterestRateIndexMaturity(Index,R119,Trigger)</f>
        <v>60755</v>
      </c>
      <c r="T119" s="58">
        <f>_xll.qlDayCounterYearFraction(DayCounter,R119,S119,,,Trigger)</f>
        <v>0.50555555555555554</v>
      </c>
      <c r="U119" s="59">
        <f>_xll.qlIndexFixing(Index,Q119,,AllTriggers)</f>
        <v>6.1119711842851773E-3</v>
      </c>
      <c r="V119" s="60">
        <f>_xll.qlYieldTSDiscount(OisCurve,R119,,AllTriggers)</f>
        <v>0.71163820783866416</v>
      </c>
      <c r="W119" s="60">
        <f>_xll.qlYieldTSDiscount(OisCurve,S119,,AllTriggers)</f>
        <v>0.70956937077976656</v>
      </c>
      <c r="X119" s="59">
        <f t="shared" si="20"/>
        <v>5.7671671579463029E-3</v>
      </c>
      <c r="Y119" s="59">
        <f t="shared" si="23"/>
        <v>3.4480402633887443E-4</v>
      </c>
      <c r="Z119" s="59">
        <f t="shared" si="21"/>
        <v>4.114019123064314E-4</v>
      </c>
      <c r="AA119" s="59">
        <f t="shared" si="24"/>
        <v>6.6597885967556968E-5</v>
      </c>
      <c r="AB119" s="58">
        <f>_xll.qlDayCounterYearFraction(DayCounter,SettlementDate,R119,,,Trigger)</f>
        <v>51.25</v>
      </c>
      <c r="AC119" s="59">
        <f>_xll.qlAbcdMathFunctionValue($M$24,AB119)</f>
        <v>4.1031987333237601E-4</v>
      </c>
      <c r="AD119" s="59">
        <f t="shared" si="22"/>
        <v>6.5515846993501579E-5</v>
      </c>
    </row>
    <row r="120" spans="15:30" x14ac:dyDescent="0.2">
      <c r="O120" s="65">
        <v>6</v>
      </c>
      <c r="P120" s="56" t="str">
        <f>_xll.qlPeriodEquivalent(P119&amp;"+"&amp;O120&amp;"M")</f>
        <v>51Y</v>
      </c>
      <c r="Q120" s="57">
        <f>_xll.qlCalendarAdvance(Calendar,SettlementDate,P120,"f",,Trigger)</f>
        <v>60751</v>
      </c>
      <c r="R120" s="57">
        <f>_xll.qlInterestRateIndexValueDate(Index,Q120,Trigger)</f>
        <v>60755</v>
      </c>
      <c r="S120" s="57">
        <f>_xll.qlInterestRateIndexMaturity(Index,R120,Trigger)</f>
        <v>60939</v>
      </c>
      <c r="T120" s="58">
        <f>_xll.qlDayCounterYearFraction(DayCounter,R120,S120,,,Trigger)</f>
        <v>0.51111111111111107</v>
      </c>
      <c r="U120" s="59">
        <f>_xll.qlIndexFixing(Index,Q120,,AllTriggers)</f>
        <v>6.2638550428322616E-3</v>
      </c>
      <c r="V120" s="60">
        <f>_xll.qlYieldTSDiscount(OisCurve,R120,,AllTriggers)</f>
        <v>0.70956937077976656</v>
      </c>
      <c r="W120" s="60">
        <f>_xll.qlYieldTSDiscount(OisCurve,S120,,AllTriggers)</f>
        <v>0.7074469723309823</v>
      </c>
      <c r="X120" s="59">
        <f t="shared" si="20"/>
        <v>5.8697243278333054E-3</v>
      </c>
      <c r="Y120" s="59">
        <f t="shared" si="23"/>
        <v>3.9413071499895622E-4</v>
      </c>
      <c r="Z120" s="59">
        <f t="shared" si="21"/>
        <v>4.1518005192267142E-4</v>
      </c>
      <c r="AA120" s="59">
        <f t="shared" si="24"/>
        <v>2.1049336923715199E-5</v>
      </c>
      <c r="AB120" s="58">
        <f>_xll.qlDayCounterYearFraction(DayCounter,SettlementDate,R120,,,Trigger)</f>
        <v>51.755555555555553</v>
      </c>
      <c r="AC120" s="59">
        <f>_xll.qlAbcdMathFunctionValue($M$24,AB120)</f>
        <v>4.0954803248647789E-4</v>
      </c>
      <c r="AD120" s="59">
        <f t="shared" si="22"/>
        <v>1.541731748752167E-5</v>
      </c>
    </row>
    <row r="121" spans="15:30" x14ac:dyDescent="0.2">
      <c r="O121" s="65">
        <v>6</v>
      </c>
      <c r="P121" s="56" t="str">
        <f>_xll.qlPeriodEquivalent(P120&amp;"+"&amp;O121&amp;"M")</f>
        <v>51Y6M</v>
      </c>
      <c r="Q121" s="57">
        <f>_xll.qlCalendarAdvance(Calendar,SettlementDate,P121,"f",,Trigger)</f>
        <v>60934</v>
      </c>
      <c r="R121" s="57">
        <f>_xll.qlInterestRateIndexValueDate(Index,Q121,Trigger)</f>
        <v>60938</v>
      </c>
      <c r="S121" s="57">
        <f>_xll.qlInterestRateIndexMaturity(Index,R121,Trigger)</f>
        <v>61119</v>
      </c>
      <c r="T121" s="58">
        <f>_xll.qlDayCounterYearFraction(DayCounter,R121,S121,,,Trigger)</f>
        <v>0.50277777777777777</v>
      </c>
      <c r="U121" s="59">
        <f>_xll.qlIndexFixing(Index,Q121,,AllTriggers)</f>
        <v>6.3974422534461908E-3</v>
      </c>
      <c r="V121" s="60">
        <f>_xll.qlYieldTSDiscount(OisCurve,R121,,AllTriggers)</f>
        <v>0.70745858659149896</v>
      </c>
      <c r="W121" s="60">
        <f>_xll.qlYieldTSDiscount(OisCurve,S121,,AllTriggers)</f>
        <v>0.70534300954971829</v>
      </c>
      <c r="X121" s="59">
        <f t="shared" si="20"/>
        <v>5.9655763007409454E-3</v>
      </c>
      <c r="Y121" s="59">
        <f t="shared" si="23"/>
        <v>4.3186595270524545E-4</v>
      </c>
      <c r="Z121" s="59">
        <f t="shared" si="21"/>
        <v>4.0773487751137073E-4</v>
      </c>
      <c r="AA121" s="59">
        <f t="shared" si="24"/>
        <v>-2.4131075193874717E-5</v>
      </c>
      <c r="AB121" s="58">
        <f>_xll.qlDayCounterYearFraction(DayCounter,SettlementDate,R121,,,Trigger)</f>
        <v>52.263888888888886</v>
      </c>
      <c r="AC121" s="59">
        <f>_xll.qlAbcdMathFunctionValue($M$24,AB121)</f>
        <v>4.0882366153322539E-4</v>
      </c>
      <c r="AD121" s="59">
        <f t="shared" si="22"/>
        <v>-2.3042291172020062E-5</v>
      </c>
    </row>
    <row r="122" spans="15:30" x14ac:dyDescent="0.2">
      <c r="O122" s="65">
        <v>6</v>
      </c>
      <c r="P122" s="56" t="str">
        <f>_xll.qlPeriodEquivalent(P121&amp;"+"&amp;O122&amp;"M")</f>
        <v>52Y</v>
      </c>
      <c r="Q122" s="57">
        <f>_xll.qlCalendarAdvance(Calendar,SettlementDate,P122,"f",,Trigger)</f>
        <v>61116</v>
      </c>
      <c r="R122" s="57">
        <f>_xll.qlInterestRateIndexValueDate(Index,Q122,Trigger)</f>
        <v>61120</v>
      </c>
      <c r="S122" s="57">
        <f>_xll.qlInterestRateIndexMaturity(Index,R122,Trigger)</f>
        <v>61304</v>
      </c>
      <c r="T122" s="58">
        <f>_xll.qlDayCounterYearFraction(DayCounter,R122,S122,,,Trigger)</f>
        <v>0.51111111111111107</v>
      </c>
      <c r="U122" s="59">
        <f>_xll.qlIndexFixing(Index,Q122,,AllTriggers)</f>
        <v>6.5157681245182723E-3</v>
      </c>
      <c r="V122" s="60">
        <f>_xll.qlYieldTSDiscount(OisCurve,R122,,AllTriggers)</f>
        <v>0.70533124853441109</v>
      </c>
      <c r="W122" s="60">
        <f>_xll.qlYieldTSDiscount(OisCurve,S122,,AllTriggers)</f>
        <v>0.70315440224213044</v>
      </c>
      <c r="X122" s="59">
        <f t="shared" si="20"/>
        <v>6.0570581368924389E-3</v>
      </c>
      <c r="Y122" s="59">
        <f t="shared" si="23"/>
        <v>4.587099876258334E-4</v>
      </c>
      <c r="Z122" s="59">
        <f t="shared" si="21"/>
        <v>4.1384527428706526E-4</v>
      </c>
      <c r="AA122" s="59">
        <f t="shared" si="24"/>
        <v>-4.4864713338768137E-5</v>
      </c>
      <c r="AB122" s="58">
        <f>_xll.qlDayCounterYearFraction(DayCounter,SettlementDate,R122,,,Trigger)</f>
        <v>52.769444444444446</v>
      </c>
      <c r="AC122" s="59">
        <f>_xll.qlAbcdMathFunctionValue($M$24,AB122)</f>
        <v>4.0815132864149985E-4</v>
      </c>
      <c r="AD122" s="59">
        <f t="shared" si="22"/>
        <v>-5.0558658984333545E-5</v>
      </c>
    </row>
    <row r="123" spans="15:30" x14ac:dyDescent="0.2">
      <c r="O123" s="65">
        <v>6</v>
      </c>
      <c r="P123" s="56" t="str">
        <f>_xll.qlPeriodEquivalent(P122&amp;"+"&amp;O123&amp;"M")</f>
        <v>52Y6M</v>
      </c>
      <c r="Q123" s="57">
        <f>_xll.qlCalendarAdvance(Calendar,SettlementDate,P123,"f",,Trigger)</f>
        <v>61301</v>
      </c>
      <c r="R123" s="57">
        <f>_xll.qlInterestRateIndexValueDate(Index,Q123,Trigger)</f>
        <v>61303</v>
      </c>
      <c r="S123" s="57">
        <f>_xll.qlInterestRateIndexMaturity(Index,R123,Trigger)</f>
        <v>61485</v>
      </c>
      <c r="T123" s="58">
        <f>_xll.qlDayCounterYearFraction(DayCounter,R123,S123,,,Trigger)</f>
        <v>0.50555555555555554</v>
      </c>
      <c r="U123" s="59">
        <f>_xll.qlIndexFixing(Index,Q123,,AllTriggers)</f>
        <v>6.615958640950893E-3</v>
      </c>
      <c r="V123" s="60">
        <f>_xll.qlYieldTSDiscount(OisCurve,R123,,AllTriggers)</f>
        <v>0.7031662997319208</v>
      </c>
      <c r="W123" s="60">
        <f>_xll.qlYieldTSDiscount(OisCurve,S123,,AllTriggers)</f>
        <v>0.70098968255751104</v>
      </c>
      <c r="X123" s="59">
        <f t="shared" si="20"/>
        <v>6.1418829917934273E-3</v>
      </c>
      <c r="Y123" s="59">
        <f t="shared" si="23"/>
        <v>4.7407564915746565E-4</v>
      </c>
      <c r="Z123" s="59">
        <f t="shared" si="21"/>
        <v>4.0875455844525358E-4</v>
      </c>
      <c r="AA123" s="59">
        <f t="shared" si="24"/>
        <v>-6.5321090712212068E-5</v>
      </c>
      <c r="AB123" s="58">
        <f>_xll.qlDayCounterYearFraction(DayCounter,SettlementDate,R123,,,Trigger)</f>
        <v>53.277777777777779</v>
      </c>
      <c r="AC123" s="59">
        <f>_xll.qlAbcdMathFunctionValue($M$24,AB123)</f>
        <v>4.0752048566985077E-4</v>
      </c>
      <c r="AD123" s="59">
        <f t="shared" si="22"/>
        <v>-6.6555163487614873E-5</v>
      </c>
    </row>
    <row r="124" spans="15:30" x14ac:dyDescent="0.2">
      <c r="O124" s="65">
        <v>6</v>
      </c>
      <c r="P124" s="56" t="str">
        <f>_xll.qlPeriodEquivalent(P123&amp;"+"&amp;O124&amp;"M")</f>
        <v>53Y</v>
      </c>
      <c r="Q124" s="57">
        <f>_xll.qlCalendarAdvance(Calendar,SettlementDate,P124,"f",,Trigger)</f>
        <v>61483</v>
      </c>
      <c r="R124" s="57">
        <f>_xll.qlInterestRateIndexValueDate(Index,Q124,Trigger)</f>
        <v>61486</v>
      </c>
      <c r="S124" s="57">
        <f>_xll.qlInterestRateIndexMaturity(Index,R124,Trigger)</f>
        <v>61672</v>
      </c>
      <c r="T124" s="58">
        <f>_xll.qlDayCounterYearFraction(DayCounter,R124,S124,,,Trigger)</f>
        <v>0.51666666666666672</v>
      </c>
      <c r="U124" s="59">
        <f>_xll.qlIndexFixing(Index,Q124,,AllTriggers)</f>
        <v>6.7008548356161128E-3</v>
      </c>
      <c r="V124" s="60">
        <f>_xll.qlYieldTSDiscount(OisCurve,R124,,AllTriggers)</f>
        <v>0.70097766256345284</v>
      </c>
      <c r="W124" s="60">
        <f>_xll.qlYieldTSDiscount(OisCurve,S124,,AllTriggers)</f>
        <v>0.69873122729602732</v>
      </c>
      <c r="X124" s="59">
        <f t="shared" si="20"/>
        <v>6.2226204546502661E-3</v>
      </c>
      <c r="Y124" s="59">
        <f t="shared" si="23"/>
        <v>4.7823438096584667E-4</v>
      </c>
      <c r="Z124" s="59">
        <f t="shared" si="21"/>
        <v>4.1716481700767265E-4</v>
      </c>
      <c r="AA124" s="59">
        <f t="shared" si="24"/>
        <v>-6.1069563958174018E-5</v>
      </c>
      <c r="AB124" s="58">
        <f>_xll.qlDayCounterYearFraction(DayCounter,SettlementDate,R124,,,Trigger)</f>
        <v>53.786111111111111</v>
      </c>
      <c r="AC124" s="59">
        <f>_xll.qlAbcdMathFunctionValue($M$24,AB124)</f>
        <v>4.0693198310836937E-4</v>
      </c>
      <c r="AD124" s="59">
        <f t="shared" si="22"/>
        <v>-7.1302397857477299E-5</v>
      </c>
    </row>
    <row r="125" spans="15:30" x14ac:dyDescent="0.2">
      <c r="O125" s="65">
        <v>6</v>
      </c>
      <c r="P125" s="56" t="str">
        <f>_xll.qlPeriodEquivalent(P124&amp;"+"&amp;O125&amp;"M")</f>
        <v>53Y6M</v>
      </c>
      <c r="Q125" s="57">
        <f>_xll.qlCalendarAdvance(Calendar,SettlementDate,P125,"f",,Trigger)</f>
        <v>61665</v>
      </c>
      <c r="R125" s="57">
        <f>_xll.qlInterestRateIndexValueDate(Index,Q125,Trigger)</f>
        <v>61667</v>
      </c>
      <c r="S125" s="57">
        <f>_xll.qlInterestRateIndexMaturity(Index,R125,Trigger)</f>
        <v>61848</v>
      </c>
      <c r="T125" s="58">
        <f>_xll.qlDayCounterYearFraction(DayCounter,R125,S125,,,Trigger)</f>
        <v>0.50277777777777777</v>
      </c>
      <c r="U125" s="59">
        <f>_xll.qlIndexFixing(Index,Q125,,AllTriggers)</f>
        <v>6.7657799198545011E-3</v>
      </c>
      <c r="V125" s="60">
        <f>_xll.qlYieldTSDiscount(OisCurve,R125,,AllTriggers)</f>
        <v>0.69879188403803805</v>
      </c>
      <c r="W125" s="60">
        <f>_xll.qlYieldTSDiscount(OisCurve,S125,,AllTriggers)</f>
        <v>0.69658735761521806</v>
      </c>
      <c r="X125" s="59">
        <f t="shared" si="20"/>
        <v>6.2945349060941607E-3</v>
      </c>
      <c r="Y125" s="59">
        <f t="shared" si="23"/>
        <v>4.7124501376034043E-4</v>
      </c>
      <c r="Z125" s="59">
        <f t="shared" si="21"/>
        <v>4.0544862586451444E-4</v>
      </c>
      <c r="AA125" s="59">
        <f t="shared" si="24"/>
        <v>-6.5796387895825992E-5</v>
      </c>
      <c r="AB125" s="58">
        <f>_xll.qlDayCounterYearFraction(DayCounter,SettlementDate,R125,,,Trigger)</f>
        <v>54.288888888888891</v>
      </c>
      <c r="AC125" s="59">
        <f>_xll.qlAbcdMathFunctionValue($M$24,AB125)</f>
        <v>4.0638883242303039E-4</v>
      </c>
      <c r="AD125" s="59">
        <f t="shared" si="22"/>
        <v>-6.485618133731004E-5</v>
      </c>
    </row>
    <row r="126" spans="15:30" x14ac:dyDescent="0.2">
      <c r="O126" s="65">
        <v>6</v>
      </c>
      <c r="P126" s="56" t="str">
        <f>_xll.qlPeriodEquivalent(P125&amp;"+"&amp;O126&amp;"M")</f>
        <v>54Y</v>
      </c>
      <c r="Q126" s="57">
        <f>_xll.qlCalendarAdvance(Calendar,SettlementDate,P126,"f",,Trigger)</f>
        <v>61847</v>
      </c>
      <c r="R126" s="57">
        <f>_xll.qlInterestRateIndexValueDate(Index,Q126,Trigger)</f>
        <v>61850</v>
      </c>
      <c r="S126" s="57">
        <f>_xll.qlInterestRateIndexMaturity(Index,R126,Trigger)</f>
        <v>62036</v>
      </c>
      <c r="T126" s="58">
        <f>_xll.qlDayCounterYearFraction(DayCounter,R126,S126,,,Trigger)</f>
        <v>0.51666666666666672</v>
      </c>
      <c r="U126" s="59">
        <f>_xll.qlIndexFixing(Index,Q126,,AllTriggers)</f>
        <v>6.8166412565227466E-3</v>
      </c>
      <c r="V126" s="60">
        <f>_xll.qlYieldTSDiscount(OisCurve,R126,,AllTriggers)</f>
        <v>0.69656290161530976</v>
      </c>
      <c r="W126" s="60">
        <f>_xll.qlYieldTSDiscount(OisCurve,S126,,AllTriggers)</f>
        <v>0.6942800462730202</v>
      </c>
      <c r="X126" s="59">
        <f t="shared" si="20"/>
        <v>6.3640453423263023E-3</v>
      </c>
      <c r="Y126" s="59">
        <f t="shared" si="23"/>
        <v>4.5259591419644432E-4</v>
      </c>
      <c r="Z126" s="59">
        <f t="shared" si="21"/>
        <v>4.1614918362565569E-4</v>
      </c>
      <c r="AA126" s="59">
        <f t="shared" si="24"/>
        <v>-3.6446730570788635E-5</v>
      </c>
      <c r="AB126" s="58">
        <f>_xll.qlDayCounterYearFraction(DayCounter,SettlementDate,R126,,,Trigger)</f>
        <v>54.797222222222224</v>
      </c>
      <c r="AC126" s="59">
        <f>_xll.qlAbcdMathFunctionValue($M$24,AB126)</f>
        <v>4.0587644731346047E-4</v>
      </c>
      <c r="AD126" s="59">
        <f t="shared" si="22"/>
        <v>-4.671946688298385E-5</v>
      </c>
    </row>
    <row r="127" spans="15:30" x14ac:dyDescent="0.2">
      <c r="O127" s="65">
        <v>6</v>
      </c>
      <c r="P127" s="56" t="str">
        <f>_xll.qlPeriodEquivalent(P126&amp;"+"&amp;O127&amp;"M")</f>
        <v>54Y6M</v>
      </c>
      <c r="Q127" s="57">
        <f>_xll.qlCalendarAdvance(Calendar,SettlementDate,P127,"f",,Trigger)</f>
        <v>62030</v>
      </c>
      <c r="R127" s="57">
        <f>_xll.qlInterestRateIndexValueDate(Index,Q127,Trigger)</f>
        <v>62032</v>
      </c>
      <c r="S127" s="57">
        <f>_xll.qlInterestRateIndexMaturity(Index,R127,Trigger)</f>
        <v>62213</v>
      </c>
      <c r="T127" s="58">
        <f>_xll.qlDayCounterYearFraction(DayCounter,R127,S127,,,Trigger)</f>
        <v>0.50277777777777777</v>
      </c>
      <c r="U127" s="59">
        <f>_xll.qlIndexFixing(Index,Q127,,AllTriggers)</f>
        <v>6.8486320845631051E-3</v>
      </c>
      <c r="V127" s="60">
        <f>_xll.qlYieldTSDiscount(OisCurve,R127,,AllTriggers)</f>
        <v>0.69432930773805457</v>
      </c>
      <c r="W127" s="60">
        <f>_xll.qlYieldTSDiscount(OisCurve,S127,,AllTriggers)</f>
        <v>0.69209353813105856</v>
      </c>
      <c r="X127" s="59">
        <f t="shared" si="20"/>
        <v>6.4251930302064858E-3</v>
      </c>
      <c r="Y127" s="59">
        <f t="shared" si="23"/>
        <v>4.2343905435661931E-4</v>
      </c>
      <c r="Z127" s="59">
        <f t="shared" si="21"/>
        <v>4.0452374922089653E-4</v>
      </c>
      <c r="AA127" s="59">
        <f t="shared" si="24"/>
        <v>-1.8915305135722778E-5</v>
      </c>
      <c r="AB127" s="58">
        <f>_xll.qlDayCounterYearFraction(DayCounter,SettlementDate,R127,,,Trigger)</f>
        <v>55.302777777777777</v>
      </c>
      <c r="AC127" s="59">
        <f>_xll.qlAbcdMathFunctionValue($M$24,AB127)</f>
        <v>4.0540112183122729E-4</v>
      </c>
      <c r="AD127" s="59">
        <f t="shared" si="22"/>
        <v>-1.8037932525392019E-5</v>
      </c>
    </row>
    <row r="128" spans="15:30" x14ac:dyDescent="0.2">
      <c r="O128" s="65">
        <v>6</v>
      </c>
      <c r="P128" s="56" t="str">
        <f>_xll.qlPeriodEquivalent(P127&amp;"+"&amp;O128&amp;"M")</f>
        <v>55Y</v>
      </c>
      <c r="Q128" s="57">
        <f>_xll.qlCalendarAdvance(Calendar,SettlementDate,P128,"f",,Trigger)</f>
        <v>62212</v>
      </c>
      <c r="R128" s="57">
        <f>_xll.qlInterestRateIndexValueDate(Index,Q128,Trigger)</f>
        <v>62215</v>
      </c>
      <c r="S128" s="57">
        <f>_xll.qlInterestRateIndexMaturity(Index,R128,Trigger)</f>
        <v>62400</v>
      </c>
      <c r="T128" s="58">
        <f>_xll.qlDayCounterYearFraction(DayCounter,R128,S128,,,Trigger)</f>
        <v>0.51388888888888884</v>
      </c>
      <c r="U128" s="59">
        <f>_xll.qlIndexFixing(Index,Q128,,AllTriggers)</f>
        <v>6.8676834136625012E-3</v>
      </c>
      <c r="V128" s="60">
        <f>_xll.qlYieldTSDiscount(OisCurve,R128,,AllTriggers)</f>
        <v>0.6920687609842463</v>
      </c>
      <c r="W128" s="60">
        <f>_xll.qlYieldTSDiscount(OisCurve,S128,,AllTriggers)</f>
        <v>0.68977077434686973</v>
      </c>
      <c r="X128" s="59">
        <f t="shared" si="20"/>
        <v>6.4829620899420834E-3</v>
      </c>
      <c r="Y128" s="59">
        <f t="shared" si="23"/>
        <v>3.8472132372041785E-4</v>
      </c>
      <c r="Z128" s="59">
        <f t="shared" si="21"/>
        <v>4.130330162302721E-4</v>
      </c>
      <c r="AA128" s="59">
        <f t="shared" si="24"/>
        <v>2.8311692509854251E-5</v>
      </c>
      <c r="AB128" s="58">
        <f>_xll.qlDayCounterYearFraction(DayCounter,SettlementDate,R128,,,Trigger)</f>
        <v>55.81111111111111</v>
      </c>
      <c r="AC128" s="59">
        <f>_xll.qlAbcdMathFunctionValue($M$24,AB128)</f>
        <v>4.0495535891776712E-4</v>
      </c>
      <c r="AD128" s="59">
        <f t="shared" si="22"/>
        <v>2.0234035197349263E-5</v>
      </c>
    </row>
    <row r="129" spans="15:30" x14ac:dyDescent="0.2">
      <c r="O129" s="65">
        <v>6</v>
      </c>
      <c r="P129" s="56" t="str">
        <f>_xll.qlPeriodEquivalent(P128&amp;"+"&amp;O129&amp;"M")</f>
        <v>55Y6M</v>
      </c>
      <c r="Q129" s="57">
        <f>_xll.qlCalendarAdvance(Calendar,SettlementDate,P129,"f",,Trigger)</f>
        <v>62395</v>
      </c>
      <c r="R129" s="57">
        <f>_xll.qlInterestRateIndexValueDate(Index,Q129,Trigger)</f>
        <v>62397</v>
      </c>
      <c r="S129" s="57">
        <f>_xll.qlInterestRateIndexMaturity(Index,R129,Trigger)</f>
        <v>62578</v>
      </c>
      <c r="T129" s="58">
        <f>_xll.qlDayCounterYearFraction(DayCounter,R129,S129,,,Trigger)</f>
        <v>0.50277777777777777</v>
      </c>
      <c r="U129" s="59">
        <f>_xll.qlIndexFixing(Index,Q129,,AllTriggers)</f>
        <v>6.8816770431328091E-3</v>
      </c>
      <c r="V129" s="60">
        <f>_xll.qlYieldTSDiscount(OisCurve,R129,,AllTriggers)</f>
        <v>0.68980812936890634</v>
      </c>
      <c r="W129" s="60">
        <f>_xll.qlYieldTSDiscount(OisCurve,S129,,AllTriggers)</f>
        <v>0.68754972739566855</v>
      </c>
      <c r="X129" s="59">
        <f t="shared" si="20"/>
        <v>6.5331263318998429E-3</v>
      </c>
      <c r="Y129" s="59">
        <f t="shared" si="23"/>
        <v>3.4855071123296617E-4</v>
      </c>
      <c r="Z129" s="59">
        <f t="shared" si="21"/>
        <v>4.0372065395210925E-4</v>
      </c>
      <c r="AA129" s="59">
        <f t="shared" si="24"/>
        <v>5.5169942719143078E-5</v>
      </c>
      <c r="AB129" s="58">
        <f>_xll.qlDayCounterYearFraction(DayCounter,SettlementDate,R129,,,Trigger)</f>
        <v>56.31666666666667</v>
      </c>
      <c r="AC129" s="59">
        <f>_xll.qlAbcdMathFunctionValue($M$24,AB129)</f>
        <v>4.0454191817670889E-4</v>
      </c>
      <c r="AD129" s="59">
        <f t="shared" si="22"/>
        <v>5.5991206943742714E-5</v>
      </c>
    </row>
    <row r="130" spans="15:30" x14ac:dyDescent="0.2">
      <c r="O130" s="65">
        <v>6</v>
      </c>
      <c r="P130" s="56" t="str">
        <f>_xll.qlPeriodEquivalent(P129&amp;"+"&amp;O130&amp;"M")</f>
        <v>56Y</v>
      </c>
      <c r="Q130" s="57">
        <f>_xll.qlCalendarAdvance(Calendar,SettlementDate,P130,"f",,Trigger)</f>
        <v>62577</v>
      </c>
      <c r="R130" s="57">
        <f>_xll.qlInterestRateIndexValueDate(Index,Q130,Trigger)</f>
        <v>62582</v>
      </c>
      <c r="S130" s="57">
        <f>_xll.qlInterestRateIndexMaturity(Index,R130,Trigger)</f>
        <v>62766</v>
      </c>
      <c r="T130" s="58">
        <f>_xll.qlDayCounterYearFraction(DayCounter,R130,S130,,,Trigger)</f>
        <v>0.51111111111111107</v>
      </c>
      <c r="U130" s="59">
        <f>_xll.qlIndexFixing(Index,Q130,,AllTriggers)</f>
        <v>6.8949903140109355E-3</v>
      </c>
      <c r="V130" s="60">
        <f>_xll.qlYieldTSDiscount(OisCurve,R130,,AllTriggers)</f>
        <v>0.68749971900554685</v>
      </c>
      <c r="W130" s="60">
        <f>_xll.qlYieldTSDiscount(OisCurve,S130,,AllTriggers)</f>
        <v>0.68519544449131031</v>
      </c>
      <c r="X130" s="59">
        <f t="shared" si="20"/>
        <v>6.5796747720282406E-3</v>
      </c>
      <c r="Y130" s="59">
        <f t="shared" si="23"/>
        <v>3.1531554198269487E-4</v>
      </c>
      <c r="Z130" s="59">
        <f t="shared" si="21"/>
        <v>4.1003756790331224E-4</v>
      </c>
      <c r="AA130" s="59">
        <f t="shared" si="24"/>
        <v>9.472202592061737E-5</v>
      </c>
      <c r="AB130" s="58">
        <f>_xll.qlDayCounterYearFraction(DayCounter,SettlementDate,R130,,,Trigger)</f>
        <v>56.830555555555556</v>
      </c>
      <c r="AC130" s="59">
        <f>_xll.qlAbcdMathFunctionValue($M$24,AB130)</f>
        <v>4.0415017750986823E-4</v>
      </c>
      <c r="AD130" s="59">
        <f t="shared" si="22"/>
        <v>8.8834635527173351E-5</v>
      </c>
    </row>
    <row r="131" spans="15:30" x14ac:dyDescent="0.2">
      <c r="O131" s="65">
        <v>6</v>
      </c>
      <c r="P131" s="56" t="str">
        <f>_xll.qlPeriodEquivalent(P130&amp;"+"&amp;O131&amp;"M")</f>
        <v>56Y6M</v>
      </c>
      <c r="Q131" s="57">
        <f>_xll.qlCalendarAdvance(Calendar,SettlementDate,P131,"f",,Trigger)</f>
        <v>62760</v>
      </c>
      <c r="R131" s="57">
        <f>_xll.qlInterestRateIndexValueDate(Index,Q131,Trigger)</f>
        <v>62764</v>
      </c>
      <c r="S131" s="57">
        <f>_xll.qlInterestRateIndexMaturity(Index,R131,Trigger)</f>
        <v>62946</v>
      </c>
      <c r="T131" s="58">
        <f>_xll.qlDayCounterYearFraction(DayCounter,R131,S131,,,Trigger)</f>
        <v>0.50555555555555554</v>
      </c>
      <c r="U131" s="59">
        <f>_xll.qlIndexFixing(Index,Q131,,AllTriggers)</f>
        <v>6.905985670227128E-3</v>
      </c>
      <c r="V131" s="60">
        <f>_xll.qlYieldTSDiscount(OisCurve,R131,,AllTriggers)</f>
        <v>0.68522052798603228</v>
      </c>
      <c r="W131" s="60">
        <f>_xll.qlYieldTSDiscount(OisCurve,S131,,AllTriggers)</f>
        <v>0.68293527705112045</v>
      </c>
      <c r="X131" s="59">
        <f t="shared" si="20"/>
        <v>6.6188945372233606E-3</v>
      </c>
      <c r="Y131" s="59">
        <f t="shared" ref="Y131:Y162" si="25">U131-X131</f>
        <v>2.8709113300376746E-4</v>
      </c>
      <c r="Z131" s="59">
        <f t="shared" si="21"/>
        <v>4.0524576652845593E-4</v>
      </c>
      <c r="AA131" s="59">
        <f t="shared" ref="AA131:AA162" si="26">(Z131-Y131)</f>
        <v>1.1815463352468847E-4</v>
      </c>
      <c r="AB131" s="58">
        <f>_xll.qlDayCounterYearFraction(DayCounter,SettlementDate,R131,,,Trigger)</f>
        <v>57.336111111111109</v>
      </c>
      <c r="AC131" s="59">
        <f>_xll.qlAbcdMathFunctionValue($M$24,AB131)</f>
        <v>4.0379097728797739E-4</v>
      </c>
      <c r="AD131" s="59">
        <f t="shared" si="22"/>
        <v>1.1669984428420993E-4</v>
      </c>
    </row>
    <row r="132" spans="15:30" x14ac:dyDescent="0.2">
      <c r="O132" s="65">
        <v>6</v>
      </c>
      <c r="P132" s="56" t="str">
        <f>_xll.qlPeriodEquivalent(P131&amp;"+"&amp;O132&amp;"M")</f>
        <v>57Y</v>
      </c>
      <c r="Q132" s="57">
        <f>_xll.qlCalendarAdvance(Calendar,SettlementDate,P132,"f",,Trigger)</f>
        <v>62943</v>
      </c>
      <c r="R132" s="57">
        <f>_xll.qlInterestRateIndexValueDate(Index,Q132,Trigger)</f>
        <v>62947</v>
      </c>
      <c r="S132" s="57">
        <f>_xll.qlInterestRateIndexMaturity(Index,R132,Trigger)</f>
        <v>63131</v>
      </c>
      <c r="T132" s="58">
        <f>_xll.qlDayCounterYearFraction(DayCounter,R132,S132,,,Trigger)</f>
        <v>0.51111111111111107</v>
      </c>
      <c r="U132" s="59">
        <f>_xll.qlIndexFixing(Index,Q132,,AllTriggers)</f>
        <v>6.9158063218453265E-3</v>
      </c>
      <c r="V132" s="60">
        <f>_xll.qlYieldTSDiscount(OisCurve,R132,,AllTriggers)</f>
        <v>0.68292270778483299</v>
      </c>
      <c r="W132" s="60">
        <f>_xll.qlYieldTSDiscount(OisCurve,S132,,AllTriggers)</f>
        <v>0.68060825872450259</v>
      </c>
      <c r="X132" s="59">
        <f t="shared" ref="X132:X135" si="27">(V132/W132-1)/T132</f>
        <v>6.6532691053921645E-3</v>
      </c>
      <c r="Y132" s="59">
        <f t="shared" si="25"/>
        <v>2.62537216453162E-4</v>
      </c>
      <c r="Z132" s="59">
        <f t="shared" ref="Z132:Z135" si="28">_xll.qlIntegralTenorBasisIntegrate($M$11,R132)</f>
        <v>4.0937847369696074E-4</v>
      </c>
      <c r="AA132" s="59">
        <f t="shared" si="26"/>
        <v>1.4684125724379873E-4</v>
      </c>
      <c r="AB132" s="58">
        <f>_xll.qlDayCounterYearFraction(DayCounter,SettlementDate,R132,,,Trigger)</f>
        <v>57.844444444444441</v>
      </c>
      <c r="AC132" s="59">
        <f>_xll.qlAbcdMathFunctionValue($M$24,AB132)</f>
        <v>4.0345424479984037E-4</v>
      </c>
      <c r="AD132" s="59">
        <f t="shared" ref="AD132:AD135" si="29">(AC132-Y132)</f>
        <v>1.4091702834667836E-4</v>
      </c>
    </row>
    <row r="133" spans="15:30" x14ac:dyDescent="0.2">
      <c r="O133" s="65">
        <v>6</v>
      </c>
      <c r="P133" s="56" t="str">
        <f>_xll.qlPeriodEquivalent(P132&amp;"+"&amp;O133&amp;"M")</f>
        <v>57Y6M</v>
      </c>
      <c r="Q133" s="57">
        <f>_xll.qlCalendarAdvance(Calendar,SettlementDate,P133,"f",,Trigger)</f>
        <v>63128</v>
      </c>
      <c r="R133" s="57">
        <f>_xll.qlInterestRateIndexValueDate(Index,Q133,Trigger)</f>
        <v>63130</v>
      </c>
      <c r="S133" s="57">
        <f>_xll.qlInterestRateIndexMaturity(Index,R133,Trigger)</f>
        <v>63311</v>
      </c>
      <c r="T133" s="58">
        <f>_xll.qlDayCounterYearFraction(DayCounter,R133,S133,,,Trigger)</f>
        <v>0.50277777777777777</v>
      </c>
      <c r="U133" s="59">
        <f>_xll.qlIndexFixing(Index,Q133,,AllTriggers)</f>
        <v>6.923566142289248E-3</v>
      </c>
      <c r="V133" s="60">
        <f>_xll.qlYieldTSDiscount(OisCurve,R133,,AllTriggers)</f>
        <v>0.68062084452951188</v>
      </c>
      <c r="W133" s="60">
        <f>_xll.qlYieldTSDiscount(OisCurve,S133,,AllTriggers)</f>
        <v>0.67834217726498514</v>
      </c>
      <c r="X133" s="59">
        <f t="shared" si="27"/>
        <v>6.681223779302377E-3</v>
      </c>
      <c r="Y133" s="59">
        <f t="shared" si="25"/>
        <v>2.4234236298687102E-4</v>
      </c>
      <c r="Z133" s="59">
        <f t="shared" si="28"/>
        <v>4.0241411135609912E-4</v>
      </c>
      <c r="AA133" s="59">
        <f t="shared" si="26"/>
        <v>1.600717483692281E-4</v>
      </c>
      <c r="AB133" s="58">
        <f>_xll.qlDayCounterYearFraction(DayCounter,SettlementDate,R133,,,Trigger)</f>
        <v>58.352777777777774</v>
      </c>
      <c r="AC133" s="59">
        <f>_xll.qlAbcdMathFunctionValue($M$24,AB133)</f>
        <v>4.0314038897328502E-4</v>
      </c>
      <c r="AD133" s="59">
        <f t="shared" si="29"/>
        <v>1.60798025986414E-4</v>
      </c>
    </row>
    <row r="134" spans="15:30" x14ac:dyDescent="0.2">
      <c r="O134" s="65">
        <v>6</v>
      </c>
      <c r="P134" s="56" t="str">
        <f>_xll.qlPeriodEquivalent(P133&amp;"+"&amp;O134&amp;"M")</f>
        <v>58Y</v>
      </c>
      <c r="Q134" s="57">
        <f>_xll.qlCalendarAdvance(Calendar,SettlementDate,P134,"f",,Trigger)</f>
        <v>63311</v>
      </c>
      <c r="R134" s="57">
        <f>_xll.qlInterestRateIndexValueDate(Index,Q134,Trigger)</f>
        <v>63313</v>
      </c>
      <c r="S134" s="57">
        <f>_xll.qlInterestRateIndexMaturity(Index,R134,Trigger)</f>
        <v>63499</v>
      </c>
      <c r="T134" s="58">
        <f>_xll.qlDayCounterYearFraction(DayCounter,R134,S134,,,Trigger)</f>
        <v>0.51666666666666672</v>
      </c>
      <c r="U134" s="59">
        <f>_xll.qlIndexFixing(Index,Q134,,AllTriggers)</f>
        <v>6.9303846613487678E-3</v>
      </c>
      <c r="V134" s="60">
        <f>_xll.qlYieldTSDiscount(OisCurve,R134,,AllTriggers)</f>
        <v>0.67831699514784405</v>
      </c>
      <c r="W134" s="60">
        <f>_xll.qlYieldTSDiscount(OisCurve,S134,,AllTriggers)</f>
        <v>0.67597543406131178</v>
      </c>
      <c r="X134" s="59">
        <f t="shared" si="27"/>
        <v>6.7044651144197668E-3</v>
      </c>
      <c r="Y134" s="59">
        <f t="shared" si="25"/>
        <v>2.2591954692900099E-4</v>
      </c>
      <c r="Z134" s="59">
        <f t="shared" si="28"/>
        <v>4.1324732395931949E-4</v>
      </c>
      <c r="AA134" s="59">
        <f t="shared" si="26"/>
        <v>1.873277770303185E-4</v>
      </c>
      <c r="AB134" s="58">
        <f>_xll.qlDayCounterYearFraction(DayCounter,SettlementDate,R134,,,Trigger)</f>
        <v>58.861111111111114</v>
      </c>
      <c r="AC134" s="59">
        <f>_xll.qlAbcdMathFunctionValue($M$24,AB134)</f>
        <v>4.0284788158609076E-4</v>
      </c>
      <c r="AD134" s="59">
        <f t="shared" si="29"/>
        <v>1.7692833465708977E-4</v>
      </c>
    </row>
    <row r="135" spans="15:30" x14ac:dyDescent="0.2">
      <c r="O135" s="65">
        <v>6</v>
      </c>
      <c r="P135" s="56" t="str">
        <f>_xll.qlPeriodEquivalent(P134&amp;"+"&amp;O135&amp;"M")</f>
        <v>58Y6M</v>
      </c>
      <c r="Q135" s="61">
        <f>_xll.qlCalendarAdvance(Calendar,SettlementDate,P135,"f",,Trigger)</f>
        <v>63492</v>
      </c>
      <c r="R135" s="61">
        <f>_xll.qlInterestRateIndexValueDate(Index,Q135,Trigger)</f>
        <v>63494</v>
      </c>
      <c r="S135" s="61">
        <f>_xll.qlInterestRateIndexMaturity(Index,R135,Trigger)</f>
        <v>63676</v>
      </c>
      <c r="T135" s="62">
        <f>_xll.qlDayCounterYearFraction(DayCounter,R135,S135,,,Trigger)</f>
        <v>0.50555555555555554</v>
      </c>
      <c r="U135" s="63">
        <f>_xll.qlIndexFixing(Index,Q135,,AllTriggers)</f>
        <v>6.9348083060875605E-3</v>
      </c>
      <c r="V135" s="64">
        <f>_xll.qlYieldTSDiscount(OisCurve,R135,,AllTriggers)</f>
        <v>0.67603836050290045</v>
      </c>
      <c r="W135" s="64">
        <f>_xll.qlYieldTSDiscount(OisCurve,S135,,AllTriggers)</f>
        <v>0.67374913822240567</v>
      </c>
      <c r="X135" s="63">
        <f t="shared" si="27"/>
        <v>6.7207981821588887E-3</v>
      </c>
      <c r="Y135" s="63">
        <f t="shared" si="25"/>
        <v>2.1401012392867173E-4</v>
      </c>
      <c r="Z135" s="59">
        <f t="shared" si="28"/>
        <v>4.0411117802131537E-4</v>
      </c>
      <c r="AA135" s="59">
        <f t="shared" si="26"/>
        <v>1.9010105409264364E-4</v>
      </c>
      <c r="AB135" s="58">
        <f>_xll.qlDayCounterYearFraction(DayCounter,SettlementDate,R135,,,Trigger)</f>
        <v>59.363888888888887</v>
      </c>
      <c r="AC135" s="59">
        <f>_xll.qlAbcdMathFunctionValue($M$24,AB135)</f>
        <v>4.0257817055520468E-4</v>
      </c>
      <c r="AD135" s="59">
        <f t="shared" si="29"/>
        <v>1.8856804662653294E-4</v>
      </c>
    </row>
    <row r="136" spans="15:30" x14ac:dyDescent="0.2">
      <c r="P136" s="69"/>
      <c r="Q136" s="70"/>
      <c r="R136" s="70"/>
      <c r="S136" s="70"/>
      <c r="T136" s="71"/>
      <c r="U136" s="72"/>
      <c r="V136" s="73"/>
      <c r="W136" s="73"/>
      <c r="X136" s="72"/>
      <c r="Y136" s="72"/>
      <c r="Z136" s="69"/>
      <c r="AA136" s="69"/>
      <c r="AB136" s="68"/>
      <c r="AC136" s="68"/>
      <c r="AD136" s="68"/>
    </row>
    <row r="137" spans="15:30" x14ac:dyDescent="0.2">
      <c r="P137" s="68"/>
      <c r="Q137" s="74"/>
      <c r="R137" s="74"/>
      <c r="S137" s="74"/>
      <c r="T137" s="75"/>
      <c r="U137" s="76"/>
      <c r="V137" s="77"/>
      <c r="W137" s="77"/>
      <c r="X137" s="76"/>
      <c r="Y137" s="76"/>
      <c r="Z137" s="68"/>
      <c r="AA137" s="68"/>
      <c r="AB137" s="68"/>
      <c r="AC137" s="68"/>
      <c r="AD137" s="68"/>
    </row>
    <row r="138" spans="15:30" x14ac:dyDescent="0.2">
      <c r="P138" s="68"/>
      <c r="Q138" s="74"/>
      <c r="R138" s="74"/>
      <c r="S138" s="74"/>
      <c r="T138" s="75"/>
      <c r="U138" s="76"/>
      <c r="V138" s="77"/>
      <c r="W138" s="77"/>
      <c r="X138" s="76"/>
      <c r="Y138" s="76"/>
      <c r="Z138" s="68"/>
      <c r="AA138" s="68"/>
      <c r="AB138" s="68"/>
      <c r="AC138" s="68"/>
      <c r="AD138" s="68"/>
    </row>
    <row r="139" spans="15:30" x14ac:dyDescent="0.2">
      <c r="P139" s="68"/>
      <c r="Q139" s="74"/>
      <c r="R139" s="74"/>
      <c r="S139" s="74"/>
      <c r="T139" s="75"/>
      <c r="U139" s="76"/>
      <c r="V139" s="77"/>
      <c r="W139" s="77"/>
      <c r="X139" s="76"/>
      <c r="Y139" s="76"/>
      <c r="Z139" s="68"/>
      <c r="AA139" s="68"/>
      <c r="AB139" s="68"/>
      <c r="AC139" s="68"/>
      <c r="AD139" s="68"/>
    </row>
    <row r="140" spans="15:30" x14ac:dyDescent="0.2">
      <c r="P140" s="68"/>
      <c r="Q140" s="74"/>
      <c r="R140" s="74"/>
      <c r="S140" s="74"/>
      <c r="T140" s="75"/>
      <c r="U140" s="76"/>
      <c r="V140" s="77"/>
      <c r="W140" s="77"/>
      <c r="X140" s="76"/>
      <c r="Y140" s="76"/>
      <c r="Z140" s="68"/>
      <c r="AA140" s="68"/>
      <c r="AB140" s="68"/>
      <c r="AC140" s="68"/>
      <c r="AD140" s="68"/>
    </row>
    <row r="141" spans="15:30" x14ac:dyDescent="0.2">
      <c r="P141" s="68"/>
      <c r="Q141" s="74"/>
      <c r="R141" s="74"/>
      <c r="S141" s="74"/>
      <c r="T141" s="75"/>
      <c r="U141" s="76"/>
      <c r="V141" s="77"/>
      <c r="W141" s="77"/>
      <c r="X141" s="76"/>
      <c r="Y141" s="76"/>
      <c r="Z141" s="68"/>
      <c r="AA141" s="68"/>
      <c r="AB141" s="68"/>
      <c r="AC141" s="68"/>
      <c r="AD141" s="68"/>
    </row>
    <row r="142" spans="15:30" x14ac:dyDescent="0.2">
      <c r="P142" s="68"/>
      <c r="Q142" s="74"/>
      <c r="R142" s="74"/>
      <c r="S142" s="74"/>
      <c r="T142" s="75"/>
      <c r="U142" s="76"/>
      <c r="V142" s="77"/>
      <c r="W142" s="77"/>
      <c r="X142" s="76"/>
      <c r="Y142" s="76"/>
      <c r="Z142" s="68"/>
      <c r="AA142" s="68"/>
      <c r="AB142" s="68"/>
      <c r="AC142" s="68"/>
      <c r="AD142" s="68"/>
    </row>
    <row r="143" spans="15:30" x14ac:dyDescent="0.2">
      <c r="P143" s="68"/>
      <c r="Q143" s="74"/>
      <c r="R143" s="74"/>
      <c r="S143" s="74"/>
      <c r="T143" s="75"/>
      <c r="U143" s="76"/>
      <c r="V143" s="77"/>
      <c r="W143" s="77"/>
      <c r="X143" s="76"/>
      <c r="Y143" s="76"/>
      <c r="Z143" s="68"/>
      <c r="AA143" s="68"/>
      <c r="AB143" s="68"/>
      <c r="AC143" s="68"/>
      <c r="AD143" s="68"/>
    </row>
    <row r="144" spans="15:30" x14ac:dyDescent="0.2">
      <c r="P144" s="68"/>
      <c r="Q144" s="74"/>
      <c r="R144" s="74"/>
      <c r="S144" s="74"/>
      <c r="T144" s="75"/>
      <c r="U144" s="76"/>
      <c r="V144" s="77"/>
      <c r="W144" s="77"/>
      <c r="X144" s="76"/>
      <c r="Y144" s="76"/>
      <c r="Z144" s="68"/>
      <c r="AA144" s="68"/>
      <c r="AB144" s="68"/>
      <c r="AC144" s="68"/>
      <c r="AD144" s="68"/>
    </row>
    <row r="145" spans="16:30" x14ac:dyDescent="0.2">
      <c r="P145" s="68"/>
      <c r="Q145" s="74"/>
      <c r="R145" s="74"/>
      <c r="S145" s="74"/>
      <c r="T145" s="75"/>
      <c r="U145" s="76"/>
      <c r="V145" s="77"/>
      <c r="W145" s="77"/>
      <c r="X145" s="76"/>
      <c r="Y145" s="76"/>
      <c r="Z145" s="68"/>
      <c r="AA145" s="68"/>
      <c r="AB145" s="68"/>
      <c r="AC145" s="68"/>
      <c r="AD145" s="68"/>
    </row>
    <row r="146" spans="16:30" x14ac:dyDescent="0.2">
      <c r="P146" s="68"/>
      <c r="Q146" s="74"/>
      <c r="R146" s="74"/>
      <c r="S146" s="74"/>
      <c r="T146" s="75"/>
      <c r="U146" s="76"/>
      <c r="V146" s="77"/>
      <c r="W146" s="77"/>
      <c r="X146" s="76"/>
      <c r="Y146" s="76"/>
      <c r="Z146" s="68"/>
      <c r="AA146" s="68"/>
      <c r="AB146" s="68"/>
      <c r="AC146" s="68"/>
      <c r="AD146" s="68"/>
    </row>
    <row r="147" spans="16:30" x14ac:dyDescent="0.2">
      <c r="P147" s="68"/>
      <c r="Q147" s="74"/>
      <c r="R147" s="74"/>
      <c r="S147" s="74"/>
      <c r="T147" s="75"/>
      <c r="U147" s="76"/>
      <c r="V147" s="77"/>
      <c r="W147" s="77"/>
      <c r="X147" s="76"/>
      <c r="Y147" s="76"/>
      <c r="Z147" s="68"/>
      <c r="AA147" s="68"/>
      <c r="AB147" s="68"/>
      <c r="AC147" s="68"/>
      <c r="AD147" s="68"/>
    </row>
    <row r="148" spans="16:30" x14ac:dyDescent="0.2">
      <c r="P148" s="68"/>
      <c r="Q148" s="74"/>
      <c r="R148" s="74"/>
      <c r="S148" s="74"/>
      <c r="T148" s="75"/>
      <c r="U148" s="76"/>
      <c r="V148" s="77"/>
      <c r="W148" s="77"/>
      <c r="X148" s="76"/>
      <c r="Y148" s="76"/>
      <c r="Z148" s="68"/>
      <c r="AA148" s="68"/>
      <c r="AB148" s="68"/>
      <c r="AC148" s="68"/>
      <c r="AD148" s="68"/>
    </row>
    <row r="149" spans="16:30" x14ac:dyDescent="0.2">
      <c r="P149" s="68"/>
      <c r="Q149" s="74"/>
      <c r="R149" s="74"/>
      <c r="S149" s="74"/>
      <c r="T149" s="75"/>
      <c r="U149" s="76"/>
      <c r="V149" s="77"/>
      <c r="W149" s="77"/>
      <c r="X149" s="76"/>
      <c r="Y149" s="76"/>
      <c r="Z149" s="68"/>
      <c r="AA149" s="68"/>
      <c r="AB149" s="68"/>
      <c r="AC149" s="68"/>
      <c r="AD149" s="68"/>
    </row>
    <row r="150" spans="16:30" x14ac:dyDescent="0.2">
      <c r="P150" s="68"/>
      <c r="Q150" s="74"/>
      <c r="R150" s="74"/>
      <c r="S150" s="74"/>
      <c r="T150" s="75"/>
      <c r="U150" s="76"/>
      <c r="V150" s="77"/>
      <c r="W150" s="77"/>
      <c r="X150" s="76"/>
      <c r="Y150" s="76"/>
      <c r="Z150" s="68"/>
      <c r="AA150" s="68"/>
      <c r="AB150" s="68"/>
      <c r="AC150" s="68"/>
      <c r="AD150" s="68"/>
    </row>
    <row r="151" spans="16:30" x14ac:dyDescent="0.2">
      <c r="P151" s="68"/>
      <c r="Q151" s="74"/>
      <c r="R151" s="74"/>
      <c r="S151" s="74"/>
      <c r="T151" s="75"/>
      <c r="U151" s="76"/>
      <c r="V151" s="77"/>
      <c r="W151" s="77"/>
      <c r="X151" s="76"/>
      <c r="Y151" s="76"/>
      <c r="Z151" s="68"/>
      <c r="AA151" s="68"/>
      <c r="AB151" s="68"/>
      <c r="AC151" s="68"/>
      <c r="AD151" s="68"/>
    </row>
    <row r="152" spans="16:30" x14ac:dyDescent="0.2">
      <c r="P152" s="68"/>
      <c r="Q152" s="74"/>
      <c r="R152" s="74"/>
      <c r="S152" s="74"/>
      <c r="T152" s="75"/>
      <c r="U152" s="76"/>
      <c r="V152" s="77"/>
      <c r="W152" s="77"/>
      <c r="X152" s="76"/>
      <c r="Y152" s="76"/>
      <c r="Z152" s="68"/>
      <c r="AA152" s="68"/>
      <c r="AB152" s="68"/>
      <c r="AC152" s="68"/>
      <c r="AD152" s="68"/>
    </row>
    <row r="153" spans="16:30" x14ac:dyDescent="0.2">
      <c r="P153" s="68"/>
      <c r="Q153" s="74"/>
      <c r="R153" s="74"/>
      <c r="S153" s="74"/>
      <c r="T153" s="75"/>
      <c r="U153" s="76"/>
      <c r="V153" s="77"/>
      <c r="W153" s="77"/>
      <c r="X153" s="76"/>
      <c r="Y153" s="76"/>
      <c r="Z153" s="68"/>
      <c r="AA153" s="68"/>
      <c r="AB153" s="68"/>
      <c r="AC153" s="68"/>
      <c r="AD153" s="68"/>
    </row>
    <row r="154" spans="16:30" x14ac:dyDescent="0.2">
      <c r="P154" s="68"/>
      <c r="Q154" s="74"/>
      <c r="R154" s="74"/>
      <c r="S154" s="74"/>
      <c r="T154" s="75"/>
      <c r="U154" s="76"/>
      <c r="V154" s="77"/>
      <c r="W154" s="77"/>
      <c r="X154" s="76"/>
      <c r="Y154" s="76"/>
      <c r="Z154" s="68"/>
      <c r="AA154" s="68"/>
      <c r="AB154" s="68"/>
      <c r="AC154" s="68"/>
      <c r="AD154" s="68"/>
    </row>
    <row r="155" spans="16:30" x14ac:dyDescent="0.2">
      <c r="P155" s="68"/>
      <c r="Q155" s="74"/>
      <c r="R155" s="74"/>
      <c r="S155" s="74"/>
      <c r="T155" s="75"/>
      <c r="U155" s="76"/>
      <c r="V155" s="77"/>
      <c r="W155" s="77"/>
      <c r="X155" s="76"/>
      <c r="Y155" s="76"/>
      <c r="Z155" s="68"/>
      <c r="AA155" s="68"/>
      <c r="AB155" s="68"/>
      <c r="AC155" s="68"/>
      <c r="AD155" s="68"/>
    </row>
    <row r="156" spans="16:30" x14ac:dyDescent="0.2">
      <c r="P156" s="68"/>
      <c r="Q156" s="74"/>
      <c r="R156" s="74"/>
      <c r="S156" s="74"/>
      <c r="T156" s="75"/>
      <c r="U156" s="76"/>
      <c r="V156" s="77"/>
      <c r="W156" s="77"/>
      <c r="X156" s="76"/>
      <c r="Y156" s="76"/>
      <c r="Z156" s="68"/>
      <c r="AA156" s="68"/>
      <c r="AB156" s="68"/>
      <c r="AC156" s="68"/>
      <c r="AD156" s="68"/>
    </row>
    <row r="157" spans="16:30" x14ac:dyDescent="0.2">
      <c r="P157" s="68"/>
      <c r="Q157" s="74"/>
      <c r="R157" s="74"/>
      <c r="S157" s="74"/>
      <c r="T157" s="75"/>
      <c r="U157" s="76"/>
      <c r="V157" s="77"/>
      <c r="W157" s="77"/>
      <c r="X157" s="76"/>
      <c r="Y157" s="76"/>
      <c r="Z157" s="68"/>
      <c r="AA157" s="68"/>
      <c r="AB157" s="68"/>
      <c r="AC157" s="68"/>
      <c r="AD157" s="68"/>
    </row>
    <row r="158" spans="16:30" x14ac:dyDescent="0.2">
      <c r="P158" s="68"/>
      <c r="Q158" s="74"/>
      <c r="R158" s="74"/>
      <c r="S158" s="74"/>
      <c r="T158" s="75"/>
      <c r="U158" s="76"/>
      <c r="V158" s="77"/>
      <c r="W158" s="77"/>
      <c r="X158" s="76"/>
      <c r="Y158" s="76"/>
      <c r="Z158" s="68"/>
      <c r="AA158" s="68"/>
      <c r="AB158" s="68"/>
      <c r="AC158" s="68"/>
      <c r="AD158" s="68"/>
    </row>
    <row r="159" spans="16:30" x14ac:dyDescent="0.2">
      <c r="P159" s="68"/>
      <c r="Q159" s="74"/>
      <c r="R159" s="74"/>
      <c r="S159" s="74"/>
      <c r="T159" s="75"/>
      <c r="U159" s="76"/>
      <c r="V159" s="77"/>
      <c r="W159" s="77"/>
      <c r="X159" s="76"/>
      <c r="Y159" s="76"/>
      <c r="Z159" s="68"/>
      <c r="AA159" s="68"/>
      <c r="AB159" s="68"/>
      <c r="AC159" s="68"/>
      <c r="AD159" s="68"/>
    </row>
    <row r="160" spans="16:30" x14ac:dyDescent="0.2">
      <c r="P160" s="68"/>
      <c r="Q160" s="74"/>
      <c r="R160" s="74"/>
      <c r="S160" s="74"/>
      <c r="T160" s="75"/>
      <c r="U160" s="76"/>
      <c r="V160" s="77"/>
      <c r="W160" s="77"/>
      <c r="X160" s="76"/>
      <c r="Y160" s="76"/>
      <c r="Z160" s="68"/>
      <c r="AA160" s="68"/>
      <c r="AB160" s="68"/>
      <c r="AC160" s="68"/>
      <c r="AD160" s="68"/>
    </row>
    <row r="161" spans="16:30" x14ac:dyDescent="0.2">
      <c r="P161" s="68"/>
      <c r="Q161" s="74"/>
      <c r="R161" s="74"/>
      <c r="S161" s="74"/>
      <c r="T161" s="75"/>
      <c r="U161" s="76"/>
      <c r="V161" s="77"/>
      <c r="W161" s="77"/>
      <c r="X161" s="76"/>
      <c r="Y161" s="76"/>
      <c r="Z161" s="68"/>
      <c r="AA161" s="68"/>
      <c r="AB161" s="68"/>
      <c r="AC161" s="68"/>
      <c r="AD161" s="68"/>
    </row>
    <row r="162" spans="16:30" x14ac:dyDescent="0.2">
      <c r="P162" s="68"/>
      <c r="Q162" s="74"/>
      <c r="R162" s="74"/>
      <c r="S162" s="74"/>
      <c r="T162" s="75"/>
      <c r="U162" s="76"/>
      <c r="V162" s="77"/>
      <c r="W162" s="77"/>
      <c r="X162" s="76"/>
      <c r="Y162" s="76"/>
      <c r="Z162" s="68"/>
      <c r="AA162" s="68"/>
      <c r="AB162" s="68"/>
      <c r="AC162" s="68"/>
      <c r="AD162" s="68"/>
    </row>
    <row r="163" spans="16:30" x14ac:dyDescent="0.2">
      <c r="P163" s="68"/>
      <c r="Q163" s="74"/>
      <c r="R163" s="74"/>
      <c r="S163" s="74"/>
      <c r="T163" s="75"/>
      <c r="U163" s="76"/>
      <c r="V163" s="77"/>
      <c r="W163" s="77"/>
      <c r="X163" s="76"/>
      <c r="Y163" s="76"/>
      <c r="Z163" s="68"/>
      <c r="AA163" s="68"/>
      <c r="AB163" s="68"/>
      <c r="AC163" s="68"/>
      <c r="AD163" s="68"/>
    </row>
    <row r="164" spans="16:30" x14ac:dyDescent="0.2">
      <c r="P164" s="68"/>
      <c r="Q164" s="74"/>
      <c r="R164" s="74"/>
      <c r="S164" s="74"/>
      <c r="T164" s="75"/>
      <c r="U164" s="76"/>
      <c r="V164" s="77"/>
      <c r="W164" s="77"/>
      <c r="X164" s="76"/>
      <c r="Y164" s="76"/>
      <c r="Z164" s="68"/>
      <c r="AA164" s="68"/>
      <c r="AB164" s="68"/>
      <c r="AC164" s="68"/>
      <c r="AD164" s="68"/>
    </row>
    <row r="165" spans="16:30" x14ac:dyDescent="0.2">
      <c r="P165" s="68"/>
      <c r="Q165" s="74"/>
      <c r="R165" s="74"/>
      <c r="S165" s="74"/>
      <c r="T165" s="75"/>
      <c r="U165" s="76"/>
      <c r="V165" s="77"/>
      <c r="W165" s="77"/>
      <c r="X165" s="76"/>
      <c r="Y165" s="76"/>
      <c r="Z165" s="68"/>
      <c r="AA165" s="68"/>
      <c r="AB165" s="68"/>
      <c r="AC165" s="68"/>
      <c r="AD165" s="68"/>
    </row>
    <row r="166" spans="16:30" x14ac:dyDescent="0.2">
      <c r="P166" s="68"/>
      <c r="Q166" s="74"/>
      <c r="R166" s="74"/>
      <c r="S166" s="74"/>
      <c r="T166" s="75"/>
      <c r="U166" s="76"/>
      <c r="V166" s="77"/>
      <c r="W166" s="77"/>
      <c r="X166" s="76"/>
      <c r="Y166" s="76"/>
      <c r="Z166" s="68"/>
      <c r="AA166" s="68"/>
      <c r="AB166" s="68"/>
      <c r="AC166" s="68"/>
      <c r="AD166" s="68"/>
    </row>
    <row r="167" spans="16:30" x14ac:dyDescent="0.2">
      <c r="P167" s="68"/>
      <c r="Q167" s="74"/>
      <c r="R167" s="74"/>
      <c r="S167" s="74"/>
      <c r="T167" s="75"/>
      <c r="U167" s="76"/>
      <c r="V167" s="77"/>
      <c r="W167" s="77"/>
      <c r="X167" s="76"/>
      <c r="Y167" s="76"/>
      <c r="Z167" s="68"/>
      <c r="AA167" s="68"/>
      <c r="AB167" s="68"/>
      <c r="AC167" s="68"/>
      <c r="AD167" s="68"/>
    </row>
    <row r="168" spans="16:30" x14ac:dyDescent="0.2">
      <c r="P168" s="68"/>
      <c r="Q168" s="74"/>
      <c r="R168" s="74"/>
      <c r="S168" s="74"/>
      <c r="T168" s="75"/>
      <c r="U168" s="76"/>
      <c r="V168" s="77"/>
      <c r="W168" s="77"/>
      <c r="X168" s="76"/>
      <c r="Y168" s="76"/>
      <c r="Z168" s="68"/>
      <c r="AA168" s="68"/>
      <c r="AB168" s="68"/>
      <c r="AC168" s="68"/>
      <c r="AD168" s="68"/>
    </row>
    <row r="169" spans="16:30" x14ac:dyDescent="0.2">
      <c r="P169" s="68"/>
      <c r="Q169" s="74"/>
      <c r="R169" s="74"/>
      <c r="S169" s="74"/>
      <c r="T169" s="75"/>
      <c r="U169" s="76"/>
      <c r="V169" s="77"/>
      <c r="W169" s="77"/>
      <c r="X169" s="76"/>
      <c r="Y169" s="76"/>
      <c r="Z169" s="68"/>
      <c r="AA169" s="68"/>
      <c r="AB169" s="68"/>
      <c r="AC169" s="68"/>
      <c r="AD169" s="68"/>
    </row>
    <row r="170" spans="16:30" x14ac:dyDescent="0.2">
      <c r="P170" s="68"/>
      <c r="Q170" s="74"/>
      <c r="R170" s="74"/>
      <c r="S170" s="74"/>
      <c r="T170" s="75"/>
      <c r="U170" s="76"/>
      <c r="V170" s="77"/>
      <c r="W170" s="77"/>
      <c r="X170" s="76"/>
      <c r="Y170" s="76"/>
      <c r="Z170" s="68"/>
      <c r="AA170" s="68"/>
      <c r="AB170" s="68"/>
      <c r="AC170" s="68"/>
      <c r="AD170" s="68"/>
    </row>
    <row r="171" spans="16:30" x14ac:dyDescent="0.2">
      <c r="P171" s="68"/>
      <c r="Q171" s="74"/>
      <c r="R171" s="74"/>
      <c r="S171" s="74"/>
      <c r="T171" s="75"/>
      <c r="U171" s="76"/>
      <c r="V171" s="77"/>
      <c r="W171" s="77"/>
      <c r="X171" s="76"/>
      <c r="Y171" s="76"/>
      <c r="Z171" s="68"/>
      <c r="AA171" s="68"/>
      <c r="AB171" s="68"/>
      <c r="AC171" s="68"/>
      <c r="AD171" s="68"/>
    </row>
    <row r="172" spans="16:30" x14ac:dyDescent="0.2">
      <c r="P172" s="68"/>
      <c r="Q172" s="74"/>
      <c r="R172" s="74"/>
      <c r="S172" s="74"/>
      <c r="T172" s="75"/>
      <c r="U172" s="76"/>
      <c r="V172" s="77"/>
      <c r="W172" s="77"/>
      <c r="X172" s="76"/>
      <c r="Y172" s="76"/>
      <c r="Z172" s="68"/>
      <c r="AA172" s="68"/>
      <c r="AB172" s="68"/>
      <c r="AC172" s="68"/>
      <c r="AD172" s="68"/>
    </row>
    <row r="173" spans="16:30" x14ac:dyDescent="0.2">
      <c r="P173" s="68"/>
      <c r="Q173" s="74"/>
      <c r="R173" s="74"/>
      <c r="S173" s="74"/>
      <c r="T173" s="75"/>
      <c r="U173" s="76"/>
      <c r="V173" s="77"/>
      <c r="W173" s="77"/>
      <c r="X173" s="76"/>
      <c r="Y173" s="76"/>
      <c r="Z173" s="68"/>
      <c r="AA173" s="68"/>
      <c r="AB173" s="68"/>
      <c r="AC173" s="68"/>
      <c r="AD173" s="68"/>
    </row>
    <row r="174" spans="16:30" x14ac:dyDescent="0.2">
      <c r="P174" s="68"/>
      <c r="Q174" s="74"/>
      <c r="R174" s="74"/>
      <c r="S174" s="74"/>
      <c r="T174" s="75"/>
      <c r="U174" s="76"/>
      <c r="V174" s="77"/>
      <c r="W174" s="77"/>
      <c r="X174" s="76"/>
      <c r="Y174" s="76"/>
      <c r="Z174" s="68"/>
      <c r="AA174" s="68"/>
      <c r="AB174" s="68"/>
      <c r="AC174" s="68"/>
      <c r="AD174" s="68"/>
    </row>
    <row r="175" spans="16:30" x14ac:dyDescent="0.2">
      <c r="P175" s="68"/>
      <c r="Q175" s="74"/>
      <c r="R175" s="74"/>
      <c r="S175" s="74"/>
      <c r="T175" s="75"/>
      <c r="U175" s="76"/>
      <c r="V175" s="77"/>
      <c r="W175" s="77"/>
      <c r="X175" s="76"/>
      <c r="Y175" s="76"/>
      <c r="Z175" s="68"/>
      <c r="AA175" s="68"/>
      <c r="AB175" s="68"/>
      <c r="AC175" s="68"/>
      <c r="AD175" s="68"/>
    </row>
    <row r="176" spans="16:30" x14ac:dyDescent="0.2">
      <c r="P176" s="68"/>
      <c r="Q176" s="74"/>
      <c r="R176" s="74"/>
      <c r="S176" s="74"/>
      <c r="T176" s="75"/>
      <c r="U176" s="76"/>
      <c r="V176" s="77"/>
      <c r="W176" s="77"/>
      <c r="X176" s="76"/>
      <c r="Y176" s="76"/>
      <c r="Z176" s="68"/>
      <c r="AA176" s="68"/>
      <c r="AB176" s="68"/>
      <c r="AC176" s="68"/>
      <c r="AD176" s="68"/>
    </row>
    <row r="177" spans="16:30" x14ac:dyDescent="0.2">
      <c r="P177" s="68"/>
      <c r="Q177" s="74"/>
      <c r="R177" s="74"/>
      <c r="S177" s="74"/>
      <c r="T177" s="75"/>
      <c r="U177" s="76"/>
      <c r="V177" s="77"/>
      <c r="W177" s="77"/>
      <c r="X177" s="76"/>
      <c r="Y177" s="76"/>
      <c r="Z177" s="68"/>
      <c r="AA177" s="68"/>
      <c r="AB177" s="68"/>
      <c r="AC177" s="68"/>
      <c r="AD177" s="68"/>
    </row>
    <row r="178" spans="16:30" x14ac:dyDescent="0.2">
      <c r="P178" s="68"/>
      <c r="Q178" s="74"/>
      <c r="R178" s="74"/>
      <c r="S178" s="74"/>
      <c r="T178" s="75"/>
      <c r="U178" s="76"/>
      <c r="V178" s="77"/>
      <c r="W178" s="77"/>
      <c r="X178" s="76"/>
      <c r="Y178" s="76"/>
      <c r="Z178" s="68"/>
      <c r="AA178" s="68"/>
      <c r="AB178" s="68"/>
      <c r="AC178" s="68"/>
      <c r="AD178" s="68"/>
    </row>
    <row r="179" spans="16:30" x14ac:dyDescent="0.2">
      <c r="P179" s="68"/>
      <c r="Q179" s="74"/>
      <c r="R179" s="74"/>
      <c r="S179" s="74"/>
      <c r="T179" s="75"/>
      <c r="U179" s="76"/>
      <c r="V179" s="77"/>
      <c r="W179" s="77"/>
      <c r="X179" s="76"/>
      <c r="Y179" s="76"/>
      <c r="Z179" s="68"/>
      <c r="AA179" s="68"/>
      <c r="AB179" s="68"/>
      <c r="AC179" s="68"/>
      <c r="AD179" s="68"/>
    </row>
    <row r="180" spans="16:30" x14ac:dyDescent="0.2">
      <c r="P180" s="68"/>
      <c r="Q180" s="74"/>
      <c r="R180" s="74"/>
      <c r="S180" s="74"/>
      <c r="T180" s="75"/>
      <c r="U180" s="76"/>
      <c r="V180" s="77"/>
      <c r="W180" s="77"/>
      <c r="X180" s="76"/>
      <c r="Y180" s="76"/>
      <c r="Z180" s="68"/>
      <c r="AA180" s="68"/>
      <c r="AB180" s="68"/>
      <c r="AC180" s="68"/>
      <c r="AD180" s="68"/>
    </row>
    <row r="181" spans="16:30" x14ac:dyDescent="0.2">
      <c r="P181" s="68"/>
      <c r="Q181" s="74"/>
      <c r="R181" s="74"/>
      <c r="S181" s="74"/>
      <c r="T181" s="75"/>
      <c r="U181" s="76"/>
      <c r="V181" s="77"/>
      <c r="W181" s="77"/>
      <c r="X181" s="76"/>
      <c r="Y181" s="76"/>
      <c r="Z181" s="68"/>
      <c r="AA181" s="68"/>
      <c r="AB181" s="68"/>
      <c r="AC181" s="68"/>
      <c r="AD181" s="68"/>
    </row>
    <row r="182" spans="16:30" x14ac:dyDescent="0.2">
      <c r="P182" s="68"/>
      <c r="Q182" s="74"/>
      <c r="R182" s="74"/>
      <c r="S182" s="74"/>
      <c r="T182" s="75"/>
      <c r="U182" s="76"/>
      <c r="V182" s="77"/>
      <c r="W182" s="77"/>
      <c r="X182" s="76"/>
      <c r="Y182" s="76"/>
      <c r="Z182" s="68"/>
      <c r="AA182" s="68"/>
      <c r="AB182" s="68"/>
      <c r="AC182" s="68"/>
      <c r="AD182" s="68"/>
    </row>
    <row r="183" spans="16:30" x14ac:dyDescent="0.2">
      <c r="P183" s="68"/>
      <c r="Q183" s="74"/>
      <c r="R183" s="74"/>
      <c r="S183" s="74"/>
      <c r="T183" s="75"/>
      <c r="U183" s="76"/>
      <c r="V183" s="77"/>
      <c r="W183" s="77"/>
      <c r="X183" s="76"/>
      <c r="Y183" s="76"/>
      <c r="Z183" s="68"/>
      <c r="AA183" s="68"/>
      <c r="AB183" s="68"/>
      <c r="AC183" s="68"/>
      <c r="AD183" s="68"/>
    </row>
    <row r="184" spans="16:30" x14ac:dyDescent="0.2">
      <c r="P184" s="68"/>
      <c r="Q184" s="74"/>
      <c r="R184" s="74"/>
      <c r="S184" s="74"/>
      <c r="T184" s="75"/>
      <c r="U184" s="76"/>
      <c r="V184" s="77"/>
      <c r="W184" s="77"/>
      <c r="X184" s="76"/>
      <c r="Y184" s="76"/>
      <c r="Z184" s="68"/>
      <c r="AA184" s="68"/>
      <c r="AB184" s="68"/>
      <c r="AC184" s="68"/>
      <c r="AD184" s="68"/>
    </row>
    <row r="185" spans="16:30" x14ac:dyDescent="0.2">
      <c r="P185" s="68"/>
      <c r="Q185" s="74"/>
      <c r="R185" s="74"/>
      <c r="S185" s="74"/>
      <c r="T185" s="75"/>
      <c r="U185" s="76"/>
      <c r="V185" s="77"/>
      <c r="W185" s="77"/>
      <c r="X185" s="76"/>
      <c r="Y185" s="76"/>
      <c r="Z185" s="68"/>
      <c r="AA185" s="68"/>
      <c r="AB185" s="68"/>
      <c r="AC185" s="68"/>
      <c r="AD185" s="68"/>
    </row>
    <row r="186" spans="16:30" x14ac:dyDescent="0.2">
      <c r="P186" s="68"/>
      <c r="Q186" s="74"/>
      <c r="R186" s="74"/>
      <c r="S186" s="74"/>
      <c r="T186" s="75"/>
      <c r="U186" s="76"/>
      <c r="V186" s="77"/>
      <c r="W186" s="77"/>
      <c r="X186" s="76"/>
      <c r="Y186" s="76"/>
      <c r="Z186" s="68"/>
      <c r="AA186" s="68"/>
      <c r="AB186" s="68"/>
      <c r="AC186" s="68"/>
      <c r="AD186" s="68"/>
    </row>
    <row r="187" spans="16:30" x14ac:dyDescent="0.2">
      <c r="P187" s="68"/>
      <c r="Q187" s="74"/>
      <c r="R187" s="74"/>
      <c r="S187" s="74"/>
      <c r="T187" s="75"/>
      <c r="U187" s="76"/>
      <c r="V187" s="77"/>
      <c r="W187" s="77"/>
      <c r="X187" s="76"/>
      <c r="Y187" s="76"/>
      <c r="Z187" s="68"/>
      <c r="AA187" s="68"/>
      <c r="AB187" s="68"/>
      <c r="AC187" s="68"/>
      <c r="AD187" s="68"/>
    </row>
    <row r="188" spans="16:30" x14ac:dyDescent="0.2">
      <c r="P188" s="68"/>
      <c r="Q188" s="74"/>
      <c r="R188" s="74"/>
      <c r="S188" s="74"/>
      <c r="T188" s="75"/>
      <c r="U188" s="76"/>
      <c r="V188" s="77"/>
      <c r="W188" s="77"/>
      <c r="X188" s="76"/>
      <c r="Y188" s="76"/>
      <c r="Z188" s="68"/>
      <c r="AA188" s="68"/>
      <c r="AB188" s="68"/>
      <c r="AC188" s="68"/>
      <c r="AD188" s="68"/>
    </row>
    <row r="189" spans="16:30" x14ac:dyDescent="0.2">
      <c r="P189" s="68"/>
      <c r="Q189" s="74"/>
      <c r="R189" s="74"/>
      <c r="S189" s="74"/>
      <c r="T189" s="75"/>
      <c r="U189" s="76"/>
      <c r="V189" s="77"/>
      <c r="W189" s="77"/>
      <c r="X189" s="76"/>
      <c r="Y189" s="76"/>
      <c r="Z189" s="68"/>
      <c r="AA189" s="68"/>
      <c r="AB189" s="68"/>
      <c r="AC189" s="68"/>
      <c r="AD189" s="68"/>
    </row>
    <row r="190" spans="16:30" x14ac:dyDescent="0.2">
      <c r="P190" s="68"/>
      <c r="Q190" s="74"/>
      <c r="R190" s="74"/>
      <c r="S190" s="74"/>
      <c r="T190" s="75"/>
      <c r="U190" s="76"/>
      <c r="V190" s="77"/>
      <c r="W190" s="77"/>
      <c r="X190" s="76"/>
      <c r="Y190" s="76"/>
      <c r="Z190" s="68"/>
      <c r="AA190" s="68"/>
      <c r="AB190" s="68"/>
      <c r="AC190" s="68"/>
      <c r="AD190" s="68"/>
    </row>
    <row r="191" spans="16:30" x14ac:dyDescent="0.2">
      <c r="P191" s="68"/>
      <c r="Q191" s="74"/>
      <c r="R191" s="74"/>
      <c r="S191" s="74"/>
      <c r="T191" s="75"/>
      <c r="U191" s="76"/>
      <c r="V191" s="77"/>
      <c r="W191" s="77"/>
      <c r="X191" s="76"/>
      <c r="Y191" s="76"/>
      <c r="Z191" s="68"/>
      <c r="AA191" s="68"/>
      <c r="AB191" s="68"/>
      <c r="AC191" s="68"/>
      <c r="AD191" s="68"/>
    </row>
    <row r="192" spans="16:30" x14ac:dyDescent="0.2">
      <c r="P192" s="68"/>
      <c r="Q192" s="74"/>
      <c r="R192" s="74"/>
      <c r="S192" s="74"/>
      <c r="T192" s="75"/>
      <c r="U192" s="76"/>
      <c r="V192" s="77"/>
      <c r="W192" s="77"/>
      <c r="X192" s="76"/>
      <c r="Y192" s="76"/>
      <c r="Z192" s="68"/>
      <c r="AA192" s="68"/>
      <c r="AB192" s="68"/>
      <c r="AC192" s="68"/>
      <c r="AD192" s="68"/>
    </row>
    <row r="193" spans="16:30" x14ac:dyDescent="0.2">
      <c r="P193" s="68"/>
      <c r="Q193" s="74"/>
      <c r="R193" s="74"/>
      <c r="S193" s="74"/>
      <c r="T193" s="75"/>
      <c r="U193" s="76"/>
      <c r="V193" s="77"/>
      <c r="W193" s="77"/>
      <c r="X193" s="76"/>
      <c r="Y193" s="76"/>
      <c r="Z193" s="68"/>
      <c r="AA193" s="68"/>
      <c r="AB193" s="68"/>
      <c r="AC193" s="68"/>
      <c r="AD193" s="68"/>
    </row>
    <row r="194" spans="16:30" x14ac:dyDescent="0.2">
      <c r="P194" s="68"/>
      <c r="Q194" s="74"/>
      <c r="R194" s="74"/>
      <c r="S194" s="74"/>
      <c r="T194" s="75"/>
      <c r="U194" s="76"/>
      <c r="V194" s="77"/>
      <c r="W194" s="77"/>
      <c r="X194" s="76"/>
      <c r="Y194" s="76"/>
      <c r="Z194" s="68"/>
      <c r="AA194" s="68"/>
      <c r="AB194" s="68"/>
      <c r="AC194" s="68"/>
      <c r="AD194" s="68"/>
    </row>
    <row r="195" spans="16:30" x14ac:dyDescent="0.2">
      <c r="P195" s="68"/>
      <c r="Q195" s="74"/>
      <c r="R195" s="74"/>
      <c r="S195" s="74"/>
      <c r="T195" s="75"/>
      <c r="U195" s="76"/>
      <c r="V195" s="77"/>
      <c r="W195" s="77"/>
      <c r="X195" s="76"/>
      <c r="Y195" s="76"/>
      <c r="Z195" s="68"/>
      <c r="AA195" s="68"/>
      <c r="AB195" s="68"/>
      <c r="AC195" s="68"/>
      <c r="AD195" s="68"/>
    </row>
    <row r="196" spans="16:30" x14ac:dyDescent="0.2">
      <c r="P196" s="68"/>
      <c r="Q196" s="74"/>
      <c r="R196" s="74"/>
      <c r="S196" s="74"/>
      <c r="T196" s="75"/>
      <c r="U196" s="76"/>
      <c r="V196" s="77"/>
      <c r="W196" s="77"/>
      <c r="X196" s="76"/>
      <c r="Y196" s="76"/>
      <c r="Z196" s="68"/>
      <c r="AA196" s="68"/>
      <c r="AB196" s="68"/>
      <c r="AC196" s="68"/>
      <c r="AD196" s="68"/>
    </row>
    <row r="197" spans="16:30" x14ac:dyDescent="0.2">
      <c r="P197" s="68"/>
      <c r="Q197" s="74"/>
      <c r="R197" s="74"/>
      <c r="S197" s="74"/>
      <c r="T197" s="75"/>
      <c r="U197" s="76"/>
      <c r="V197" s="77"/>
      <c r="W197" s="77"/>
      <c r="X197" s="76"/>
      <c r="Y197" s="76"/>
      <c r="Z197" s="68"/>
      <c r="AA197" s="68"/>
      <c r="AB197" s="68"/>
      <c r="AC197" s="68"/>
      <c r="AD197" s="68"/>
    </row>
    <row r="198" spans="16:30" x14ac:dyDescent="0.2">
      <c r="P198" s="68"/>
      <c r="Q198" s="74"/>
      <c r="R198" s="74"/>
      <c r="S198" s="74"/>
      <c r="T198" s="75"/>
      <c r="U198" s="76"/>
      <c r="V198" s="77"/>
      <c r="W198" s="77"/>
      <c r="X198" s="76"/>
      <c r="Y198" s="76"/>
      <c r="Z198" s="68"/>
      <c r="AA198" s="68"/>
      <c r="AB198" s="68"/>
      <c r="AC198" s="68"/>
      <c r="AD198" s="68"/>
    </row>
    <row r="199" spans="16:30" x14ac:dyDescent="0.2">
      <c r="P199" s="68"/>
      <c r="Q199" s="74"/>
      <c r="R199" s="74"/>
      <c r="S199" s="74"/>
      <c r="T199" s="75"/>
      <c r="U199" s="76"/>
      <c r="V199" s="77"/>
      <c r="W199" s="77"/>
      <c r="X199" s="76"/>
      <c r="Y199" s="76"/>
      <c r="Z199" s="68"/>
      <c r="AA199" s="68"/>
      <c r="AB199" s="68"/>
      <c r="AC199" s="68"/>
      <c r="AD199" s="68"/>
    </row>
    <row r="200" spans="16:30" x14ac:dyDescent="0.2">
      <c r="P200" s="68"/>
      <c r="Q200" s="74"/>
      <c r="R200" s="74"/>
      <c r="S200" s="74"/>
      <c r="T200" s="75"/>
      <c r="U200" s="76"/>
      <c r="V200" s="77"/>
      <c r="W200" s="77"/>
      <c r="X200" s="76"/>
      <c r="Y200" s="76"/>
      <c r="Z200" s="68"/>
      <c r="AA200" s="68"/>
      <c r="AB200" s="68"/>
      <c r="AC200" s="68"/>
      <c r="AD200" s="68"/>
    </row>
    <row r="201" spans="16:30" x14ac:dyDescent="0.2">
      <c r="P201" s="68"/>
      <c r="Q201" s="74"/>
      <c r="R201" s="74"/>
      <c r="S201" s="74"/>
      <c r="T201" s="75"/>
      <c r="U201" s="76"/>
      <c r="V201" s="77"/>
      <c r="W201" s="77"/>
      <c r="X201" s="76"/>
      <c r="Y201" s="76"/>
      <c r="Z201" s="68"/>
      <c r="AA201" s="68"/>
      <c r="AB201" s="68"/>
      <c r="AC201" s="68"/>
      <c r="AD201" s="68"/>
    </row>
    <row r="202" spans="16:30" x14ac:dyDescent="0.2">
      <c r="P202" s="68"/>
      <c r="Q202" s="74"/>
      <c r="R202" s="74"/>
      <c r="S202" s="74"/>
      <c r="T202" s="75"/>
      <c r="U202" s="76"/>
      <c r="V202" s="77"/>
      <c r="W202" s="77"/>
      <c r="X202" s="76"/>
      <c r="Y202" s="76"/>
      <c r="Z202" s="68"/>
      <c r="AA202" s="68"/>
      <c r="AB202" s="68"/>
      <c r="AC202" s="68"/>
      <c r="AD202" s="68"/>
    </row>
    <row r="203" spans="16:30" x14ac:dyDescent="0.2">
      <c r="P203" s="68"/>
      <c r="Q203" s="74"/>
      <c r="R203" s="74"/>
      <c r="S203" s="74"/>
      <c r="T203" s="75"/>
      <c r="U203" s="76"/>
      <c r="V203" s="77"/>
      <c r="W203" s="77"/>
      <c r="X203" s="76"/>
      <c r="Y203" s="76"/>
      <c r="Z203" s="68"/>
      <c r="AA203" s="68"/>
      <c r="AB203" s="68"/>
      <c r="AC203" s="68"/>
      <c r="AD203" s="68"/>
    </row>
    <row r="204" spans="16:30" x14ac:dyDescent="0.2">
      <c r="P204" s="68"/>
      <c r="Q204" s="74"/>
      <c r="R204" s="74"/>
      <c r="S204" s="74"/>
      <c r="T204" s="75"/>
      <c r="U204" s="76"/>
      <c r="V204" s="77"/>
      <c r="W204" s="77"/>
      <c r="X204" s="76"/>
      <c r="Y204" s="76"/>
      <c r="Z204" s="68"/>
      <c r="AA204" s="68"/>
      <c r="AB204" s="68"/>
      <c r="AC204" s="68"/>
      <c r="AD204" s="68"/>
    </row>
    <row r="205" spans="16:30" x14ac:dyDescent="0.2">
      <c r="P205" s="68"/>
      <c r="Q205" s="74"/>
      <c r="R205" s="74"/>
      <c r="S205" s="74"/>
      <c r="T205" s="75"/>
      <c r="U205" s="76"/>
      <c r="V205" s="77"/>
      <c r="W205" s="77"/>
      <c r="X205" s="76"/>
      <c r="Y205" s="76"/>
      <c r="Z205" s="68"/>
      <c r="AA205" s="68"/>
      <c r="AB205" s="68"/>
      <c r="AC205" s="68"/>
      <c r="AD205" s="68"/>
    </row>
    <row r="206" spans="16:30" x14ac:dyDescent="0.2">
      <c r="P206" s="68"/>
      <c r="Q206" s="74"/>
      <c r="R206" s="74"/>
      <c r="S206" s="74"/>
      <c r="T206" s="75"/>
      <c r="U206" s="76"/>
      <c r="V206" s="77"/>
      <c r="W206" s="77"/>
      <c r="X206" s="76"/>
      <c r="Y206" s="76"/>
      <c r="Z206" s="68"/>
      <c r="AA206" s="68"/>
      <c r="AB206" s="68"/>
      <c r="AC206" s="68"/>
      <c r="AD206" s="68"/>
    </row>
    <row r="207" spans="16:30" x14ac:dyDescent="0.2">
      <c r="P207" s="68"/>
      <c r="Q207" s="74"/>
      <c r="R207" s="74"/>
      <c r="S207" s="74"/>
      <c r="T207" s="75"/>
      <c r="U207" s="76"/>
      <c r="V207" s="77"/>
      <c r="W207" s="77"/>
      <c r="X207" s="76"/>
      <c r="Y207" s="76"/>
      <c r="Z207" s="68"/>
      <c r="AA207" s="68"/>
      <c r="AB207" s="68"/>
      <c r="AC207" s="68"/>
      <c r="AD207" s="68"/>
    </row>
    <row r="208" spans="16:30" x14ac:dyDescent="0.2">
      <c r="P208" s="68"/>
      <c r="Q208" s="74"/>
      <c r="R208" s="74"/>
      <c r="S208" s="74"/>
      <c r="T208" s="75"/>
      <c r="U208" s="76"/>
      <c r="V208" s="77"/>
      <c r="W208" s="77"/>
      <c r="X208" s="76"/>
      <c r="Y208" s="76"/>
      <c r="Z208" s="68"/>
      <c r="AA208" s="68"/>
      <c r="AB208" s="68"/>
      <c r="AC208" s="68"/>
      <c r="AD208" s="68"/>
    </row>
    <row r="209" spans="16:30" x14ac:dyDescent="0.2">
      <c r="P209" s="68"/>
      <c r="Q209" s="74"/>
      <c r="R209" s="74"/>
      <c r="S209" s="74"/>
      <c r="T209" s="75"/>
      <c r="U209" s="76"/>
      <c r="V209" s="77"/>
      <c r="W209" s="77"/>
      <c r="X209" s="76"/>
      <c r="Y209" s="76"/>
      <c r="Z209" s="68"/>
      <c r="AA209" s="68"/>
      <c r="AB209" s="68"/>
      <c r="AC209" s="68"/>
      <c r="AD209" s="68"/>
    </row>
    <row r="210" spans="16:30" x14ac:dyDescent="0.2">
      <c r="P210" s="68"/>
      <c r="Q210" s="74"/>
      <c r="R210" s="74"/>
      <c r="S210" s="74"/>
      <c r="T210" s="75"/>
      <c r="U210" s="76"/>
      <c r="V210" s="77"/>
      <c r="W210" s="77"/>
      <c r="X210" s="76"/>
      <c r="Y210" s="76"/>
      <c r="Z210" s="68"/>
      <c r="AA210" s="68"/>
      <c r="AB210" s="68"/>
      <c r="AC210" s="68"/>
      <c r="AD210" s="68"/>
    </row>
    <row r="211" spans="16:30" x14ac:dyDescent="0.2">
      <c r="P211" s="68"/>
      <c r="Q211" s="74"/>
      <c r="R211" s="74"/>
      <c r="S211" s="74"/>
      <c r="T211" s="75"/>
      <c r="U211" s="76"/>
      <c r="V211" s="77"/>
      <c r="W211" s="77"/>
      <c r="X211" s="76"/>
      <c r="Y211" s="76"/>
      <c r="Z211" s="68"/>
      <c r="AA211" s="68"/>
      <c r="AB211" s="68"/>
      <c r="AC211" s="68"/>
      <c r="AD211" s="68"/>
    </row>
    <row r="212" spans="16:30" x14ac:dyDescent="0.2">
      <c r="P212" s="68"/>
      <c r="Q212" s="74"/>
      <c r="R212" s="74"/>
      <c r="S212" s="74"/>
      <c r="T212" s="75"/>
      <c r="U212" s="76"/>
      <c r="V212" s="77"/>
      <c r="W212" s="77"/>
      <c r="X212" s="76"/>
      <c r="Y212" s="76"/>
      <c r="Z212" s="68"/>
      <c r="AA212" s="68"/>
      <c r="AB212" s="68"/>
      <c r="AC212" s="68"/>
      <c r="AD212" s="68"/>
    </row>
    <row r="213" spans="16:30" x14ac:dyDescent="0.2">
      <c r="P213" s="68"/>
      <c r="Q213" s="74"/>
      <c r="R213" s="74"/>
      <c r="S213" s="74"/>
      <c r="T213" s="75"/>
      <c r="U213" s="76"/>
      <c r="V213" s="77"/>
      <c r="W213" s="77"/>
      <c r="X213" s="76"/>
      <c r="Y213" s="76"/>
      <c r="Z213" s="68"/>
      <c r="AA213" s="68"/>
      <c r="AB213" s="68"/>
      <c r="AC213" s="68"/>
      <c r="AD213" s="68"/>
    </row>
    <row r="214" spans="16:30" x14ac:dyDescent="0.2">
      <c r="P214" s="68"/>
      <c r="Q214" s="74"/>
      <c r="R214" s="74"/>
      <c r="S214" s="74"/>
      <c r="T214" s="75"/>
      <c r="U214" s="76"/>
      <c r="V214" s="77"/>
      <c r="W214" s="77"/>
      <c r="X214" s="76"/>
      <c r="Y214" s="76"/>
      <c r="Z214" s="68"/>
      <c r="AA214" s="68"/>
      <c r="AB214" s="68"/>
      <c r="AC214" s="68"/>
      <c r="AD214" s="68"/>
    </row>
    <row r="215" spans="16:30" x14ac:dyDescent="0.2">
      <c r="P215" s="68"/>
      <c r="Q215" s="74"/>
      <c r="R215" s="74"/>
      <c r="S215" s="74"/>
      <c r="T215" s="75"/>
      <c r="U215" s="76"/>
      <c r="V215" s="77"/>
      <c r="W215" s="77"/>
      <c r="X215" s="76"/>
      <c r="Y215" s="76"/>
      <c r="Z215" s="68"/>
      <c r="AA215" s="68"/>
      <c r="AB215" s="68"/>
      <c r="AC215" s="68"/>
      <c r="AD215" s="68"/>
    </row>
    <row r="216" spans="16:30" x14ac:dyDescent="0.2">
      <c r="P216" s="68"/>
      <c r="Q216" s="74"/>
      <c r="R216" s="74"/>
      <c r="S216" s="74"/>
      <c r="T216" s="75"/>
      <c r="U216" s="76"/>
      <c r="V216" s="77"/>
      <c r="W216" s="77"/>
      <c r="X216" s="76"/>
      <c r="Y216" s="76"/>
      <c r="Z216" s="68"/>
      <c r="AA216" s="68"/>
      <c r="AB216" s="68"/>
      <c r="AC216" s="68"/>
      <c r="AD216" s="68"/>
    </row>
    <row r="217" spans="16:30" x14ac:dyDescent="0.2">
      <c r="P217" s="68"/>
      <c r="Q217" s="74"/>
      <c r="R217" s="74"/>
      <c r="S217" s="74"/>
      <c r="T217" s="75"/>
      <c r="U217" s="76"/>
      <c r="V217" s="77"/>
      <c r="W217" s="77"/>
      <c r="X217" s="76"/>
      <c r="Y217" s="76"/>
      <c r="Z217" s="68"/>
      <c r="AA217" s="68"/>
      <c r="AB217" s="68"/>
      <c r="AC217" s="68"/>
      <c r="AD217" s="68"/>
    </row>
    <row r="218" spans="16:30" x14ac:dyDescent="0.2">
      <c r="P218" s="68"/>
      <c r="Q218" s="74"/>
      <c r="R218" s="74"/>
      <c r="S218" s="74"/>
      <c r="T218" s="75"/>
      <c r="U218" s="76"/>
      <c r="V218" s="77"/>
      <c r="W218" s="77"/>
      <c r="X218" s="76"/>
      <c r="Y218" s="76"/>
      <c r="Z218" s="68"/>
      <c r="AA218" s="68"/>
      <c r="AB218" s="68"/>
      <c r="AC218" s="68"/>
      <c r="AD218" s="68"/>
    </row>
    <row r="219" spans="16:30" x14ac:dyDescent="0.2">
      <c r="P219" s="68"/>
      <c r="Q219" s="74"/>
      <c r="R219" s="74"/>
      <c r="S219" s="74"/>
      <c r="T219" s="75"/>
      <c r="U219" s="76"/>
      <c r="V219" s="77"/>
      <c r="W219" s="77"/>
      <c r="X219" s="76"/>
      <c r="Y219" s="76"/>
      <c r="Z219" s="68"/>
      <c r="AA219" s="68"/>
      <c r="AB219" s="68"/>
      <c r="AC219" s="68"/>
      <c r="AD219" s="68"/>
    </row>
    <row r="220" spans="16:30" x14ac:dyDescent="0.2">
      <c r="P220" s="68"/>
      <c r="Q220" s="74"/>
      <c r="R220" s="74"/>
      <c r="S220" s="74"/>
      <c r="T220" s="75"/>
      <c r="U220" s="76"/>
      <c r="V220" s="77"/>
      <c r="W220" s="77"/>
      <c r="X220" s="76"/>
      <c r="Y220" s="76"/>
      <c r="Z220" s="68"/>
      <c r="AA220" s="68"/>
      <c r="AB220" s="68"/>
      <c r="AC220" s="68"/>
      <c r="AD220" s="68"/>
    </row>
    <row r="221" spans="16:30" x14ac:dyDescent="0.2">
      <c r="P221" s="68"/>
      <c r="Q221" s="74"/>
      <c r="R221" s="74"/>
      <c r="S221" s="74"/>
      <c r="T221" s="75"/>
      <c r="U221" s="76"/>
      <c r="V221" s="77"/>
      <c r="W221" s="77"/>
      <c r="X221" s="76"/>
      <c r="Y221" s="76"/>
      <c r="Z221" s="68"/>
      <c r="AA221" s="68"/>
      <c r="AB221" s="68"/>
      <c r="AC221" s="68"/>
      <c r="AD221" s="68"/>
    </row>
    <row r="222" spans="16:30" x14ac:dyDescent="0.2">
      <c r="P222" s="68"/>
      <c r="Q222" s="74"/>
      <c r="R222" s="74"/>
      <c r="S222" s="74"/>
      <c r="T222" s="75"/>
      <c r="U222" s="76"/>
      <c r="V222" s="77"/>
      <c r="W222" s="77"/>
      <c r="X222" s="76"/>
      <c r="Y222" s="76"/>
      <c r="Z222" s="68"/>
      <c r="AA222" s="68"/>
      <c r="AB222" s="68"/>
      <c r="AC222" s="68"/>
      <c r="AD222" s="68"/>
    </row>
    <row r="223" spans="16:30" x14ac:dyDescent="0.2">
      <c r="P223" s="68"/>
      <c r="Q223" s="74"/>
      <c r="R223" s="74"/>
      <c r="S223" s="74"/>
      <c r="T223" s="75"/>
      <c r="U223" s="76"/>
      <c r="V223" s="77"/>
      <c r="W223" s="77"/>
      <c r="X223" s="76"/>
      <c r="Y223" s="76"/>
      <c r="Z223" s="68"/>
      <c r="AA223" s="68"/>
      <c r="AB223" s="68"/>
      <c r="AC223" s="68"/>
      <c r="AD223" s="68"/>
    </row>
    <row r="224" spans="16:30" x14ac:dyDescent="0.2">
      <c r="P224" s="68"/>
      <c r="Q224" s="74"/>
      <c r="R224" s="74"/>
      <c r="S224" s="74"/>
      <c r="T224" s="75"/>
      <c r="U224" s="76"/>
      <c r="V224" s="77"/>
      <c r="W224" s="77"/>
      <c r="X224" s="76"/>
      <c r="Y224" s="76"/>
      <c r="Z224" s="68"/>
      <c r="AA224" s="68"/>
      <c r="AB224" s="68"/>
      <c r="AC224" s="68"/>
      <c r="AD224" s="68"/>
    </row>
    <row r="225" spans="16:30" x14ac:dyDescent="0.2">
      <c r="P225" s="68"/>
      <c r="Q225" s="74"/>
      <c r="R225" s="74"/>
      <c r="S225" s="74"/>
      <c r="T225" s="75"/>
      <c r="U225" s="76"/>
      <c r="V225" s="77"/>
      <c r="W225" s="77"/>
      <c r="X225" s="76"/>
      <c r="Y225" s="76"/>
      <c r="Z225" s="68"/>
      <c r="AA225" s="68"/>
      <c r="AB225" s="68"/>
      <c r="AC225" s="68"/>
      <c r="AD225" s="68"/>
    </row>
    <row r="226" spans="16:30" x14ac:dyDescent="0.2">
      <c r="P226" s="68"/>
      <c r="Q226" s="74"/>
      <c r="R226" s="74"/>
      <c r="S226" s="74"/>
      <c r="T226" s="75"/>
      <c r="U226" s="76"/>
      <c r="V226" s="77"/>
      <c r="W226" s="77"/>
      <c r="X226" s="76"/>
      <c r="Y226" s="76"/>
      <c r="Z226" s="68"/>
      <c r="AA226" s="68"/>
      <c r="AB226" s="68"/>
      <c r="AC226" s="68"/>
      <c r="AD226" s="68"/>
    </row>
    <row r="227" spans="16:30" x14ac:dyDescent="0.2">
      <c r="P227" s="68"/>
      <c r="Q227" s="74"/>
      <c r="R227" s="74"/>
      <c r="S227" s="74"/>
      <c r="T227" s="75"/>
      <c r="U227" s="76"/>
      <c r="V227" s="77"/>
      <c r="W227" s="77"/>
      <c r="X227" s="76"/>
      <c r="Y227" s="76"/>
      <c r="Z227" s="68"/>
      <c r="AA227" s="68"/>
      <c r="AB227" s="68"/>
      <c r="AC227" s="68"/>
      <c r="AD227" s="68"/>
    </row>
    <row r="228" spans="16:30" x14ac:dyDescent="0.2">
      <c r="P228" s="68"/>
      <c r="Q228" s="74"/>
      <c r="R228" s="74"/>
      <c r="S228" s="74"/>
      <c r="T228" s="75"/>
      <c r="U228" s="76"/>
      <c r="V228" s="77"/>
      <c r="W228" s="77"/>
      <c r="X228" s="76"/>
      <c r="Y228" s="76"/>
      <c r="Z228" s="68"/>
      <c r="AA228" s="68"/>
      <c r="AB228" s="68"/>
      <c r="AC228" s="68"/>
      <c r="AD228" s="68"/>
    </row>
    <row r="229" spans="16:30" x14ac:dyDescent="0.2">
      <c r="P229" s="68"/>
      <c r="Q229" s="74"/>
      <c r="R229" s="74"/>
      <c r="S229" s="74"/>
      <c r="T229" s="75"/>
      <c r="U229" s="76"/>
      <c r="V229" s="77"/>
      <c r="W229" s="77"/>
      <c r="X229" s="76"/>
      <c r="Y229" s="76"/>
      <c r="Z229" s="68"/>
      <c r="AA229" s="68"/>
      <c r="AB229" s="68"/>
      <c r="AC229" s="68"/>
      <c r="AD229" s="68"/>
    </row>
    <row r="230" spans="16:30" x14ac:dyDescent="0.2">
      <c r="P230" s="68"/>
      <c r="Q230" s="74"/>
      <c r="R230" s="74"/>
      <c r="S230" s="74"/>
      <c r="T230" s="75"/>
      <c r="U230" s="76"/>
      <c r="V230" s="77"/>
      <c r="W230" s="77"/>
      <c r="X230" s="76"/>
      <c r="Y230" s="76"/>
      <c r="Z230" s="68"/>
      <c r="AA230" s="68"/>
      <c r="AB230" s="68"/>
      <c r="AC230" s="68"/>
      <c r="AD230" s="68"/>
    </row>
    <row r="231" spans="16:30" x14ac:dyDescent="0.2">
      <c r="P231" s="68"/>
      <c r="Q231" s="74"/>
      <c r="R231" s="74"/>
      <c r="S231" s="74"/>
      <c r="T231" s="75"/>
      <c r="U231" s="76"/>
      <c r="V231" s="77"/>
      <c r="W231" s="77"/>
      <c r="X231" s="76"/>
      <c r="Y231" s="76"/>
      <c r="Z231" s="68"/>
      <c r="AA231" s="68"/>
      <c r="AB231" s="68"/>
      <c r="AC231" s="68"/>
      <c r="AD231" s="68"/>
    </row>
    <row r="232" spans="16:30" x14ac:dyDescent="0.2">
      <c r="P232" s="68"/>
      <c r="Q232" s="74"/>
      <c r="R232" s="74"/>
      <c r="S232" s="74"/>
      <c r="T232" s="75"/>
      <c r="U232" s="76"/>
      <c r="V232" s="77"/>
      <c r="W232" s="77"/>
      <c r="X232" s="76"/>
      <c r="Y232" s="76"/>
      <c r="Z232" s="68"/>
      <c r="AA232" s="68"/>
      <c r="AB232" s="68"/>
      <c r="AC232" s="68"/>
      <c r="AD232" s="68"/>
    </row>
    <row r="233" spans="16:30" x14ac:dyDescent="0.2">
      <c r="P233" s="68"/>
      <c r="Q233" s="74"/>
      <c r="R233" s="74"/>
      <c r="S233" s="74"/>
      <c r="T233" s="75"/>
      <c r="U233" s="76"/>
      <c r="V233" s="77"/>
      <c r="W233" s="77"/>
      <c r="X233" s="76"/>
      <c r="Y233" s="76"/>
      <c r="Z233" s="68"/>
      <c r="AA233" s="68"/>
      <c r="AB233" s="68"/>
      <c r="AC233" s="68"/>
      <c r="AD233" s="68"/>
    </row>
    <row r="234" spans="16:30" x14ac:dyDescent="0.2">
      <c r="P234" s="68"/>
      <c r="Q234" s="74"/>
      <c r="R234" s="74"/>
      <c r="S234" s="74"/>
      <c r="T234" s="75"/>
      <c r="U234" s="76"/>
      <c r="V234" s="77"/>
      <c r="W234" s="77"/>
      <c r="X234" s="76"/>
      <c r="Y234" s="76"/>
      <c r="Z234" s="68"/>
      <c r="AA234" s="68"/>
      <c r="AB234" s="68"/>
      <c r="AC234" s="68"/>
      <c r="AD234" s="68"/>
    </row>
    <row r="235" spans="16:30" x14ac:dyDescent="0.2">
      <c r="P235" s="68"/>
      <c r="Q235" s="74"/>
      <c r="R235" s="74"/>
      <c r="S235" s="74"/>
      <c r="T235" s="75"/>
      <c r="U235" s="76"/>
      <c r="V235" s="77"/>
      <c r="W235" s="77"/>
      <c r="X235" s="76"/>
      <c r="Y235" s="76"/>
      <c r="Z235" s="68"/>
      <c r="AA235" s="68"/>
      <c r="AB235" s="68"/>
      <c r="AC235" s="68"/>
      <c r="AD235" s="68"/>
    </row>
    <row r="236" spans="16:30" x14ac:dyDescent="0.2">
      <c r="P236" s="68"/>
      <c r="Q236" s="74"/>
      <c r="R236" s="74"/>
      <c r="S236" s="74"/>
      <c r="T236" s="75"/>
      <c r="U236" s="76"/>
      <c r="V236" s="77"/>
      <c r="W236" s="77"/>
      <c r="X236" s="76"/>
      <c r="Y236" s="76"/>
      <c r="Z236" s="68"/>
      <c r="AA236" s="68"/>
      <c r="AB236" s="68"/>
      <c r="AC236" s="68"/>
      <c r="AD236" s="68"/>
    </row>
    <row r="237" spans="16:30" x14ac:dyDescent="0.2">
      <c r="P237" s="68"/>
      <c r="Q237" s="74"/>
      <c r="R237" s="74"/>
      <c r="S237" s="74"/>
      <c r="T237" s="75"/>
      <c r="U237" s="76"/>
      <c r="V237" s="77"/>
      <c r="W237" s="77"/>
      <c r="X237" s="76"/>
      <c r="Y237" s="76"/>
      <c r="Z237" s="68"/>
      <c r="AA237" s="68"/>
      <c r="AB237" s="68"/>
      <c r="AC237" s="68"/>
      <c r="AD237" s="68"/>
    </row>
    <row r="238" spans="16:30" x14ac:dyDescent="0.2">
      <c r="P238" s="68"/>
      <c r="Q238" s="74"/>
      <c r="R238" s="74"/>
      <c r="S238" s="74"/>
      <c r="T238" s="75"/>
      <c r="U238" s="76"/>
      <c r="V238" s="77"/>
      <c r="W238" s="77"/>
      <c r="X238" s="76"/>
      <c r="Y238" s="76"/>
      <c r="Z238" s="68"/>
      <c r="AA238" s="68"/>
      <c r="AB238" s="68"/>
      <c r="AC238" s="68"/>
      <c r="AD238" s="68"/>
    </row>
    <row r="239" spans="16:30" x14ac:dyDescent="0.2">
      <c r="P239" s="68"/>
      <c r="Q239" s="74"/>
      <c r="R239" s="74"/>
      <c r="S239" s="74"/>
      <c r="T239" s="75"/>
      <c r="U239" s="76"/>
      <c r="V239" s="77"/>
      <c r="W239" s="77"/>
      <c r="X239" s="76"/>
      <c r="Y239" s="76"/>
      <c r="Z239" s="68"/>
      <c r="AA239" s="68"/>
      <c r="AB239" s="68"/>
      <c r="AC239" s="68"/>
      <c r="AD239" s="68"/>
    </row>
    <row r="240" spans="16:30" x14ac:dyDescent="0.2">
      <c r="P240" s="68"/>
      <c r="Q240" s="74"/>
      <c r="R240" s="74"/>
      <c r="S240" s="74"/>
      <c r="T240" s="75"/>
      <c r="U240" s="76"/>
      <c r="V240" s="77"/>
      <c r="W240" s="77"/>
      <c r="X240" s="76"/>
      <c r="Y240" s="76"/>
      <c r="Z240" s="68"/>
      <c r="AA240" s="68"/>
      <c r="AB240" s="68"/>
      <c r="AC240" s="68"/>
      <c r="AD240" s="68"/>
    </row>
    <row r="241" spans="16:30" x14ac:dyDescent="0.2">
      <c r="P241" s="68"/>
      <c r="Q241" s="74"/>
      <c r="R241" s="74"/>
      <c r="S241" s="74"/>
      <c r="T241" s="75"/>
      <c r="U241" s="76"/>
      <c r="V241" s="77"/>
      <c r="W241" s="77"/>
      <c r="X241" s="76"/>
      <c r="Y241" s="76"/>
      <c r="Z241" s="68"/>
      <c r="AA241" s="68"/>
      <c r="AB241" s="68"/>
      <c r="AC241" s="68"/>
      <c r="AD241" s="68"/>
    </row>
    <row r="242" spans="16:30" x14ac:dyDescent="0.2">
      <c r="P242" s="68"/>
      <c r="Q242" s="74"/>
      <c r="R242" s="74"/>
      <c r="S242" s="74"/>
      <c r="T242" s="75"/>
      <c r="U242" s="76"/>
      <c r="V242" s="77"/>
      <c r="W242" s="77"/>
      <c r="X242" s="76"/>
      <c r="Y242" s="76"/>
      <c r="Z242" s="68"/>
      <c r="AA242" s="68"/>
      <c r="AB242" s="68"/>
      <c r="AC242" s="68"/>
      <c r="AD242" s="68"/>
    </row>
    <row r="243" spans="16:30" x14ac:dyDescent="0.2">
      <c r="P243" s="68"/>
      <c r="Q243" s="74"/>
      <c r="R243" s="74"/>
      <c r="S243" s="74"/>
      <c r="T243" s="75"/>
      <c r="U243" s="76"/>
      <c r="V243" s="77"/>
      <c r="W243" s="77"/>
      <c r="X243" s="76"/>
      <c r="Y243" s="76"/>
      <c r="Z243" s="68"/>
      <c r="AA243" s="68"/>
      <c r="AB243" s="68"/>
      <c r="AC243" s="68"/>
      <c r="AD243" s="68"/>
    </row>
    <row r="244" spans="16:30" x14ac:dyDescent="0.2">
      <c r="P244" s="68"/>
      <c r="Q244" s="74"/>
      <c r="R244" s="74"/>
      <c r="S244" s="74"/>
      <c r="T244" s="75"/>
      <c r="U244" s="76"/>
      <c r="V244" s="77"/>
      <c r="W244" s="77"/>
      <c r="X244" s="76"/>
      <c r="Y244" s="76"/>
      <c r="Z244" s="68"/>
      <c r="AA244" s="68"/>
      <c r="AB244" s="68"/>
      <c r="AC244" s="68"/>
      <c r="AD244" s="68"/>
    </row>
    <row r="245" spans="16:30" x14ac:dyDescent="0.2">
      <c r="P245" s="68"/>
      <c r="Q245" s="74"/>
      <c r="R245" s="74"/>
      <c r="S245" s="74"/>
      <c r="T245" s="75"/>
      <c r="U245" s="76"/>
      <c r="V245" s="77"/>
      <c r="W245" s="77"/>
      <c r="X245" s="76"/>
      <c r="Y245" s="76"/>
      <c r="Z245" s="68"/>
      <c r="AA245" s="68"/>
      <c r="AB245" s="68"/>
      <c r="AC245" s="68"/>
      <c r="AD245" s="68"/>
    </row>
    <row r="246" spans="16:30" x14ac:dyDescent="0.2">
      <c r="P246" s="68"/>
      <c r="Q246" s="74"/>
      <c r="R246" s="74"/>
      <c r="S246" s="74"/>
      <c r="T246" s="75"/>
      <c r="U246" s="76"/>
      <c r="V246" s="77"/>
      <c r="W246" s="77"/>
      <c r="X246" s="76"/>
      <c r="Y246" s="76"/>
      <c r="Z246" s="68"/>
      <c r="AA246" s="68"/>
      <c r="AB246" s="68"/>
      <c r="AC246" s="68"/>
      <c r="AD246" s="68"/>
    </row>
    <row r="247" spans="16:30" x14ac:dyDescent="0.2">
      <c r="P247" s="68"/>
      <c r="Q247" s="74"/>
      <c r="R247" s="74"/>
      <c r="S247" s="74"/>
      <c r="T247" s="75"/>
      <c r="U247" s="76"/>
      <c r="V247" s="77"/>
      <c r="W247" s="77"/>
      <c r="X247" s="76"/>
      <c r="Y247" s="76"/>
      <c r="Z247" s="68"/>
      <c r="AA247" s="68"/>
      <c r="AB247" s="68"/>
      <c r="AC247" s="68"/>
      <c r="AD247" s="68"/>
    </row>
    <row r="248" spans="16:30" x14ac:dyDescent="0.2">
      <c r="P248" s="68"/>
      <c r="Q248" s="74"/>
      <c r="R248" s="74"/>
      <c r="S248" s="74"/>
      <c r="T248" s="75"/>
      <c r="U248" s="76"/>
      <c r="V248" s="77"/>
      <c r="W248" s="77"/>
      <c r="X248" s="76"/>
      <c r="Y248" s="76"/>
      <c r="Z248" s="68"/>
      <c r="AA248" s="68"/>
      <c r="AB248" s="68"/>
      <c r="AC248" s="68"/>
      <c r="AD248" s="68"/>
    </row>
    <row r="249" spans="16:30" x14ac:dyDescent="0.2">
      <c r="P249" s="68"/>
      <c r="Q249" s="74"/>
      <c r="R249" s="74"/>
      <c r="S249" s="74"/>
      <c r="T249" s="75"/>
      <c r="U249" s="76"/>
      <c r="V249" s="77"/>
      <c r="W249" s="77"/>
      <c r="X249" s="76"/>
      <c r="Y249" s="76"/>
      <c r="Z249" s="68"/>
      <c r="AA249" s="68"/>
      <c r="AB249" s="68"/>
      <c r="AC249" s="68"/>
      <c r="AD249" s="68"/>
    </row>
    <row r="250" spans="16:30" x14ac:dyDescent="0.2">
      <c r="P250" s="68"/>
      <c r="Q250" s="74"/>
      <c r="R250" s="74"/>
      <c r="S250" s="74"/>
      <c r="T250" s="75"/>
      <c r="U250" s="76"/>
      <c r="V250" s="77"/>
      <c r="W250" s="77"/>
      <c r="X250" s="76"/>
      <c r="Y250" s="76"/>
      <c r="Z250" s="68"/>
      <c r="AA250" s="68"/>
      <c r="AB250" s="68"/>
      <c r="AC250" s="68"/>
      <c r="AD250" s="68"/>
    </row>
    <row r="251" spans="16:30" x14ac:dyDescent="0.2">
      <c r="P251" s="68"/>
      <c r="Q251" s="74"/>
      <c r="R251" s="74"/>
      <c r="S251" s="74"/>
      <c r="T251" s="75"/>
      <c r="U251" s="76"/>
      <c r="V251" s="77"/>
      <c r="W251" s="77"/>
      <c r="X251" s="76"/>
      <c r="Y251" s="76"/>
      <c r="Z251" s="68"/>
      <c r="AA251" s="68"/>
      <c r="AB251" s="68"/>
      <c r="AC251" s="68"/>
      <c r="AD251" s="68"/>
    </row>
    <row r="252" spans="16:30" x14ac:dyDescent="0.2">
      <c r="P252" s="68"/>
      <c r="Q252" s="74"/>
      <c r="R252" s="74"/>
      <c r="S252" s="74"/>
      <c r="T252" s="75"/>
      <c r="U252" s="76"/>
      <c r="V252" s="77"/>
      <c r="W252" s="77"/>
      <c r="X252" s="76"/>
      <c r="Y252" s="76"/>
      <c r="Z252" s="68"/>
      <c r="AA252" s="68"/>
      <c r="AB252" s="68"/>
      <c r="AC252" s="68"/>
      <c r="AD252" s="68"/>
    </row>
    <row r="253" spans="16:30" x14ac:dyDescent="0.2">
      <c r="P253" s="68"/>
      <c r="Q253" s="74"/>
      <c r="R253" s="74"/>
      <c r="S253" s="74"/>
      <c r="T253" s="75"/>
      <c r="U253" s="76"/>
      <c r="V253" s="77"/>
      <c r="W253" s="77"/>
      <c r="X253" s="76"/>
      <c r="Y253" s="76"/>
      <c r="Z253" s="68"/>
      <c r="AA253" s="68"/>
      <c r="AB253" s="68"/>
      <c r="AC253" s="68"/>
      <c r="AD253" s="68"/>
    </row>
    <row r="254" spans="16:30" x14ac:dyDescent="0.2">
      <c r="P254" s="68"/>
      <c r="Q254" s="74"/>
      <c r="R254" s="74"/>
      <c r="S254" s="74"/>
      <c r="T254" s="75"/>
      <c r="U254" s="76"/>
      <c r="V254" s="77"/>
      <c r="W254" s="77"/>
      <c r="X254" s="76"/>
      <c r="Y254" s="76"/>
      <c r="Z254" s="68"/>
      <c r="AA254" s="68"/>
      <c r="AB254" s="68"/>
      <c r="AC254" s="68"/>
      <c r="AD254" s="68"/>
    </row>
    <row r="255" spans="16:30" x14ac:dyDescent="0.2">
      <c r="P255" s="68"/>
      <c r="Q255" s="74"/>
      <c r="R255" s="74"/>
      <c r="S255" s="74"/>
      <c r="T255" s="75"/>
      <c r="U255" s="76"/>
      <c r="V255" s="77"/>
      <c r="W255" s="77"/>
      <c r="X255" s="76"/>
      <c r="Y255" s="76"/>
      <c r="Z255" s="68"/>
      <c r="AA255" s="68"/>
      <c r="AB255" s="68"/>
      <c r="AC255" s="68"/>
      <c r="AD255" s="68"/>
    </row>
    <row r="256" spans="16:30" x14ac:dyDescent="0.2">
      <c r="P256" s="68"/>
      <c r="Q256" s="74"/>
      <c r="R256" s="74"/>
      <c r="S256" s="74"/>
      <c r="T256" s="75"/>
      <c r="U256" s="76"/>
      <c r="V256" s="77"/>
      <c r="W256" s="77"/>
      <c r="X256" s="76"/>
      <c r="Y256" s="76"/>
      <c r="Z256" s="68"/>
      <c r="AA256" s="68"/>
      <c r="AB256" s="68"/>
      <c r="AC256" s="68"/>
      <c r="AD256" s="68"/>
    </row>
    <row r="257" spans="16:30" x14ac:dyDescent="0.2">
      <c r="P257" s="68"/>
      <c r="Q257" s="74"/>
      <c r="R257" s="74"/>
      <c r="S257" s="74"/>
      <c r="T257" s="75"/>
      <c r="U257" s="76"/>
      <c r="V257" s="77"/>
      <c r="W257" s="77"/>
      <c r="X257" s="76"/>
      <c r="Y257" s="76"/>
      <c r="Z257" s="68"/>
      <c r="AA257" s="68"/>
      <c r="AB257" s="68"/>
      <c r="AC257" s="68"/>
      <c r="AD257" s="68"/>
    </row>
    <row r="258" spans="16:30" x14ac:dyDescent="0.2">
      <c r="P258" s="68"/>
      <c r="Q258" s="74"/>
      <c r="R258" s="74"/>
      <c r="S258" s="74"/>
      <c r="T258" s="75"/>
      <c r="U258" s="76"/>
      <c r="V258" s="77"/>
      <c r="W258" s="77"/>
      <c r="X258" s="76"/>
      <c r="Y258" s="76"/>
      <c r="Z258" s="68"/>
      <c r="AA258" s="68"/>
      <c r="AB258" s="68"/>
      <c r="AC258" s="68"/>
      <c r="AD258" s="68"/>
    </row>
    <row r="259" spans="16:30" x14ac:dyDescent="0.2">
      <c r="P259" s="68"/>
      <c r="Q259" s="74"/>
      <c r="R259" s="74"/>
      <c r="S259" s="74"/>
      <c r="T259" s="75"/>
      <c r="U259" s="76"/>
      <c r="V259" s="77"/>
      <c r="W259" s="77"/>
      <c r="X259" s="76"/>
      <c r="Y259" s="76"/>
      <c r="Z259" s="68"/>
      <c r="AA259" s="68"/>
      <c r="AB259" s="68"/>
      <c r="AC259" s="68"/>
      <c r="AD259" s="68"/>
    </row>
    <row r="260" spans="16:30" x14ac:dyDescent="0.2">
      <c r="P260" s="68"/>
      <c r="Q260" s="74"/>
      <c r="R260" s="74"/>
      <c r="S260" s="74"/>
      <c r="T260" s="75"/>
      <c r="U260" s="76"/>
      <c r="V260" s="77"/>
      <c r="W260" s="77"/>
      <c r="X260" s="76"/>
      <c r="Y260" s="76"/>
      <c r="Z260" s="68"/>
      <c r="AA260" s="68"/>
      <c r="AB260" s="68"/>
      <c r="AC260" s="68"/>
      <c r="AD260" s="68"/>
    </row>
    <row r="261" spans="16:30" x14ac:dyDescent="0.2">
      <c r="P261" s="68"/>
      <c r="Q261" s="74"/>
      <c r="R261" s="74"/>
      <c r="S261" s="74"/>
      <c r="T261" s="75"/>
      <c r="U261" s="76"/>
      <c r="V261" s="77"/>
      <c r="W261" s="77"/>
      <c r="X261" s="76"/>
      <c r="Y261" s="76"/>
      <c r="Z261" s="68"/>
      <c r="AA261" s="68"/>
      <c r="AB261" s="68"/>
      <c r="AC261" s="68"/>
      <c r="AD261" s="68"/>
    </row>
    <row r="262" spans="16:30" x14ac:dyDescent="0.2">
      <c r="P262" s="68"/>
      <c r="Q262" s="74"/>
      <c r="R262" s="74"/>
      <c r="S262" s="74"/>
      <c r="T262" s="75"/>
      <c r="U262" s="76"/>
      <c r="V262" s="77"/>
      <c r="W262" s="77"/>
      <c r="X262" s="76"/>
      <c r="Y262" s="76"/>
      <c r="Z262" s="68"/>
      <c r="AA262" s="68"/>
      <c r="AB262" s="68"/>
      <c r="AC262" s="68"/>
      <c r="AD262" s="68"/>
    </row>
    <row r="263" spans="16:30" x14ac:dyDescent="0.2">
      <c r="P263" s="68"/>
      <c r="Q263" s="74"/>
      <c r="R263" s="74"/>
      <c r="S263" s="74"/>
      <c r="T263" s="75"/>
      <c r="U263" s="76"/>
      <c r="V263" s="77"/>
      <c r="W263" s="77"/>
      <c r="X263" s="76"/>
      <c r="Y263" s="76"/>
      <c r="Z263" s="68"/>
      <c r="AA263" s="68"/>
      <c r="AB263" s="68"/>
      <c r="AC263" s="68"/>
      <c r="AD263" s="68"/>
    </row>
    <row r="264" spans="16:30" x14ac:dyDescent="0.2">
      <c r="P264" s="68"/>
      <c r="Q264" s="74"/>
      <c r="R264" s="74"/>
      <c r="S264" s="74"/>
      <c r="T264" s="75"/>
      <c r="U264" s="76"/>
      <c r="V264" s="77"/>
      <c r="W264" s="77"/>
      <c r="X264" s="76"/>
      <c r="Y264" s="76"/>
      <c r="Z264" s="68"/>
      <c r="AA264" s="68"/>
      <c r="AB264" s="68"/>
      <c r="AC264" s="68"/>
      <c r="AD264" s="68"/>
    </row>
    <row r="265" spans="16:30" x14ac:dyDescent="0.2">
      <c r="P265" s="68"/>
      <c r="Q265" s="74"/>
      <c r="R265" s="74"/>
      <c r="S265" s="74"/>
      <c r="T265" s="75"/>
      <c r="U265" s="76"/>
      <c r="V265" s="77"/>
      <c r="W265" s="77"/>
      <c r="X265" s="76"/>
      <c r="Y265" s="76"/>
      <c r="Z265" s="68"/>
      <c r="AA265" s="68"/>
      <c r="AB265" s="68"/>
      <c r="AC265" s="68"/>
      <c r="AD265" s="68"/>
    </row>
    <row r="266" spans="16:30" x14ac:dyDescent="0.2">
      <c r="P266" s="68"/>
      <c r="Q266" s="74"/>
      <c r="R266" s="74"/>
      <c r="S266" s="74"/>
      <c r="T266" s="75"/>
      <c r="U266" s="76"/>
      <c r="V266" s="77"/>
      <c r="W266" s="77"/>
      <c r="X266" s="76"/>
      <c r="Y266" s="76"/>
      <c r="Z266" s="68"/>
      <c r="AA266" s="68"/>
      <c r="AB266" s="68"/>
      <c r="AC266" s="68"/>
      <c r="AD266" s="68"/>
    </row>
    <row r="267" spans="16:30" x14ac:dyDescent="0.2">
      <c r="P267" s="68"/>
      <c r="Q267" s="74"/>
      <c r="R267" s="74"/>
      <c r="S267" s="74"/>
      <c r="T267" s="75"/>
      <c r="U267" s="76"/>
      <c r="V267" s="77"/>
      <c r="W267" s="77"/>
      <c r="X267" s="76"/>
      <c r="Y267" s="76"/>
      <c r="Z267" s="68"/>
      <c r="AA267" s="68"/>
      <c r="AB267" s="68"/>
      <c r="AC267" s="68"/>
      <c r="AD267" s="68"/>
    </row>
    <row r="268" spans="16:30" x14ac:dyDescent="0.2">
      <c r="P268" s="68"/>
      <c r="Q268" s="74"/>
      <c r="R268" s="74"/>
      <c r="S268" s="74"/>
      <c r="T268" s="75"/>
      <c r="U268" s="76"/>
      <c r="V268" s="77"/>
      <c r="W268" s="77"/>
      <c r="X268" s="76"/>
      <c r="Y268" s="76"/>
      <c r="Z268" s="68"/>
      <c r="AA268" s="68"/>
      <c r="AB268" s="68"/>
      <c r="AC268" s="68"/>
      <c r="AD268" s="68"/>
    </row>
    <row r="269" spans="16:30" x14ac:dyDescent="0.2">
      <c r="P269" s="68"/>
      <c r="Q269" s="74"/>
      <c r="R269" s="74"/>
      <c r="S269" s="74"/>
      <c r="T269" s="75"/>
      <c r="U269" s="76"/>
      <c r="V269" s="77"/>
      <c r="W269" s="77"/>
      <c r="X269" s="76"/>
      <c r="Y269" s="76"/>
      <c r="Z269" s="68"/>
      <c r="AA269" s="68"/>
      <c r="AB269" s="68"/>
      <c r="AC269" s="68"/>
      <c r="AD269" s="68"/>
    </row>
    <row r="270" spans="16:30" x14ac:dyDescent="0.2">
      <c r="P270" s="68"/>
      <c r="Q270" s="74"/>
      <c r="R270" s="74"/>
      <c r="S270" s="74"/>
      <c r="T270" s="75"/>
      <c r="U270" s="76"/>
      <c r="V270" s="77"/>
      <c r="W270" s="77"/>
      <c r="X270" s="76"/>
      <c r="Y270" s="76"/>
      <c r="Z270" s="68"/>
      <c r="AA270" s="68"/>
      <c r="AB270" s="68"/>
      <c r="AC270" s="68"/>
      <c r="AD270" s="68"/>
    </row>
    <row r="271" spans="16:30" x14ac:dyDescent="0.2">
      <c r="P271" s="68"/>
      <c r="Q271" s="74"/>
      <c r="R271" s="74"/>
      <c r="S271" s="74"/>
      <c r="T271" s="75"/>
      <c r="U271" s="76"/>
      <c r="V271" s="77"/>
      <c r="W271" s="77"/>
      <c r="X271" s="76"/>
      <c r="Y271" s="76"/>
      <c r="Z271" s="68"/>
      <c r="AA271" s="68"/>
      <c r="AB271" s="68"/>
      <c r="AC271" s="68"/>
      <c r="AD271" s="68"/>
    </row>
    <row r="272" spans="16:30" x14ac:dyDescent="0.2">
      <c r="P272" s="68"/>
      <c r="Q272" s="74"/>
      <c r="R272" s="74"/>
      <c r="S272" s="74"/>
      <c r="T272" s="75"/>
      <c r="U272" s="76"/>
      <c r="V272" s="77"/>
      <c r="W272" s="77"/>
      <c r="X272" s="76"/>
      <c r="Y272" s="76"/>
      <c r="Z272" s="68"/>
      <c r="AA272" s="68"/>
      <c r="AB272" s="68"/>
      <c r="AC272" s="68"/>
      <c r="AD272" s="68"/>
    </row>
    <row r="273" spans="16:30" x14ac:dyDescent="0.2">
      <c r="P273" s="68"/>
      <c r="Q273" s="74"/>
      <c r="R273" s="74"/>
      <c r="S273" s="74"/>
      <c r="T273" s="75"/>
      <c r="U273" s="76"/>
      <c r="V273" s="77"/>
      <c r="W273" s="77"/>
      <c r="X273" s="76"/>
      <c r="Y273" s="76"/>
      <c r="Z273" s="68"/>
      <c r="AA273" s="68"/>
      <c r="AB273" s="68"/>
      <c r="AC273" s="68"/>
      <c r="AD273" s="68"/>
    </row>
    <row r="274" spans="16:30" x14ac:dyDescent="0.2">
      <c r="P274" s="68"/>
      <c r="Q274" s="74"/>
      <c r="R274" s="74"/>
      <c r="S274" s="74"/>
      <c r="T274" s="75"/>
      <c r="U274" s="76"/>
      <c r="V274" s="77"/>
      <c r="W274" s="77"/>
      <c r="X274" s="76"/>
      <c r="Y274" s="76"/>
      <c r="Z274" s="68"/>
      <c r="AA274" s="68"/>
      <c r="AB274" s="68"/>
      <c r="AC274" s="68"/>
      <c r="AD274" s="68"/>
    </row>
    <row r="275" spans="16:30" x14ac:dyDescent="0.2">
      <c r="P275" s="68"/>
      <c r="Q275" s="74"/>
      <c r="R275" s="74"/>
      <c r="S275" s="74"/>
      <c r="T275" s="75"/>
      <c r="U275" s="76"/>
      <c r="V275" s="77"/>
      <c r="W275" s="77"/>
      <c r="X275" s="76"/>
      <c r="Y275" s="76"/>
      <c r="Z275" s="68"/>
      <c r="AA275" s="68"/>
      <c r="AB275" s="68"/>
      <c r="AC275" s="68"/>
      <c r="AD275" s="68"/>
    </row>
    <row r="276" spans="16:30" x14ac:dyDescent="0.2">
      <c r="P276" s="68"/>
      <c r="Q276" s="74"/>
      <c r="R276" s="74"/>
      <c r="S276" s="74"/>
      <c r="T276" s="75"/>
      <c r="U276" s="76"/>
      <c r="V276" s="77"/>
      <c r="W276" s="77"/>
      <c r="X276" s="76"/>
      <c r="Y276" s="76"/>
      <c r="Z276" s="68"/>
      <c r="AA276" s="68"/>
      <c r="AB276" s="68"/>
      <c r="AC276" s="68"/>
      <c r="AD276" s="68"/>
    </row>
    <row r="277" spans="16:30" x14ac:dyDescent="0.2">
      <c r="P277" s="68"/>
      <c r="Q277" s="74"/>
      <c r="R277" s="74"/>
      <c r="S277" s="74"/>
      <c r="T277" s="75"/>
      <c r="U277" s="76"/>
      <c r="V277" s="77"/>
      <c r="W277" s="77"/>
      <c r="X277" s="76"/>
      <c r="Y277" s="76"/>
      <c r="Z277" s="68"/>
      <c r="AA277" s="68"/>
      <c r="AB277" s="68"/>
      <c r="AC277" s="68"/>
      <c r="AD277" s="68"/>
    </row>
    <row r="278" spans="16:30" x14ac:dyDescent="0.2">
      <c r="P278" s="68"/>
      <c r="Q278" s="74"/>
      <c r="R278" s="74"/>
      <c r="S278" s="74"/>
      <c r="T278" s="75"/>
      <c r="U278" s="76"/>
      <c r="V278" s="77"/>
      <c r="W278" s="77"/>
      <c r="X278" s="76"/>
      <c r="Y278" s="76"/>
      <c r="Z278" s="68"/>
      <c r="AA278" s="68"/>
      <c r="AB278" s="68"/>
      <c r="AC278" s="68"/>
      <c r="AD278" s="68"/>
    </row>
    <row r="279" spans="16:30" x14ac:dyDescent="0.2">
      <c r="P279" s="68"/>
      <c r="Q279" s="74"/>
      <c r="R279" s="74"/>
      <c r="S279" s="74"/>
      <c r="T279" s="75"/>
      <c r="U279" s="76"/>
      <c r="V279" s="77"/>
      <c r="W279" s="77"/>
      <c r="X279" s="76"/>
      <c r="Y279" s="76"/>
      <c r="Z279" s="68"/>
      <c r="AA279" s="68"/>
      <c r="AB279" s="68"/>
      <c r="AC279" s="68"/>
      <c r="AD279" s="68"/>
    </row>
    <row r="280" spans="16:30" x14ac:dyDescent="0.2">
      <c r="P280" s="68"/>
      <c r="Q280" s="74"/>
      <c r="R280" s="74"/>
      <c r="S280" s="74"/>
      <c r="T280" s="75"/>
      <c r="U280" s="76"/>
      <c r="V280" s="77"/>
      <c r="W280" s="77"/>
      <c r="X280" s="76"/>
      <c r="Y280" s="76"/>
      <c r="Z280" s="68"/>
      <c r="AA280" s="68"/>
      <c r="AB280" s="68"/>
      <c r="AC280" s="68"/>
      <c r="AD280" s="68"/>
    </row>
    <row r="281" spans="16:30" x14ac:dyDescent="0.2">
      <c r="P281" s="68"/>
      <c r="Q281" s="74"/>
      <c r="R281" s="74"/>
      <c r="S281" s="74"/>
      <c r="T281" s="75"/>
      <c r="U281" s="76"/>
      <c r="V281" s="77"/>
      <c r="W281" s="77"/>
      <c r="X281" s="76"/>
      <c r="Y281" s="76"/>
      <c r="Z281" s="68"/>
      <c r="AA281" s="68"/>
      <c r="AB281" s="68"/>
      <c r="AC281" s="68"/>
      <c r="AD281" s="68"/>
    </row>
    <row r="282" spans="16:30" x14ac:dyDescent="0.2">
      <c r="P282" s="68"/>
      <c r="Q282" s="74"/>
      <c r="R282" s="74"/>
      <c r="S282" s="74"/>
      <c r="T282" s="75"/>
      <c r="U282" s="76"/>
      <c r="V282" s="77"/>
      <c r="W282" s="77"/>
      <c r="X282" s="76"/>
      <c r="Y282" s="76"/>
      <c r="Z282" s="68"/>
      <c r="AA282" s="68"/>
      <c r="AB282" s="68"/>
      <c r="AC282" s="68"/>
      <c r="AD282" s="68"/>
    </row>
    <row r="283" spans="16:30" x14ac:dyDescent="0.2">
      <c r="P283" s="68"/>
      <c r="Q283" s="74"/>
      <c r="R283" s="74"/>
      <c r="S283" s="74"/>
      <c r="T283" s="75"/>
      <c r="U283" s="76"/>
      <c r="V283" s="77"/>
      <c r="W283" s="77"/>
      <c r="X283" s="76"/>
      <c r="Y283" s="76"/>
      <c r="Z283" s="68"/>
      <c r="AA283" s="68"/>
      <c r="AB283" s="68"/>
      <c r="AC283" s="68"/>
      <c r="AD283" s="68"/>
    </row>
    <row r="284" spans="16:30" x14ac:dyDescent="0.2">
      <c r="P284" s="68"/>
      <c r="Q284" s="74"/>
      <c r="R284" s="74"/>
      <c r="S284" s="74"/>
      <c r="T284" s="75"/>
      <c r="U284" s="76"/>
      <c r="V284" s="77"/>
      <c r="W284" s="77"/>
      <c r="X284" s="76"/>
      <c r="Y284" s="76"/>
      <c r="Z284" s="68"/>
      <c r="AA284" s="68"/>
      <c r="AB284" s="68"/>
      <c r="AC284" s="68"/>
      <c r="AD284" s="68"/>
    </row>
    <row r="285" spans="16:30" x14ac:dyDescent="0.2">
      <c r="P285" s="68"/>
      <c r="Q285" s="74"/>
      <c r="R285" s="74"/>
      <c r="S285" s="74"/>
      <c r="T285" s="75"/>
      <c r="U285" s="76"/>
      <c r="V285" s="77"/>
      <c r="W285" s="77"/>
      <c r="X285" s="76"/>
      <c r="Y285" s="76"/>
      <c r="Z285" s="68"/>
      <c r="AA285" s="68"/>
      <c r="AB285" s="68"/>
      <c r="AC285" s="68"/>
      <c r="AD285" s="68"/>
    </row>
    <row r="286" spans="16:30" x14ac:dyDescent="0.2">
      <c r="P286" s="68"/>
      <c r="Q286" s="74"/>
      <c r="R286" s="74"/>
      <c r="S286" s="74"/>
      <c r="T286" s="75"/>
      <c r="U286" s="76"/>
      <c r="V286" s="77"/>
      <c r="W286" s="77"/>
      <c r="X286" s="76"/>
      <c r="Y286" s="76"/>
      <c r="Z286" s="68"/>
      <c r="AA286" s="68"/>
      <c r="AB286" s="68"/>
      <c r="AC286" s="68"/>
      <c r="AD286" s="68"/>
    </row>
    <row r="287" spans="16:30" x14ac:dyDescent="0.2">
      <c r="P287" s="68"/>
      <c r="Q287" s="74"/>
      <c r="R287" s="74"/>
      <c r="S287" s="74"/>
      <c r="T287" s="75"/>
      <c r="U287" s="76"/>
      <c r="V287" s="77"/>
      <c r="W287" s="77"/>
      <c r="X287" s="76"/>
      <c r="Y287" s="76"/>
      <c r="Z287" s="68"/>
      <c r="AA287" s="68"/>
      <c r="AB287" s="68"/>
      <c r="AC287" s="68"/>
      <c r="AD287" s="68"/>
    </row>
    <row r="288" spans="16:30" x14ac:dyDescent="0.2">
      <c r="P288" s="68"/>
      <c r="Q288" s="74"/>
      <c r="R288" s="74"/>
      <c r="S288" s="74"/>
      <c r="T288" s="75"/>
      <c r="U288" s="76"/>
      <c r="V288" s="77"/>
      <c r="W288" s="77"/>
      <c r="X288" s="76"/>
      <c r="Y288" s="76"/>
      <c r="Z288" s="68"/>
      <c r="AA288" s="68"/>
      <c r="AB288" s="68"/>
      <c r="AC288" s="68"/>
      <c r="AD288" s="68"/>
    </row>
    <row r="289" spans="16:30" x14ac:dyDescent="0.2">
      <c r="P289" s="68"/>
      <c r="Q289" s="74"/>
      <c r="R289" s="74"/>
      <c r="S289" s="74"/>
      <c r="T289" s="75"/>
      <c r="U289" s="76"/>
      <c r="V289" s="77"/>
      <c r="W289" s="77"/>
      <c r="X289" s="76"/>
      <c r="Y289" s="76"/>
      <c r="Z289" s="68"/>
      <c r="AA289" s="68"/>
      <c r="AB289" s="68"/>
      <c r="AC289" s="68"/>
      <c r="AD289" s="68"/>
    </row>
    <row r="290" spans="16:30" x14ac:dyDescent="0.2">
      <c r="P290" s="68"/>
      <c r="Q290" s="74"/>
      <c r="R290" s="74"/>
      <c r="S290" s="74"/>
      <c r="T290" s="75"/>
      <c r="U290" s="76"/>
      <c r="V290" s="77"/>
      <c r="W290" s="77"/>
      <c r="X290" s="76"/>
      <c r="Y290" s="76"/>
      <c r="Z290" s="68"/>
      <c r="AA290" s="68"/>
      <c r="AB290" s="68"/>
      <c r="AC290" s="68"/>
      <c r="AD290" s="68"/>
    </row>
    <row r="291" spans="16:30" x14ac:dyDescent="0.2">
      <c r="P291" s="68"/>
      <c r="Q291" s="74"/>
      <c r="R291" s="74"/>
      <c r="S291" s="74"/>
      <c r="T291" s="75"/>
      <c r="U291" s="76"/>
      <c r="V291" s="77"/>
      <c r="W291" s="77"/>
      <c r="X291" s="76"/>
      <c r="Y291" s="76"/>
      <c r="Z291" s="68"/>
      <c r="AA291" s="68"/>
      <c r="AB291" s="68"/>
      <c r="AC291" s="68"/>
      <c r="AD291" s="68"/>
    </row>
    <row r="292" spans="16:30" x14ac:dyDescent="0.2">
      <c r="P292" s="68"/>
      <c r="Q292" s="74"/>
      <c r="R292" s="74"/>
      <c r="S292" s="74"/>
      <c r="T292" s="75"/>
      <c r="U292" s="76"/>
      <c r="V292" s="77"/>
      <c r="W292" s="77"/>
      <c r="X292" s="76"/>
      <c r="Y292" s="76"/>
      <c r="Z292" s="68"/>
      <c r="AA292" s="68"/>
      <c r="AB292" s="68"/>
      <c r="AC292" s="68"/>
      <c r="AD292" s="68"/>
    </row>
    <row r="293" spans="16:30" x14ac:dyDescent="0.2">
      <c r="P293" s="68"/>
      <c r="Q293" s="74"/>
      <c r="R293" s="74"/>
      <c r="S293" s="74"/>
      <c r="T293" s="75"/>
      <c r="U293" s="76"/>
      <c r="V293" s="77"/>
      <c r="W293" s="77"/>
      <c r="X293" s="76"/>
      <c r="Y293" s="76"/>
      <c r="Z293" s="68"/>
      <c r="AA293" s="68"/>
      <c r="AB293" s="68"/>
      <c r="AC293" s="68"/>
      <c r="AD293" s="68"/>
    </row>
    <row r="294" spans="16:30" x14ac:dyDescent="0.2">
      <c r="P294" s="68"/>
      <c r="Q294" s="74"/>
      <c r="R294" s="74"/>
      <c r="S294" s="74"/>
      <c r="T294" s="75"/>
      <c r="U294" s="76"/>
      <c r="V294" s="77"/>
      <c r="W294" s="77"/>
      <c r="X294" s="76"/>
      <c r="Y294" s="76"/>
      <c r="Z294" s="68"/>
      <c r="AA294" s="68"/>
      <c r="AB294" s="68"/>
      <c r="AC294" s="68"/>
      <c r="AD294" s="68"/>
    </row>
    <row r="295" spans="16:30" x14ac:dyDescent="0.2">
      <c r="P295" s="68"/>
      <c r="Q295" s="74"/>
      <c r="R295" s="74"/>
      <c r="S295" s="74"/>
      <c r="T295" s="75"/>
      <c r="U295" s="76"/>
      <c r="V295" s="77"/>
      <c r="W295" s="77"/>
      <c r="X295" s="76"/>
      <c r="Y295" s="76"/>
      <c r="Z295" s="68"/>
      <c r="AA295" s="68"/>
      <c r="AB295" s="68"/>
      <c r="AC295" s="68"/>
      <c r="AD295" s="68"/>
    </row>
    <row r="296" spans="16:30" x14ac:dyDescent="0.2">
      <c r="P296" s="68"/>
      <c r="Q296" s="74"/>
      <c r="R296" s="74"/>
      <c r="S296" s="74"/>
      <c r="T296" s="75"/>
      <c r="U296" s="76"/>
      <c r="V296" s="77"/>
      <c r="W296" s="77"/>
      <c r="X296" s="76"/>
      <c r="Y296" s="76"/>
      <c r="Z296" s="68"/>
      <c r="AA296" s="68"/>
      <c r="AB296" s="68"/>
      <c r="AC296" s="68"/>
      <c r="AD296" s="68"/>
    </row>
    <row r="297" spans="16:30" x14ac:dyDescent="0.2">
      <c r="P297" s="68"/>
      <c r="Q297" s="74"/>
      <c r="R297" s="74"/>
      <c r="S297" s="74"/>
      <c r="T297" s="75"/>
      <c r="U297" s="76"/>
      <c r="V297" s="77"/>
      <c r="W297" s="77"/>
      <c r="X297" s="76"/>
      <c r="Y297" s="76"/>
      <c r="Z297" s="68"/>
      <c r="AA297" s="68"/>
      <c r="AB297" s="68"/>
      <c r="AC297" s="68"/>
      <c r="AD297" s="68"/>
    </row>
    <row r="298" spans="16:30" x14ac:dyDescent="0.2">
      <c r="P298" s="68"/>
      <c r="Q298" s="74"/>
      <c r="R298" s="74"/>
      <c r="S298" s="74"/>
      <c r="T298" s="75"/>
      <c r="U298" s="76"/>
      <c r="V298" s="77"/>
      <c r="W298" s="77"/>
      <c r="X298" s="76"/>
      <c r="Y298" s="76"/>
      <c r="Z298" s="68"/>
      <c r="AA298" s="68"/>
      <c r="AB298" s="68"/>
      <c r="AC298" s="68"/>
      <c r="AD298" s="68"/>
    </row>
    <row r="299" spans="16:30" x14ac:dyDescent="0.2">
      <c r="P299" s="68"/>
      <c r="Q299" s="74"/>
      <c r="R299" s="74"/>
      <c r="S299" s="74"/>
      <c r="T299" s="75"/>
      <c r="U299" s="76"/>
      <c r="V299" s="77"/>
      <c r="W299" s="77"/>
      <c r="X299" s="76"/>
      <c r="Y299" s="76"/>
      <c r="Z299" s="68"/>
      <c r="AA299" s="68"/>
      <c r="AB299" s="68"/>
      <c r="AC299" s="68"/>
      <c r="AD299" s="68"/>
    </row>
    <row r="300" spans="16:30" x14ac:dyDescent="0.2">
      <c r="P300" s="68"/>
      <c r="Q300" s="74"/>
      <c r="R300" s="74"/>
      <c r="S300" s="74"/>
      <c r="T300" s="75"/>
      <c r="U300" s="76"/>
      <c r="V300" s="77"/>
      <c r="W300" s="77"/>
      <c r="X300" s="76"/>
      <c r="Y300" s="76"/>
      <c r="Z300" s="68"/>
      <c r="AA300" s="68"/>
      <c r="AB300" s="68"/>
      <c r="AC300" s="68"/>
      <c r="AD300" s="68"/>
    </row>
    <row r="301" spans="16:30" x14ac:dyDescent="0.2">
      <c r="P301" s="68"/>
      <c r="Q301" s="74"/>
      <c r="R301" s="74"/>
      <c r="S301" s="74"/>
      <c r="T301" s="75"/>
      <c r="U301" s="76"/>
      <c r="V301" s="77"/>
      <c r="W301" s="77"/>
      <c r="X301" s="76"/>
      <c r="Y301" s="76"/>
      <c r="Z301" s="68"/>
      <c r="AA301" s="68"/>
      <c r="AB301" s="68"/>
      <c r="AC301" s="68"/>
      <c r="AD301" s="68"/>
    </row>
    <row r="302" spans="16:30" x14ac:dyDescent="0.2">
      <c r="P302" s="68"/>
      <c r="Q302" s="74"/>
      <c r="R302" s="74"/>
      <c r="S302" s="74"/>
      <c r="T302" s="75"/>
      <c r="U302" s="76"/>
      <c r="V302" s="77"/>
      <c r="W302" s="77"/>
      <c r="X302" s="76"/>
      <c r="Y302" s="76"/>
      <c r="Z302" s="68"/>
      <c r="AA302" s="68"/>
      <c r="AB302" s="68"/>
      <c r="AC302" s="68"/>
      <c r="AD302" s="68"/>
    </row>
    <row r="303" spans="16:30" x14ac:dyDescent="0.2">
      <c r="P303" s="68"/>
      <c r="Q303" s="74"/>
      <c r="R303" s="74"/>
      <c r="S303" s="74"/>
      <c r="T303" s="75"/>
      <c r="U303" s="76"/>
      <c r="V303" s="77"/>
      <c r="W303" s="77"/>
      <c r="X303" s="76"/>
      <c r="Y303" s="76"/>
      <c r="Z303" s="68"/>
      <c r="AA303" s="68"/>
      <c r="AB303" s="68"/>
      <c r="AC303" s="68"/>
      <c r="AD303" s="68"/>
    </row>
    <row r="304" spans="16:30" x14ac:dyDescent="0.2">
      <c r="P304" s="68"/>
      <c r="Q304" s="74"/>
      <c r="R304" s="74"/>
      <c r="S304" s="74"/>
      <c r="T304" s="75"/>
      <c r="U304" s="76"/>
      <c r="V304" s="77"/>
      <c r="W304" s="77"/>
      <c r="X304" s="76"/>
      <c r="Y304" s="76"/>
      <c r="Z304" s="68"/>
      <c r="AA304" s="68"/>
      <c r="AB304" s="68"/>
      <c r="AC304" s="68"/>
      <c r="AD304" s="68"/>
    </row>
    <row r="305" spans="16:30" x14ac:dyDescent="0.2">
      <c r="P305" s="68"/>
      <c r="Q305" s="74"/>
      <c r="R305" s="74"/>
      <c r="S305" s="74"/>
      <c r="T305" s="75"/>
      <c r="U305" s="76"/>
      <c r="V305" s="77"/>
      <c r="W305" s="77"/>
      <c r="X305" s="76"/>
      <c r="Y305" s="76"/>
      <c r="Z305" s="68"/>
      <c r="AA305" s="68"/>
      <c r="AB305" s="68"/>
      <c r="AC305" s="68"/>
      <c r="AD305" s="68"/>
    </row>
    <row r="306" spans="16:30" x14ac:dyDescent="0.2">
      <c r="P306" s="68"/>
      <c r="Q306" s="74"/>
      <c r="R306" s="74"/>
      <c r="S306" s="74"/>
      <c r="T306" s="75"/>
      <c r="U306" s="76"/>
      <c r="V306" s="77"/>
      <c r="W306" s="77"/>
      <c r="X306" s="76"/>
      <c r="Y306" s="76"/>
      <c r="Z306" s="68"/>
      <c r="AA306" s="68"/>
      <c r="AB306" s="68"/>
      <c r="AC306" s="68"/>
      <c r="AD306" s="68"/>
    </row>
    <row r="307" spans="16:30" x14ac:dyDescent="0.2">
      <c r="P307" s="68"/>
      <c r="Q307" s="74"/>
      <c r="R307" s="74"/>
      <c r="S307" s="74"/>
      <c r="T307" s="75"/>
      <c r="U307" s="76"/>
      <c r="V307" s="77"/>
      <c r="W307" s="77"/>
      <c r="X307" s="76"/>
      <c r="Y307" s="76"/>
      <c r="Z307" s="68"/>
      <c r="AA307" s="68"/>
      <c r="AB307" s="68"/>
      <c r="AC307" s="68"/>
      <c r="AD307" s="68"/>
    </row>
    <row r="308" spans="16:30" x14ac:dyDescent="0.2">
      <c r="P308" s="68"/>
      <c r="Q308" s="74"/>
      <c r="R308" s="74"/>
      <c r="S308" s="74"/>
      <c r="T308" s="75"/>
      <c r="U308" s="76"/>
      <c r="V308" s="77"/>
      <c r="W308" s="77"/>
      <c r="X308" s="76"/>
      <c r="Y308" s="76"/>
      <c r="Z308" s="68"/>
      <c r="AA308" s="68"/>
      <c r="AB308" s="68"/>
      <c r="AC308" s="68"/>
      <c r="AD308" s="68"/>
    </row>
    <row r="309" spans="16:30" x14ac:dyDescent="0.2">
      <c r="P309" s="68"/>
      <c r="Q309" s="74"/>
      <c r="R309" s="74"/>
      <c r="S309" s="74"/>
      <c r="T309" s="75"/>
      <c r="U309" s="76"/>
      <c r="V309" s="77"/>
      <c r="W309" s="77"/>
      <c r="X309" s="76"/>
      <c r="Y309" s="76"/>
      <c r="Z309" s="68"/>
      <c r="AA309" s="68"/>
      <c r="AB309" s="68"/>
      <c r="AC309" s="68"/>
      <c r="AD309" s="68"/>
    </row>
    <row r="310" spans="16:30" x14ac:dyDescent="0.2">
      <c r="P310" s="68"/>
      <c r="Q310" s="74"/>
      <c r="R310" s="74"/>
      <c r="S310" s="74"/>
      <c r="T310" s="75"/>
      <c r="U310" s="76"/>
      <c r="V310" s="77"/>
      <c r="W310" s="77"/>
      <c r="X310" s="76"/>
      <c r="Y310" s="76"/>
      <c r="Z310" s="68"/>
      <c r="AA310" s="68"/>
      <c r="AB310" s="68"/>
      <c r="AC310" s="68"/>
      <c r="AD310" s="68"/>
    </row>
    <row r="311" spans="16:30" x14ac:dyDescent="0.2">
      <c r="P311" s="68"/>
      <c r="Q311" s="74"/>
      <c r="R311" s="74"/>
      <c r="S311" s="74"/>
      <c r="T311" s="75"/>
      <c r="U311" s="76"/>
      <c r="V311" s="77"/>
      <c r="W311" s="77"/>
      <c r="X311" s="76"/>
      <c r="Y311" s="76"/>
      <c r="Z311" s="68"/>
      <c r="AA311" s="68"/>
      <c r="AB311" s="68"/>
      <c r="AC311" s="68"/>
      <c r="AD311" s="68"/>
    </row>
    <row r="312" spans="16:30" x14ac:dyDescent="0.2">
      <c r="P312" s="68"/>
      <c r="Q312" s="74"/>
      <c r="R312" s="74"/>
      <c r="S312" s="74"/>
      <c r="T312" s="75"/>
      <c r="U312" s="76"/>
      <c r="V312" s="77"/>
      <c r="W312" s="77"/>
      <c r="X312" s="76"/>
      <c r="Y312" s="76"/>
      <c r="Z312" s="68"/>
      <c r="AA312" s="68"/>
      <c r="AB312" s="68"/>
      <c r="AC312" s="68"/>
      <c r="AD312" s="68"/>
    </row>
    <row r="313" spans="16:30" x14ac:dyDescent="0.2">
      <c r="P313" s="68"/>
      <c r="Q313" s="74"/>
      <c r="R313" s="74"/>
      <c r="S313" s="74"/>
      <c r="T313" s="75"/>
      <c r="U313" s="76"/>
      <c r="V313" s="77"/>
      <c r="W313" s="77"/>
      <c r="X313" s="76"/>
      <c r="Y313" s="76"/>
      <c r="Z313" s="68"/>
      <c r="AA313" s="68"/>
      <c r="AB313" s="68"/>
      <c r="AC313" s="68"/>
      <c r="AD313" s="68"/>
    </row>
    <row r="314" spans="16:30" x14ac:dyDescent="0.2">
      <c r="P314" s="68"/>
      <c r="Q314" s="74"/>
      <c r="R314" s="74"/>
      <c r="S314" s="74"/>
      <c r="T314" s="75"/>
      <c r="U314" s="76"/>
      <c r="V314" s="77"/>
      <c r="W314" s="77"/>
      <c r="X314" s="76"/>
      <c r="Y314" s="76"/>
      <c r="Z314" s="68"/>
      <c r="AA314" s="68"/>
      <c r="AB314" s="68"/>
      <c r="AC314" s="68"/>
      <c r="AD314" s="68"/>
    </row>
    <row r="315" spans="16:30" x14ac:dyDescent="0.2">
      <c r="P315" s="68"/>
      <c r="Q315" s="74"/>
      <c r="R315" s="74"/>
      <c r="S315" s="74"/>
      <c r="T315" s="75"/>
      <c r="U315" s="76"/>
      <c r="V315" s="77"/>
      <c r="W315" s="77"/>
      <c r="X315" s="76"/>
      <c r="Y315" s="76"/>
      <c r="Z315" s="68"/>
      <c r="AA315" s="68"/>
      <c r="AB315" s="68"/>
      <c r="AC315" s="68"/>
      <c r="AD315" s="68"/>
    </row>
    <row r="316" spans="16:30" x14ac:dyDescent="0.2">
      <c r="P316" s="68"/>
      <c r="Q316" s="74"/>
      <c r="R316" s="74"/>
      <c r="S316" s="74"/>
      <c r="T316" s="75"/>
      <c r="U316" s="76"/>
      <c r="V316" s="77"/>
      <c r="W316" s="77"/>
      <c r="X316" s="76"/>
      <c r="Y316" s="76"/>
      <c r="Z316" s="68"/>
      <c r="AA316" s="68"/>
      <c r="AB316" s="68"/>
      <c r="AC316" s="68"/>
      <c r="AD316" s="68"/>
    </row>
    <row r="317" spans="16:30" x14ac:dyDescent="0.2">
      <c r="P317" s="68"/>
      <c r="Q317" s="74"/>
      <c r="R317" s="74"/>
      <c r="S317" s="74"/>
      <c r="T317" s="75"/>
      <c r="U317" s="76"/>
      <c r="V317" s="77"/>
      <c r="W317" s="77"/>
      <c r="X317" s="76"/>
      <c r="Y317" s="76"/>
      <c r="Z317" s="68"/>
      <c r="AA317" s="68"/>
      <c r="AB317" s="68"/>
      <c r="AC317" s="68"/>
      <c r="AD317" s="68"/>
    </row>
    <row r="318" spans="16:30" x14ac:dyDescent="0.2">
      <c r="P318" s="68"/>
      <c r="Q318" s="74"/>
      <c r="R318" s="74"/>
      <c r="S318" s="74"/>
      <c r="T318" s="75"/>
      <c r="U318" s="76"/>
      <c r="V318" s="77"/>
      <c r="W318" s="77"/>
      <c r="X318" s="76"/>
      <c r="Y318" s="76"/>
      <c r="Z318" s="68"/>
      <c r="AA318" s="68"/>
      <c r="AB318" s="68"/>
      <c r="AC318" s="68"/>
      <c r="AD318" s="68"/>
    </row>
    <row r="319" spans="16:30" x14ac:dyDescent="0.2">
      <c r="P319" s="68"/>
      <c r="Q319" s="74"/>
      <c r="R319" s="74"/>
      <c r="S319" s="74"/>
      <c r="T319" s="75"/>
      <c r="U319" s="76"/>
      <c r="V319" s="77"/>
      <c r="W319" s="77"/>
      <c r="X319" s="76"/>
      <c r="Y319" s="76"/>
      <c r="Z319" s="68"/>
      <c r="AA319" s="68"/>
      <c r="AB319" s="68"/>
      <c r="AC319" s="68"/>
      <c r="AD319" s="68"/>
    </row>
    <row r="320" spans="16:30" x14ac:dyDescent="0.2">
      <c r="P320" s="68"/>
      <c r="Q320" s="74"/>
      <c r="R320" s="74"/>
      <c r="S320" s="74"/>
      <c r="T320" s="75"/>
      <c r="U320" s="76"/>
      <c r="V320" s="77"/>
      <c r="W320" s="77"/>
      <c r="X320" s="76"/>
      <c r="Y320" s="76"/>
      <c r="Z320" s="68"/>
      <c r="AA320" s="68"/>
      <c r="AB320" s="68"/>
      <c r="AC320" s="68"/>
      <c r="AD320" s="68"/>
    </row>
    <row r="321" spans="16:30" x14ac:dyDescent="0.2">
      <c r="P321" s="68"/>
      <c r="Q321" s="74"/>
      <c r="R321" s="74"/>
      <c r="S321" s="74"/>
      <c r="T321" s="75"/>
      <c r="U321" s="76"/>
      <c r="V321" s="77"/>
      <c r="W321" s="77"/>
      <c r="X321" s="76"/>
      <c r="Y321" s="76"/>
      <c r="Z321" s="68"/>
      <c r="AA321" s="68"/>
      <c r="AB321" s="68"/>
      <c r="AC321" s="68"/>
      <c r="AD321" s="68"/>
    </row>
    <row r="322" spans="16:30" x14ac:dyDescent="0.2">
      <c r="P322" s="68"/>
      <c r="Q322" s="74"/>
      <c r="R322" s="74"/>
      <c r="S322" s="74"/>
      <c r="T322" s="75"/>
      <c r="U322" s="76"/>
      <c r="V322" s="77"/>
      <c r="W322" s="77"/>
      <c r="X322" s="76"/>
      <c r="Y322" s="76"/>
      <c r="Z322" s="68"/>
      <c r="AA322" s="68"/>
      <c r="AB322" s="68"/>
      <c r="AC322" s="68"/>
      <c r="AD322" s="68"/>
    </row>
    <row r="323" spans="16:30" x14ac:dyDescent="0.2">
      <c r="P323" s="68"/>
      <c r="Q323" s="74"/>
      <c r="R323" s="74"/>
      <c r="S323" s="74"/>
      <c r="T323" s="75"/>
      <c r="U323" s="76"/>
      <c r="V323" s="77"/>
      <c r="W323" s="77"/>
      <c r="X323" s="76"/>
      <c r="Y323" s="76"/>
      <c r="Z323" s="68"/>
      <c r="AA323" s="68"/>
      <c r="AB323" s="68"/>
      <c r="AC323" s="68"/>
      <c r="AD323" s="68"/>
    </row>
    <row r="324" spans="16:30" x14ac:dyDescent="0.2">
      <c r="P324" s="68"/>
      <c r="Q324" s="74"/>
      <c r="R324" s="74"/>
      <c r="S324" s="74"/>
      <c r="T324" s="75"/>
      <c r="U324" s="76"/>
      <c r="V324" s="77"/>
      <c r="W324" s="77"/>
      <c r="X324" s="76"/>
      <c r="Y324" s="76"/>
      <c r="Z324" s="68"/>
      <c r="AA324" s="68"/>
      <c r="AB324" s="68"/>
      <c r="AC324" s="68"/>
      <c r="AD324" s="68"/>
    </row>
    <row r="325" spans="16:30" x14ac:dyDescent="0.2">
      <c r="P325" s="68"/>
      <c r="Q325" s="74"/>
      <c r="R325" s="74"/>
      <c r="S325" s="74"/>
      <c r="T325" s="75"/>
      <c r="U325" s="76"/>
      <c r="V325" s="77"/>
      <c r="W325" s="77"/>
      <c r="X325" s="76"/>
      <c r="Y325" s="76"/>
      <c r="Z325" s="68"/>
      <c r="AA325" s="68"/>
      <c r="AB325" s="68"/>
      <c r="AC325" s="68"/>
      <c r="AD325" s="68"/>
    </row>
    <row r="326" spans="16:30" x14ac:dyDescent="0.2">
      <c r="P326" s="68"/>
      <c r="Q326" s="74"/>
      <c r="R326" s="74"/>
      <c r="S326" s="74"/>
      <c r="T326" s="75"/>
      <c r="U326" s="76"/>
      <c r="V326" s="77"/>
      <c r="W326" s="77"/>
      <c r="X326" s="76"/>
      <c r="Y326" s="76"/>
      <c r="Z326" s="68"/>
      <c r="AA326" s="68"/>
      <c r="AB326" s="68"/>
      <c r="AC326" s="68"/>
      <c r="AD326" s="68"/>
    </row>
    <row r="327" spans="16:30" x14ac:dyDescent="0.2">
      <c r="P327" s="68"/>
      <c r="Q327" s="74"/>
      <c r="R327" s="74"/>
      <c r="S327" s="74"/>
      <c r="T327" s="75"/>
      <c r="U327" s="76"/>
      <c r="V327" s="77"/>
      <c r="W327" s="77"/>
      <c r="X327" s="76"/>
      <c r="Y327" s="76"/>
      <c r="Z327" s="68"/>
      <c r="AA327" s="68"/>
      <c r="AB327" s="68"/>
      <c r="AC327" s="68"/>
      <c r="AD327" s="68"/>
    </row>
    <row r="328" spans="16:30" x14ac:dyDescent="0.2">
      <c r="P328" s="68"/>
      <c r="Q328" s="74"/>
      <c r="R328" s="74"/>
      <c r="S328" s="74"/>
      <c r="T328" s="75"/>
      <c r="U328" s="76"/>
      <c r="V328" s="77"/>
      <c r="W328" s="77"/>
      <c r="X328" s="76"/>
      <c r="Y328" s="76"/>
      <c r="Z328" s="68"/>
      <c r="AA328" s="68"/>
      <c r="AB328" s="68"/>
      <c r="AC328" s="68"/>
      <c r="AD328" s="68"/>
    </row>
    <row r="329" spans="16:30" x14ac:dyDescent="0.2">
      <c r="P329" s="68"/>
      <c r="Q329" s="74"/>
      <c r="R329" s="74"/>
      <c r="S329" s="74"/>
      <c r="T329" s="75"/>
      <c r="U329" s="76"/>
      <c r="V329" s="77"/>
      <c r="W329" s="77"/>
      <c r="X329" s="76"/>
      <c r="Y329" s="76"/>
      <c r="Z329" s="68"/>
      <c r="AA329" s="68"/>
      <c r="AB329" s="68"/>
      <c r="AC329" s="68"/>
      <c r="AD329" s="68"/>
    </row>
    <row r="330" spans="16:30" x14ac:dyDescent="0.2">
      <c r="P330" s="68"/>
      <c r="Q330" s="74"/>
      <c r="R330" s="74"/>
      <c r="S330" s="74"/>
      <c r="T330" s="75"/>
      <c r="U330" s="76"/>
      <c r="V330" s="77"/>
      <c r="W330" s="77"/>
      <c r="X330" s="76"/>
      <c r="Y330" s="76"/>
      <c r="Z330" s="68"/>
      <c r="AA330" s="68"/>
      <c r="AB330" s="68"/>
      <c r="AC330" s="68"/>
      <c r="AD330" s="68"/>
    </row>
    <row r="331" spans="16:30" x14ac:dyDescent="0.2">
      <c r="P331" s="68"/>
      <c r="Q331" s="74"/>
      <c r="R331" s="74"/>
      <c r="S331" s="74"/>
      <c r="T331" s="75"/>
      <c r="U331" s="76"/>
      <c r="V331" s="77"/>
      <c r="W331" s="77"/>
      <c r="X331" s="76"/>
      <c r="Y331" s="76"/>
      <c r="Z331" s="68"/>
      <c r="AA331" s="68"/>
      <c r="AB331" s="68"/>
      <c r="AC331" s="68"/>
      <c r="AD331" s="68"/>
    </row>
    <row r="332" spans="16:30" x14ac:dyDescent="0.2">
      <c r="P332" s="68"/>
      <c r="Q332" s="74"/>
      <c r="R332" s="74"/>
      <c r="S332" s="74"/>
      <c r="T332" s="75"/>
      <c r="U332" s="76"/>
      <c r="V332" s="77"/>
      <c r="W332" s="77"/>
      <c r="X332" s="76"/>
      <c r="Y332" s="76"/>
      <c r="Z332" s="68"/>
      <c r="AA332" s="68"/>
      <c r="AB332" s="68"/>
      <c r="AC332" s="68"/>
      <c r="AD332" s="68"/>
    </row>
    <row r="333" spans="16:30" x14ac:dyDescent="0.2">
      <c r="P333" s="68"/>
      <c r="Q333" s="74"/>
      <c r="R333" s="74"/>
      <c r="S333" s="74"/>
      <c r="T333" s="75"/>
      <c r="U333" s="76"/>
      <c r="V333" s="77"/>
      <c r="W333" s="77"/>
      <c r="X333" s="76"/>
      <c r="Y333" s="76"/>
      <c r="Z333" s="68"/>
      <c r="AA333" s="68"/>
      <c r="AB333" s="68"/>
      <c r="AC333" s="68"/>
      <c r="AD333" s="68"/>
    </row>
    <row r="334" spans="16:30" x14ac:dyDescent="0.2">
      <c r="P334" s="68"/>
      <c r="Q334" s="74"/>
      <c r="R334" s="74"/>
      <c r="S334" s="74"/>
      <c r="T334" s="75"/>
      <c r="U334" s="76"/>
      <c r="V334" s="77"/>
      <c r="W334" s="77"/>
      <c r="X334" s="76"/>
      <c r="Y334" s="76"/>
      <c r="Z334" s="68"/>
      <c r="AA334" s="68"/>
      <c r="AB334" s="68"/>
      <c r="AC334" s="68"/>
      <c r="AD334" s="68"/>
    </row>
    <row r="335" spans="16:30" x14ac:dyDescent="0.2">
      <c r="P335" s="68"/>
      <c r="Q335" s="74"/>
      <c r="R335" s="74"/>
      <c r="S335" s="74"/>
      <c r="T335" s="75"/>
      <c r="U335" s="76"/>
      <c r="V335" s="77"/>
      <c r="W335" s="77"/>
      <c r="X335" s="76"/>
      <c r="Y335" s="76"/>
      <c r="Z335" s="68"/>
      <c r="AA335" s="68"/>
      <c r="AB335" s="68"/>
      <c r="AC335" s="68"/>
      <c r="AD335" s="68"/>
    </row>
    <row r="336" spans="16:30" x14ac:dyDescent="0.2">
      <c r="P336" s="68"/>
      <c r="Q336" s="74"/>
      <c r="R336" s="74"/>
      <c r="S336" s="74"/>
      <c r="T336" s="75"/>
      <c r="U336" s="76"/>
      <c r="V336" s="77"/>
      <c r="W336" s="77"/>
      <c r="X336" s="76"/>
      <c r="Y336" s="76"/>
      <c r="Z336" s="68"/>
      <c r="AA336" s="68"/>
      <c r="AB336" s="68"/>
      <c r="AC336" s="68"/>
      <c r="AD336" s="68"/>
    </row>
    <row r="337" spans="16:30" x14ac:dyDescent="0.2">
      <c r="P337" s="68"/>
      <c r="Q337" s="74"/>
      <c r="R337" s="74"/>
      <c r="S337" s="74"/>
      <c r="T337" s="75"/>
      <c r="U337" s="76"/>
      <c r="V337" s="77"/>
      <c r="W337" s="77"/>
      <c r="X337" s="76"/>
      <c r="Y337" s="76"/>
      <c r="Z337" s="68"/>
      <c r="AA337" s="68"/>
      <c r="AB337" s="68"/>
      <c r="AC337" s="68"/>
      <c r="AD337" s="68"/>
    </row>
    <row r="338" spans="16:30" x14ac:dyDescent="0.2">
      <c r="P338" s="68"/>
      <c r="Q338" s="74"/>
      <c r="R338" s="74"/>
      <c r="S338" s="74"/>
      <c r="T338" s="75"/>
      <c r="U338" s="76"/>
      <c r="V338" s="77"/>
      <c r="W338" s="77"/>
      <c r="X338" s="76"/>
      <c r="Y338" s="76"/>
      <c r="Z338" s="68"/>
      <c r="AA338" s="68"/>
      <c r="AB338" s="68"/>
      <c r="AC338" s="68"/>
      <c r="AD338" s="68"/>
    </row>
    <row r="339" spans="16:30" x14ac:dyDescent="0.2">
      <c r="P339" s="68"/>
      <c r="Q339" s="74"/>
      <c r="R339" s="74"/>
      <c r="S339" s="74"/>
      <c r="T339" s="75"/>
      <c r="U339" s="76"/>
      <c r="V339" s="77"/>
      <c r="W339" s="77"/>
      <c r="X339" s="76"/>
      <c r="Y339" s="76"/>
      <c r="Z339" s="68"/>
      <c r="AA339" s="68"/>
      <c r="AB339" s="68"/>
      <c r="AC339" s="68"/>
      <c r="AD339" s="68"/>
    </row>
    <row r="340" spans="16:30" x14ac:dyDescent="0.2">
      <c r="P340" s="68"/>
      <c r="Q340" s="74"/>
      <c r="R340" s="74"/>
      <c r="S340" s="74"/>
      <c r="T340" s="75"/>
      <c r="U340" s="76"/>
      <c r="V340" s="77"/>
      <c r="W340" s="77"/>
      <c r="X340" s="76"/>
      <c r="Y340" s="76"/>
      <c r="Z340" s="68"/>
      <c r="AA340" s="68"/>
      <c r="AB340" s="68"/>
      <c r="AC340" s="68"/>
      <c r="AD340" s="68"/>
    </row>
    <row r="341" spans="16:30" x14ac:dyDescent="0.2">
      <c r="P341" s="68"/>
      <c r="Q341" s="74"/>
      <c r="R341" s="74"/>
      <c r="S341" s="74"/>
      <c r="T341" s="75"/>
      <c r="U341" s="76"/>
      <c r="V341" s="77"/>
      <c r="W341" s="77"/>
      <c r="X341" s="76"/>
      <c r="Y341" s="76"/>
      <c r="Z341" s="68"/>
      <c r="AA341" s="68"/>
      <c r="AB341" s="68"/>
      <c r="AC341" s="68"/>
      <c r="AD341" s="68"/>
    </row>
    <row r="342" spans="16:30" x14ac:dyDescent="0.2">
      <c r="P342" s="68"/>
      <c r="Q342" s="74"/>
      <c r="R342" s="74"/>
      <c r="S342" s="74"/>
      <c r="T342" s="75"/>
      <c r="U342" s="76"/>
      <c r="V342" s="77"/>
      <c r="W342" s="77"/>
      <c r="X342" s="76"/>
      <c r="Y342" s="76"/>
      <c r="Z342" s="68"/>
      <c r="AA342" s="68"/>
      <c r="AB342" s="68"/>
      <c r="AC342" s="68"/>
      <c r="AD342" s="68"/>
    </row>
    <row r="343" spans="16:30" x14ac:dyDescent="0.2">
      <c r="P343" s="68"/>
      <c r="Q343" s="74"/>
      <c r="R343" s="74"/>
      <c r="S343" s="74"/>
      <c r="T343" s="75"/>
      <c r="U343" s="76"/>
      <c r="V343" s="77"/>
      <c r="W343" s="77"/>
      <c r="X343" s="76"/>
      <c r="Y343" s="76"/>
      <c r="Z343" s="68"/>
      <c r="AA343" s="68"/>
      <c r="AB343" s="68"/>
      <c r="AC343" s="68"/>
      <c r="AD343" s="68"/>
    </row>
    <row r="344" spans="16:30" x14ac:dyDescent="0.2">
      <c r="P344" s="68"/>
      <c r="Q344" s="74"/>
      <c r="R344" s="74"/>
      <c r="S344" s="74"/>
      <c r="T344" s="75"/>
      <c r="U344" s="76"/>
      <c r="V344" s="77"/>
      <c r="W344" s="77"/>
      <c r="X344" s="76"/>
      <c r="Y344" s="76"/>
      <c r="Z344" s="68"/>
      <c r="AA344" s="68"/>
      <c r="AB344" s="68"/>
      <c r="AC344" s="68"/>
      <c r="AD344" s="68"/>
    </row>
    <row r="345" spans="16:30" x14ac:dyDescent="0.2">
      <c r="P345" s="68"/>
      <c r="Q345" s="74"/>
      <c r="R345" s="74"/>
      <c r="S345" s="74"/>
      <c r="T345" s="75"/>
      <c r="U345" s="76"/>
      <c r="V345" s="77"/>
      <c r="W345" s="77"/>
      <c r="X345" s="76"/>
      <c r="Y345" s="76"/>
      <c r="Z345" s="68"/>
      <c r="AA345" s="68"/>
      <c r="AB345" s="68"/>
      <c r="AC345" s="68"/>
      <c r="AD345" s="68"/>
    </row>
    <row r="346" spans="16:30" x14ac:dyDescent="0.2">
      <c r="P346" s="68"/>
      <c r="Q346" s="74"/>
      <c r="R346" s="74"/>
      <c r="S346" s="74"/>
      <c r="T346" s="75"/>
      <c r="U346" s="76"/>
      <c r="V346" s="77"/>
      <c r="W346" s="77"/>
      <c r="X346" s="76"/>
      <c r="Y346" s="76"/>
      <c r="Z346" s="68"/>
      <c r="AA346" s="68"/>
      <c r="AB346" s="68"/>
      <c r="AC346" s="68"/>
      <c r="AD346" s="68"/>
    </row>
    <row r="347" spans="16:30" x14ac:dyDescent="0.2">
      <c r="P347" s="68"/>
      <c r="Q347" s="74"/>
      <c r="R347" s="74"/>
      <c r="S347" s="74"/>
      <c r="T347" s="75"/>
      <c r="U347" s="76"/>
      <c r="V347" s="77"/>
      <c r="W347" s="77"/>
      <c r="X347" s="76"/>
      <c r="Y347" s="76"/>
      <c r="Z347" s="68"/>
      <c r="AA347" s="68"/>
      <c r="AB347" s="68"/>
      <c r="AC347" s="68"/>
      <c r="AD347" s="68"/>
    </row>
    <row r="348" spans="16:30" x14ac:dyDescent="0.2">
      <c r="P348" s="68"/>
      <c r="Q348" s="74"/>
      <c r="R348" s="74"/>
      <c r="S348" s="74"/>
      <c r="T348" s="75"/>
      <c r="U348" s="76"/>
      <c r="V348" s="77"/>
      <c r="W348" s="77"/>
      <c r="X348" s="76"/>
      <c r="Y348" s="76"/>
      <c r="Z348" s="68"/>
      <c r="AA348" s="68"/>
      <c r="AB348" s="68"/>
      <c r="AC348" s="68"/>
      <c r="AD348" s="68"/>
    </row>
    <row r="349" spans="16:30" x14ac:dyDescent="0.2">
      <c r="P349" s="68"/>
      <c r="Q349" s="74"/>
      <c r="R349" s="74"/>
      <c r="S349" s="74"/>
      <c r="T349" s="75"/>
      <c r="U349" s="76"/>
      <c r="V349" s="77"/>
      <c r="W349" s="77"/>
      <c r="X349" s="76"/>
      <c r="Y349" s="76"/>
      <c r="Z349" s="68"/>
      <c r="AA349" s="68"/>
      <c r="AB349" s="68"/>
      <c r="AC349" s="68"/>
      <c r="AD349" s="68"/>
    </row>
    <row r="350" spans="16:30" x14ac:dyDescent="0.2">
      <c r="P350" s="68"/>
      <c r="Q350" s="74"/>
      <c r="R350" s="74"/>
      <c r="S350" s="74"/>
      <c r="T350" s="75"/>
      <c r="U350" s="76"/>
      <c r="V350" s="77"/>
      <c r="W350" s="77"/>
      <c r="X350" s="76"/>
      <c r="Y350" s="76"/>
      <c r="Z350" s="68"/>
      <c r="AA350" s="68"/>
      <c r="AB350" s="68"/>
      <c r="AC350" s="68"/>
      <c r="AD350" s="68"/>
    </row>
    <row r="351" spans="16:30" x14ac:dyDescent="0.2">
      <c r="P351" s="68"/>
      <c r="Q351" s="74"/>
      <c r="R351" s="74"/>
      <c r="S351" s="74"/>
      <c r="T351" s="75"/>
      <c r="U351" s="76"/>
      <c r="V351" s="77"/>
      <c r="W351" s="77"/>
      <c r="X351" s="76"/>
      <c r="Y351" s="76"/>
      <c r="Z351" s="68"/>
      <c r="AA351" s="68"/>
      <c r="AB351" s="68"/>
      <c r="AC351" s="68"/>
      <c r="AD351" s="68"/>
    </row>
    <row r="352" spans="16:30" x14ac:dyDescent="0.2">
      <c r="P352" s="68"/>
      <c r="Q352" s="74"/>
      <c r="R352" s="74"/>
      <c r="S352" s="74"/>
      <c r="T352" s="75"/>
      <c r="U352" s="76"/>
      <c r="V352" s="77"/>
      <c r="W352" s="77"/>
      <c r="X352" s="76"/>
      <c r="Y352" s="76"/>
      <c r="Z352" s="68"/>
      <c r="AA352" s="68"/>
      <c r="AB352" s="68"/>
      <c r="AC352" s="68"/>
      <c r="AD352" s="68"/>
    </row>
    <row r="353" spans="16:30" x14ac:dyDescent="0.2">
      <c r="P353" s="68"/>
      <c r="Q353" s="74"/>
      <c r="R353" s="74"/>
      <c r="S353" s="74"/>
      <c r="T353" s="75"/>
      <c r="U353" s="76"/>
      <c r="V353" s="77"/>
      <c r="W353" s="77"/>
      <c r="X353" s="76"/>
      <c r="Y353" s="76"/>
      <c r="Z353" s="68"/>
      <c r="AA353" s="68"/>
      <c r="AB353" s="68"/>
      <c r="AC353" s="68"/>
      <c r="AD353" s="68"/>
    </row>
    <row r="354" spans="16:30" x14ac:dyDescent="0.2">
      <c r="P354" s="68"/>
      <c r="Q354" s="74"/>
      <c r="R354" s="74"/>
      <c r="S354" s="74"/>
      <c r="T354" s="75"/>
      <c r="U354" s="76"/>
      <c r="V354" s="77"/>
      <c r="W354" s="77"/>
      <c r="X354" s="76"/>
      <c r="Y354" s="76"/>
      <c r="Z354" s="68"/>
      <c r="AA354" s="68"/>
      <c r="AB354" s="68"/>
      <c r="AC354" s="68"/>
      <c r="AD354" s="68"/>
    </row>
    <row r="355" spans="16:30" x14ac:dyDescent="0.2">
      <c r="P355" s="68"/>
      <c r="Q355" s="74"/>
      <c r="R355" s="74"/>
      <c r="S355" s="74"/>
      <c r="T355" s="75"/>
      <c r="U355" s="76"/>
      <c r="V355" s="77"/>
      <c r="W355" s="77"/>
      <c r="X355" s="76"/>
      <c r="Y355" s="76"/>
      <c r="Z355" s="68"/>
      <c r="AA355" s="68"/>
      <c r="AB355" s="68"/>
      <c r="AC355" s="68"/>
      <c r="AD355" s="68"/>
    </row>
    <row r="356" spans="16:30" x14ac:dyDescent="0.2">
      <c r="P356" s="68"/>
      <c r="Q356" s="74"/>
      <c r="R356" s="74"/>
      <c r="S356" s="74"/>
      <c r="T356" s="75"/>
      <c r="U356" s="76"/>
      <c r="V356" s="77"/>
      <c r="W356" s="77"/>
      <c r="X356" s="76"/>
      <c r="Y356" s="76"/>
      <c r="Z356" s="68"/>
      <c r="AA356" s="68"/>
      <c r="AB356" s="68"/>
      <c r="AC356" s="68"/>
      <c r="AD356" s="68"/>
    </row>
    <row r="357" spans="16:30" x14ac:dyDescent="0.2">
      <c r="P357" s="68"/>
      <c r="Q357" s="74"/>
      <c r="R357" s="74"/>
      <c r="S357" s="74"/>
      <c r="T357" s="75"/>
      <c r="U357" s="76"/>
      <c r="V357" s="77"/>
      <c r="W357" s="77"/>
      <c r="X357" s="76"/>
      <c r="Y357" s="76"/>
      <c r="Z357" s="68"/>
      <c r="AA357" s="68"/>
      <c r="AB357" s="68"/>
      <c r="AC357" s="68"/>
      <c r="AD357" s="68"/>
    </row>
    <row r="358" spans="16:30" x14ac:dyDescent="0.2">
      <c r="P358" s="68"/>
      <c r="Q358" s="74"/>
      <c r="R358" s="74"/>
      <c r="S358" s="74"/>
      <c r="T358" s="75"/>
      <c r="U358" s="76"/>
      <c r="V358" s="77"/>
      <c r="W358" s="77"/>
      <c r="X358" s="76"/>
      <c r="Y358" s="76"/>
      <c r="Z358" s="68"/>
      <c r="AA358" s="68"/>
      <c r="AB358" s="68"/>
      <c r="AC358" s="68"/>
      <c r="AD358" s="68"/>
    </row>
    <row r="359" spans="16:30" x14ac:dyDescent="0.2">
      <c r="P359" s="68"/>
      <c r="Q359" s="74"/>
      <c r="R359" s="74"/>
      <c r="S359" s="74"/>
      <c r="T359" s="75"/>
      <c r="U359" s="76"/>
      <c r="V359" s="77"/>
      <c r="W359" s="77"/>
      <c r="X359" s="76"/>
      <c r="Y359" s="76"/>
      <c r="Z359" s="68"/>
      <c r="AA359" s="68"/>
      <c r="AB359" s="68"/>
      <c r="AC359" s="68"/>
      <c r="AD359" s="68"/>
    </row>
    <row r="360" spans="16:30" x14ac:dyDescent="0.2">
      <c r="P360" s="68"/>
      <c r="Q360" s="74"/>
      <c r="R360" s="74"/>
      <c r="S360" s="74"/>
      <c r="T360" s="75"/>
      <c r="U360" s="76"/>
      <c r="V360" s="77"/>
      <c r="W360" s="77"/>
      <c r="X360" s="76"/>
      <c r="Y360" s="76"/>
      <c r="Z360" s="68"/>
      <c r="AA360" s="68"/>
      <c r="AB360" s="68"/>
      <c r="AC360" s="68"/>
      <c r="AD360" s="68"/>
    </row>
    <row r="361" spans="16:30" x14ac:dyDescent="0.2">
      <c r="P361" s="68"/>
      <c r="Q361" s="74"/>
      <c r="R361" s="74"/>
      <c r="S361" s="74"/>
      <c r="T361" s="75"/>
      <c r="U361" s="76"/>
      <c r="V361" s="77"/>
      <c r="W361" s="77"/>
      <c r="X361" s="76"/>
      <c r="Y361" s="76"/>
      <c r="Z361" s="68"/>
      <c r="AA361" s="68"/>
      <c r="AB361" s="68"/>
      <c r="AC361" s="68"/>
      <c r="AD361" s="68"/>
    </row>
    <row r="362" spans="16:30" x14ac:dyDescent="0.2">
      <c r="P362" s="68"/>
      <c r="Q362" s="74"/>
      <c r="R362" s="74"/>
      <c r="S362" s="74"/>
      <c r="T362" s="75"/>
      <c r="U362" s="76"/>
      <c r="V362" s="77"/>
      <c r="W362" s="77"/>
      <c r="X362" s="76"/>
      <c r="Y362" s="76"/>
      <c r="Z362" s="68"/>
      <c r="AA362" s="68"/>
      <c r="AB362" s="68"/>
      <c r="AC362" s="68"/>
      <c r="AD362" s="68"/>
    </row>
    <row r="363" spans="16:30" x14ac:dyDescent="0.2">
      <c r="P363" s="68"/>
      <c r="Q363" s="74"/>
      <c r="R363" s="74"/>
      <c r="S363" s="74"/>
      <c r="T363" s="75"/>
      <c r="U363" s="76"/>
      <c r="V363" s="77"/>
      <c r="W363" s="77"/>
      <c r="X363" s="76"/>
      <c r="Y363" s="76"/>
      <c r="Z363" s="68"/>
      <c r="AA363" s="68"/>
      <c r="AB363" s="68"/>
      <c r="AC363" s="68"/>
      <c r="AD363" s="68"/>
    </row>
    <row r="364" spans="16:30" x14ac:dyDescent="0.2">
      <c r="P364" s="68"/>
      <c r="Q364" s="74"/>
      <c r="R364" s="74"/>
      <c r="S364" s="74"/>
      <c r="T364" s="75"/>
      <c r="U364" s="76"/>
      <c r="V364" s="77"/>
      <c r="W364" s="77"/>
      <c r="X364" s="76"/>
      <c r="Y364" s="76"/>
      <c r="Z364" s="68"/>
      <c r="AA364" s="68"/>
      <c r="AB364" s="68"/>
      <c r="AC364" s="68"/>
      <c r="AD364" s="68"/>
    </row>
    <row r="365" spans="16:30" x14ac:dyDescent="0.2">
      <c r="P365" s="68"/>
      <c r="Q365" s="74"/>
      <c r="R365" s="74"/>
      <c r="S365" s="74"/>
      <c r="T365" s="75"/>
      <c r="U365" s="76"/>
      <c r="V365" s="77"/>
      <c r="W365" s="77"/>
      <c r="X365" s="76"/>
      <c r="Y365" s="76"/>
      <c r="Z365" s="68"/>
      <c r="AA365" s="68"/>
      <c r="AB365" s="68"/>
      <c r="AC365" s="68"/>
      <c r="AD365" s="68"/>
    </row>
    <row r="366" spans="16:30" x14ac:dyDescent="0.2">
      <c r="P366" s="68"/>
      <c r="Q366" s="74"/>
      <c r="R366" s="74"/>
      <c r="S366" s="74"/>
      <c r="T366" s="75"/>
      <c r="U366" s="76"/>
      <c r="V366" s="77"/>
      <c r="W366" s="77"/>
      <c r="X366" s="76"/>
      <c r="Y366" s="76"/>
      <c r="Z366" s="68"/>
      <c r="AA366" s="68"/>
      <c r="AB366" s="68"/>
      <c r="AC366" s="68"/>
      <c r="AD366" s="68"/>
    </row>
    <row r="367" spans="16:30" x14ac:dyDescent="0.2">
      <c r="P367" s="68"/>
      <c r="Q367" s="74"/>
      <c r="R367" s="74"/>
      <c r="S367" s="74"/>
      <c r="T367" s="75"/>
      <c r="U367" s="76"/>
      <c r="V367" s="77"/>
      <c r="W367" s="77"/>
      <c r="X367" s="76"/>
      <c r="Y367" s="76"/>
      <c r="Z367" s="68"/>
      <c r="AA367" s="68"/>
      <c r="AB367" s="68"/>
      <c r="AC367" s="68"/>
      <c r="AD367" s="68"/>
    </row>
    <row r="368" spans="16:30" x14ac:dyDescent="0.2">
      <c r="P368" s="68"/>
      <c r="Q368" s="74"/>
      <c r="R368" s="74"/>
      <c r="S368" s="74"/>
      <c r="T368" s="75"/>
      <c r="U368" s="76"/>
      <c r="V368" s="77"/>
      <c r="W368" s="77"/>
      <c r="X368" s="76"/>
      <c r="Y368" s="76"/>
      <c r="Z368" s="68"/>
      <c r="AA368" s="68"/>
      <c r="AB368" s="68"/>
      <c r="AC368" s="68"/>
      <c r="AD368" s="68"/>
    </row>
    <row r="369" spans="16:30" x14ac:dyDescent="0.2">
      <c r="P369" s="68"/>
      <c r="Q369" s="74"/>
      <c r="R369" s="74"/>
      <c r="S369" s="74"/>
      <c r="T369" s="75"/>
      <c r="U369" s="76"/>
      <c r="V369" s="77"/>
      <c r="W369" s="77"/>
      <c r="X369" s="76"/>
      <c r="Y369" s="76"/>
      <c r="Z369" s="68"/>
      <c r="AA369" s="68"/>
      <c r="AB369" s="68"/>
      <c r="AC369" s="68"/>
      <c r="AD369" s="68"/>
    </row>
    <row r="370" spans="16:30" x14ac:dyDescent="0.2">
      <c r="P370" s="68"/>
      <c r="Q370" s="74"/>
      <c r="R370" s="74"/>
      <c r="S370" s="74"/>
      <c r="T370" s="75"/>
      <c r="U370" s="76"/>
      <c r="V370" s="77"/>
      <c r="W370" s="77"/>
      <c r="X370" s="76"/>
      <c r="Y370" s="76"/>
      <c r="Z370" s="68"/>
      <c r="AA370" s="68"/>
      <c r="AB370" s="68"/>
      <c r="AC370" s="68"/>
      <c r="AD370" s="68"/>
    </row>
    <row r="371" spans="16:30" x14ac:dyDescent="0.2">
      <c r="P371" s="68"/>
      <c r="Q371" s="74"/>
      <c r="R371" s="74"/>
      <c r="S371" s="74"/>
      <c r="T371" s="75"/>
      <c r="U371" s="76"/>
      <c r="V371" s="77"/>
      <c r="W371" s="77"/>
      <c r="X371" s="76"/>
      <c r="Y371" s="76"/>
      <c r="Z371" s="68"/>
      <c r="AA371" s="68"/>
      <c r="AB371" s="68"/>
      <c r="AC371" s="68"/>
      <c r="AD371" s="68"/>
    </row>
    <row r="372" spans="16:30" x14ac:dyDescent="0.2">
      <c r="P372" s="68"/>
      <c r="Q372" s="74"/>
      <c r="R372" s="74"/>
      <c r="S372" s="74"/>
      <c r="T372" s="75"/>
      <c r="U372" s="76"/>
      <c r="V372" s="77"/>
      <c r="W372" s="77"/>
      <c r="X372" s="76"/>
      <c r="Y372" s="76"/>
      <c r="Z372" s="68"/>
      <c r="AA372" s="68"/>
      <c r="AB372" s="68"/>
      <c r="AC372" s="68"/>
      <c r="AD372" s="68"/>
    </row>
    <row r="373" spans="16:30" x14ac:dyDescent="0.2">
      <c r="P373" s="68"/>
      <c r="Q373" s="74"/>
      <c r="R373" s="74"/>
      <c r="S373" s="74"/>
      <c r="T373" s="75"/>
      <c r="U373" s="76"/>
      <c r="V373" s="77"/>
      <c r="W373" s="77"/>
      <c r="X373" s="76"/>
      <c r="Y373" s="76"/>
      <c r="Z373" s="68"/>
      <c r="AA373" s="68"/>
      <c r="AB373" s="68"/>
      <c r="AC373" s="68"/>
      <c r="AD373" s="68"/>
    </row>
    <row r="374" spans="16:30" x14ac:dyDescent="0.2">
      <c r="P374" s="68"/>
      <c r="Q374" s="74"/>
      <c r="R374" s="74"/>
      <c r="S374" s="74"/>
      <c r="T374" s="75"/>
      <c r="U374" s="76"/>
      <c r="V374" s="77"/>
      <c r="W374" s="77"/>
      <c r="X374" s="76"/>
      <c r="Y374" s="76"/>
      <c r="Z374" s="68"/>
      <c r="AA374" s="68"/>
      <c r="AB374" s="68"/>
      <c r="AC374" s="68"/>
      <c r="AD374" s="68"/>
    </row>
    <row r="375" spans="16:30" x14ac:dyDescent="0.2">
      <c r="P375" s="68"/>
      <c r="Q375" s="74"/>
      <c r="R375" s="74"/>
      <c r="S375" s="74"/>
      <c r="T375" s="75"/>
      <c r="U375" s="76"/>
      <c r="V375" s="77"/>
      <c r="W375" s="77"/>
      <c r="X375" s="76"/>
      <c r="Y375" s="76"/>
      <c r="Z375" s="68"/>
      <c r="AA375" s="68"/>
      <c r="AB375" s="68"/>
      <c r="AC375" s="68"/>
      <c r="AD375" s="68"/>
    </row>
    <row r="376" spans="16:30" x14ac:dyDescent="0.2">
      <c r="P376" s="68"/>
      <c r="Q376" s="74"/>
      <c r="R376" s="74"/>
      <c r="S376" s="74"/>
      <c r="T376" s="75"/>
      <c r="U376" s="76"/>
      <c r="V376" s="77"/>
      <c r="W376" s="77"/>
      <c r="X376" s="76"/>
      <c r="Y376" s="76"/>
      <c r="Z376" s="68"/>
      <c r="AA376" s="68"/>
      <c r="AB376" s="68"/>
      <c r="AC376" s="68"/>
      <c r="AD376" s="68"/>
    </row>
    <row r="377" spans="16:30" x14ac:dyDescent="0.2">
      <c r="P377" s="68"/>
      <c r="Q377" s="74"/>
      <c r="R377" s="74"/>
      <c r="S377" s="74"/>
      <c r="T377" s="75"/>
      <c r="U377" s="76"/>
      <c r="V377" s="77"/>
      <c r="W377" s="77"/>
      <c r="X377" s="76"/>
      <c r="Y377" s="76"/>
      <c r="Z377" s="68"/>
      <c r="AA377" s="68"/>
      <c r="AB377" s="68"/>
      <c r="AC377" s="68"/>
      <c r="AD377" s="68"/>
    </row>
    <row r="378" spans="16:30" x14ac:dyDescent="0.2">
      <c r="P378" s="68"/>
      <c r="Q378" s="74"/>
      <c r="R378" s="74"/>
      <c r="S378" s="74"/>
      <c r="T378" s="75"/>
      <c r="U378" s="76"/>
      <c r="V378" s="77"/>
      <c r="W378" s="77"/>
      <c r="X378" s="76"/>
      <c r="Y378" s="76"/>
      <c r="Z378" s="68"/>
      <c r="AA378" s="68"/>
      <c r="AB378" s="68"/>
      <c r="AC378" s="68"/>
      <c r="AD378" s="68"/>
    </row>
    <row r="379" spans="16:30" x14ac:dyDescent="0.2">
      <c r="P379" s="68"/>
      <c r="Q379" s="74"/>
      <c r="R379" s="74"/>
      <c r="S379" s="74"/>
      <c r="T379" s="75"/>
      <c r="U379" s="76"/>
      <c r="V379" s="77"/>
      <c r="W379" s="77"/>
      <c r="X379" s="76"/>
      <c r="Y379" s="76"/>
      <c r="Z379" s="68"/>
      <c r="AA379" s="68"/>
      <c r="AB379" s="68"/>
      <c r="AC379" s="68"/>
      <c r="AD379" s="68"/>
    </row>
    <row r="380" spans="16:30" x14ac:dyDescent="0.2">
      <c r="P380" s="68"/>
      <c r="Q380" s="74"/>
      <c r="R380" s="74"/>
      <c r="S380" s="74"/>
      <c r="T380" s="75"/>
      <c r="U380" s="76"/>
      <c r="V380" s="77"/>
      <c r="W380" s="77"/>
      <c r="X380" s="76"/>
      <c r="Y380" s="76"/>
      <c r="Z380" s="68"/>
      <c r="AA380" s="68"/>
      <c r="AB380" s="68"/>
      <c r="AC380" s="68"/>
      <c r="AD380" s="68"/>
    </row>
    <row r="381" spans="16:30" x14ac:dyDescent="0.2">
      <c r="P381" s="68"/>
      <c r="Q381" s="74"/>
      <c r="R381" s="74"/>
      <c r="S381" s="74"/>
      <c r="T381" s="75"/>
      <c r="U381" s="76"/>
      <c r="V381" s="77"/>
      <c r="W381" s="77"/>
      <c r="X381" s="76"/>
      <c r="Y381" s="76"/>
      <c r="Z381" s="68"/>
      <c r="AA381" s="68"/>
      <c r="AB381" s="68"/>
      <c r="AC381" s="68"/>
      <c r="AD381" s="68"/>
    </row>
    <row r="382" spans="16:30" x14ac:dyDescent="0.2">
      <c r="P382" s="68"/>
      <c r="Q382" s="74"/>
      <c r="R382" s="74"/>
      <c r="S382" s="74"/>
      <c r="T382" s="75"/>
      <c r="U382" s="76"/>
      <c r="V382" s="77"/>
      <c r="W382" s="77"/>
      <c r="X382" s="76"/>
      <c r="Y382" s="76"/>
      <c r="Z382" s="68"/>
      <c r="AA382" s="68"/>
      <c r="AB382" s="68"/>
      <c r="AC382" s="68"/>
      <c r="AD382" s="68"/>
    </row>
    <row r="383" spans="16:30" x14ac:dyDescent="0.2">
      <c r="P383" s="68"/>
      <c r="Q383" s="74"/>
      <c r="R383" s="74"/>
      <c r="S383" s="74"/>
      <c r="T383" s="75"/>
      <c r="U383" s="76"/>
      <c r="V383" s="77"/>
      <c r="W383" s="77"/>
      <c r="X383" s="76"/>
      <c r="Y383" s="76"/>
      <c r="Z383" s="68"/>
      <c r="AA383" s="68"/>
      <c r="AB383" s="68"/>
      <c r="AC383" s="68"/>
      <c r="AD383" s="68"/>
    </row>
    <row r="384" spans="16:30" x14ac:dyDescent="0.2">
      <c r="P384" s="68"/>
      <c r="Q384" s="74"/>
      <c r="R384" s="74"/>
      <c r="S384" s="74"/>
      <c r="T384" s="75"/>
      <c r="U384" s="76"/>
      <c r="V384" s="77"/>
      <c r="W384" s="77"/>
      <c r="X384" s="76"/>
      <c r="Y384" s="76"/>
      <c r="Z384" s="68"/>
      <c r="AA384" s="68"/>
      <c r="AB384" s="68"/>
      <c r="AC384" s="68"/>
      <c r="AD384" s="68"/>
    </row>
    <row r="385" spans="16:30" x14ac:dyDescent="0.2">
      <c r="P385" s="68"/>
      <c r="Q385" s="74"/>
      <c r="R385" s="74"/>
      <c r="S385" s="74"/>
      <c r="T385" s="75"/>
      <c r="U385" s="76"/>
      <c r="V385" s="77"/>
      <c r="W385" s="77"/>
      <c r="X385" s="76"/>
      <c r="Y385" s="76"/>
      <c r="Z385" s="68"/>
      <c r="AA385" s="68"/>
      <c r="AB385" s="68"/>
      <c r="AC385" s="68"/>
      <c r="AD385" s="68"/>
    </row>
    <row r="386" spans="16:30" x14ac:dyDescent="0.2">
      <c r="P386" s="68"/>
      <c r="Q386" s="74"/>
      <c r="R386" s="74"/>
      <c r="S386" s="74"/>
      <c r="T386" s="75"/>
      <c r="U386" s="76"/>
      <c r="V386" s="77"/>
      <c r="W386" s="77"/>
      <c r="X386" s="76"/>
      <c r="Y386" s="76"/>
      <c r="Z386" s="68"/>
      <c r="AA386" s="68"/>
      <c r="AB386" s="68"/>
      <c r="AC386" s="68"/>
      <c r="AD386" s="68"/>
    </row>
    <row r="387" spans="16:30" x14ac:dyDescent="0.2">
      <c r="P387" s="68"/>
      <c r="Q387" s="74"/>
      <c r="R387" s="74"/>
      <c r="S387" s="74"/>
      <c r="T387" s="75"/>
      <c r="U387" s="76"/>
      <c r="V387" s="77"/>
      <c r="W387" s="77"/>
      <c r="X387" s="76"/>
      <c r="Y387" s="76"/>
      <c r="Z387" s="68"/>
      <c r="AA387" s="68"/>
      <c r="AB387" s="68"/>
      <c r="AC387" s="68"/>
      <c r="AD387" s="68"/>
    </row>
    <row r="388" spans="16:30" x14ac:dyDescent="0.2">
      <c r="P388" s="68"/>
      <c r="Q388" s="74"/>
      <c r="R388" s="74"/>
      <c r="S388" s="74"/>
      <c r="T388" s="75"/>
      <c r="U388" s="76"/>
      <c r="V388" s="77"/>
      <c r="W388" s="77"/>
      <c r="X388" s="76"/>
      <c r="Y388" s="76"/>
      <c r="Z388" s="68"/>
      <c r="AA388" s="68"/>
      <c r="AB388" s="68"/>
      <c r="AC388" s="68"/>
      <c r="AD388" s="68"/>
    </row>
    <row r="389" spans="16:30" x14ac:dyDescent="0.2">
      <c r="P389" s="68"/>
      <c r="Q389" s="74"/>
      <c r="R389" s="74"/>
      <c r="S389" s="74"/>
      <c r="T389" s="75"/>
      <c r="U389" s="76"/>
      <c r="V389" s="77"/>
      <c r="W389" s="77"/>
      <c r="X389" s="76"/>
      <c r="Y389" s="76"/>
      <c r="Z389" s="68"/>
      <c r="AA389" s="68"/>
      <c r="AB389" s="68"/>
      <c r="AC389" s="68"/>
      <c r="AD389" s="68"/>
    </row>
    <row r="390" spans="16:30" x14ac:dyDescent="0.2">
      <c r="P390" s="68"/>
      <c r="Q390" s="74"/>
      <c r="R390" s="74"/>
      <c r="S390" s="74"/>
      <c r="T390" s="75"/>
      <c r="U390" s="76"/>
      <c r="V390" s="77"/>
      <c r="W390" s="77"/>
      <c r="X390" s="76"/>
      <c r="Y390" s="76"/>
      <c r="Z390" s="68"/>
      <c r="AA390" s="68"/>
      <c r="AB390" s="68"/>
      <c r="AC390" s="68"/>
      <c r="AD390" s="68"/>
    </row>
    <row r="391" spans="16:30" x14ac:dyDescent="0.2">
      <c r="P391" s="68"/>
      <c r="Q391" s="74"/>
      <c r="R391" s="74"/>
      <c r="S391" s="74"/>
      <c r="T391" s="75"/>
      <c r="U391" s="76"/>
      <c r="V391" s="77"/>
      <c r="W391" s="77"/>
      <c r="X391" s="76"/>
      <c r="Y391" s="76"/>
      <c r="Z391" s="68"/>
      <c r="AA391" s="68"/>
      <c r="AB391" s="68"/>
      <c r="AC391" s="68"/>
      <c r="AD391" s="68"/>
    </row>
    <row r="392" spans="16:30" x14ac:dyDescent="0.2">
      <c r="P392" s="68"/>
      <c r="Q392" s="74"/>
      <c r="R392" s="74"/>
      <c r="S392" s="74"/>
      <c r="T392" s="75"/>
      <c r="U392" s="76"/>
      <c r="V392" s="77"/>
      <c r="W392" s="77"/>
      <c r="X392" s="76"/>
      <c r="Y392" s="76"/>
      <c r="Z392" s="68"/>
      <c r="AA392" s="68"/>
      <c r="AB392" s="68"/>
      <c r="AC392" s="68"/>
      <c r="AD392" s="68"/>
    </row>
    <row r="393" spans="16:30" x14ac:dyDescent="0.2">
      <c r="P393" s="68"/>
      <c r="Q393" s="74"/>
      <c r="R393" s="74"/>
      <c r="S393" s="74"/>
      <c r="T393" s="75"/>
      <c r="U393" s="76"/>
      <c r="V393" s="77"/>
      <c r="W393" s="77"/>
      <c r="X393" s="76"/>
      <c r="Y393" s="76"/>
      <c r="Z393" s="68"/>
      <c r="AA393" s="68"/>
      <c r="AB393" s="68"/>
      <c r="AC393" s="68"/>
      <c r="AD393" s="68"/>
    </row>
    <row r="394" spans="16:30" x14ac:dyDescent="0.2">
      <c r="P394" s="68"/>
      <c r="Q394" s="74"/>
      <c r="R394" s="74"/>
      <c r="S394" s="74"/>
      <c r="T394" s="75"/>
      <c r="U394" s="76"/>
      <c r="V394" s="77"/>
      <c r="W394" s="77"/>
      <c r="X394" s="76"/>
      <c r="Y394" s="76"/>
      <c r="Z394" s="68"/>
      <c r="AA394" s="68"/>
      <c r="AB394" s="68"/>
      <c r="AC394" s="68"/>
      <c r="AD394" s="68"/>
    </row>
    <row r="395" spans="16:30" x14ac:dyDescent="0.2">
      <c r="P395" s="68"/>
      <c r="Q395" s="74"/>
      <c r="R395" s="74"/>
      <c r="S395" s="74"/>
      <c r="T395" s="75"/>
      <c r="U395" s="76"/>
      <c r="V395" s="77"/>
      <c r="W395" s="77"/>
      <c r="X395" s="76"/>
      <c r="Y395" s="76"/>
      <c r="Z395" s="68"/>
      <c r="AA395" s="68"/>
      <c r="AB395" s="68"/>
      <c r="AC395" s="68"/>
      <c r="AD395" s="68"/>
    </row>
    <row r="396" spans="16:30" x14ac:dyDescent="0.2">
      <c r="P396" s="68"/>
      <c r="Q396" s="74"/>
      <c r="R396" s="74"/>
      <c r="S396" s="74"/>
      <c r="T396" s="75"/>
      <c r="U396" s="76"/>
      <c r="V396" s="77"/>
      <c r="W396" s="77"/>
      <c r="X396" s="76"/>
      <c r="Y396" s="76"/>
      <c r="Z396" s="68"/>
      <c r="AA396" s="68"/>
      <c r="AB396" s="68"/>
      <c r="AC396" s="68"/>
      <c r="AD396" s="68"/>
    </row>
    <row r="397" spans="16:30" x14ac:dyDescent="0.2">
      <c r="P397" s="68"/>
      <c r="Q397" s="74"/>
      <c r="R397" s="74"/>
      <c r="S397" s="74"/>
      <c r="T397" s="75"/>
      <c r="U397" s="76"/>
      <c r="V397" s="77"/>
      <c r="W397" s="77"/>
      <c r="X397" s="76"/>
      <c r="Y397" s="76"/>
      <c r="Z397" s="68"/>
      <c r="AA397" s="68"/>
      <c r="AB397" s="68"/>
      <c r="AC397" s="68"/>
      <c r="AD397" s="68"/>
    </row>
    <row r="398" spans="16:30" x14ac:dyDescent="0.2">
      <c r="P398" s="68"/>
      <c r="Q398" s="74"/>
      <c r="R398" s="74"/>
      <c r="S398" s="74"/>
      <c r="T398" s="75"/>
      <c r="U398" s="76"/>
      <c r="V398" s="77"/>
      <c r="W398" s="77"/>
      <c r="X398" s="76"/>
      <c r="Y398" s="76"/>
      <c r="Z398" s="68"/>
      <c r="AA398" s="68"/>
      <c r="AB398" s="68"/>
      <c r="AC398" s="68"/>
      <c r="AD398" s="68"/>
    </row>
    <row r="399" spans="16:30" x14ac:dyDescent="0.2">
      <c r="P399" s="68"/>
      <c r="Q399" s="74"/>
      <c r="R399" s="74"/>
      <c r="S399" s="74"/>
      <c r="T399" s="75"/>
      <c r="U399" s="76"/>
      <c r="V399" s="77"/>
      <c r="W399" s="77"/>
      <c r="X399" s="76"/>
      <c r="Y399" s="76"/>
      <c r="Z399" s="68"/>
      <c r="AA399" s="68"/>
      <c r="AB399" s="68"/>
      <c r="AC399" s="68"/>
      <c r="AD399" s="68"/>
    </row>
    <row r="400" spans="16:30" x14ac:dyDescent="0.2">
      <c r="P400" s="68"/>
      <c r="Q400" s="74"/>
      <c r="R400" s="74"/>
      <c r="S400" s="74"/>
      <c r="T400" s="75"/>
      <c r="U400" s="76"/>
      <c r="V400" s="77"/>
      <c r="W400" s="77"/>
      <c r="X400" s="76"/>
      <c r="Y400" s="76"/>
      <c r="Z400" s="68"/>
      <c r="AA400" s="68"/>
      <c r="AB400" s="68"/>
      <c r="AC400" s="68"/>
      <c r="AD400" s="68"/>
    </row>
    <row r="401" spans="16:30" x14ac:dyDescent="0.2">
      <c r="P401" s="68"/>
      <c r="Q401" s="74"/>
      <c r="R401" s="74"/>
      <c r="S401" s="74"/>
      <c r="T401" s="75"/>
      <c r="U401" s="76"/>
      <c r="V401" s="77"/>
      <c r="W401" s="77"/>
      <c r="X401" s="76"/>
      <c r="Y401" s="76"/>
      <c r="Z401" s="68"/>
      <c r="AA401" s="68"/>
      <c r="AB401" s="68"/>
      <c r="AC401" s="68"/>
      <c r="AD401" s="68"/>
    </row>
    <row r="402" spans="16:30" x14ac:dyDescent="0.2">
      <c r="P402" s="68"/>
      <c r="Q402" s="74"/>
      <c r="R402" s="74"/>
      <c r="S402" s="74"/>
      <c r="T402" s="75"/>
      <c r="U402" s="76"/>
      <c r="V402" s="77"/>
      <c r="W402" s="77"/>
      <c r="X402" s="76"/>
      <c r="Y402" s="76"/>
      <c r="Z402" s="68"/>
      <c r="AA402" s="68"/>
      <c r="AB402" s="68"/>
      <c r="AC402" s="68"/>
      <c r="AD402" s="68"/>
    </row>
    <row r="403" spans="16:30" x14ac:dyDescent="0.2">
      <c r="P403" s="68"/>
      <c r="Q403" s="74"/>
      <c r="R403" s="74"/>
      <c r="S403" s="74"/>
      <c r="T403" s="75"/>
      <c r="U403" s="76"/>
      <c r="V403" s="77"/>
      <c r="W403" s="77"/>
      <c r="X403" s="76"/>
      <c r="Y403" s="76"/>
      <c r="Z403" s="68"/>
      <c r="AA403" s="68"/>
      <c r="AB403" s="68"/>
      <c r="AC403" s="68"/>
      <c r="AD403" s="68"/>
    </row>
    <row r="404" spans="16:30" x14ac:dyDescent="0.2">
      <c r="P404" s="68"/>
      <c r="Q404" s="74"/>
      <c r="R404" s="74"/>
      <c r="S404" s="74"/>
      <c r="T404" s="75"/>
      <c r="U404" s="76"/>
      <c r="V404" s="77"/>
      <c r="W404" s="77"/>
      <c r="X404" s="76"/>
      <c r="Y404" s="76"/>
      <c r="Z404" s="68"/>
      <c r="AA404" s="68"/>
      <c r="AB404" s="68"/>
      <c r="AC404" s="68"/>
      <c r="AD404" s="68"/>
    </row>
    <row r="405" spans="16:30" x14ac:dyDescent="0.2">
      <c r="P405" s="68"/>
      <c r="Q405" s="74"/>
      <c r="R405" s="74"/>
      <c r="S405" s="74"/>
      <c r="T405" s="75"/>
      <c r="U405" s="76"/>
      <c r="V405" s="77"/>
      <c r="W405" s="77"/>
      <c r="X405" s="76"/>
      <c r="Y405" s="76"/>
      <c r="Z405" s="68"/>
      <c r="AA405" s="68"/>
      <c r="AB405" s="68"/>
      <c r="AC405" s="68"/>
      <c r="AD405" s="68"/>
    </row>
    <row r="406" spans="16:30" x14ac:dyDescent="0.2">
      <c r="P406" s="68"/>
      <c r="Q406" s="74"/>
      <c r="R406" s="74"/>
      <c r="S406" s="74"/>
      <c r="T406" s="75"/>
      <c r="U406" s="76"/>
      <c r="V406" s="77"/>
      <c r="W406" s="77"/>
      <c r="X406" s="76"/>
      <c r="Y406" s="76"/>
      <c r="Z406" s="68"/>
      <c r="AA406" s="68"/>
      <c r="AB406" s="68"/>
      <c r="AC406" s="68"/>
      <c r="AD406" s="68"/>
    </row>
    <row r="407" spans="16:30" x14ac:dyDescent="0.2">
      <c r="P407" s="68"/>
      <c r="Q407" s="74"/>
      <c r="R407" s="74"/>
      <c r="S407" s="74"/>
      <c r="T407" s="75"/>
      <c r="U407" s="76"/>
      <c r="V407" s="77"/>
      <c r="W407" s="77"/>
      <c r="X407" s="76"/>
      <c r="Y407" s="76"/>
      <c r="Z407" s="68"/>
      <c r="AA407" s="68"/>
      <c r="AB407" s="68"/>
      <c r="AC407" s="68"/>
      <c r="AD407" s="68"/>
    </row>
    <row r="408" spans="16:30" x14ac:dyDescent="0.2">
      <c r="P408" s="68"/>
      <c r="Q408" s="74"/>
      <c r="R408" s="74"/>
      <c r="S408" s="74"/>
      <c r="T408" s="75"/>
      <c r="U408" s="76"/>
      <c r="V408" s="77"/>
      <c r="W408" s="77"/>
      <c r="X408" s="76"/>
      <c r="Y408" s="76"/>
      <c r="Z408" s="68"/>
      <c r="AA408" s="68"/>
      <c r="AB408" s="68"/>
      <c r="AC408" s="68"/>
      <c r="AD408" s="68"/>
    </row>
    <row r="409" spans="16:30" x14ac:dyDescent="0.2">
      <c r="P409" s="68"/>
      <c r="Q409" s="74"/>
      <c r="R409" s="74"/>
      <c r="S409" s="74"/>
      <c r="T409" s="75"/>
      <c r="U409" s="76"/>
      <c r="V409" s="77"/>
      <c r="W409" s="77"/>
      <c r="X409" s="76"/>
      <c r="Y409" s="76"/>
      <c r="Z409" s="68"/>
      <c r="AA409" s="68"/>
      <c r="AB409" s="68"/>
      <c r="AC409" s="68"/>
      <c r="AD409" s="68"/>
    </row>
    <row r="410" spans="16:30" x14ac:dyDescent="0.2">
      <c r="P410" s="68"/>
      <c r="Q410" s="74"/>
      <c r="R410" s="74"/>
      <c r="S410" s="74"/>
      <c r="T410" s="75"/>
      <c r="U410" s="76"/>
      <c r="V410" s="77"/>
      <c r="W410" s="77"/>
      <c r="X410" s="76"/>
      <c r="Y410" s="76"/>
      <c r="Z410" s="68"/>
      <c r="AA410" s="68"/>
      <c r="AB410" s="68"/>
      <c r="AC410" s="68"/>
      <c r="AD410" s="68"/>
    </row>
    <row r="411" spans="16:30" x14ac:dyDescent="0.2">
      <c r="P411" s="68"/>
      <c r="Q411" s="74"/>
      <c r="R411" s="74"/>
      <c r="S411" s="74"/>
      <c r="T411" s="75"/>
      <c r="U411" s="76"/>
      <c r="V411" s="77"/>
      <c r="W411" s="77"/>
      <c r="X411" s="76"/>
      <c r="Y411" s="76"/>
      <c r="Z411" s="68"/>
      <c r="AA411" s="68"/>
      <c r="AB411" s="68"/>
      <c r="AC411" s="68"/>
      <c r="AD411" s="68"/>
    </row>
    <row r="412" spans="16:30" x14ac:dyDescent="0.2">
      <c r="P412" s="68"/>
      <c r="Q412" s="74"/>
      <c r="R412" s="74"/>
      <c r="S412" s="74"/>
      <c r="T412" s="75"/>
      <c r="U412" s="76"/>
      <c r="V412" s="77"/>
      <c r="W412" s="77"/>
      <c r="X412" s="76"/>
      <c r="Y412" s="76"/>
      <c r="Z412" s="68"/>
      <c r="AA412" s="68"/>
      <c r="AB412" s="68"/>
      <c r="AC412" s="68"/>
      <c r="AD412" s="68"/>
    </row>
    <row r="413" spans="16:30" x14ac:dyDescent="0.2">
      <c r="P413" s="68"/>
      <c r="Q413" s="74"/>
      <c r="R413" s="74"/>
      <c r="S413" s="74"/>
      <c r="T413" s="75"/>
      <c r="U413" s="76"/>
      <c r="V413" s="77"/>
      <c r="W413" s="77"/>
      <c r="X413" s="76"/>
      <c r="Y413" s="76"/>
      <c r="Z413" s="68"/>
      <c r="AA413" s="68"/>
      <c r="AB413" s="68"/>
      <c r="AC413" s="68"/>
      <c r="AD413" s="68"/>
    </row>
    <row r="414" spans="16:30" x14ac:dyDescent="0.2">
      <c r="P414" s="68"/>
      <c r="Q414" s="74"/>
      <c r="R414" s="74"/>
      <c r="S414" s="74"/>
      <c r="T414" s="75"/>
      <c r="U414" s="76"/>
      <c r="V414" s="77"/>
      <c r="W414" s="77"/>
      <c r="X414" s="76"/>
      <c r="Y414" s="76"/>
      <c r="Z414" s="68"/>
      <c r="AA414" s="68"/>
      <c r="AB414" s="68"/>
      <c r="AC414" s="68"/>
      <c r="AD414" s="68"/>
    </row>
    <row r="415" spans="16:30" x14ac:dyDescent="0.2">
      <c r="P415" s="68"/>
      <c r="Q415" s="74"/>
      <c r="R415" s="74"/>
      <c r="S415" s="74"/>
      <c r="T415" s="75"/>
      <c r="U415" s="76"/>
      <c r="V415" s="77"/>
      <c r="W415" s="77"/>
      <c r="X415" s="76"/>
      <c r="Y415" s="76"/>
      <c r="Z415" s="68"/>
      <c r="AA415" s="68"/>
      <c r="AB415" s="68"/>
      <c r="AC415" s="68"/>
      <c r="AD415" s="68"/>
    </row>
    <row r="416" spans="16:30" x14ac:dyDescent="0.2">
      <c r="P416" s="68"/>
      <c r="Q416" s="74"/>
      <c r="R416" s="74"/>
      <c r="S416" s="74"/>
      <c r="T416" s="75"/>
      <c r="U416" s="76"/>
      <c r="V416" s="77"/>
      <c r="W416" s="77"/>
      <c r="X416" s="76"/>
      <c r="Y416" s="76"/>
      <c r="Z416" s="68"/>
      <c r="AA416" s="68"/>
      <c r="AB416" s="68"/>
      <c r="AC416" s="68"/>
      <c r="AD416" s="68"/>
    </row>
    <row r="417" spans="16:30" x14ac:dyDescent="0.2">
      <c r="P417" s="68"/>
      <c r="Q417" s="74"/>
      <c r="R417" s="74"/>
      <c r="S417" s="74"/>
      <c r="T417" s="75"/>
      <c r="U417" s="76"/>
      <c r="V417" s="77"/>
      <c r="W417" s="77"/>
      <c r="X417" s="76"/>
      <c r="Y417" s="76"/>
      <c r="Z417" s="68"/>
      <c r="AA417" s="68"/>
      <c r="AB417" s="68"/>
      <c r="AC417" s="68"/>
      <c r="AD417" s="68"/>
    </row>
    <row r="418" spans="16:30" x14ac:dyDescent="0.2">
      <c r="P418" s="68"/>
      <c r="Q418" s="74"/>
      <c r="R418" s="74"/>
      <c r="S418" s="74"/>
      <c r="T418" s="75"/>
      <c r="U418" s="76"/>
      <c r="V418" s="77"/>
      <c r="W418" s="77"/>
      <c r="X418" s="76"/>
      <c r="Y418" s="76"/>
      <c r="Z418" s="68"/>
      <c r="AA418" s="68"/>
      <c r="AB418" s="68"/>
      <c r="AC418" s="68"/>
      <c r="AD418" s="68"/>
    </row>
    <row r="419" spans="16:30" x14ac:dyDescent="0.2">
      <c r="P419" s="68"/>
      <c r="Q419" s="74"/>
      <c r="R419" s="74"/>
      <c r="S419" s="74"/>
      <c r="T419" s="75"/>
      <c r="U419" s="76"/>
      <c r="V419" s="77"/>
      <c r="W419" s="77"/>
      <c r="X419" s="76"/>
      <c r="Y419" s="76"/>
      <c r="Z419" s="68"/>
      <c r="AA419" s="68"/>
      <c r="AB419" s="68"/>
      <c r="AC419" s="68"/>
      <c r="AD419" s="68"/>
    </row>
    <row r="420" spans="16:30" x14ac:dyDescent="0.2">
      <c r="P420" s="68"/>
      <c r="Q420" s="74"/>
      <c r="R420" s="74"/>
      <c r="S420" s="74"/>
      <c r="T420" s="75"/>
      <c r="U420" s="76"/>
      <c r="V420" s="77"/>
      <c r="W420" s="77"/>
      <c r="X420" s="76"/>
      <c r="Y420" s="76"/>
      <c r="Z420" s="68"/>
      <c r="AA420" s="68"/>
      <c r="AB420" s="68"/>
      <c r="AC420" s="68"/>
      <c r="AD420" s="68"/>
    </row>
    <row r="421" spans="16:30" x14ac:dyDescent="0.2">
      <c r="P421" s="68"/>
      <c r="Q421" s="74"/>
      <c r="R421" s="74"/>
      <c r="S421" s="74"/>
      <c r="T421" s="75"/>
      <c r="U421" s="76"/>
      <c r="V421" s="77"/>
      <c r="W421" s="77"/>
      <c r="X421" s="76"/>
      <c r="Y421" s="76"/>
      <c r="Z421" s="68"/>
      <c r="AA421" s="68"/>
      <c r="AB421" s="68"/>
      <c r="AC421" s="68"/>
      <c r="AD421" s="68"/>
    </row>
    <row r="422" spans="16:30" x14ac:dyDescent="0.2">
      <c r="P422" s="68"/>
      <c r="Q422" s="74"/>
      <c r="R422" s="74"/>
      <c r="S422" s="74"/>
      <c r="T422" s="75"/>
      <c r="U422" s="76"/>
      <c r="V422" s="77"/>
      <c r="W422" s="77"/>
      <c r="X422" s="76"/>
      <c r="Y422" s="76"/>
      <c r="Z422" s="68"/>
      <c r="AA422" s="68"/>
      <c r="AB422" s="68"/>
      <c r="AC422" s="68"/>
      <c r="AD422" s="68"/>
    </row>
    <row r="423" spans="16:30" x14ac:dyDescent="0.2">
      <c r="P423" s="68"/>
      <c r="Q423" s="74"/>
      <c r="R423" s="74"/>
      <c r="S423" s="74"/>
      <c r="T423" s="75"/>
      <c r="U423" s="76"/>
      <c r="V423" s="77"/>
      <c r="W423" s="77"/>
      <c r="X423" s="76"/>
      <c r="Y423" s="76"/>
      <c r="Z423" s="68"/>
      <c r="AA423" s="68"/>
      <c r="AB423" s="68"/>
      <c r="AC423" s="68"/>
      <c r="AD423" s="68"/>
    </row>
    <row r="424" spans="16:30" x14ac:dyDescent="0.2">
      <c r="P424" s="68"/>
      <c r="Q424" s="74"/>
      <c r="R424" s="74"/>
      <c r="S424" s="74"/>
      <c r="T424" s="75"/>
      <c r="U424" s="76"/>
      <c r="V424" s="77"/>
      <c r="W424" s="77"/>
      <c r="X424" s="76"/>
      <c r="Y424" s="76"/>
      <c r="Z424" s="68"/>
      <c r="AA424" s="68"/>
      <c r="AB424" s="68"/>
      <c r="AC424" s="68"/>
      <c r="AD424" s="68"/>
    </row>
    <row r="425" spans="16:30" x14ac:dyDescent="0.2">
      <c r="P425" s="68"/>
      <c r="Q425" s="74"/>
      <c r="R425" s="74"/>
      <c r="S425" s="74"/>
      <c r="T425" s="75"/>
      <c r="U425" s="76"/>
      <c r="V425" s="77"/>
      <c r="W425" s="77"/>
      <c r="X425" s="76"/>
      <c r="Y425" s="76"/>
      <c r="Z425" s="68"/>
      <c r="AA425" s="68"/>
      <c r="AB425" s="68"/>
      <c r="AC425" s="68"/>
      <c r="AD425" s="68"/>
    </row>
    <row r="426" spans="16:30" x14ac:dyDescent="0.2">
      <c r="P426" s="68"/>
      <c r="Q426" s="74"/>
      <c r="R426" s="74"/>
      <c r="S426" s="74"/>
      <c r="T426" s="75"/>
      <c r="U426" s="76"/>
      <c r="V426" s="77"/>
      <c r="W426" s="77"/>
      <c r="X426" s="76"/>
      <c r="Y426" s="76"/>
      <c r="Z426" s="68"/>
      <c r="AA426" s="68"/>
      <c r="AB426" s="68"/>
      <c r="AC426" s="68"/>
      <c r="AD426" s="68"/>
    </row>
    <row r="427" spans="16:30" x14ac:dyDescent="0.2">
      <c r="P427" s="68"/>
      <c r="Q427" s="74"/>
      <c r="R427" s="74"/>
      <c r="S427" s="74"/>
      <c r="T427" s="75"/>
      <c r="U427" s="76"/>
      <c r="V427" s="77"/>
      <c r="W427" s="77"/>
      <c r="X427" s="76"/>
      <c r="Y427" s="76"/>
      <c r="Z427" s="68"/>
      <c r="AA427" s="68"/>
      <c r="AB427" s="68"/>
      <c r="AC427" s="68"/>
      <c r="AD427" s="68"/>
    </row>
    <row r="428" spans="16:30" x14ac:dyDescent="0.2">
      <c r="P428" s="68"/>
      <c r="Q428" s="74"/>
      <c r="R428" s="74"/>
      <c r="S428" s="74"/>
      <c r="T428" s="75"/>
      <c r="U428" s="76"/>
      <c r="V428" s="77"/>
      <c r="W428" s="77"/>
      <c r="X428" s="76"/>
      <c r="Y428" s="76"/>
      <c r="Z428" s="68"/>
      <c r="AA428" s="68"/>
      <c r="AB428" s="68"/>
      <c r="AC428" s="68"/>
      <c r="AD428" s="68"/>
    </row>
    <row r="429" spans="16:30" x14ac:dyDescent="0.2">
      <c r="P429" s="68"/>
      <c r="Q429" s="74"/>
      <c r="R429" s="74"/>
      <c r="S429" s="74"/>
      <c r="T429" s="75"/>
      <c r="U429" s="76"/>
      <c r="V429" s="77"/>
      <c r="W429" s="77"/>
      <c r="X429" s="76"/>
      <c r="Y429" s="76"/>
      <c r="Z429" s="68"/>
      <c r="AA429" s="68"/>
      <c r="AB429" s="68"/>
      <c r="AC429" s="68"/>
      <c r="AD429" s="68"/>
    </row>
    <row r="430" spans="16:30" x14ac:dyDescent="0.2">
      <c r="P430" s="68"/>
      <c r="Q430" s="74"/>
      <c r="R430" s="74"/>
      <c r="S430" s="74"/>
      <c r="T430" s="75"/>
      <c r="U430" s="76"/>
      <c r="V430" s="77"/>
      <c r="W430" s="77"/>
      <c r="X430" s="76"/>
      <c r="Y430" s="76"/>
      <c r="Z430" s="68"/>
      <c r="AA430" s="68"/>
      <c r="AB430" s="68"/>
      <c r="AC430" s="68"/>
      <c r="AD430" s="68"/>
    </row>
    <row r="431" spans="16:30" x14ac:dyDescent="0.2">
      <c r="P431" s="68"/>
      <c r="Q431" s="74"/>
      <c r="R431" s="74"/>
      <c r="S431" s="74"/>
      <c r="T431" s="75"/>
      <c r="U431" s="76"/>
      <c r="V431" s="77"/>
      <c r="W431" s="77"/>
      <c r="X431" s="76"/>
      <c r="Y431" s="76"/>
      <c r="Z431" s="68"/>
      <c r="AA431" s="68"/>
      <c r="AB431" s="68"/>
      <c r="AC431" s="68"/>
      <c r="AD431" s="68"/>
    </row>
    <row r="432" spans="16:30" x14ac:dyDescent="0.2">
      <c r="P432" s="68"/>
      <c r="Q432" s="74"/>
      <c r="R432" s="74"/>
      <c r="S432" s="74"/>
      <c r="T432" s="75"/>
      <c r="U432" s="76"/>
      <c r="V432" s="77"/>
      <c r="W432" s="77"/>
      <c r="X432" s="76"/>
      <c r="Y432" s="76"/>
      <c r="Z432" s="68"/>
      <c r="AA432" s="68"/>
      <c r="AB432" s="68"/>
      <c r="AC432" s="68"/>
      <c r="AD432" s="68"/>
    </row>
    <row r="433" spans="16:30" x14ac:dyDescent="0.2">
      <c r="P433" s="68"/>
      <c r="Q433" s="74"/>
      <c r="R433" s="74"/>
      <c r="S433" s="74"/>
      <c r="T433" s="75"/>
      <c r="U433" s="76"/>
      <c r="V433" s="77"/>
      <c r="W433" s="77"/>
      <c r="X433" s="76"/>
      <c r="Y433" s="76"/>
      <c r="Z433" s="68"/>
      <c r="AA433" s="68"/>
      <c r="AB433" s="68"/>
      <c r="AC433" s="68"/>
      <c r="AD433" s="68"/>
    </row>
    <row r="434" spans="16:30" x14ac:dyDescent="0.2">
      <c r="P434" s="68"/>
      <c r="Q434" s="74"/>
      <c r="R434" s="74"/>
      <c r="S434" s="74"/>
      <c r="T434" s="75"/>
      <c r="U434" s="76"/>
      <c r="V434" s="77"/>
      <c r="W434" s="77"/>
      <c r="X434" s="76"/>
      <c r="Y434" s="76"/>
      <c r="Z434" s="68"/>
      <c r="AA434" s="68"/>
      <c r="AB434" s="68"/>
      <c r="AC434" s="68"/>
      <c r="AD434" s="68"/>
    </row>
    <row r="435" spans="16:30" x14ac:dyDescent="0.2">
      <c r="P435" s="68"/>
      <c r="Q435" s="74"/>
      <c r="R435" s="74"/>
      <c r="S435" s="74"/>
      <c r="T435" s="75"/>
      <c r="U435" s="76"/>
      <c r="V435" s="77"/>
      <c r="W435" s="77"/>
      <c r="X435" s="76"/>
      <c r="Y435" s="76"/>
      <c r="Z435" s="68"/>
      <c r="AA435" s="68"/>
      <c r="AB435" s="68"/>
      <c r="AC435" s="68"/>
      <c r="AD435" s="68"/>
    </row>
    <row r="436" spans="16:30" x14ac:dyDescent="0.2">
      <c r="P436" s="68"/>
      <c r="Q436" s="74"/>
      <c r="R436" s="74"/>
      <c r="S436" s="74"/>
      <c r="T436" s="75"/>
      <c r="U436" s="76"/>
      <c r="V436" s="77"/>
      <c r="W436" s="77"/>
      <c r="X436" s="76"/>
      <c r="Y436" s="76"/>
      <c r="Z436" s="68"/>
      <c r="AA436" s="68"/>
      <c r="AB436" s="68"/>
      <c r="AC436" s="68"/>
      <c r="AD436" s="68"/>
    </row>
    <row r="437" spans="16:30" x14ac:dyDescent="0.2">
      <c r="P437" s="68"/>
      <c r="Q437" s="74"/>
      <c r="R437" s="74"/>
      <c r="S437" s="74"/>
      <c r="T437" s="75"/>
      <c r="U437" s="76"/>
      <c r="V437" s="77"/>
      <c r="W437" s="77"/>
      <c r="X437" s="76"/>
      <c r="Y437" s="76"/>
      <c r="Z437" s="68"/>
      <c r="AA437" s="68"/>
      <c r="AB437" s="68"/>
      <c r="AC437" s="68"/>
      <c r="AD437" s="68"/>
    </row>
    <row r="438" spans="16:30" x14ac:dyDescent="0.2">
      <c r="P438" s="68"/>
      <c r="Q438" s="74"/>
      <c r="R438" s="74"/>
      <c r="S438" s="74"/>
      <c r="T438" s="75"/>
      <c r="U438" s="76"/>
      <c r="V438" s="77"/>
      <c r="W438" s="77"/>
      <c r="X438" s="76"/>
      <c r="Y438" s="76"/>
      <c r="Z438" s="68"/>
      <c r="AA438" s="68"/>
      <c r="AB438" s="68"/>
      <c r="AC438" s="68"/>
      <c r="AD438" s="68"/>
    </row>
    <row r="439" spans="16:30" x14ac:dyDescent="0.2">
      <c r="P439" s="68"/>
      <c r="Q439" s="74"/>
      <c r="R439" s="74"/>
      <c r="S439" s="74"/>
      <c r="T439" s="75"/>
      <c r="U439" s="76"/>
      <c r="V439" s="77"/>
      <c r="W439" s="77"/>
      <c r="X439" s="76"/>
      <c r="Y439" s="76"/>
      <c r="Z439" s="68"/>
      <c r="AA439" s="68"/>
      <c r="AB439" s="68"/>
      <c r="AC439" s="68"/>
      <c r="AD439" s="68"/>
    </row>
    <row r="440" spans="16:30" x14ac:dyDescent="0.2">
      <c r="P440" s="68"/>
      <c r="Q440" s="74"/>
      <c r="R440" s="74"/>
      <c r="S440" s="74"/>
      <c r="T440" s="75"/>
      <c r="U440" s="76"/>
      <c r="V440" s="77"/>
      <c r="W440" s="77"/>
      <c r="X440" s="76"/>
      <c r="Y440" s="76"/>
      <c r="Z440" s="68"/>
      <c r="AA440" s="68"/>
      <c r="AB440" s="68"/>
      <c r="AC440" s="68"/>
      <c r="AD440" s="68"/>
    </row>
    <row r="441" spans="16:30" x14ac:dyDescent="0.2">
      <c r="P441" s="68"/>
      <c r="Q441" s="74"/>
      <c r="R441" s="74"/>
      <c r="S441" s="74"/>
      <c r="T441" s="75"/>
      <c r="U441" s="76"/>
      <c r="V441" s="77"/>
      <c r="W441" s="77"/>
      <c r="X441" s="76"/>
      <c r="Y441" s="76"/>
      <c r="Z441" s="68"/>
      <c r="AA441" s="68"/>
      <c r="AB441" s="68"/>
      <c r="AC441" s="68"/>
      <c r="AD441" s="68"/>
    </row>
    <row r="442" spans="16:30" x14ac:dyDescent="0.2">
      <c r="P442" s="68"/>
      <c r="Q442" s="74"/>
      <c r="R442" s="74"/>
      <c r="S442" s="74"/>
      <c r="T442" s="75"/>
      <c r="U442" s="76"/>
      <c r="V442" s="77"/>
      <c r="W442" s="77"/>
      <c r="X442" s="76"/>
      <c r="Y442" s="76"/>
      <c r="Z442" s="68"/>
      <c r="AA442" s="68"/>
      <c r="AB442" s="68"/>
      <c r="AC442" s="68"/>
      <c r="AD442" s="68"/>
    </row>
    <row r="443" spans="16:30" x14ac:dyDescent="0.2">
      <c r="P443" s="68"/>
      <c r="Q443" s="74"/>
      <c r="R443" s="74"/>
      <c r="S443" s="74"/>
      <c r="T443" s="75"/>
      <c r="U443" s="76"/>
      <c r="V443" s="77"/>
      <c r="W443" s="77"/>
      <c r="X443" s="76"/>
      <c r="Y443" s="76"/>
      <c r="Z443" s="68"/>
      <c r="AA443" s="68"/>
      <c r="AB443" s="68"/>
      <c r="AC443" s="68"/>
      <c r="AD443" s="68"/>
    </row>
    <row r="444" spans="16:30" x14ac:dyDescent="0.2">
      <c r="P444" s="68"/>
      <c r="Q444" s="74"/>
      <c r="R444" s="74"/>
      <c r="S444" s="74"/>
      <c r="T444" s="75"/>
      <c r="U444" s="76"/>
      <c r="V444" s="77"/>
      <c r="W444" s="77"/>
      <c r="X444" s="76"/>
      <c r="Y444" s="76"/>
      <c r="Z444" s="68"/>
      <c r="AA444" s="68"/>
      <c r="AB444" s="68"/>
      <c r="AC444" s="68"/>
      <c r="AD444" s="68"/>
    </row>
    <row r="445" spans="16:30" x14ac:dyDescent="0.2">
      <c r="P445" s="68"/>
      <c r="Q445" s="74"/>
      <c r="R445" s="74"/>
      <c r="S445" s="74"/>
      <c r="T445" s="75"/>
      <c r="U445" s="76"/>
      <c r="V445" s="77"/>
      <c r="W445" s="77"/>
      <c r="X445" s="76"/>
      <c r="Y445" s="76"/>
      <c r="Z445" s="68"/>
      <c r="AA445" s="68"/>
      <c r="AB445" s="68"/>
      <c r="AC445" s="68"/>
      <c r="AD445" s="68"/>
    </row>
    <row r="446" spans="16:30" x14ac:dyDescent="0.2">
      <c r="P446" s="68"/>
      <c r="Q446" s="74"/>
      <c r="R446" s="74"/>
      <c r="S446" s="74"/>
      <c r="T446" s="75"/>
      <c r="U446" s="76"/>
      <c r="V446" s="77"/>
      <c r="W446" s="77"/>
      <c r="X446" s="76"/>
      <c r="Y446" s="76"/>
      <c r="Z446" s="68"/>
      <c r="AA446" s="68"/>
      <c r="AB446" s="68"/>
      <c r="AC446" s="68"/>
      <c r="AD446" s="68"/>
    </row>
    <row r="447" spans="16:30" x14ac:dyDescent="0.2">
      <c r="P447" s="68"/>
      <c r="Q447" s="74"/>
      <c r="R447" s="74"/>
      <c r="S447" s="74"/>
      <c r="T447" s="75"/>
      <c r="U447" s="76"/>
      <c r="V447" s="77"/>
      <c r="W447" s="77"/>
      <c r="X447" s="76"/>
      <c r="Y447" s="76"/>
      <c r="Z447" s="68"/>
      <c r="AA447" s="68"/>
      <c r="AB447" s="68"/>
      <c r="AC447" s="68"/>
      <c r="AD447" s="68"/>
    </row>
    <row r="448" spans="16:30" x14ac:dyDescent="0.2">
      <c r="P448" s="68"/>
      <c r="Q448" s="74"/>
      <c r="R448" s="74"/>
      <c r="S448" s="74"/>
      <c r="T448" s="75"/>
      <c r="U448" s="76"/>
      <c r="V448" s="77"/>
      <c r="W448" s="77"/>
      <c r="X448" s="76"/>
      <c r="Y448" s="76"/>
      <c r="Z448" s="68"/>
      <c r="AA448" s="68"/>
      <c r="AB448" s="68"/>
      <c r="AC448" s="68"/>
      <c r="AD448" s="68"/>
    </row>
    <row r="449" spans="16:30" x14ac:dyDescent="0.2">
      <c r="P449" s="68"/>
      <c r="Q449" s="74"/>
      <c r="R449" s="74"/>
      <c r="S449" s="74"/>
      <c r="T449" s="75"/>
      <c r="U449" s="76"/>
      <c r="V449" s="77"/>
      <c r="W449" s="77"/>
      <c r="X449" s="76"/>
      <c r="Y449" s="76"/>
      <c r="Z449" s="68"/>
      <c r="AA449" s="68"/>
      <c r="AB449" s="68"/>
      <c r="AC449" s="68"/>
      <c r="AD449" s="68"/>
    </row>
    <row r="450" spans="16:30" x14ac:dyDescent="0.2">
      <c r="P450" s="68"/>
      <c r="Q450" s="74"/>
      <c r="R450" s="74"/>
      <c r="S450" s="74"/>
      <c r="T450" s="75"/>
      <c r="U450" s="76"/>
      <c r="V450" s="77"/>
      <c r="W450" s="77"/>
      <c r="X450" s="76"/>
      <c r="Y450" s="76"/>
      <c r="Z450" s="68"/>
      <c r="AA450" s="68"/>
      <c r="AB450" s="68"/>
      <c r="AC450" s="68"/>
      <c r="AD450" s="68"/>
    </row>
    <row r="451" spans="16:30" x14ac:dyDescent="0.2">
      <c r="P451" s="68"/>
      <c r="Q451" s="74"/>
      <c r="R451" s="74"/>
      <c r="S451" s="74"/>
      <c r="T451" s="75"/>
      <c r="U451" s="76"/>
      <c r="V451" s="77"/>
      <c r="W451" s="77"/>
      <c r="X451" s="76"/>
      <c r="Y451" s="76"/>
      <c r="Z451" s="68"/>
      <c r="AA451" s="68"/>
      <c r="AB451" s="68"/>
      <c r="AC451" s="68"/>
      <c r="AD451" s="68"/>
    </row>
    <row r="452" spans="16:30" x14ac:dyDescent="0.2">
      <c r="P452" s="68"/>
      <c r="Q452" s="74"/>
      <c r="R452" s="74"/>
      <c r="S452" s="74"/>
      <c r="T452" s="75"/>
      <c r="U452" s="76"/>
      <c r="V452" s="77"/>
      <c r="W452" s="77"/>
      <c r="X452" s="76"/>
      <c r="Y452" s="76"/>
      <c r="Z452" s="68"/>
      <c r="AA452" s="68"/>
      <c r="AB452" s="68"/>
      <c r="AC452" s="68"/>
      <c r="AD452" s="68"/>
    </row>
    <row r="453" spans="16:30" x14ac:dyDescent="0.2">
      <c r="P453" s="68"/>
      <c r="Q453" s="74"/>
      <c r="R453" s="74"/>
      <c r="S453" s="74"/>
      <c r="T453" s="75"/>
      <c r="U453" s="76"/>
      <c r="V453" s="77"/>
      <c r="W453" s="77"/>
      <c r="X453" s="76"/>
      <c r="Y453" s="76"/>
      <c r="Z453" s="68"/>
      <c r="AA453" s="68"/>
      <c r="AB453" s="68"/>
      <c r="AC453" s="68"/>
      <c r="AD453" s="68"/>
    </row>
    <row r="454" spans="16:30" x14ac:dyDescent="0.2">
      <c r="P454" s="68"/>
      <c r="Q454" s="74"/>
      <c r="R454" s="74"/>
      <c r="S454" s="74"/>
      <c r="T454" s="75"/>
      <c r="U454" s="76"/>
      <c r="V454" s="77"/>
      <c r="W454" s="77"/>
      <c r="X454" s="76"/>
      <c r="Y454" s="76"/>
      <c r="Z454" s="68"/>
      <c r="AA454" s="68"/>
      <c r="AB454" s="68"/>
      <c r="AC454" s="68"/>
      <c r="AD454" s="68"/>
    </row>
    <row r="455" spans="16:30" x14ac:dyDescent="0.2">
      <c r="P455" s="68"/>
      <c r="Q455" s="74"/>
      <c r="R455" s="74"/>
      <c r="S455" s="74"/>
      <c r="T455" s="75"/>
      <c r="U455" s="76"/>
      <c r="V455" s="77"/>
      <c r="W455" s="77"/>
      <c r="X455" s="76"/>
      <c r="Y455" s="76"/>
      <c r="Z455" s="68"/>
      <c r="AA455" s="68"/>
      <c r="AB455" s="68"/>
      <c r="AC455" s="68"/>
      <c r="AD455" s="68"/>
    </row>
    <row r="456" spans="16:30" x14ac:dyDescent="0.2">
      <c r="P456" s="68"/>
      <c r="Q456" s="74"/>
      <c r="R456" s="74"/>
      <c r="S456" s="74"/>
      <c r="T456" s="75"/>
      <c r="U456" s="76"/>
      <c r="V456" s="77"/>
      <c r="W456" s="77"/>
      <c r="X456" s="76"/>
      <c r="Y456" s="76"/>
      <c r="Z456" s="68"/>
      <c r="AA456" s="68"/>
      <c r="AB456" s="68"/>
      <c r="AC456" s="68"/>
      <c r="AD456" s="68"/>
    </row>
    <row r="457" spans="16:30" x14ac:dyDescent="0.2">
      <c r="P457" s="68"/>
      <c r="Q457" s="74"/>
      <c r="R457" s="74"/>
      <c r="S457" s="74"/>
      <c r="T457" s="75"/>
      <c r="U457" s="76"/>
      <c r="V457" s="77"/>
      <c r="W457" s="77"/>
      <c r="X457" s="76"/>
      <c r="Y457" s="76"/>
      <c r="Z457" s="68"/>
      <c r="AA457" s="68"/>
      <c r="AB457" s="68"/>
      <c r="AC457" s="68"/>
      <c r="AD457" s="68"/>
    </row>
    <row r="458" spans="16:30" x14ac:dyDescent="0.2">
      <c r="P458" s="68"/>
      <c r="Q458" s="74"/>
      <c r="R458" s="74"/>
      <c r="S458" s="74"/>
      <c r="T458" s="75"/>
      <c r="U458" s="76"/>
      <c r="V458" s="77"/>
      <c r="W458" s="77"/>
      <c r="X458" s="76"/>
      <c r="Y458" s="76"/>
      <c r="Z458" s="68"/>
      <c r="AA458" s="68"/>
      <c r="AB458" s="68"/>
      <c r="AC458" s="68"/>
      <c r="AD458" s="68"/>
    </row>
    <row r="459" spans="16:30" x14ac:dyDescent="0.2">
      <c r="P459" s="68"/>
      <c r="Q459" s="74"/>
      <c r="R459" s="74"/>
      <c r="S459" s="74"/>
      <c r="T459" s="75"/>
      <c r="U459" s="76"/>
      <c r="V459" s="77"/>
      <c r="W459" s="77"/>
      <c r="X459" s="76"/>
      <c r="Y459" s="76"/>
      <c r="Z459" s="68"/>
      <c r="AA459" s="68"/>
      <c r="AB459" s="68"/>
      <c r="AC459" s="68"/>
      <c r="AD459" s="68"/>
    </row>
    <row r="460" spans="16:30" x14ac:dyDescent="0.2">
      <c r="P460" s="68"/>
      <c r="Q460" s="74"/>
      <c r="R460" s="74"/>
      <c r="S460" s="74"/>
      <c r="T460" s="75"/>
      <c r="U460" s="76"/>
      <c r="V460" s="77"/>
      <c r="W460" s="77"/>
      <c r="X460" s="76"/>
      <c r="Y460" s="76"/>
      <c r="Z460" s="68"/>
      <c r="AA460" s="68"/>
      <c r="AB460" s="68"/>
      <c r="AC460" s="68"/>
      <c r="AD460" s="68"/>
    </row>
    <row r="461" spans="16:30" x14ac:dyDescent="0.2">
      <c r="P461" s="68"/>
      <c r="Q461" s="74"/>
      <c r="R461" s="74"/>
      <c r="S461" s="74"/>
      <c r="T461" s="75"/>
      <c r="U461" s="76"/>
      <c r="V461" s="77"/>
      <c r="W461" s="77"/>
      <c r="X461" s="76"/>
      <c r="Y461" s="76"/>
      <c r="Z461" s="68"/>
      <c r="AA461" s="68"/>
      <c r="AB461" s="68"/>
      <c r="AC461" s="68"/>
      <c r="AD461" s="68"/>
    </row>
    <row r="462" spans="16:30" x14ac:dyDescent="0.2">
      <c r="P462" s="68"/>
      <c r="Q462" s="74"/>
      <c r="R462" s="74"/>
      <c r="S462" s="74"/>
      <c r="T462" s="75"/>
      <c r="U462" s="76"/>
      <c r="V462" s="77"/>
      <c r="W462" s="77"/>
      <c r="X462" s="76"/>
      <c r="Y462" s="76"/>
      <c r="Z462" s="68"/>
      <c r="AA462" s="68"/>
      <c r="AB462" s="68"/>
      <c r="AC462" s="68"/>
      <c r="AD462" s="68"/>
    </row>
    <row r="463" spans="16:30" x14ac:dyDescent="0.2">
      <c r="P463" s="68"/>
      <c r="Q463" s="74"/>
      <c r="R463" s="74"/>
      <c r="S463" s="74"/>
      <c r="T463" s="75"/>
      <c r="U463" s="76"/>
      <c r="V463" s="77"/>
      <c r="W463" s="77"/>
      <c r="X463" s="76"/>
      <c r="Y463" s="76"/>
      <c r="Z463" s="68"/>
      <c r="AA463" s="68"/>
      <c r="AB463" s="68"/>
      <c r="AC463" s="68"/>
      <c r="AD463" s="68"/>
    </row>
    <row r="464" spans="16:30" x14ac:dyDescent="0.2">
      <c r="P464" s="68"/>
      <c r="Q464" s="74"/>
      <c r="R464" s="74"/>
      <c r="S464" s="74"/>
      <c r="T464" s="75"/>
      <c r="U464" s="76"/>
      <c r="V464" s="77"/>
      <c r="W464" s="77"/>
      <c r="X464" s="76"/>
      <c r="Y464" s="76"/>
      <c r="Z464" s="68"/>
      <c r="AA464" s="68"/>
      <c r="AB464" s="68"/>
      <c r="AC464" s="68"/>
      <c r="AD464" s="68"/>
    </row>
    <row r="465" spans="16:30" x14ac:dyDescent="0.2">
      <c r="P465" s="68"/>
      <c r="Q465" s="74"/>
      <c r="R465" s="74"/>
      <c r="S465" s="74"/>
      <c r="T465" s="75"/>
      <c r="U465" s="76"/>
      <c r="V465" s="77"/>
      <c r="W465" s="77"/>
      <c r="X465" s="76"/>
      <c r="Y465" s="76"/>
      <c r="Z465" s="68"/>
      <c r="AA465" s="68"/>
      <c r="AB465" s="68"/>
      <c r="AC465" s="68"/>
      <c r="AD465" s="68"/>
    </row>
    <row r="466" spans="16:30" x14ac:dyDescent="0.2">
      <c r="P466" s="68"/>
      <c r="Q466" s="74"/>
      <c r="R466" s="74"/>
      <c r="S466" s="74"/>
      <c r="T466" s="75"/>
      <c r="U466" s="76"/>
      <c r="V466" s="77"/>
      <c r="W466" s="77"/>
      <c r="X466" s="76"/>
      <c r="Y466" s="76"/>
      <c r="Z466" s="68"/>
      <c r="AA466" s="68"/>
      <c r="AB466" s="68"/>
      <c r="AC466" s="68"/>
      <c r="AD466" s="68"/>
    </row>
    <row r="467" spans="16:30" x14ac:dyDescent="0.2">
      <c r="P467" s="68"/>
      <c r="Q467" s="74"/>
      <c r="R467" s="74"/>
      <c r="S467" s="74"/>
      <c r="T467" s="75"/>
      <c r="U467" s="76"/>
      <c r="V467" s="77"/>
      <c r="W467" s="77"/>
      <c r="X467" s="76"/>
      <c r="Y467" s="76"/>
      <c r="Z467" s="68"/>
      <c r="AA467" s="68"/>
      <c r="AB467" s="68"/>
      <c r="AC467" s="68"/>
      <c r="AD467" s="68"/>
    </row>
    <row r="468" spans="16:30" x14ac:dyDescent="0.2">
      <c r="P468" s="68"/>
      <c r="Q468" s="74"/>
      <c r="R468" s="74"/>
      <c r="S468" s="74"/>
      <c r="T468" s="75"/>
      <c r="U468" s="76"/>
      <c r="V468" s="77"/>
      <c r="W468" s="77"/>
      <c r="X468" s="76"/>
      <c r="Y468" s="76"/>
      <c r="Z468" s="68"/>
      <c r="AA468" s="68"/>
      <c r="AB468" s="68"/>
      <c r="AC468" s="68"/>
      <c r="AD468" s="68"/>
    </row>
    <row r="469" spans="16:30" x14ac:dyDescent="0.2">
      <c r="P469" s="68"/>
      <c r="Q469" s="74"/>
      <c r="R469" s="74"/>
      <c r="S469" s="74"/>
      <c r="T469" s="75"/>
      <c r="U469" s="76"/>
      <c r="V469" s="77"/>
      <c r="W469" s="77"/>
      <c r="X469" s="76"/>
      <c r="Y469" s="76"/>
      <c r="Z469" s="68"/>
      <c r="AA469" s="68"/>
      <c r="AB469" s="68"/>
      <c r="AC469" s="68"/>
      <c r="AD469" s="68"/>
    </row>
    <row r="470" spans="16:30" x14ac:dyDescent="0.2">
      <c r="P470" s="68"/>
      <c r="Q470" s="74"/>
      <c r="R470" s="74"/>
      <c r="S470" s="74"/>
      <c r="T470" s="75"/>
      <c r="U470" s="76"/>
      <c r="V470" s="77"/>
      <c r="W470" s="77"/>
      <c r="X470" s="76"/>
      <c r="Y470" s="76"/>
      <c r="Z470" s="68"/>
      <c r="AA470" s="68"/>
      <c r="AB470" s="68"/>
      <c r="AC470" s="68"/>
      <c r="AD470" s="68"/>
    </row>
    <row r="471" spans="16:30" x14ac:dyDescent="0.2">
      <c r="P471" s="68"/>
      <c r="Q471" s="74"/>
      <c r="R471" s="74"/>
      <c r="S471" s="74"/>
      <c r="T471" s="75"/>
      <c r="U471" s="76"/>
      <c r="V471" s="77"/>
      <c r="W471" s="77"/>
      <c r="X471" s="76"/>
      <c r="Y471" s="76"/>
      <c r="Z471" s="68"/>
      <c r="AA471" s="68"/>
      <c r="AB471" s="68"/>
      <c r="AC471" s="68"/>
      <c r="AD471" s="68"/>
    </row>
    <row r="472" spans="16:30" x14ac:dyDescent="0.2">
      <c r="P472" s="68"/>
      <c r="Q472" s="74"/>
      <c r="R472" s="74"/>
      <c r="S472" s="74"/>
      <c r="T472" s="75"/>
      <c r="U472" s="76"/>
      <c r="V472" s="77"/>
      <c r="W472" s="77"/>
      <c r="X472" s="76"/>
      <c r="Y472" s="76"/>
      <c r="Z472" s="68"/>
      <c r="AA472" s="68"/>
      <c r="AB472" s="68"/>
      <c r="AC472" s="68"/>
      <c r="AD472" s="68"/>
    </row>
    <row r="473" spans="16:30" x14ac:dyDescent="0.2">
      <c r="P473" s="68"/>
      <c r="Q473" s="74"/>
      <c r="R473" s="74"/>
      <c r="S473" s="74"/>
      <c r="T473" s="75"/>
      <c r="U473" s="76"/>
      <c r="V473" s="77"/>
      <c r="W473" s="77"/>
      <c r="X473" s="76"/>
      <c r="Y473" s="76"/>
      <c r="Z473" s="68"/>
      <c r="AA473" s="68"/>
      <c r="AB473" s="68"/>
      <c r="AC473" s="68"/>
      <c r="AD473" s="68"/>
    </row>
    <row r="474" spans="16:30" x14ac:dyDescent="0.2">
      <c r="P474" s="68"/>
      <c r="Q474" s="74"/>
      <c r="R474" s="74"/>
      <c r="S474" s="74"/>
      <c r="T474" s="75"/>
      <c r="U474" s="76"/>
      <c r="V474" s="77"/>
      <c r="W474" s="77"/>
      <c r="X474" s="76"/>
      <c r="Y474" s="76"/>
      <c r="Z474" s="68"/>
      <c r="AA474" s="68"/>
      <c r="AB474" s="68"/>
      <c r="AC474" s="68"/>
      <c r="AD474" s="68"/>
    </row>
    <row r="475" spans="16:30" x14ac:dyDescent="0.2">
      <c r="P475" s="68"/>
      <c r="Q475" s="74"/>
      <c r="R475" s="74"/>
      <c r="S475" s="74"/>
      <c r="T475" s="75"/>
      <c r="U475" s="76"/>
      <c r="V475" s="77"/>
      <c r="W475" s="77"/>
      <c r="X475" s="76"/>
      <c r="Y475" s="76"/>
      <c r="Z475" s="68"/>
      <c r="AA475" s="68"/>
      <c r="AB475" s="68"/>
      <c r="AC475" s="68"/>
      <c r="AD475" s="68"/>
    </row>
    <row r="476" spans="16:30" x14ac:dyDescent="0.2">
      <c r="P476" s="68"/>
      <c r="Q476" s="74"/>
      <c r="R476" s="74"/>
      <c r="S476" s="74"/>
      <c r="T476" s="75"/>
      <c r="U476" s="76"/>
      <c r="V476" s="77"/>
      <c r="W476" s="77"/>
      <c r="X476" s="76"/>
      <c r="Y476" s="76"/>
      <c r="Z476" s="68"/>
      <c r="AA476" s="68"/>
      <c r="AB476" s="68"/>
      <c r="AC476" s="68"/>
      <c r="AD476" s="68"/>
    </row>
    <row r="477" spans="16:30" x14ac:dyDescent="0.2">
      <c r="P477" s="68"/>
      <c r="Q477" s="74"/>
      <c r="R477" s="74"/>
      <c r="S477" s="74"/>
      <c r="T477" s="75"/>
      <c r="U477" s="76"/>
      <c r="V477" s="77"/>
      <c r="W477" s="77"/>
      <c r="X477" s="76"/>
      <c r="Y477" s="76"/>
      <c r="Z477" s="68"/>
      <c r="AA477" s="68"/>
      <c r="AB477" s="68"/>
      <c r="AC477" s="68"/>
      <c r="AD477" s="68"/>
    </row>
    <row r="478" spans="16:30" x14ac:dyDescent="0.2">
      <c r="P478" s="68"/>
      <c r="Q478" s="74"/>
      <c r="R478" s="74"/>
      <c r="S478" s="74"/>
      <c r="T478" s="75"/>
      <c r="U478" s="76"/>
      <c r="V478" s="77"/>
      <c r="W478" s="77"/>
      <c r="X478" s="76"/>
      <c r="Y478" s="76"/>
      <c r="Z478" s="68"/>
      <c r="AA478" s="68"/>
      <c r="AB478" s="68"/>
      <c r="AC478" s="68"/>
      <c r="AD478" s="68"/>
    </row>
    <row r="479" spans="16:30" x14ac:dyDescent="0.2">
      <c r="P479" s="68"/>
      <c r="Q479" s="74"/>
      <c r="R479" s="74"/>
      <c r="S479" s="74"/>
      <c r="T479" s="75"/>
      <c r="U479" s="76"/>
      <c r="V479" s="77"/>
      <c r="W479" s="77"/>
      <c r="X479" s="76"/>
      <c r="Y479" s="76"/>
      <c r="Z479" s="68"/>
      <c r="AA479" s="68"/>
      <c r="AB479" s="68"/>
      <c r="AC479" s="68"/>
      <c r="AD479" s="68"/>
    </row>
    <row r="480" spans="16:30" x14ac:dyDescent="0.2">
      <c r="P480" s="68"/>
      <c r="Q480" s="74"/>
      <c r="R480" s="74"/>
      <c r="S480" s="74"/>
      <c r="T480" s="75"/>
      <c r="U480" s="76"/>
      <c r="V480" s="77"/>
      <c r="W480" s="77"/>
      <c r="X480" s="76"/>
      <c r="Y480" s="76"/>
      <c r="Z480" s="68"/>
      <c r="AA480" s="68"/>
      <c r="AB480" s="68"/>
      <c r="AC480" s="68"/>
      <c r="AD480" s="68"/>
    </row>
    <row r="481" spans="16:30" x14ac:dyDescent="0.2">
      <c r="P481" s="68"/>
      <c r="Q481" s="74"/>
      <c r="R481" s="74"/>
      <c r="S481" s="74"/>
      <c r="T481" s="75"/>
      <c r="U481" s="76"/>
      <c r="V481" s="77"/>
      <c r="W481" s="77"/>
      <c r="X481" s="76"/>
      <c r="Y481" s="76"/>
      <c r="Z481" s="68"/>
      <c r="AA481" s="68"/>
      <c r="AB481" s="68"/>
      <c r="AC481" s="68"/>
      <c r="AD481" s="68"/>
    </row>
    <row r="482" spans="16:30" x14ac:dyDescent="0.2">
      <c r="P482" s="68"/>
      <c r="Q482" s="74"/>
      <c r="R482" s="74"/>
      <c r="S482" s="74"/>
      <c r="T482" s="75"/>
      <c r="U482" s="76"/>
      <c r="V482" s="77"/>
      <c r="W482" s="77"/>
      <c r="X482" s="76"/>
      <c r="Y482" s="76"/>
      <c r="Z482" s="68"/>
      <c r="AA482" s="68"/>
      <c r="AB482" s="68"/>
      <c r="AC482" s="68"/>
      <c r="AD482" s="68"/>
    </row>
    <row r="483" spans="16:30" x14ac:dyDescent="0.2">
      <c r="P483" s="68"/>
      <c r="Q483" s="74"/>
      <c r="R483" s="74"/>
      <c r="S483" s="74"/>
      <c r="T483" s="75"/>
      <c r="U483" s="76"/>
      <c r="V483" s="77"/>
      <c r="W483" s="77"/>
      <c r="X483" s="76"/>
      <c r="Y483" s="76"/>
      <c r="Z483" s="68"/>
      <c r="AA483" s="68"/>
      <c r="AB483" s="68"/>
      <c r="AC483" s="68"/>
      <c r="AD483" s="68"/>
    </row>
    <row r="484" spans="16:30" x14ac:dyDescent="0.2">
      <c r="P484" s="68"/>
      <c r="Q484" s="74"/>
      <c r="R484" s="74"/>
      <c r="S484" s="74"/>
      <c r="T484" s="75"/>
      <c r="U484" s="76"/>
      <c r="V484" s="77"/>
      <c r="W484" s="77"/>
      <c r="X484" s="76"/>
      <c r="Y484" s="76"/>
      <c r="Z484" s="68"/>
      <c r="AA484" s="68"/>
      <c r="AB484" s="68"/>
      <c r="AC484" s="68"/>
      <c r="AD484" s="68"/>
    </row>
    <row r="485" spans="16:30" x14ac:dyDescent="0.2">
      <c r="P485" s="68"/>
      <c r="Q485" s="74"/>
      <c r="R485" s="74"/>
      <c r="S485" s="74"/>
      <c r="T485" s="75"/>
      <c r="U485" s="76"/>
      <c r="V485" s="77"/>
      <c r="W485" s="77"/>
      <c r="X485" s="76"/>
      <c r="Y485" s="76"/>
      <c r="Z485" s="68"/>
      <c r="AA485" s="68"/>
      <c r="AB485" s="68"/>
      <c r="AC485" s="68"/>
      <c r="AD485" s="68"/>
    </row>
    <row r="486" spans="16:30" x14ac:dyDescent="0.2">
      <c r="P486" s="68"/>
      <c r="Q486" s="74"/>
      <c r="R486" s="74"/>
      <c r="S486" s="74"/>
      <c r="T486" s="75"/>
      <c r="U486" s="76"/>
      <c r="V486" s="77"/>
      <c r="W486" s="77"/>
      <c r="X486" s="76"/>
      <c r="Y486" s="76"/>
      <c r="Z486" s="68"/>
      <c r="AA486" s="68"/>
      <c r="AB486" s="68"/>
      <c r="AC486" s="68"/>
      <c r="AD486" s="68"/>
    </row>
    <row r="487" spans="16:30" x14ac:dyDescent="0.2">
      <c r="P487" s="68"/>
      <c r="Q487" s="74"/>
      <c r="R487" s="74"/>
      <c r="S487" s="74"/>
      <c r="T487" s="75"/>
      <c r="U487" s="76"/>
      <c r="V487" s="77"/>
      <c r="W487" s="77"/>
      <c r="X487" s="76"/>
      <c r="Y487" s="76"/>
      <c r="Z487" s="68"/>
      <c r="AA487" s="68"/>
      <c r="AB487" s="68"/>
      <c r="AC487" s="68"/>
      <c r="AD487" s="68"/>
    </row>
    <row r="488" spans="16:30" x14ac:dyDescent="0.2">
      <c r="P488" s="68"/>
      <c r="Q488" s="74"/>
      <c r="R488" s="74"/>
      <c r="S488" s="74"/>
      <c r="T488" s="75"/>
      <c r="U488" s="76"/>
      <c r="V488" s="77"/>
      <c r="W488" s="77"/>
      <c r="X488" s="76"/>
      <c r="Y488" s="76"/>
      <c r="Z488" s="68"/>
      <c r="AA488" s="68"/>
      <c r="AB488" s="68"/>
      <c r="AC488" s="68"/>
      <c r="AD488" s="68"/>
    </row>
    <row r="489" spans="16:30" x14ac:dyDescent="0.2">
      <c r="P489" s="68"/>
      <c r="Q489" s="74"/>
      <c r="R489" s="74"/>
      <c r="S489" s="74"/>
      <c r="T489" s="75"/>
      <c r="U489" s="76"/>
      <c r="V489" s="77"/>
      <c r="W489" s="77"/>
      <c r="X489" s="76"/>
      <c r="Y489" s="76"/>
      <c r="Z489" s="68"/>
      <c r="AA489" s="68"/>
      <c r="AB489" s="68"/>
      <c r="AC489" s="68"/>
      <c r="AD489" s="68"/>
    </row>
    <row r="490" spans="16:30" x14ac:dyDescent="0.2">
      <c r="P490" s="68"/>
      <c r="Q490" s="74"/>
      <c r="R490" s="74"/>
      <c r="S490" s="74"/>
      <c r="T490" s="75"/>
      <c r="U490" s="76"/>
      <c r="V490" s="77"/>
      <c r="W490" s="77"/>
      <c r="X490" s="76"/>
      <c r="Y490" s="76"/>
      <c r="Z490" s="68"/>
      <c r="AA490" s="68"/>
      <c r="AB490" s="68"/>
      <c r="AC490" s="68"/>
      <c r="AD490" s="68"/>
    </row>
    <row r="491" spans="16:30" x14ac:dyDescent="0.2">
      <c r="P491" s="68"/>
      <c r="Q491" s="74"/>
      <c r="R491" s="74"/>
      <c r="S491" s="74"/>
      <c r="T491" s="75"/>
      <c r="U491" s="76"/>
      <c r="V491" s="77"/>
      <c r="W491" s="77"/>
      <c r="X491" s="76"/>
      <c r="Y491" s="76"/>
      <c r="Z491" s="68"/>
      <c r="AA491" s="68"/>
      <c r="AB491" s="68"/>
      <c r="AC491" s="68"/>
      <c r="AD491" s="68"/>
    </row>
    <row r="492" spans="16:30" x14ac:dyDescent="0.2">
      <c r="P492" s="68"/>
      <c r="Q492" s="74"/>
      <c r="R492" s="74"/>
      <c r="S492" s="74"/>
      <c r="T492" s="75"/>
      <c r="U492" s="76"/>
      <c r="V492" s="77"/>
      <c r="W492" s="77"/>
      <c r="X492" s="76"/>
      <c r="Y492" s="76"/>
      <c r="Z492" s="68"/>
      <c r="AA492" s="68"/>
      <c r="AB492" s="68"/>
      <c r="AC492" s="68"/>
      <c r="AD492" s="68"/>
    </row>
    <row r="493" spans="16:30" x14ac:dyDescent="0.2">
      <c r="P493" s="68"/>
      <c r="Q493" s="74"/>
      <c r="R493" s="74"/>
      <c r="S493" s="74"/>
      <c r="T493" s="75"/>
      <c r="U493" s="76"/>
      <c r="V493" s="77"/>
      <c r="W493" s="77"/>
      <c r="X493" s="76"/>
      <c r="Y493" s="76"/>
      <c r="Z493" s="68"/>
      <c r="AA493" s="68"/>
      <c r="AB493" s="68"/>
      <c r="AC493" s="68"/>
      <c r="AD493" s="68"/>
    </row>
    <row r="494" spans="16:30" x14ac:dyDescent="0.2">
      <c r="P494" s="68"/>
      <c r="Q494" s="74"/>
      <c r="R494" s="74"/>
      <c r="S494" s="74"/>
      <c r="T494" s="75"/>
      <c r="U494" s="76"/>
      <c r="V494" s="77"/>
      <c r="W494" s="77"/>
      <c r="X494" s="76"/>
      <c r="Y494" s="76"/>
      <c r="Z494" s="68"/>
      <c r="AA494" s="68"/>
      <c r="AB494" s="68"/>
      <c r="AC494" s="68"/>
      <c r="AD494" s="68"/>
    </row>
    <row r="495" spans="16:30" x14ac:dyDescent="0.2">
      <c r="P495" s="68"/>
      <c r="Q495" s="74"/>
      <c r="R495" s="74"/>
      <c r="S495" s="74"/>
      <c r="T495" s="75"/>
      <c r="U495" s="76"/>
      <c r="V495" s="77"/>
      <c r="W495" s="77"/>
      <c r="X495" s="76"/>
      <c r="Y495" s="76"/>
      <c r="Z495" s="68"/>
      <c r="AA495" s="68"/>
      <c r="AB495" s="68"/>
      <c r="AC495" s="68"/>
      <c r="AD495" s="68"/>
    </row>
    <row r="496" spans="16:30" x14ac:dyDescent="0.2">
      <c r="P496" s="68"/>
      <c r="Q496" s="74"/>
      <c r="R496" s="74"/>
      <c r="S496" s="74"/>
      <c r="T496" s="75"/>
      <c r="U496" s="76"/>
      <c r="V496" s="77"/>
      <c r="W496" s="77"/>
      <c r="X496" s="76"/>
      <c r="Y496" s="76"/>
      <c r="Z496" s="68"/>
      <c r="AA496" s="68"/>
      <c r="AB496" s="68"/>
      <c r="AC496" s="68"/>
      <c r="AD496" s="68"/>
    </row>
    <row r="497" spans="16:30" x14ac:dyDescent="0.2">
      <c r="P497" s="68"/>
      <c r="Q497" s="74"/>
      <c r="R497" s="74"/>
      <c r="S497" s="74"/>
      <c r="T497" s="75"/>
      <c r="U497" s="76"/>
      <c r="V497" s="77"/>
      <c r="W497" s="77"/>
      <c r="X497" s="76"/>
      <c r="Y497" s="76"/>
      <c r="Z497" s="68"/>
      <c r="AA497" s="68"/>
      <c r="AB497" s="68"/>
      <c r="AC497" s="68"/>
      <c r="AD497" s="68"/>
    </row>
    <row r="498" spans="16:30" x14ac:dyDescent="0.2">
      <c r="P498" s="68"/>
      <c r="Q498" s="74"/>
      <c r="R498" s="74"/>
      <c r="S498" s="74"/>
      <c r="T498" s="75"/>
      <c r="U498" s="76"/>
      <c r="V498" s="77"/>
      <c r="W498" s="77"/>
      <c r="X498" s="76"/>
      <c r="Y498" s="76"/>
      <c r="Z498" s="68"/>
      <c r="AA498" s="68"/>
      <c r="AB498" s="68"/>
      <c r="AC498" s="68"/>
      <c r="AD498" s="68"/>
    </row>
    <row r="499" spans="16:30" x14ac:dyDescent="0.2">
      <c r="P499" s="68"/>
      <c r="Q499" s="74"/>
      <c r="R499" s="74"/>
      <c r="S499" s="74"/>
      <c r="T499" s="75"/>
      <c r="U499" s="76"/>
      <c r="V499" s="77"/>
      <c r="W499" s="77"/>
      <c r="X499" s="76"/>
      <c r="Y499" s="76"/>
      <c r="Z499" s="68"/>
      <c r="AA499" s="68"/>
      <c r="AB499" s="68"/>
      <c r="AC499" s="68"/>
      <c r="AD499" s="68"/>
    </row>
    <row r="500" spans="16:30" x14ac:dyDescent="0.2">
      <c r="P500" s="68"/>
      <c r="Q500" s="74"/>
      <c r="R500" s="74"/>
      <c r="S500" s="74"/>
      <c r="T500" s="75"/>
      <c r="U500" s="76"/>
      <c r="V500" s="77"/>
      <c r="W500" s="77"/>
      <c r="X500" s="76"/>
      <c r="Y500" s="76"/>
      <c r="Z500" s="68"/>
      <c r="AA500" s="68"/>
      <c r="AB500" s="68"/>
      <c r="AC500" s="68"/>
      <c r="AD500" s="68"/>
    </row>
    <row r="501" spans="16:30" x14ac:dyDescent="0.2">
      <c r="P501" s="68"/>
      <c r="Q501" s="74"/>
      <c r="R501" s="74"/>
      <c r="S501" s="74"/>
      <c r="T501" s="75"/>
      <c r="U501" s="76"/>
      <c r="V501" s="77"/>
      <c r="W501" s="77"/>
      <c r="X501" s="76"/>
      <c r="Y501" s="76"/>
      <c r="Z501" s="68"/>
      <c r="AA501" s="68"/>
      <c r="AB501" s="68"/>
      <c r="AC501" s="68"/>
      <c r="AD501" s="68"/>
    </row>
    <row r="502" spans="16:30" x14ac:dyDescent="0.2">
      <c r="P502" s="68"/>
      <c r="Q502" s="74"/>
      <c r="R502" s="74"/>
      <c r="S502" s="74"/>
      <c r="T502" s="75"/>
      <c r="U502" s="76"/>
      <c r="V502" s="77"/>
      <c r="W502" s="77"/>
      <c r="X502" s="76"/>
      <c r="Y502" s="76"/>
      <c r="Z502" s="68"/>
      <c r="AA502" s="68"/>
      <c r="AB502" s="68"/>
      <c r="AC502" s="68"/>
      <c r="AD502" s="68"/>
    </row>
    <row r="503" spans="16:30" x14ac:dyDescent="0.2">
      <c r="P503" s="68"/>
      <c r="Q503" s="74"/>
      <c r="R503" s="74"/>
      <c r="S503" s="74"/>
      <c r="T503" s="75"/>
      <c r="U503" s="76"/>
      <c r="V503" s="77"/>
      <c r="W503" s="77"/>
      <c r="X503" s="76"/>
      <c r="Y503" s="76"/>
      <c r="Z503" s="68"/>
      <c r="AA503" s="68"/>
      <c r="AB503" s="68"/>
      <c r="AC503" s="68"/>
      <c r="AD503" s="68"/>
    </row>
    <row r="504" spans="16:30" x14ac:dyDescent="0.2">
      <c r="P504" s="68"/>
      <c r="Q504" s="74"/>
      <c r="R504" s="74"/>
      <c r="S504" s="74"/>
      <c r="T504" s="75"/>
      <c r="U504" s="76"/>
      <c r="V504" s="77"/>
      <c r="W504" s="77"/>
      <c r="X504" s="76"/>
      <c r="Y504" s="76"/>
      <c r="Z504" s="68"/>
      <c r="AA504" s="68"/>
      <c r="AB504" s="68"/>
      <c r="AC504" s="68"/>
      <c r="AD504" s="68"/>
    </row>
    <row r="505" spans="16:30" x14ac:dyDescent="0.2">
      <c r="P505" s="68"/>
      <c r="Q505" s="74"/>
      <c r="R505" s="74"/>
      <c r="S505" s="74"/>
      <c r="T505" s="75"/>
      <c r="U505" s="76"/>
      <c r="V505" s="77"/>
      <c r="W505" s="77"/>
      <c r="X505" s="76"/>
      <c r="Y505" s="76"/>
      <c r="Z505" s="68"/>
      <c r="AA505" s="68"/>
      <c r="AB505" s="68"/>
      <c r="AC505" s="68"/>
      <c r="AD505" s="68"/>
    </row>
    <row r="506" spans="16:30" x14ac:dyDescent="0.2">
      <c r="P506" s="68"/>
      <c r="Q506" s="74"/>
      <c r="R506" s="74"/>
      <c r="S506" s="74"/>
      <c r="T506" s="75"/>
      <c r="U506" s="76"/>
      <c r="V506" s="77"/>
      <c r="W506" s="77"/>
      <c r="X506" s="76"/>
      <c r="Y506" s="76"/>
      <c r="Z506" s="68"/>
      <c r="AA506" s="68"/>
      <c r="AB506" s="68"/>
      <c r="AC506" s="68"/>
      <c r="AD506" s="68"/>
    </row>
    <row r="507" spans="16:30" x14ac:dyDescent="0.2">
      <c r="P507" s="68"/>
      <c r="Q507" s="74"/>
      <c r="R507" s="74"/>
      <c r="S507" s="74"/>
      <c r="T507" s="75"/>
      <c r="U507" s="76"/>
      <c r="V507" s="77"/>
      <c r="W507" s="77"/>
      <c r="X507" s="76"/>
      <c r="Y507" s="76"/>
      <c r="Z507" s="68"/>
      <c r="AA507" s="68"/>
      <c r="AB507" s="68"/>
      <c r="AC507" s="68"/>
      <c r="AD507" s="68"/>
    </row>
    <row r="508" spans="16:30" x14ac:dyDescent="0.2">
      <c r="P508" s="68"/>
      <c r="Q508" s="74"/>
      <c r="R508" s="74"/>
      <c r="S508" s="74"/>
      <c r="T508" s="75"/>
      <c r="U508" s="76"/>
      <c r="V508" s="77"/>
      <c r="W508" s="77"/>
      <c r="X508" s="76"/>
      <c r="Y508" s="76"/>
      <c r="Z508" s="68"/>
      <c r="AA508" s="68"/>
      <c r="AB508" s="68"/>
      <c r="AC508" s="68"/>
      <c r="AD508" s="68"/>
    </row>
    <row r="509" spans="16:30" x14ac:dyDescent="0.2">
      <c r="P509" s="68"/>
      <c r="Q509" s="74"/>
      <c r="R509" s="74"/>
      <c r="S509" s="74"/>
      <c r="T509" s="75"/>
      <c r="U509" s="76"/>
      <c r="V509" s="77"/>
      <c r="W509" s="77"/>
      <c r="X509" s="76"/>
      <c r="Y509" s="76"/>
      <c r="Z509" s="68"/>
      <c r="AA509" s="68"/>
      <c r="AB509" s="68"/>
      <c r="AC509" s="68"/>
      <c r="AD509" s="68"/>
    </row>
    <row r="510" spans="16:30" x14ac:dyDescent="0.2">
      <c r="P510" s="68"/>
      <c r="Q510" s="74"/>
      <c r="R510" s="74"/>
      <c r="S510" s="74"/>
      <c r="T510" s="75"/>
      <c r="U510" s="76"/>
      <c r="V510" s="77"/>
      <c r="W510" s="77"/>
      <c r="X510" s="76"/>
      <c r="Y510" s="76"/>
      <c r="Z510" s="68"/>
      <c r="AA510" s="68"/>
      <c r="AB510" s="68"/>
      <c r="AC510" s="68"/>
      <c r="AD510" s="68"/>
    </row>
    <row r="511" spans="16:30" x14ac:dyDescent="0.2">
      <c r="P511" s="68"/>
      <c r="Q511" s="74"/>
      <c r="R511" s="74"/>
      <c r="S511" s="74"/>
      <c r="T511" s="75"/>
      <c r="U511" s="76"/>
      <c r="V511" s="77"/>
      <c r="W511" s="77"/>
      <c r="X511" s="76"/>
      <c r="Y511" s="76"/>
      <c r="Z511" s="68"/>
      <c r="AA511" s="68"/>
      <c r="AB511" s="68"/>
      <c r="AC511" s="68"/>
      <c r="AD511" s="68"/>
    </row>
    <row r="512" spans="16:30" x14ac:dyDescent="0.2">
      <c r="P512" s="68"/>
      <c r="Q512" s="74"/>
      <c r="R512" s="74"/>
      <c r="S512" s="74"/>
      <c r="T512" s="75"/>
      <c r="U512" s="76"/>
      <c r="V512" s="77"/>
      <c r="W512" s="77"/>
      <c r="X512" s="76"/>
      <c r="Y512" s="76"/>
      <c r="Z512" s="68"/>
      <c r="AA512" s="68"/>
      <c r="AB512" s="68"/>
      <c r="AC512" s="68"/>
      <c r="AD512" s="68"/>
    </row>
    <row r="513" spans="16:30" x14ac:dyDescent="0.2">
      <c r="P513" s="68"/>
      <c r="Q513" s="74"/>
      <c r="R513" s="74"/>
      <c r="S513" s="74"/>
      <c r="T513" s="75"/>
      <c r="U513" s="76"/>
      <c r="V513" s="77"/>
      <c r="W513" s="77"/>
      <c r="X513" s="76"/>
      <c r="Y513" s="76"/>
      <c r="Z513" s="68"/>
      <c r="AA513" s="68"/>
      <c r="AB513" s="68"/>
      <c r="AC513" s="68"/>
      <c r="AD513" s="68"/>
    </row>
    <row r="514" spans="16:30" x14ac:dyDescent="0.2">
      <c r="P514" s="68"/>
      <c r="Q514" s="74"/>
      <c r="R514" s="74"/>
      <c r="S514" s="74"/>
      <c r="T514" s="75"/>
      <c r="U514" s="76"/>
      <c r="V514" s="77"/>
      <c r="W514" s="77"/>
      <c r="X514" s="76"/>
      <c r="Y514" s="76"/>
      <c r="Z514" s="68"/>
      <c r="AA514" s="68"/>
      <c r="AB514" s="68"/>
      <c r="AC514" s="68"/>
      <c r="AD514" s="68"/>
    </row>
    <row r="515" spans="16:30" x14ac:dyDescent="0.2">
      <c r="P515" s="68"/>
      <c r="Q515" s="74"/>
      <c r="R515" s="74"/>
      <c r="S515" s="74"/>
      <c r="T515" s="75"/>
      <c r="U515" s="76"/>
      <c r="V515" s="77"/>
      <c r="W515" s="77"/>
      <c r="X515" s="76"/>
      <c r="Y515" s="76"/>
      <c r="Z515" s="68"/>
      <c r="AA515" s="68"/>
      <c r="AB515" s="68"/>
      <c r="AC515" s="68"/>
      <c r="AD515" s="68"/>
    </row>
    <row r="516" spans="16:30" x14ac:dyDescent="0.2">
      <c r="P516" s="68"/>
      <c r="Q516" s="74"/>
      <c r="R516" s="74"/>
      <c r="S516" s="74"/>
      <c r="T516" s="75"/>
      <c r="U516" s="76"/>
      <c r="V516" s="77"/>
      <c r="W516" s="77"/>
      <c r="X516" s="76"/>
      <c r="Y516" s="76"/>
      <c r="Z516" s="68"/>
      <c r="AA516" s="68"/>
      <c r="AB516" s="68"/>
      <c r="AC516" s="68"/>
      <c r="AD516" s="68"/>
    </row>
    <row r="517" spans="16:30" x14ac:dyDescent="0.2">
      <c r="P517" s="68"/>
      <c r="Q517" s="74"/>
      <c r="R517" s="74"/>
      <c r="S517" s="74"/>
      <c r="T517" s="75"/>
      <c r="U517" s="76"/>
      <c r="V517" s="77"/>
      <c r="W517" s="77"/>
      <c r="X517" s="76"/>
      <c r="Y517" s="76"/>
      <c r="Z517" s="68"/>
      <c r="AA517" s="68"/>
      <c r="AB517" s="68"/>
      <c r="AC517" s="68"/>
      <c r="AD517" s="68"/>
    </row>
    <row r="518" spans="16:30" x14ac:dyDescent="0.2">
      <c r="P518" s="68"/>
      <c r="Q518" s="74"/>
      <c r="R518" s="74"/>
      <c r="S518" s="74"/>
      <c r="T518" s="75"/>
      <c r="U518" s="76"/>
      <c r="V518" s="77"/>
      <c r="W518" s="77"/>
      <c r="X518" s="76"/>
      <c r="Y518" s="76"/>
      <c r="Z518" s="68"/>
      <c r="AA518" s="68"/>
      <c r="AB518" s="68"/>
      <c r="AC518" s="68"/>
      <c r="AD518" s="68"/>
    </row>
    <row r="519" spans="16:30" x14ac:dyDescent="0.2">
      <c r="P519" s="68"/>
      <c r="Q519" s="74"/>
      <c r="R519" s="74"/>
      <c r="S519" s="74"/>
      <c r="T519" s="75"/>
      <c r="U519" s="76"/>
      <c r="V519" s="77"/>
      <c r="W519" s="77"/>
      <c r="X519" s="76"/>
      <c r="Y519" s="76"/>
      <c r="Z519" s="68"/>
      <c r="AA519" s="68"/>
      <c r="AB519" s="68"/>
      <c r="AC519" s="68"/>
      <c r="AD519" s="68"/>
    </row>
    <row r="520" spans="16:30" x14ac:dyDescent="0.2">
      <c r="P520" s="68"/>
      <c r="Q520" s="74"/>
      <c r="R520" s="74"/>
      <c r="S520" s="74"/>
      <c r="T520" s="75"/>
      <c r="U520" s="76"/>
      <c r="V520" s="77"/>
      <c r="W520" s="77"/>
      <c r="X520" s="76"/>
      <c r="Y520" s="76"/>
      <c r="Z520" s="68"/>
      <c r="AA520" s="68"/>
      <c r="AB520" s="68"/>
      <c r="AC520" s="68"/>
      <c r="AD520" s="68"/>
    </row>
    <row r="521" spans="16:30" x14ac:dyDescent="0.2">
      <c r="P521" s="68"/>
      <c r="Q521" s="74"/>
      <c r="R521" s="74"/>
      <c r="S521" s="74"/>
      <c r="T521" s="75"/>
      <c r="U521" s="76"/>
      <c r="V521" s="77"/>
      <c r="W521" s="77"/>
      <c r="X521" s="76"/>
      <c r="Y521" s="76"/>
      <c r="Z521" s="68"/>
      <c r="AA521" s="68"/>
      <c r="AB521" s="68"/>
      <c r="AC521" s="68"/>
      <c r="AD521" s="68"/>
    </row>
    <row r="522" spans="16:30" x14ac:dyDescent="0.2">
      <c r="P522" s="68"/>
      <c r="Q522" s="74"/>
      <c r="R522" s="74"/>
      <c r="S522" s="74"/>
      <c r="T522" s="75"/>
      <c r="U522" s="76"/>
      <c r="V522" s="77"/>
      <c r="W522" s="77"/>
      <c r="X522" s="76"/>
      <c r="Y522" s="76"/>
      <c r="Z522" s="68"/>
      <c r="AA522" s="68"/>
      <c r="AB522" s="68"/>
      <c r="AC522" s="68"/>
      <c r="AD522" s="68"/>
    </row>
    <row r="523" spans="16:30" x14ac:dyDescent="0.2">
      <c r="P523" s="68"/>
      <c r="Q523" s="74"/>
      <c r="R523" s="74"/>
      <c r="S523" s="74"/>
      <c r="T523" s="75"/>
      <c r="U523" s="76"/>
      <c r="V523" s="77"/>
      <c r="W523" s="77"/>
      <c r="X523" s="76"/>
      <c r="Y523" s="76"/>
      <c r="Z523" s="68"/>
      <c r="AA523" s="68"/>
      <c r="AB523" s="68"/>
      <c r="AC523" s="68"/>
      <c r="AD523" s="68"/>
    </row>
    <row r="524" spans="16:30" x14ac:dyDescent="0.2">
      <c r="P524" s="68"/>
      <c r="Q524" s="74"/>
      <c r="R524" s="74"/>
      <c r="S524" s="74"/>
      <c r="T524" s="75"/>
      <c r="U524" s="76"/>
      <c r="V524" s="77"/>
      <c r="W524" s="77"/>
      <c r="X524" s="76"/>
      <c r="Y524" s="76"/>
      <c r="Z524" s="68"/>
      <c r="AA524" s="68"/>
      <c r="AB524" s="68"/>
      <c r="AC524" s="68"/>
      <c r="AD524" s="68"/>
    </row>
    <row r="525" spans="16:30" x14ac:dyDescent="0.2">
      <c r="P525" s="68"/>
      <c r="Q525" s="74"/>
      <c r="R525" s="74"/>
      <c r="S525" s="74"/>
      <c r="T525" s="75"/>
      <c r="U525" s="76"/>
      <c r="V525" s="77"/>
      <c r="W525" s="77"/>
      <c r="X525" s="76"/>
      <c r="Y525" s="76"/>
      <c r="Z525" s="68"/>
      <c r="AA525" s="68"/>
      <c r="AB525" s="68"/>
      <c r="AC525" s="68"/>
      <c r="AD525" s="68"/>
    </row>
    <row r="526" spans="16:30" x14ac:dyDescent="0.2">
      <c r="P526" s="68"/>
      <c r="Q526" s="74"/>
      <c r="R526" s="74"/>
      <c r="S526" s="74"/>
      <c r="T526" s="75"/>
      <c r="U526" s="76"/>
      <c r="V526" s="77"/>
      <c r="W526" s="77"/>
      <c r="X526" s="76"/>
      <c r="Y526" s="76"/>
      <c r="Z526" s="68"/>
      <c r="AA526" s="68"/>
      <c r="AB526" s="68"/>
      <c r="AC526" s="68"/>
      <c r="AD526" s="68"/>
    </row>
    <row r="527" spans="16:30" x14ac:dyDescent="0.2">
      <c r="P527" s="68"/>
      <c r="Q527" s="74"/>
      <c r="R527" s="74"/>
      <c r="S527" s="74"/>
      <c r="T527" s="75"/>
      <c r="U527" s="76"/>
      <c r="V527" s="77"/>
      <c r="W527" s="77"/>
      <c r="X527" s="76"/>
      <c r="Y527" s="76"/>
      <c r="Z527" s="68"/>
      <c r="AA527" s="68"/>
      <c r="AB527" s="68"/>
      <c r="AC527" s="68"/>
      <c r="AD527" s="68"/>
    </row>
    <row r="528" spans="16:30" x14ac:dyDescent="0.2">
      <c r="P528" s="68"/>
      <c r="Q528" s="74"/>
      <c r="R528" s="74"/>
      <c r="S528" s="74"/>
      <c r="T528" s="75"/>
      <c r="U528" s="76"/>
      <c r="V528" s="77"/>
      <c r="W528" s="77"/>
      <c r="X528" s="76"/>
      <c r="Y528" s="76"/>
      <c r="Z528" s="68"/>
      <c r="AA528" s="68"/>
      <c r="AB528" s="68"/>
      <c r="AC528" s="68"/>
      <c r="AD528" s="68"/>
    </row>
    <row r="529" spans="16:30" x14ac:dyDescent="0.2">
      <c r="P529" s="68"/>
      <c r="Q529" s="74"/>
      <c r="R529" s="74"/>
      <c r="S529" s="74"/>
      <c r="T529" s="75"/>
      <c r="U529" s="76"/>
      <c r="V529" s="77"/>
      <c r="W529" s="77"/>
      <c r="X529" s="76"/>
      <c r="Y529" s="76"/>
      <c r="Z529" s="68"/>
      <c r="AA529" s="68"/>
      <c r="AB529" s="68"/>
      <c r="AC529" s="68"/>
      <c r="AD529" s="68"/>
    </row>
    <row r="530" spans="16:30" x14ac:dyDescent="0.2">
      <c r="P530" s="68"/>
      <c r="Q530" s="74"/>
      <c r="R530" s="74"/>
      <c r="S530" s="74"/>
      <c r="T530" s="75"/>
      <c r="U530" s="76"/>
      <c r="V530" s="77"/>
      <c r="W530" s="77"/>
      <c r="X530" s="76"/>
      <c r="Y530" s="76"/>
      <c r="Z530" s="68"/>
      <c r="AA530" s="68"/>
      <c r="AB530" s="68"/>
      <c r="AC530" s="68"/>
      <c r="AD530" s="68"/>
    </row>
    <row r="531" spans="16:30" x14ac:dyDescent="0.2">
      <c r="P531" s="68"/>
      <c r="Q531" s="74"/>
      <c r="R531" s="74"/>
      <c r="S531" s="74"/>
      <c r="T531" s="75"/>
      <c r="U531" s="76"/>
      <c r="V531" s="77"/>
      <c r="W531" s="77"/>
      <c r="X531" s="76"/>
      <c r="Y531" s="76"/>
      <c r="Z531" s="68"/>
      <c r="AA531" s="68"/>
      <c r="AB531" s="68"/>
      <c r="AC531" s="68"/>
      <c r="AD531" s="68"/>
    </row>
    <row r="532" spans="16:30" x14ac:dyDescent="0.2">
      <c r="P532" s="68"/>
      <c r="Q532" s="74"/>
      <c r="R532" s="74"/>
      <c r="S532" s="74"/>
      <c r="T532" s="75"/>
      <c r="U532" s="76"/>
      <c r="V532" s="77"/>
      <c r="W532" s="77"/>
      <c r="X532" s="76"/>
      <c r="Y532" s="76"/>
      <c r="Z532" s="68"/>
      <c r="AA532" s="68"/>
      <c r="AB532" s="68"/>
      <c r="AC532" s="68"/>
      <c r="AD532" s="68"/>
    </row>
    <row r="533" spans="16:30" x14ac:dyDescent="0.2">
      <c r="P533" s="68"/>
      <c r="Q533" s="74"/>
      <c r="R533" s="74"/>
      <c r="S533" s="74"/>
      <c r="T533" s="75"/>
      <c r="U533" s="76"/>
      <c r="V533" s="77"/>
      <c r="W533" s="77"/>
      <c r="X533" s="76"/>
      <c r="Y533" s="76"/>
      <c r="Z533" s="68"/>
      <c r="AA533" s="68"/>
      <c r="AB533" s="68"/>
      <c r="AC533" s="68"/>
      <c r="AD533" s="68"/>
    </row>
    <row r="534" spans="16:30" x14ac:dyDescent="0.2">
      <c r="P534" s="68"/>
      <c r="Q534" s="74"/>
      <c r="R534" s="74"/>
      <c r="S534" s="74"/>
      <c r="T534" s="75"/>
      <c r="U534" s="76"/>
      <c r="V534" s="77"/>
      <c r="W534" s="77"/>
      <c r="X534" s="76"/>
      <c r="Y534" s="76"/>
      <c r="Z534" s="68"/>
      <c r="AA534" s="68"/>
      <c r="AB534" s="68"/>
      <c r="AC534" s="68"/>
      <c r="AD534" s="68"/>
    </row>
    <row r="535" spans="16:30" x14ac:dyDescent="0.2">
      <c r="P535" s="68"/>
      <c r="Q535" s="74"/>
      <c r="R535" s="74"/>
      <c r="S535" s="74"/>
      <c r="T535" s="75"/>
      <c r="U535" s="76"/>
      <c r="V535" s="77"/>
      <c r="W535" s="77"/>
      <c r="X535" s="76"/>
      <c r="Y535" s="76"/>
      <c r="Z535" s="68"/>
      <c r="AA535" s="68"/>
      <c r="AB535" s="68"/>
      <c r="AC535" s="68"/>
      <c r="AD535" s="68"/>
    </row>
    <row r="536" spans="16:30" x14ac:dyDescent="0.2">
      <c r="P536" s="68"/>
      <c r="Q536" s="74"/>
      <c r="R536" s="74"/>
      <c r="S536" s="74"/>
      <c r="T536" s="75"/>
      <c r="U536" s="76"/>
      <c r="V536" s="77"/>
      <c r="W536" s="77"/>
      <c r="X536" s="76"/>
      <c r="Y536" s="76"/>
      <c r="Z536" s="68"/>
      <c r="AA536" s="68"/>
      <c r="AB536" s="68"/>
      <c r="AC536" s="68"/>
      <c r="AD536" s="68"/>
    </row>
    <row r="537" spans="16:30" x14ac:dyDescent="0.2">
      <c r="P537" s="68"/>
      <c r="Q537" s="74"/>
      <c r="R537" s="74"/>
      <c r="S537" s="74"/>
      <c r="T537" s="75"/>
      <c r="U537" s="76"/>
      <c r="V537" s="77"/>
      <c r="W537" s="77"/>
      <c r="X537" s="76"/>
      <c r="Y537" s="76"/>
      <c r="Z537" s="68"/>
      <c r="AA537" s="68"/>
      <c r="AB537" s="68"/>
      <c r="AC537" s="68"/>
      <c r="AD537" s="68"/>
    </row>
    <row r="538" spans="16:30" x14ac:dyDescent="0.2">
      <c r="P538" s="68"/>
      <c r="Q538" s="74"/>
      <c r="R538" s="74"/>
      <c r="S538" s="74"/>
      <c r="T538" s="75"/>
      <c r="U538" s="76"/>
      <c r="V538" s="77"/>
      <c r="W538" s="77"/>
      <c r="X538" s="76"/>
      <c r="Y538" s="76"/>
      <c r="Z538" s="68"/>
      <c r="AA538" s="68"/>
      <c r="AB538" s="68"/>
      <c r="AC538" s="68"/>
      <c r="AD538" s="68"/>
    </row>
    <row r="539" spans="16:30" x14ac:dyDescent="0.2">
      <c r="P539" s="68"/>
      <c r="Q539" s="74"/>
      <c r="R539" s="74"/>
      <c r="S539" s="74"/>
      <c r="T539" s="75"/>
      <c r="U539" s="76"/>
      <c r="V539" s="77"/>
      <c r="W539" s="77"/>
      <c r="X539" s="76"/>
      <c r="Y539" s="76"/>
      <c r="Z539" s="68"/>
      <c r="AA539" s="68"/>
      <c r="AB539" s="68"/>
      <c r="AC539" s="68"/>
      <c r="AD539" s="68"/>
    </row>
    <row r="540" spans="16:30" x14ac:dyDescent="0.2">
      <c r="P540" s="68"/>
      <c r="Q540" s="74"/>
      <c r="R540" s="74"/>
      <c r="S540" s="74"/>
      <c r="T540" s="75"/>
      <c r="U540" s="76"/>
      <c r="V540" s="77"/>
      <c r="W540" s="77"/>
      <c r="X540" s="76"/>
      <c r="Y540" s="76"/>
      <c r="Z540" s="68"/>
      <c r="AA540" s="68"/>
      <c r="AB540" s="68"/>
      <c r="AC540" s="68"/>
      <c r="AD540" s="68"/>
    </row>
    <row r="541" spans="16:30" x14ac:dyDescent="0.2">
      <c r="P541" s="68"/>
      <c r="Q541" s="74"/>
      <c r="R541" s="74"/>
      <c r="S541" s="74"/>
      <c r="T541" s="75"/>
      <c r="U541" s="76"/>
      <c r="V541" s="77"/>
      <c r="W541" s="77"/>
      <c r="X541" s="76"/>
      <c r="Y541" s="76"/>
      <c r="Z541" s="68"/>
      <c r="AA541" s="68"/>
      <c r="AB541" s="68"/>
      <c r="AC541" s="68"/>
      <c r="AD541" s="68"/>
    </row>
    <row r="542" spans="16:30" x14ac:dyDescent="0.2">
      <c r="P542" s="68"/>
      <c r="Q542" s="74"/>
      <c r="R542" s="74"/>
      <c r="S542" s="74"/>
      <c r="T542" s="75"/>
      <c r="U542" s="76"/>
      <c r="V542" s="77"/>
      <c r="W542" s="77"/>
      <c r="X542" s="76"/>
      <c r="Y542" s="76"/>
      <c r="Z542" s="68"/>
      <c r="AA542" s="68"/>
      <c r="AB542" s="68"/>
      <c r="AC542" s="68"/>
      <c r="AD542" s="68"/>
    </row>
    <row r="543" spans="16:30" x14ac:dyDescent="0.2">
      <c r="P543" s="68"/>
      <c r="Q543" s="74"/>
      <c r="R543" s="74"/>
      <c r="S543" s="74"/>
      <c r="T543" s="75"/>
      <c r="U543" s="76"/>
      <c r="V543" s="77"/>
      <c r="W543" s="77"/>
      <c r="X543" s="76"/>
      <c r="Y543" s="76"/>
      <c r="Z543" s="68"/>
      <c r="AA543" s="68"/>
      <c r="AB543" s="68"/>
      <c r="AC543" s="68"/>
      <c r="AD543" s="68"/>
    </row>
    <row r="544" spans="16:30" x14ac:dyDescent="0.2">
      <c r="P544" s="68"/>
      <c r="Q544" s="74"/>
      <c r="R544" s="74"/>
      <c r="S544" s="74"/>
      <c r="T544" s="75"/>
      <c r="U544" s="76"/>
      <c r="V544" s="77"/>
      <c r="W544" s="77"/>
      <c r="X544" s="76"/>
      <c r="Y544" s="76"/>
      <c r="Z544" s="68"/>
      <c r="AA544" s="68"/>
      <c r="AB544" s="68"/>
      <c r="AC544" s="68"/>
      <c r="AD544" s="68"/>
    </row>
    <row r="545" spans="16:30" x14ac:dyDescent="0.2">
      <c r="P545" s="68"/>
      <c r="Q545" s="74"/>
      <c r="R545" s="74"/>
      <c r="S545" s="74"/>
      <c r="T545" s="75"/>
      <c r="U545" s="76"/>
      <c r="V545" s="77"/>
      <c r="W545" s="77"/>
      <c r="X545" s="76"/>
      <c r="Y545" s="76"/>
      <c r="Z545" s="68"/>
      <c r="AA545" s="68"/>
      <c r="AB545" s="68"/>
      <c r="AC545" s="68"/>
      <c r="AD545" s="68"/>
    </row>
    <row r="546" spans="16:30" x14ac:dyDescent="0.2">
      <c r="P546" s="68"/>
      <c r="Q546" s="74"/>
      <c r="R546" s="74"/>
      <c r="S546" s="74"/>
      <c r="T546" s="75"/>
      <c r="U546" s="76"/>
      <c r="V546" s="77"/>
      <c r="W546" s="77"/>
      <c r="X546" s="76"/>
      <c r="Y546" s="76"/>
      <c r="Z546" s="68"/>
      <c r="AA546" s="68"/>
      <c r="AB546" s="68"/>
      <c r="AC546" s="68"/>
      <c r="AD546" s="68"/>
    </row>
    <row r="547" spans="16:30" x14ac:dyDescent="0.2">
      <c r="P547" s="68"/>
      <c r="Q547" s="74"/>
      <c r="R547" s="74"/>
      <c r="S547" s="74"/>
      <c r="T547" s="75"/>
      <c r="U547" s="76"/>
      <c r="V547" s="77"/>
      <c r="W547" s="77"/>
      <c r="X547" s="76"/>
      <c r="Y547" s="76"/>
      <c r="Z547" s="68"/>
      <c r="AA547" s="68"/>
      <c r="AB547" s="68"/>
      <c r="AC547" s="68"/>
      <c r="AD547" s="68"/>
    </row>
    <row r="548" spans="16:30" x14ac:dyDescent="0.2">
      <c r="P548" s="68"/>
      <c r="Q548" s="74"/>
      <c r="R548" s="74"/>
      <c r="S548" s="74"/>
      <c r="T548" s="75"/>
      <c r="U548" s="76"/>
      <c r="V548" s="77"/>
      <c r="W548" s="77"/>
      <c r="X548" s="76"/>
      <c r="Y548" s="76"/>
      <c r="Z548" s="68"/>
      <c r="AA548" s="68"/>
      <c r="AB548" s="68"/>
      <c r="AC548" s="68"/>
      <c r="AD548" s="68"/>
    </row>
    <row r="549" spans="16:30" x14ac:dyDescent="0.2">
      <c r="P549" s="68"/>
      <c r="Q549" s="74"/>
      <c r="R549" s="74"/>
      <c r="S549" s="74"/>
      <c r="T549" s="75"/>
      <c r="U549" s="76"/>
      <c r="V549" s="77"/>
      <c r="W549" s="77"/>
      <c r="X549" s="76"/>
      <c r="Y549" s="76"/>
      <c r="Z549" s="68"/>
      <c r="AA549" s="68"/>
      <c r="AB549" s="68"/>
      <c r="AC549" s="68"/>
      <c r="AD549" s="68"/>
    </row>
    <row r="550" spans="16:30" x14ac:dyDescent="0.2">
      <c r="P550" s="68"/>
      <c r="Q550" s="74"/>
      <c r="R550" s="74"/>
      <c r="S550" s="74"/>
      <c r="T550" s="75"/>
      <c r="U550" s="76"/>
      <c r="V550" s="77"/>
      <c r="W550" s="77"/>
      <c r="X550" s="76"/>
      <c r="Y550" s="76"/>
      <c r="Z550" s="68"/>
      <c r="AA550" s="68"/>
      <c r="AB550" s="68"/>
      <c r="AC550" s="68"/>
      <c r="AD550" s="68"/>
    </row>
    <row r="551" spans="16:30" x14ac:dyDescent="0.2">
      <c r="P551" s="68"/>
      <c r="Q551" s="74"/>
      <c r="R551" s="74"/>
      <c r="S551" s="74"/>
      <c r="T551" s="75"/>
      <c r="U551" s="76"/>
      <c r="V551" s="77"/>
      <c r="W551" s="77"/>
      <c r="X551" s="76"/>
      <c r="Y551" s="76"/>
      <c r="Z551" s="68"/>
      <c r="AA551" s="68"/>
      <c r="AB551" s="68"/>
      <c r="AC551" s="68"/>
      <c r="AD551" s="68"/>
    </row>
    <row r="552" spans="16:30" x14ac:dyDescent="0.2">
      <c r="P552" s="68"/>
      <c r="Q552" s="74"/>
      <c r="R552" s="74"/>
      <c r="S552" s="74"/>
      <c r="T552" s="75"/>
      <c r="U552" s="76"/>
      <c r="V552" s="77"/>
      <c r="W552" s="77"/>
      <c r="X552" s="76"/>
      <c r="Y552" s="76"/>
      <c r="Z552" s="68"/>
      <c r="AA552" s="68"/>
      <c r="AB552" s="68"/>
      <c r="AC552" s="68"/>
      <c r="AD552" s="68"/>
    </row>
    <row r="553" spans="16:30" x14ac:dyDescent="0.2">
      <c r="P553" s="68"/>
      <c r="Q553" s="74"/>
      <c r="R553" s="74"/>
      <c r="S553" s="74"/>
      <c r="T553" s="75"/>
      <c r="U553" s="76"/>
      <c r="V553" s="77"/>
      <c r="W553" s="77"/>
      <c r="X553" s="76"/>
      <c r="Y553" s="76"/>
      <c r="Z553" s="68"/>
      <c r="AA553" s="68"/>
      <c r="AB553" s="68"/>
      <c r="AC553" s="68"/>
      <c r="AD553" s="68"/>
    </row>
    <row r="554" spans="16:30" x14ac:dyDescent="0.2">
      <c r="P554" s="68"/>
      <c r="Q554" s="74"/>
      <c r="R554" s="74"/>
      <c r="S554" s="74"/>
      <c r="T554" s="75"/>
      <c r="U554" s="76"/>
      <c r="V554" s="77"/>
      <c r="W554" s="77"/>
      <c r="X554" s="76"/>
      <c r="Y554" s="76"/>
      <c r="Z554" s="68"/>
      <c r="AA554" s="68"/>
      <c r="AB554" s="68"/>
      <c r="AC554" s="68"/>
      <c r="AD554" s="68"/>
    </row>
    <row r="555" spans="16:30" x14ac:dyDescent="0.2">
      <c r="P555" s="68"/>
      <c r="Q555" s="74"/>
      <c r="R555" s="74"/>
      <c r="S555" s="74"/>
      <c r="T555" s="75"/>
      <c r="U555" s="76"/>
      <c r="V555" s="77"/>
      <c r="W555" s="77"/>
      <c r="X555" s="76"/>
      <c r="Y555" s="76"/>
      <c r="Z555" s="68"/>
      <c r="AA555" s="68"/>
      <c r="AB555" s="68"/>
      <c r="AC555" s="68"/>
      <c r="AD555" s="68"/>
    </row>
    <row r="556" spans="16:30" x14ac:dyDescent="0.2">
      <c r="P556" s="68"/>
      <c r="Q556" s="74"/>
      <c r="R556" s="74"/>
      <c r="S556" s="74"/>
      <c r="T556" s="75"/>
      <c r="U556" s="76"/>
      <c r="V556" s="77"/>
      <c r="W556" s="77"/>
      <c r="X556" s="76"/>
      <c r="Y556" s="76"/>
      <c r="Z556" s="68"/>
      <c r="AA556" s="68"/>
      <c r="AB556" s="68"/>
      <c r="AC556" s="68"/>
      <c r="AD556" s="68"/>
    </row>
    <row r="557" spans="16:30" x14ac:dyDescent="0.2">
      <c r="P557" s="68"/>
      <c r="Q557" s="74"/>
      <c r="R557" s="74"/>
      <c r="S557" s="74"/>
      <c r="T557" s="75"/>
      <c r="U557" s="76"/>
      <c r="V557" s="77"/>
      <c r="W557" s="77"/>
      <c r="X557" s="76"/>
      <c r="Y557" s="76"/>
      <c r="Z557" s="68"/>
      <c r="AA557" s="68"/>
      <c r="AB557" s="68"/>
      <c r="AC557" s="68"/>
      <c r="AD557" s="68"/>
    </row>
    <row r="558" spans="16:30" x14ac:dyDescent="0.2">
      <c r="P558" s="68"/>
      <c r="Q558" s="74"/>
      <c r="R558" s="74"/>
      <c r="S558" s="74"/>
      <c r="T558" s="75"/>
      <c r="U558" s="76"/>
      <c r="V558" s="77"/>
      <c r="W558" s="77"/>
      <c r="X558" s="76"/>
      <c r="Y558" s="76"/>
      <c r="Z558" s="68"/>
      <c r="AA558" s="68"/>
      <c r="AB558" s="68"/>
      <c r="AC558" s="68"/>
      <c r="AD558" s="68"/>
    </row>
    <row r="559" spans="16:30" x14ac:dyDescent="0.2">
      <c r="P559" s="68"/>
      <c r="Q559" s="74"/>
      <c r="R559" s="74"/>
      <c r="S559" s="74"/>
      <c r="T559" s="75"/>
      <c r="U559" s="76"/>
      <c r="V559" s="77"/>
      <c r="W559" s="77"/>
      <c r="X559" s="76"/>
      <c r="Y559" s="76"/>
      <c r="Z559" s="68"/>
      <c r="AA559" s="68"/>
      <c r="AB559" s="68"/>
      <c r="AC559" s="68"/>
      <c r="AD559" s="68"/>
    </row>
    <row r="560" spans="16:30" x14ac:dyDescent="0.2">
      <c r="P560" s="68"/>
      <c r="Q560" s="74"/>
      <c r="R560" s="74"/>
      <c r="S560" s="74"/>
      <c r="T560" s="75"/>
      <c r="U560" s="76"/>
      <c r="V560" s="77"/>
      <c r="W560" s="77"/>
      <c r="X560" s="76"/>
      <c r="Y560" s="76"/>
      <c r="Z560" s="68"/>
      <c r="AA560" s="68"/>
      <c r="AB560" s="68"/>
      <c r="AC560" s="68"/>
      <c r="AD560" s="68"/>
    </row>
    <row r="561" spans="16:30" x14ac:dyDescent="0.2">
      <c r="P561" s="68"/>
      <c r="Q561" s="74"/>
      <c r="R561" s="74"/>
      <c r="S561" s="74"/>
      <c r="T561" s="75"/>
      <c r="U561" s="76"/>
      <c r="V561" s="77"/>
      <c r="W561" s="77"/>
      <c r="X561" s="76"/>
      <c r="Y561" s="76"/>
      <c r="Z561" s="68"/>
      <c r="AA561" s="68"/>
      <c r="AB561" s="68"/>
      <c r="AC561" s="68"/>
      <c r="AD561" s="68"/>
    </row>
    <row r="562" spans="16:30" x14ac:dyDescent="0.2">
      <c r="P562" s="68"/>
      <c r="Q562" s="74"/>
      <c r="R562" s="74"/>
      <c r="S562" s="74"/>
      <c r="T562" s="75"/>
      <c r="U562" s="76"/>
      <c r="V562" s="77"/>
      <c r="W562" s="77"/>
      <c r="X562" s="76"/>
      <c r="Y562" s="76"/>
      <c r="Z562" s="68"/>
      <c r="AA562" s="68"/>
      <c r="AB562" s="68"/>
      <c r="AC562" s="68"/>
      <c r="AD562" s="68"/>
    </row>
    <row r="563" spans="16:30" x14ac:dyDescent="0.2">
      <c r="P563" s="68"/>
      <c r="Q563" s="74"/>
      <c r="R563" s="74"/>
      <c r="S563" s="74"/>
      <c r="T563" s="75"/>
      <c r="U563" s="76"/>
      <c r="V563" s="77"/>
      <c r="W563" s="77"/>
      <c r="X563" s="76"/>
      <c r="Y563" s="76"/>
      <c r="Z563" s="68"/>
      <c r="AA563" s="68"/>
      <c r="AB563" s="68"/>
      <c r="AC563" s="68"/>
      <c r="AD563" s="68"/>
    </row>
    <row r="564" spans="16:30" x14ac:dyDescent="0.2">
      <c r="P564" s="68"/>
      <c r="Q564" s="74"/>
      <c r="R564" s="74"/>
      <c r="S564" s="74"/>
      <c r="T564" s="75"/>
      <c r="U564" s="76"/>
      <c r="V564" s="77"/>
      <c r="W564" s="77"/>
      <c r="X564" s="76"/>
      <c r="Y564" s="76"/>
      <c r="Z564" s="68"/>
      <c r="AA564" s="68"/>
      <c r="AB564" s="68"/>
      <c r="AC564" s="68"/>
      <c r="AD564" s="68"/>
    </row>
    <row r="565" spans="16:30" x14ac:dyDescent="0.2">
      <c r="P565" s="68"/>
      <c r="Q565" s="74"/>
      <c r="R565" s="74"/>
      <c r="S565" s="74"/>
      <c r="T565" s="75"/>
      <c r="U565" s="76"/>
      <c r="V565" s="77"/>
      <c r="W565" s="77"/>
      <c r="X565" s="76"/>
      <c r="Y565" s="76"/>
      <c r="Z565" s="68"/>
      <c r="AA565" s="68"/>
      <c r="AB565" s="68"/>
      <c r="AC565" s="68"/>
      <c r="AD565" s="68"/>
    </row>
    <row r="566" spans="16:30" x14ac:dyDescent="0.2">
      <c r="P566" s="68"/>
      <c r="Q566" s="74"/>
      <c r="R566" s="74"/>
      <c r="S566" s="74"/>
      <c r="T566" s="75"/>
      <c r="U566" s="76"/>
      <c r="V566" s="77"/>
      <c r="W566" s="77"/>
      <c r="X566" s="76"/>
      <c r="Y566" s="76"/>
      <c r="Z566" s="68"/>
      <c r="AA566" s="68"/>
      <c r="AB566" s="68"/>
      <c r="AC566" s="68"/>
      <c r="AD566" s="68"/>
    </row>
    <row r="567" spans="16:30" x14ac:dyDescent="0.2">
      <c r="P567" s="68"/>
      <c r="Q567" s="74"/>
      <c r="R567" s="74"/>
      <c r="S567" s="74"/>
      <c r="T567" s="75"/>
      <c r="U567" s="76"/>
      <c r="V567" s="77"/>
      <c r="W567" s="77"/>
      <c r="X567" s="76"/>
      <c r="Y567" s="76"/>
      <c r="Z567" s="68"/>
      <c r="AA567" s="68"/>
      <c r="AB567" s="68"/>
      <c r="AC567" s="68"/>
      <c r="AD567" s="68"/>
    </row>
    <row r="568" spans="16:30" x14ac:dyDescent="0.2">
      <c r="P568" s="68"/>
      <c r="Q568" s="74"/>
      <c r="R568" s="74"/>
      <c r="S568" s="74"/>
      <c r="T568" s="75"/>
      <c r="U568" s="76"/>
      <c r="V568" s="77"/>
      <c r="W568" s="77"/>
      <c r="X568" s="76"/>
      <c r="Y568" s="76"/>
      <c r="Z568" s="68"/>
      <c r="AA568" s="68"/>
      <c r="AB568" s="68"/>
      <c r="AC568" s="68"/>
      <c r="AD568" s="68"/>
    </row>
    <row r="569" spans="16:30" x14ac:dyDescent="0.2">
      <c r="P569" s="68"/>
      <c r="Q569" s="74"/>
      <c r="R569" s="74"/>
      <c r="S569" s="74"/>
      <c r="T569" s="75"/>
      <c r="U569" s="76"/>
      <c r="V569" s="77"/>
      <c r="W569" s="77"/>
      <c r="X569" s="76"/>
      <c r="Y569" s="76"/>
      <c r="Z569" s="68"/>
      <c r="AA569" s="68"/>
      <c r="AB569" s="68"/>
      <c r="AC569" s="68"/>
      <c r="AD569" s="68"/>
    </row>
    <row r="570" spans="16:30" x14ac:dyDescent="0.2">
      <c r="P570" s="68"/>
      <c r="Q570" s="74"/>
      <c r="R570" s="74"/>
      <c r="S570" s="74"/>
      <c r="T570" s="75"/>
      <c r="U570" s="76"/>
      <c r="V570" s="77"/>
      <c r="W570" s="77"/>
      <c r="X570" s="76"/>
      <c r="Y570" s="76"/>
      <c r="Z570" s="68"/>
      <c r="AA570" s="68"/>
      <c r="AB570" s="68"/>
      <c r="AC570" s="68"/>
      <c r="AD570" s="68"/>
    </row>
    <row r="571" spans="16:30" x14ac:dyDescent="0.2">
      <c r="P571" s="68"/>
      <c r="Q571" s="74"/>
      <c r="R571" s="74"/>
      <c r="S571" s="74"/>
      <c r="T571" s="75"/>
      <c r="U571" s="76"/>
      <c r="V571" s="77"/>
      <c r="W571" s="77"/>
      <c r="X571" s="76"/>
      <c r="Y571" s="76"/>
      <c r="Z571" s="68"/>
      <c r="AA571" s="68"/>
      <c r="AB571" s="68"/>
      <c r="AC571" s="68"/>
      <c r="AD571" s="68"/>
    </row>
    <row r="572" spans="16:30" x14ac:dyDescent="0.2">
      <c r="P572" s="68"/>
      <c r="Q572" s="74"/>
      <c r="R572" s="74"/>
      <c r="S572" s="74"/>
      <c r="T572" s="75"/>
      <c r="U572" s="76"/>
      <c r="V572" s="77"/>
      <c r="W572" s="77"/>
      <c r="X572" s="76"/>
      <c r="Y572" s="76"/>
      <c r="Z572" s="68"/>
      <c r="AA572" s="68"/>
      <c r="AB572" s="68"/>
      <c r="AC572" s="68"/>
      <c r="AD572" s="68"/>
    </row>
    <row r="573" spans="16:30" x14ac:dyDescent="0.2">
      <c r="P573" s="68"/>
      <c r="Q573" s="74"/>
      <c r="R573" s="74"/>
      <c r="S573" s="74"/>
      <c r="T573" s="75"/>
      <c r="U573" s="76"/>
      <c r="V573" s="77"/>
      <c r="W573" s="77"/>
      <c r="X573" s="76"/>
      <c r="Y573" s="76"/>
      <c r="Z573" s="68"/>
      <c r="AA573" s="68"/>
      <c r="AB573" s="68"/>
      <c r="AC573" s="68"/>
      <c r="AD573" s="68"/>
    </row>
    <row r="574" spans="16:30" x14ac:dyDescent="0.2">
      <c r="P574" s="68"/>
      <c r="Q574" s="74"/>
      <c r="R574" s="74"/>
      <c r="S574" s="74"/>
      <c r="T574" s="75"/>
      <c r="U574" s="76"/>
      <c r="V574" s="77"/>
      <c r="W574" s="77"/>
      <c r="X574" s="76"/>
      <c r="Y574" s="76"/>
      <c r="Z574" s="68"/>
      <c r="AA574" s="68"/>
      <c r="AB574" s="68"/>
      <c r="AC574" s="68"/>
      <c r="AD574" s="68"/>
    </row>
    <row r="575" spans="16:30" x14ac:dyDescent="0.2">
      <c r="P575" s="68"/>
      <c r="Q575" s="74"/>
      <c r="R575" s="74"/>
      <c r="S575" s="74"/>
      <c r="T575" s="75"/>
      <c r="U575" s="76"/>
      <c r="V575" s="77"/>
      <c r="W575" s="77"/>
      <c r="X575" s="76"/>
      <c r="Y575" s="76"/>
      <c r="Z575" s="68"/>
      <c r="AA575" s="68"/>
      <c r="AB575" s="68"/>
      <c r="AC575" s="68"/>
      <c r="AD575" s="68"/>
    </row>
    <row r="576" spans="16:30" x14ac:dyDescent="0.2">
      <c r="P576" s="68"/>
      <c r="Q576" s="74"/>
      <c r="R576" s="74"/>
      <c r="S576" s="74"/>
      <c r="T576" s="75"/>
      <c r="U576" s="76"/>
      <c r="V576" s="77"/>
      <c r="W576" s="77"/>
      <c r="X576" s="76"/>
      <c r="Y576" s="76"/>
      <c r="Z576" s="68"/>
      <c r="AA576" s="68"/>
      <c r="AB576" s="68"/>
      <c r="AC576" s="68"/>
      <c r="AD576" s="68"/>
    </row>
    <row r="577" spans="16:30" x14ac:dyDescent="0.2">
      <c r="P577" s="68"/>
      <c r="Q577" s="74"/>
      <c r="R577" s="74"/>
      <c r="S577" s="74"/>
      <c r="T577" s="75"/>
      <c r="U577" s="76"/>
      <c r="V577" s="77"/>
      <c r="W577" s="77"/>
      <c r="X577" s="76"/>
      <c r="Y577" s="76"/>
      <c r="Z577" s="68"/>
      <c r="AA577" s="68"/>
      <c r="AB577" s="68"/>
      <c r="AC577" s="68"/>
      <c r="AD577" s="68"/>
    </row>
    <row r="578" spans="16:30" x14ac:dyDescent="0.2">
      <c r="P578" s="68"/>
      <c r="Q578" s="74"/>
      <c r="R578" s="74"/>
      <c r="S578" s="74"/>
      <c r="T578" s="75"/>
      <c r="U578" s="76"/>
      <c r="V578" s="77"/>
      <c r="W578" s="77"/>
      <c r="X578" s="76"/>
      <c r="Y578" s="76"/>
      <c r="Z578" s="68"/>
      <c r="AA578" s="68"/>
      <c r="AB578" s="68"/>
      <c r="AC578" s="68"/>
      <c r="AD578" s="68"/>
    </row>
    <row r="579" spans="16:30" x14ac:dyDescent="0.2">
      <c r="P579" s="68"/>
      <c r="Q579" s="74"/>
      <c r="R579" s="74"/>
      <c r="S579" s="74"/>
      <c r="T579" s="75"/>
      <c r="U579" s="76"/>
      <c r="V579" s="77"/>
      <c r="W579" s="77"/>
      <c r="X579" s="76"/>
      <c r="Y579" s="76"/>
      <c r="Z579" s="68"/>
      <c r="AA579" s="68"/>
      <c r="AB579" s="68"/>
      <c r="AC579" s="68"/>
      <c r="AD579" s="68"/>
    </row>
    <row r="580" spans="16:30" x14ac:dyDescent="0.2">
      <c r="P580" s="68"/>
      <c r="Q580" s="74"/>
      <c r="R580" s="74"/>
      <c r="S580" s="74"/>
      <c r="T580" s="75"/>
      <c r="U580" s="76"/>
      <c r="V580" s="77"/>
      <c r="W580" s="77"/>
      <c r="X580" s="76"/>
      <c r="Y580" s="76"/>
      <c r="Z580" s="68"/>
      <c r="AA580" s="68"/>
      <c r="AB580" s="68"/>
      <c r="AC580" s="68"/>
      <c r="AD580" s="68"/>
    </row>
    <row r="581" spans="16:30" x14ac:dyDescent="0.2">
      <c r="P581" s="68"/>
      <c r="Q581" s="74"/>
      <c r="R581" s="74"/>
      <c r="S581" s="74"/>
      <c r="T581" s="75"/>
      <c r="U581" s="76"/>
      <c r="V581" s="77"/>
      <c r="W581" s="77"/>
      <c r="X581" s="76"/>
      <c r="Y581" s="76"/>
      <c r="Z581" s="68"/>
      <c r="AA581" s="68"/>
      <c r="AB581" s="68"/>
      <c r="AC581" s="68"/>
      <c r="AD581" s="68"/>
    </row>
    <row r="582" spans="16:30" x14ac:dyDescent="0.2">
      <c r="P582" s="68"/>
      <c r="Q582" s="74"/>
      <c r="R582" s="74"/>
      <c r="S582" s="74"/>
      <c r="T582" s="75"/>
      <c r="U582" s="76"/>
      <c r="V582" s="77"/>
      <c r="W582" s="77"/>
      <c r="X582" s="76"/>
      <c r="Y582" s="76"/>
      <c r="Z582" s="68"/>
      <c r="AA582" s="68"/>
      <c r="AB582" s="68"/>
      <c r="AC582" s="68"/>
      <c r="AD582" s="68"/>
    </row>
    <row r="583" spans="16:30" x14ac:dyDescent="0.2">
      <c r="P583" s="68"/>
      <c r="Q583" s="74"/>
      <c r="R583" s="74"/>
      <c r="S583" s="74"/>
      <c r="T583" s="75"/>
      <c r="U583" s="76"/>
      <c r="V583" s="77"/>
      <c r="W583" s="77"/>
      <c r="X583" s="76"/>
      <c r="Y583" s="76"/>
      <c r="Z583" s="68"/>
      <c r="AA583" s="68"/>
      <c r="AB583" s="68"/>
      <c r="AC583" s="68"/>
      <c r="AD583" s="68"/>
    </row>
    <row r="584" spans="16:30" x14ac:dyDescent="0.2">
      <c r="P584" s="68"/>
      <c r="Q584" s="74"/>
      <c r="R584" s="74"/>
      <c r="S584" s="74"/>
      <c r="T584" s="75"/>
      <c r="U584" s="76"/>
      <c r="V584" s="77"/>
      <c r="W584" s="77"/>
      <c r="X584" s="76"/>
      <c r="Y584" s="76"/>
      <c r="Z584" s="68"/>
      <c r="AA584" s="68"/>
      <c r="AB584" s="68"/>
      <c r="AC584" s="68"/>
      <c r="AD584" s="68"/>
    </row>
    <row r="585" spans="16:30" x14ac:dyDescent="0.2">
      <c r="P585" s="68"/>
      <c r="Q585" s="74"/>
      <c r="R585" s="74"/>
      <c r="S585" s="74"/>
      <c r="T585" s="75"/>
      <c r="U585" s="76"/>
      <c r="V585" s="77"/>
      <c r="W585" s="77"/>
      <c r="X585" s="76"/>
      <c r="Y585" s="76"/>
      <c r="Z585" s="68"/>
      <c r="AA585" s="68"/>
      <c r="AB585" s="68"/>
      <c r="AC585" s="68"/>
      <c r="AD585" s="68"/>
    </row>
    <row r="586" spans="16:30" x14ac:dyDescent="0.2">
      <c r="P586" s="68"/>
      <c r="Q586" s="74"/>
      <c r="R586" s="74"/>
      <c r="S586" s="74"/>
      <c r="T586" s="75"/>
      <c r="U586" s="76"/>
      <c r="V586" s="77"/>
      <c r="W586" s="77"/>
      <c r="X586" s="76"/>
      <c r="Y586" s="76"/>
      <c r="Z586" s="68"/>
      <c r="AA586" s="68"/>
      <c r="AB586" s="68"/>
      <c r="AC586" s="68"/>
      <c r="AD586" s="68"/>
    </row>
    <row r="587" spans="16:30" x14ac:dyDescent="0.2">
      <c r="P587" s="68"/>
      <c r="Q587" s="74"/>
      <c r="R587" s="74"/>
      <c r="S587" s="74"/>
      <c r="T587" s="75"/>
      <c r="U587" s="76"/>
      <c r="V587" s="77"/>
      <c r="W587" s="77"/>
      <c r="X587" s="76"/>
      <c r="Y587" s="76"/>
      <c r="Z587" s="68"/>
      <c r="AA587" s="68"/>
      <c r="AB587" s="68"/>
      <c r="AC587" s="68"/>
      <c r="AD587" s="68"/>
    </row>
    <row r="588" spans="16:30" x14ac:dyDescent="0.2">
      <c r="P588" s="68"/>
      <c r="Q588" s="74"/>
      <c r="R588" s="74"/>
      <c r="S588" s="74"/>
      <c r="T588" s="75"/>
      <c r="U588" s="76"/>
      <c r="V588" s="77"/>
      <c r="W588" s="77"/>
      <c r="X588" s="76"/>
      <c r="Y588" s="76"/>
      <c r="Z588" s="68"/>
      <c r="AA588" s="68"/>
      <c r="AB588" s="68"/>
      <c r="AC588" s="68"/>
      <c r="AD588" s="68"/>
    </row>
    <row r="589" spans="16:30" x14ac:dyDescent="0.2">
      <c r="P589" s="68"/>
      <c r="Q589" s="74"/>
      <c r="R589" s="74"/>
      <c r="S589" s="74"/>
      <c r="T589" s="75"/>
      <c r="U589" s="76"/>
      <c r="V589" s="77"/>
      <c r="W589" s="77"/>
      <c r="X589" s="76"/>
      <c r="Y589" s="76"/>
      <c r="Z589" s="68"/>
      <c r="AA589" s="68"/>
      <c r="AB589" s="68"/>
      <c r="AC589" s="68"/>
      <c r="AD589" s="68"/>
    </row>
    <row r="590" spans="16:30" x14ac:dyDescent="0.2">
      <c r="P590" s="68"/>
      <c r="Q590" s="74"/>
      <c r="R590" s="74"/>
      <c r="S590" s="74"/>
      <c r="T590" s="75"/>
      <c r="U590" s="76"/>
      <c r="V590" s="77"/>
      <c r="W590" s="77"/>
      <c r="X590" s="76"/>
      <c r="Y590" s="76"/>
      <c r="Z590" s="68"/>
      <c r="AA590" s="68"/>
      <c r="AB590" s="68"/>
      <c r="AC590" s="68"/>
      <c r="AD590" s="68"/>
    </row>
    <row r="591" spans="16:30" x14ac:dyDescent="0.2">
      <c r="P591" s="68"/>
      <c r="Q591" s="74"/>
      <c r="R591" s="74"/>
      <c r="S591" s="74"/>
      <c r="T591" s="75"/>
      <c r="U591" s="76"/>
      <c r="V591" s="77"/>
      <c r="W591" s="77"/>
      <c r="X591" s="76"/>
      <c r="Y591" s="76"/>
      <c r="Z591" s="68"/>
      <c r="AA591" s="68"/>
      <c r="AB591" s="68"/>
      <c r="AC591" s="68"/>
      <c r="AD591" s="68"/>
    </row>
    <row r="592" spans="16:30" x14ac:dyDescent="0.2">
      <c r="P592" s="68"/>
      <c r="Q592" s="74"/>
      <c r="R592" s="74"/>
      <c r="S592" s="74"/>
      <c r="T592" s="75"/>
      <c r="U592" s="76"/>
      <c r="V592" s="77"/>
      <c r="W592" s="77"/>
      <c r="X592" s="76"/>
      <c r="Y592" s="76"/>
      <c r="Z592" s="68"/>
      <c r="AA592" s="68"/>
      <c r="AB592" s="68"/>
      <c r="AC592" s="68"/>
      <c r="AD592" s="68"/>
    </row>
    <row r="593" spans="16:30" x14ac:dyDescent="0.2">
      <c r="P593" s="68"/>
      <c r="Q593" s="74"/>
      <c r="R593" s="74"/>
      <c r="S593" s="74"/>
      <c r="T593" s="75"/>
      <c r="U593" s="76"/>
      <c r="V593" s="77"/>
      <c r="W593" s="77"/>
      <c r="X593" s="76"/>
      <c r="Y593" s="76"/>
      <c r="Z593" s="68"/>
      <c r="AA593" s="68"/>
      <c r="AB593" s="68"/>
      <c r="AC593" s="68"/>
      <c r="AD593" s="68"/>
    </row>
    <row r="594" spans="16:30" x14ac:dyDescent="0.2">
      <c r="P594" s="68"/>
      <c r="Q594" s="74"/>
      <c r="R594" s="74"/>
      <c r="S594" s="74"/>
      <c r="T594" s="75"/>
      <c r="U594" s="76"/>
      <c r="V594" s="77"/>
      <c r="W594" s="77"/>
      <c r="X594" s="76"/>
      <c r="Y594" s="76"/>
      <c r="Z594" s="68"/>
      <c r="AA594" s="68"/>
      <c r="AB594" s="68"/>
      <c r="AC594" s="68"/>
      <c r="AD594" s="68"/>
    </row>
    <row r="595" spans="16:30" x14ac:dyDescent="0.2">
      <c r="P595" s="68"/>
      <c r="Q595" s="74"/>
      <c r="R595" s="74"/>
      <c r="S595" s="74"/>
      <c r="T595" s="75"/>
      <c r="U595" s="76"/>
      <c r="V595" s="77"/>
      <c r="W595" s="77"/>
      <c r="X595" s="76"/>
      <c r="Y595" s="76"/>
      <c r="Z595" s="68"/>
      <c r="AA595" s="68"/>
      <c r="AB595" s="68"/>
      <c r="AC595" s="68"/>
      <c r="AD595" s="68"/>
    </row>
    <row r="596" spans="16:30" x14ac:dyDescent="0.2">
      <c r="P596" s="68"/>
      <c r="Q596" s="74"/>
      <c r="R596" s="74"/>
      <c r="S596" s="74"/>
      <c r="T596" s="75"/>
      <c r="U596" s="76"/>
      <c r="V596" s="77"/>
      <c r="W596" s="77"/>
      <c r="X596" s="76"/>
      <c r="Y596" s="76"/>
      <c r="Z596" s="68"/>
      <c r="AA596" s="68"/>
      <c r="AB596" s="68"/>
      <c r="AC596" s="68"/>
      <c r="AD596" s="68"/>
    </row>
    <row r="597" spans="16:30" x14ac:dyDescent="0.2">
      <c r="P597" s="68"/>
      <c r="Q597" s="74"/>
      <c r="R597" s="74"/>
      <c r="S597" s="74"/>
      <c r="T597" s="75"/>
      <c r="U597" s="76"/>
      <c r="V597" s="77"/>
      <c r="W597" s="77"/>
      <c r="X597" s="76"/>
      <c r="Y597" s="76"/>
      <c r="Z597" s="68"/>
      <c r="AA597" s="68"/>
      <c r="AB597" s="68"/>
      <c r="AC597" s="68"/>
      <c r="AD597" s="68"/>
    </row>
    <row r="598" spans="16:30" x14ac:dyDescent="0.2">
      <c r="P598" s="68"/>
      <c r="Q598" s="74"/>
      <c r="R598" s="74"/>
      <c r="S598" s="74"/>
      <c r="T598" s="75"/>
      <c r="U598" s="76"/>
      <c r="V598" s="77"/>
      <c r="W598" s="77"/>
      <c r="X598" s="76"/>
      <c r="Y598" s="76"/>
      <c r="Z598" s="68"/>
      <c r="AA598" s="68"/>
      <c r="AB598" s="68"/>
      <c r="AC598" s="68"/>
      <c r="AD598" s="68"/>
    </row>
    <row r="599" spans="16:30" x14ac:dyDescent="0.2">
      <c r="P599" s="68"/>
      <c r="Q599" s="74"/>
      <c r="R599" s="74"/>
      <c r="S599" s="74"/>
      <c r="T599" s="75"/>
      <c r="U599" s="76"/>
      <c r="V599" s="77"/>
      <c r="W599" s="77"/>
      <c r="X599" s="76"/>
      <c r="Y599" s="76"/>
      <c r="Z599" s="68"/>
      <c r="AA599" s="68"/>
      <c r="AB599" s="68"/>
      <c r="AC599" s="68"/>
      <c r="AD599" s="68"/>
    </row>
    <row r="600" spans="16:30" x14ac:dyDescent="0.2">
      <c r="P600" s="68"/>
      <c r="Q600" s="74"/>
      <c r="R600" s="74"/>
      <c r="S600" s="74"/>
      <c r="T600" s="75"/>
      <c r="U600" s="76"/>
      <c r="V600" s="77"/>
      <c r="W600" s="77"/>
      <c r="X600" s="76"/>
      <c r="Y600" s="76"/>
      <c r="Z600" s="68"/>
      <c r="AA600" s="68"/>
      <c r="AB600" s="68"/>
      <c r="AC600" s="68"/>
      <c r="AD600" s="68"/>
    </row>
    <row r="601" spans="16:30" x14ac:dyDescent="0.2">
      <c r="P601" s="68"/>
      <c r="Q601" s="74"/>
      <c r="R601" s="74"/>
      <c r="S601" s="74"/>
      <c r="T601" s="75"/>
      <c r="U601" s="76"/>
      <c r="V601" s="77"/>
      <c r="W601" s="77"/>
      <c r="X601" s="76"/>
      <c r="Y601" s="76"/>
      <c r="Z601" s="68"/>
      <c r="AA601" s="68"/>
      <c r="AB601" s="68"/>
      <c r="AC601" s="68"/>
      <c r="AD601" s="68"/>
    </row>
    <row r="602" spans="16:30" x14ac:dyDescent="0.2">
      <c r="P602" s="68"/>
      <c r="Q602" s="74"/>
      <c r="R602" s="74"/>
      <c r="S602" s="74"/>
      <c r="T602" s="75"/>
      <c r="U602" s="76"/>
      <c r="V602" s="77"/>
      <c r="W602" s="77"/>
      <c r="X602" s="76"/>
      <c r="Y602" s="76"/>
      <c r="Z602" s="68"/>
      <c r="AA602" s="68"/>
      <c r="AB602" s="68"/>
      <c r="AC602" s="68"/>
      <c r="AD602" s="68"/>
    </row>
    <row r="603" spans="16:30" x14ac:dyDescent="0.2">
      <c r="P603" s="68"/>
      <c r="Q603" s="74"/>
      <c r="R603" s="74"/>
      <c r="S603" s="74"/>
      <c r="T603" s="75"/>
      <c r="U603" s="76"/>
      <c r="V603" s="77"/>
      <c r="W603" s="77"/>
      <c r="X603" s="76"/>
      <c r="Y603" s="76"/>
      <c r="Z603" s="68"/>
      <c r="AA603" s="68"/>
      <c r="AB603" s="68"/>
      <c r="AC603" s="68"/>
      <c r="AD603" s="68"/>
    </row>
    <row r="604" spans="16:30" x14ac:dyDescent="0.2">
      <c r="P604" s="68"/>
      <c r="Q604" s="74"/>
      <c r="R604" s="74"/>
      <c r="S604" s="74"/>
      <c r="T604" s="75"/>
      <c r="U604" s="76"/>
      <c r="V604" s="77"/>
      <c r="W604" s="77"/>
      <c r="X604" s="76"/>
      <c r="Y604" s="76"/>
      <c r="Z604" s="68"/>
      <c r="AA604" s="68"/>
      <c r="AB604" s="68"/>
      <c r="AC604" s="68"/>
      <c r="AD604" s="68"/>
    </row>
    <row r="605" spans="16:30" x14ac:dyDescent="0.2">
      <c r="P605" s="68"/>
      <c r="Q605" s="74"/>
      <c r="R605" s="74"/>
      <c r="S605" s="74"/>
      <c r="T605" s="75"/>
      <c r="U605" s="76"/>
      <c r="V605" s="77"/>
      <c r="W605" s="77"/>
      <c r="X605" s="76"/>
      <c r="Y605" s="76"/>
      <c r="Z605" s="68"/>
      <c r="AA605" s="68"/>
      <c r="AB605" s="68"/>
      <c r="AC605" s="68"/>
      <c r="AD605" s="68"/>
    </row>
    <row r="606" spans="16:30" x14ac:dyDescent="0.2">
      <c r="P606" s="68"/>
      <c r="Q606" s="74"/>
      <c r="R606" s="74"/>
      <c r="S606" s="74"/>
      <c r="T606" s="75"/>
      <c r="U606" s="76"/>
      <c r="V606" s="77"/>
      <c r="W606" s="77"/>
      <c r="X606" s="76"/>
      <c r="Y606" s="76"/>
      <c r="Z606" s="68"/>
      <c r="AA606" s="68"/>
      <c r="AB606" s="68"/>
      <c r="AC606" s="68"/>
      <c r="AD606" s="68"/>
    </row>
    <row r="607" spans="16:30" x14ac:dyDescent="0.2">
      <c r="P607" s="68"/>
      <c r="Q607" s="74"/>
      <c r="R607" s="74"/>
      <c r="S607" s="74"/>
      <c r="T607" s="75"/>
      <c r="U607" s="76"/>
      <c r="V607" s="77"/>
      <c r="W607" s="77"/>
      <c r="X607" s="76"/>
      <c r="Y607" s="76"/>
      <c r="Z607" s="68"/>
      <c r="AA607" s="68"/>
      <c r="AB607" s="68"/>
      <c r="AC607" s="68"/>
      <c r="AD607" s="68"/>
    </row>
    <row r="608" spans="16:30" x14ac:dyDescent="0.2">
      <c r="P608" s="68"/>
      <c r="Q608" s="74"/>
      <c r="R608" s="74"/>
      <c r="S608" s="74"/>
      <c r="T608" s="75"/>
      <c r="U608" s="76"/>
      <c r="V608" s="77"/>
      <c r="W608" s="77"/>
      <c r="X608" s="76"/>
      <c r="Y608" s="76"/>
      <c r="Z608" s="68"/>
      <c r="AA608" s="68"/>
      <c r="AB608" s="68"/>
      <c r="AC608" s="68"/>
      <c r="AD608" s="68"/>
    </row>
    <row r="609" spans="16:30" x14ac:dyDescent="0.2">
      <c r="P609" s="68"/>
      <c r="Q609" s="74"/>
      <c r="R609" s="74"/>
      <c r="S609" s="74"/>
      <c r="T609" s="75"/>
      <c r="U609" s="76"/>
      <c r="V609" s="77"/>
      <c r="W609" s="77"/>
      <c r="X609" s="76"/>
      <c r="Y609" s="76"/>
      <c r="Z609" s="68"/>
      <c r="AA609" s="68"/>
      <c r="AB609" s="68"/>
      <c r="AC609" s="68"/>
      <c r="AD609" s="68"/>
    </row>
    <row r="610" spans="16:30" x14ac:dyDescent="0.2">
      <c r="P610" s="68"/>
      <c r="Q610" s="74"/>
      <c r="R610" s="74"/>
      <c r="S610" s="74"/>
      <c r="T610" s="75"/>
      <c r="U610" s="76"/>
      <c r="V610" s="77"/>
      <c r="W610" s="77"/>
      <c r="X610" s="76"/>
      <c r="Y610" s="76"/>
      <c r="Z610" s="68"/>
      <c r="AA610" s="68"/>
      <c r="AB610" s="68"/>
      <c r="AC610" s="68"/>
      <c r="AD610" s="68"/>
    </row>
    <row r="611" spans="16:30" x14ac:dyDescent="0.2">
      <c r="P611" s="68"/>
      <c r="Q611" s="74"/>
      <c r="R611" s="74"/>
      <c r="S611" s="74"/>
      <c r="T611" s="75"/>
      <c r="U611" s="76"/>
      <c r="V611" s="77"/>
      <c r="W611" s="77"/>
      <c r="X611" s="76"/>
      <c r="Y611" s="76"/>
      <c r="Z611" s="68"/>
      <c r="AA611" s="68"/>
      <c r="AB611" s="68"/>
      <c r="AC611" s="68"/>
      <c r="AD611" s="68"/>
    </row>
    <row r="612" spans="16:30" x14ac:dyDescent="0.2">
      <c r="P612" s="68"/>
      <c r="Q612" s="74"/>
      <c r="R612" s="74"/>
      <c r="S612" s="74"/>
      <c r="T612" s="75"/>
      <c r="U612" s="76"/>
      <c r="V612" s="77"/>
      <c r="W612" s="77"/>
      <c r="X612" s="76"/>
      <c r="Y612" s="76"/>
      <c r="Z612" s="68"/>
      <c r="AA612" s="68"/>
      <c r="AB612" s="68"/>
      <c r="AC612" s="68"/>
      <c r="AD612" s="68"/>
    </row>
    <row r="613" spans="16:30" x14ac:dyDescent="0.2">
      <c r="P613" s="68"/>
      <c r="Q613" s="74"/>
      <c r="R613" s="74"/>
      <c r="S613" s="74"/>
      <c r="T613" s="75"/>
      <c r="U613" s="76"/>
      <c r="V613" s="77"/>
      <c r="W613" s="77"/>
      <c r="X613" s="76"/>
      <c r="Y613" s="76"/>
      <c r="Z613" s="68"/>
      <c r="AA613" s="68"/>
      <c r="AB613" s="68"/>
      <c r="AC613" s="68"/>
      <c r="AD613" s="68"/>
    </row>
    <row r="614" spans="16:30" x14ac:dyDescent="0.2">
      <c r="P614" s="68"/>
      <c r="Q614" s="74"/>
      <c r="R614" s="74"/>
      <c r="S614" s="74"/>
      <c r="T614" s="75"/>
      <c r="U614" s="76"/>
      <c r="V614" s="77"/>
      <c r="W614" s="77"/>
      <c r="X614" s="76"/>
      <c r="Y614" s="76"/>
      <c r="Z614" s="68"/>
      <c r="AA614" s="68"/>
      <c r="AB614" s="68"/>
      <c r="AC614" s="68"/>
      <c r="AD614" s="68"/>
    </row>
    <row r="615" spans="16:30" x14ac:dyDescent="0.2">
      <c r="P615" s="68"/>
      <c r="Q615" s="74"/>
      <c r="R615" s="74"/>
      <c r="S615" s="74"/>
      <c r="T615" s="75"/>
      <c r="U615" s="76"/>
      <c r="V615" s="77"/>
      <c r="W615" s="77"/>
      <c r="X615" s="76"/>
      <c r="Y615" s="76"/>
      <c r="Z615" s="68"/>
      <c r="AA615" s="68"/>
      <c r="AB615" s="68"/>
      <c r="AC615" s="68"/>
      <c r="AD615" s="68"/>
    </row>
    <row r="616" spans="16:30" x14ac:dyDescent="0.2">
      <c r="P616" s="68"/>
      <c r="Q616" s="74"/>
      <c r="R616" s="74"/>
      <c r="S616" s="74"/>
      <c r="T616" s="75"/>
      <c r="U616" s="76"/>
      <c r="V616" s="77"/>
      <c r="W616" s="77"/>
      <c r="X616" s="76"/>
      <c r="Y616" s="76"/>
      <c r="Z616" s="68"/>
      <c r="AA616" s="68"/>
      <c r="AB616" s="68"/>
      <c r="AC616" s="68"/>
      <c r="AD616" s="68"/>
    </row>
    <row r="617" spans="16:30" x14ac:dyDescent="0.2">
      <c r="P617" s="68"/>
      <c r="Q617" s="74"/>
      <c r="R617" s="74"/>
      <c r="S617" s="74"/>
      <c r="T617" s="75"/>
      <c r="U617" s="76"/>
      <c r="V617" s="77"/>
      <c r="W617" s="77"/>
      <c r="X617" s="76"/>
      <c r="Y617" s="76"/>
      <c r="Z617" s="68"/>
      <c r="AA617" s="68"/>
      <c r="AB617" s="68"/>
      <c r="AC617" s="68"/>
      <c r="AD617" s="68"/>
    </row>
    <row r="618" spans="16:30" x14ac:dyDescent="0.2">
      <c r="P618" s="68"/>
      <c r="Q618" s="74"/>
      <c r="R618" s="74"/>
      <c r="S618" s="74"/>
      <c r="T618" s="75"/>
      <c r="U618" s="76"/>
      <c r="V618" s="77"/>
      <c r="W618" s="77"/>
      <c r="X618" s="76"/>
      <c r="Y618" s="76"/>
      <c r="Z618" s="68"/>
      <c r="AA618" s="68"/>
      <c r="AB618" s="68"/>
      <c r="AC618" s="68"/>
      <c r="AD618" s="68"/>
    </row>
    <row r="619" spans="16:30" x14ac:dyDescent="0.2">
      <c r="P619" s="68"/>
      <c r="Q619" s="74"/>
      <c r="R619" s="74"/>
      <c r="S619" s="74"/>
      <c r="T619" s="75"/>
      <c r="U619" s="76"/>
      <c r="V619" s="77"/>
      <c r="W619" s="77"/>
      <c r="X619" s="76"/>
      <c r="Y619" s="76"/>
      <c r="Z619" s="68"/>
      <c r="AA619" s="68"/>
      <c r="AB619" s="68"/>
      <c r="AC619" s="68"/>
      <c r="AD619" s="68"/>
    </row>
    <row r="620" spans="16:30" x14ac:dyDescent="0.2">
      <c r="P620" s="68"/>
      <c r="Q620" s="74"/>
      <c r="R620" s="74"/>
      <c r="S620" s="74"/>
      <c r="T620" s="75"/>
      <c r="U620" s="76"/>
      <c r="V620" s="77"/>
      <c r="W620" s="77"/>
      <c r="X620" s="76"/>
      <c r="Y620" s="76"/>
      <c r="Z620" s="68"/>
      <c r="AA620" s="68"/>
      <c r="AB620" s="68"/>
      <c r="AC620" s="68"/>
      <c r="AD620" s="68"/>
    </row>
    <row r="621" spans="16:30" x14ac:dyDescent="0.2">
      <c r="P621" s="68"/>
      <c r="Q621" s="74"/>
      <c r="R621" s="74"/>
      <c r="S621" s="74"/>
      <c r="T621" s="75"/>
      <c r="U621" s="76"/>
      <c r="V621" s="77"/>
      <c r="W621" s="77"/>
      <c r="X621" s="76"/>
      <c r="Y621" s="76"/>
      <c r="Z621" s="68"/>
      <c r="AA621" s="68"/>
      <c r="AB621" s="68"/>
      <c r="AC621" s="68"/>
      <c r="AD621" s="68"/>
    </row>
    <row r="622" spans="16:30" x14ac:dyDescent="0.2">
      <c r="P622" s="68"/>
      <c r="Q622" s="74"/>
      <c r="R622" s="74"/>
      <c r="S622" s="74"/>
      <c r="T622" s="75"/>
      <c r="U622" s="76"/>
      <c r="V622" s="77"/>
      <c r="W622" s="77"/>
      <c r="X622" s="76"/>
      <c r="Y622" s="76"/>
      <c r="Z622" s="68"/>
      <c r="AA622" s="68"/>
      <c r="AB622" s="68"/>
      <c r="AC622" s="68"/>
      <c r="AD622" s="68"/>
    </row>
    <row r="623" spans="16:30" x14ac:dyDescent="0.2">
      <c r="P623" s="68"/>
      <c r="Q623" s="74"/>
      <c r="R623" s="74"/>
      <c r="S623" s="74"/>
      <c r="T623" s="75"/>
      <c r="U623" s="76"/>
      <c r="V623" s="77"/>
      <c r="W623" s="77"/>
      <c r="X623" s="76"/>
      <c r="Y623" s="76"/>
      <c r="Z623" s="68"/>
      <c r="AA623" s="68"/>
      <c r="AB623" s="68"/>
      <c r="AC623" s="68"/>
      <c r="AD623" s="68"/>
    </row>
    <row r="624" spans="16:30" x14ac:dyDescent="0.2">
      <c r="P624" s="68"/>
      <c r="Q624" s="74"/>
      <c r="R624" s="74"/>
      <c r="S624" s="74"/>
      <c r="T624" s="75"/>
      <c r="U624" s="76"/>
      <c r="V624" s="77"/>
      <c r="W624" s="77"/>
      <c r="X624" s="76"/>
      <c r="Y624" s="76"/>
      <c r="Z624" s="68"/>
      <c r="AA624" s="68"/>
      <c r="AB624" s="68"/>
      <c r="AC624" s="68"/>
      <c r="AD624" s="68"/>
    </row>
    <row r="625" spans="16:30" x14ac:dyDescent="0.2">
      <c r="P625" s="68"/>
      <c r="Q625" s="74"/>
      <c r="R625" s="74"/>
      <c r="S625" s="74"/>
      <c r="T625" s="75"/>
      <c r="U625" s="76"/>
      <c r="V625" s="77"/>
      <c r="W625" s="77"/>
      <c r="X625" s="76"/>
      <c r="Y625" s="76"/>
      <c r="Z625" s="68"/>
      <c r="AA625" s="68"/>
      <c r="AB625" s="68"/>
      <c r="AC625" s="68"/>
      <c r="AD625" s="68"/>
    </row>
    <row r="626" spans="16:30" x14ac:dyDescent="0.2">
      <c r="P626" s="68"/>
      <c r="Q626" s="74"/>
      <c r="R626" s="74"/>
      <c r="S626" s="74"/>
      <c r="T626" s="75"/>
      <c r="U626" s="76"/>
      <c r="V626" s="77"/>
      <c r="W626" s="77"/>
      <c r="X626" s="76"/>
      <c r="Y626" s="76"/>
      <c r="Z626" s="68"/>
      <c r="AA626" s="68"/>
      <c r="AB626" s="68"/>
      <c r="AC626" s="68"/>
      <c r="AD626" s="68"/>
    </row>
    <row r="627" spans="16:30" x14ac:dyDescent="0.2">
      <c r="P627" s="68"/>
      <c r="Q627" s="74"/>
      <c r="R627" s="74"/>
      <c r="S627" s="74"/>
      <c r="T627" s="75"/>
      <c r="U627" s="76"/>
      <c r="V627" s="77"/>
      <c r="W627" s="77"/>
      <c r="X627" s="76"/>
      <c r="Y627" s="76"/>
      <c r="Z627" s="68"/>
      <c r="AA627" s="68"/>
      <c r="AB627" s="68"/>
      <c r="AC627" s="68"/>
      <c r="AD627" s="68"/>
    </row>
    <row r="628" spans="16:30" x14ac:dyDescent="0.2">
      <c r="P628" s="68"/>
      <c r="Q628" s="74"/>
      <c r="R628" s="74"/>
      <c r="S628" s="74"/>
      <c r="T628" s="75"/>
      <c r="U628" s="76"/>
      <c r="V628" s="77"/>
      <c r="W628" s="77"/>
      <c r="X628" s="76"/>
      <c r="Y628" s="76"/>
      <c r="Z628" s="68"/>
      <c r="AA628" s="68"/>
      <c r="AB628" s="68"/>
      <c r="AC628" s="68"/>
      <c r="AD628" s="68"/>
    </row>
    <row r="629" spans="16:30" x14ac:dyDescent="0.2">
      <c r="P629" s="68"/>
      <c r="Q629" s="74"/>
      <c r="R629" s="74"/>
      <c r="S629" s="74"/>
      <c r="T629" s="75"/>
      <c r="U629" s="76"/>
      <c r="V629" s="77"/>
      <c r="W629" s="77"/>
      <c r="X629" s="76"/>
      <c r="Y629" s="76"/>
      <c r="Z629" s="68"/>
      <c r="AA629" s="68"/>
      <c r="AB629" s="68"/>
      <c r="AC629" s="68"/>
      <c r="AD629" s="68"/>
    </row>
    <row r="630" spans="16:30" x14ac:dyDescent="0.2">
      <c r="P630" s="68"/>
      <c r="Q630" s="74"/>
      <c r="R630" s="74"/>
      <c r="S630" s="74"/>
      <c r="T630" s="75"/>
      <c r="U630" s="76"/>
      <c r="V630" s="77"/>
      <c r="W630" s="77"/>
      <c r="X630" s="76"/>
      <c r="Y630" s="76"/>
      <c r="Z630" s="68"/>
      <c r="AA630" s="68"/>
      <c r="AB630" s="68"/>
      <c r="AC630" s="68"/>
      <c r="AD630" s="68"/>
    </row>
    <row r="631" spans="16:30" x14ac:dyDescent="0.2">
      <c r="P631" s="68"/>
      <c r="Q631" s="74"/>
      <c r="R631" s="74"/>
      <c r="S631" s="74"/>
      <c r="T631" s="75"/>
      <c r="U631" s="76"/>
      <c r="V631" s="77"/>
      <c r="W631" s="77"/>
      <c r="X631" s="76"/>
      <c r="Y631" s="76"/>
      <c r="Z631" s="68"/>
      <c r="AA631" s="68"/>
      <c r="AB631" s="68"/>
      <c r="AC631" s="68"/>
      <c r="AD631" s="68"/>
    </row>
    <row r="632" spans="16:30" x14ac:dyDescent="0.2">
      <c r="P632" s="68"/>
      <c r="Q632" s="74"/>
      <c r="R632" s="74"/>
      <c r="S632" s="74"/>
      <c r="T632" s="75"/>
      <c r="U632" s="76"/>
      <c r="V632" s="77"/>
      <c r="W632" s="77"/>
      <c r="X632" s="76"/>
      <c r="Y632" s="76"/>
      <c r="Z632" s="68"/>
      <c r="AA632" s="68"/>
      <c r="AB632" s="68"/>
      <c r="AC632" s="68"/>
      <c r="AD632" s="68"/>
    </row>
    <row r="633" spans="16:30" x14ac:dyDescent="0.2">
      <c r="P633" s="68"/>
      <c r="Q633" s="74"/>
      <c r="R633" s="74"/>
      <c r="S633" s="74"/>
      <c r="T633" s="75"/>
      <c r="U633" s="76"/>
      <c r="V633" s="77"/>
      <c r="W633" s="77"/>
      <c r="X633" s="76"/>
      <c r="Y633" s="76"/>
      <c r="Z633" s="68"/>
      <c r="AA633" s="68"/>
      <c r="AB633" s="68"/>
      <c r="AC633" s="68"/>
      <c r="AD633" s="68"/>
    </row>
    <row r="634" spans="16:30" x14ac:dyDescent="0.2">
      <c r="P634" s="68"/>
      <c r="Q634" s="74"/>
      <c r="R634" s="74"/>
      <c r="S634" s="74"/>
      <c r="T634" s="75"/>
      <c r="U634" s="76"/>
      <c r="V634" s="77"/>
      <c r="W634" s="77"/>
      <c r="X634" s="76"/>
      <c r="Y634" s="76"/>
      <c r="Z634" s="68"/>
      <c r="AA634" s="68"/>
      <c r="AB634" s="68"/>
      <c r="AC634" s="68"/>
      <c r="AD634" s="68"/>
    </row>
    <row r="635" spans="16:30" x14ac:dyDescent="0.2">
      <c r="P635" s="68"/>
      <c r="Q635" s="74"/>
      <c r="R635" s="74"/>
      <c r="S635" s="74"/>
      <c r="T635" s="75"/>
      <c r="U635" s="76"/>
      <c r="V635" s="77"/>
      <c r="W635" s="77"/>
      <c r="X635" s="76"/>
      <c r="Y635" s="76"/>
      <c r="Z635" s="68"/>
      <c r="AA635" s="68"/>
      <c r="AB635" s="68"/>
      <c r="AC635" s="68"/>
      <c r="AD635" s="68"/>
    </row>
    <row r="636" spans="16:30" x14ac:dyDescent="0.2">
      <c r="P636" s="68"/>
      <c r="Q636" s="74"/>
      <c r="R636" s="74"/>
      <c r="S636" s="74"/>
      <c r="T636" s="75"/>
      <c r="U636" s="76"/>
      <c r="V636" s="77"/>
      <c r="W636" s="77"/>
      <c r="X636" s="76"/>
      <c r="Y636" s="76"/>
      <c r="Z636" s="68"/>
      <c r="AA636" s="68"/>
      <c r="AB636" s="68"/>
      <c r="AC636" s="68"/>
      <c r="AD636" s="68"/>
    </row>
    <row r="637" spans="16:30" x14ac:dyDescent="0.2">
      <c r="P637" s="68"/>
      <c r="Q637" s="74"/>
      <c r="R637" s="74"/>
      <c r="S637" s="74"/>
      <c r="T637" s="75"/>
      <c r="U637" s="76"/>
      <c r="V637" s="77"/>
      <c r="W637" s="77"/>
      <c r="X637" s="76"/>
      <c r="Y637" s="76"/>
      <c r="Z637" s="68"/>
      <c r="AA637" s="68"/>
      <c r="AB637" s="68"/>
      <c r="AC637" s="68"/>
      <c r="AD637" s="68"/>
    </row>
    <row r="638" spans="16:30" x14ac:dyDescent="0.2">
      <c r="P638" s="68"/>
      <c r="Q638" s="74"/>
      <c r="R638" s="74"/>
      <c r="S638" s="74"/>
      <c r="T638" s="75"/>
      <c r="U638" s="76"/>
      <c r="V638" s="77"/>
      <c r="W638" s="77"/>
      <c r="X638" s="76"/>
      <c r="Y638" s="76"/>
      <c r="Z638" s="68"/>
      <c r="AA638" s="68"/>
      <c r="AB638" s="68"/>
      <c r="AC638" s="68"/>
      <c r="AD638" s="68"/>
    </row>
    <row r="639" spans="16:30" x14ac:dyDescent="0.2">
      <c r="P639" s="68"/>
      <c r="Q639" s="74"/>
      <c r="R639" s="74"/>
      <c r="S639" s="74"/>
      <c r="T639" s="75"/>
      <c r="U639" s="76"/>
      <c r="V639" s="77"/>
      <c r="W639" s="77"/>
      <c r="X639" s="76"/>
      <c r="Y639" s="76"/>
      <c r="Z639" s="68"/>
      <c r="AA639" s="68"/>
      <c r="AB639" s="68"/>
      <c r="AC639" s="68"/>
      <c r="AD639" s="68"/>
    </row>
    <row r="640" spans="16:30" x14ac:dyDescent="0.2">
      <c r="P640" s="68"/>
      <c r="Q640" s="74"/>
      <c r="R640" s="74"/>
      <c r="S640" s="74"/>
      <c r="T640" s="75"/>
      <c r="U640" s="76"/>
      <c r="V640" s="77"/>
      <c r="W640" s="77"/>
      <c r="X640" s="76"/>
      <c r="Y640" s="76"/>
      <c r="Z640" s="68"/>
      <c r="AA640" s="68"/>
      <c r="AB640" s="68"/>
      <c r="AC640" s="68"/>
      <c r="AD640" s="68"/>
    </row>
    <row r="641" spans="16:30" x14ac:dyDescent="0.2">
      <c r="P641" s="68"/>
      <c r="Q641" s="74"/>
      <c r="R641" s="74"/>
      <c r="S641" s="74"/>
      <c r="T641" s="75"/>
      <c r="U641" s="76"/>
      <c r="V641" s="77"/>
      <c r="W641" s="77"/>
      <c r="X641" s="76"/>
      <c r="Y641" s="76"/>
      <c r="Z641" s="68"/>
      <c r="AA641" s="68"/>
      <c r="AB641" s="68"/>
      <c r="AC641" s="68"/>
      <c r="AD641" s="68"/>
    </row>
    <row r="642" spans="16:30" x14ac:dyDescent="0.2">
      <c r="P642" s="68"/>
      <c r="Q642" s="74"/>
      <c r="R642" s="74"/>
      <c r="S642" s="74"/>
      <c r="T642" s="75"/>
      <c r="U642" s="76"/>
      <c r="V642" s="77"/>
      <c r="W642" s="77"/>
      <c r="X642" s="76"/>
      <c r="Y642" s="76"/>
      <c r="Z642" s="68"/>
      <c r="AA642" s="68"/>
      <c r="AB642" s="68"/>
      <c r="AC642" s="68"/>
      <c r="AD642" s="68"/>
    </row>
    <row r="643" spans="16:30" x14ac:dyDescent="0.2">
      <c r="P643" s="68"/>
      <c r="Q643" s="74"/>
      <c r="R643" s="74"/>
      <c r="S643" s="74"/>
      <c r="T643" s="75"/>
      <c r="U643" s="76"/>
      <c r="V643" s="77"/>
      <c r="W643" s="77"/>
      <c r="X643" s="76"/>
      <c r="Y643" s="76"/>
      <c r="Z643" s="68"/>
      <c r="AA643" s="68"/>
      <c r="AB643" s="68"/>
      <c r="AC643" s="68"/>
      <c r="AD643" s="68"/>
    </row>
    <row r="644" spans="16:30" x14ac:dyDescent="0.2">
      <c r="P644" s="68"/>
      <c r="Q644" s="74"/>
      <c r="R644" s="74"/>
      <c r="S644" s="74"/>
      <c r="T644" s="75"/>
      <c r="U644" s="76"/>
      <c r="V644" s="77"/>
      <c r="W644" s="77"/>
      <c r="X644" s="76"/>
      <c r="Y644" s="76"/>
      <c r="Z644" s="68"/>
      <c r="AA644" s="68"/>
      <c r="AB644" s="68"/>
      <c r="AC644" s="68"/>
      <c r="AD644" s="68"/>
    </row>
    <row r="645" spans="16:30" x14ac:dyDescent="0.2">
      <c r="P645" s="68"/>
      <c r="Q645" s="74"/>
      <c r="R645" s="74"/>
      <c r="S645" s="74"/>
      <c r="T645" s="75"/>
      <c r="U645" s="76"/>
      <c r="V645" s="77"/>
      <c r="W645" s="77"/>
      <c r="X645" s="76"/>
      <c r="Y645" s="76"/>
      <c r="Z645" s="68"/>
      <c r="AA645" s="68"/>
      <c r="AB645" s="68"/>
      <c r="AC645" s="68"/>
      <c r="AD645" s="68"/>
    </row>
    <row r="646" spans="16:30" x14ac:dyDescent="0.2">
      <c r="P646" s="68"/>
      <c r="Q646" s="74"/>
      <c r="R646" s="74"/>
      <c r="S646" s="74"/>
      <c r="T646" s="75"/>
      <c r="U646" s="76"/>
      <c r="V646" s="77"/>
      <c r="W646" s="77"/>
      <c r="X646" s="76"/>
      <c r="Y646" s="76"/>
      <c r="Z646" s="68"/>
      <c r="AA646" s="68"/>
      <c r="AB646" s="68"/>
      <c r="AC646" s="68"/>
      <c r="AD646" s="68"/>
    </row>
    <row r="647" spans="16:30" x14ac:dyDescent="0.2">
      <c r="P647" s="68"/>
      <c r="Q647" s="74"/>
      <c r="R647" s="74"/>
      <c r="S647" s="74"/>
      <c r="T647" s="75"/>
      <c r="U647" s="76"/>
      <c r="V647" s="77"/>
      <c r="W647" s="77"/>
      <c r="X647" s="76"/>
      <c r="Y647" s="76"/>
      <c r="Z647" s="68"/>
      <c r="AA647" s="68"/>
      <c r="AB647" s="68"/>
      <c r="AC647" s="68"/>
      <c r="AD647" s="68"/>
    </row>
    <row r="648" spans="16:30" x14ac:dyDescent="0.2">
      <c r="P648" s="68"/>
      <c r="Q648" s="74"/>
      <c r="R648" s="74"/>
      <c r="S648" s="74"/>
      <c r="T648" s="75"/>
      <c r="U648" s="76"/>
      <c r="V648" s="77"/>
      <c r="W648" s="77"/>
      <c r="X648" s="76"/>
      <c r="Y648" s="76"/>
      <c r="Z648" s="68"/>
      <c r="AA648" s="68"/>
      <c r="AB648" s="68"/>
      <c r="AC648" s="68"/>
      <c r="AD648" s="68"/>
    </row>
    <row r="649" spans="16:30" x14ac:dyDescent="0.2">
      <c r="P649" s="68"/>
      <c r="Q649" s="74"/>
      <c r="R649" s="74"/>
      <c r="S649" s="74"/>
      <c r="T649" s="75"/>
      <c r="U649" s="76"/>
      <c r="V649" s="77"/>
      <c r="W649" s="77"/>
      <c r="X649" s="76"/>
      <c r="Y649" s="76"/>
      <c r="Z649" s="68"/>
      <c r="AA649" s="68"/>
      <c r="AB649" s="68"/>
      <c r="AC649" s="68"/>
      <c r="AD649" s="68"/>
    </row>
    <row r="650" spans="16:30" x14ac:dyDescent="0.2">
      <c r="P650" s="68"/>
      <c r="Q650" s="74"/>
      <c r="R650" s="74"/>
      <c r="S650" s="74"/>
      <c r="T650" s="75"/>
      <c r="U650" s="76"/>
      <c r="V650" s="77"/>
      <c r="W650" s="77"/>
      <c r="X650" s="76"/>
      <c r="Y650" s="76"/>
      <c r="Z650" s="68"/>
      <c r="AA650" s="68"/>
      <c r="AB650" s="68"/>
      <c r="AC650" s="68"/>
      <c r="AD650" s="68"/>
    </row>
    <row r="651" spans="16:30" x14ac:dyDescent="0.2">
      <c r="P651" s="68"/>
      <c r="Q651" s="74"/>
      <c r="R651" s="74"/>
      <c r="S651" s="74"/>
      <c r="T651" s="75"/>
      <c r="U651" s="76"/>
      <c r="V651" s="77"/>
      <c r="W651" s="77"/>
      <c r="X651" s="76"/>
      <c r="Y651" s="76"/>
      <c r="Z651" s="68"/>
      <c r="AA651" s="68"/>
      <c r="AB651" s="68"/>
      <c r="AC651" s="68"/>
      <c r="AD651" s="68"/>
    </row>
    <row r="652" spans="16:30" x14ac:dyDescent="0.2">
      <c r="P652" s="68"/>
      <c r="Q652" s="74"/>
      <c r="R652" s="74"/>
      <c r="S652" s="74"/>
      <c r="T652" s="75"/>
      <c r="U652" s="76"/>
      <c r="V652" s="77"/>
      <c r="W652" s="77"/>
      <c r="X652" s="76"/>
      <c r="Y652" s="76"/>
      <c r="Z652" s="68"/>
      <c r="AA652" s="68"/>
      <c r="AB652" s="68"/>
      <c r="AC652" s="68"/>
      <c r="AD652" s="68"/>
    </row>
    <row r="653" spans="16:30" x14ac:dyDescent="0.2">
      <c r="P653" s="68"/>
      <c r="Q653" s="74"/>
      <c r="R653" s="74"/>
      <c r="S653" s="74"/>
      <c r="T653" s="75"/>
      <c r="U653" s="76"/>
      <c r="V653" s="77"/>
      <c r="W653" s="77"/>
      <c r="X653" s="76"/>
      <c r="Y653" s="76"/>
      <c r="Z653" s="68"/>
      <c r="AA653" s="68"/>
      <c r="AB653" s="68"/>
      <c r="AC653" s="68"/>
      <c r="AD653" s="68"/>
    </row>
    <row r="654" spans="16:30" x14ac:dyDescent="0.2">
      <c r="P654" s="68"/>
      <c r="Q654" s="74"/>
      <c r="R654" s="74"/>
      <c r="S654" s="74"/>
      <c r="T654" s="75"/>
      <c r="U654" s="76"/>
      <c r="V654" s="77"/>
      <c r="W654" s="77"/>
      <c r="X654" s="76"/>
      <c r="Y654" s="76"/>
      <c r="Z654" s="68"/>
      <c r="AA654" s="68"/>
      <c r="AB654" s="68"/>
      <c r="AC654" s="68"/>
      <c r="AD654" s="68"/>
    </row>
    <row r="655" spans="16:30" x14ac:dyDescent="0.2">
      <c r="P655" s="68"/>
      <c r="Q655" s="74"/>
      <c r="R655" s="74"/>
      <c r="S655" s="74"/>
      <c r="T655" s="75"/>
      <c r="U655" s="76"/>
      <c r="V655" s="77"/>
      <c r="W655" s="77"/>
      <c r="X655" s="76"/>
      <c r="Y655" s="76"/>
      <c r="Z655" s="68"/>
      <c r="AA655" s="68"/>
      <c r="AB655" s="68"/>
      <c r="AC655" s="68"/>
      <c r="AD655" s="68"/>
    </row>
    <row r="656" spans="16:30" x14ac:dyDescent="0.2">
      <c r="P656" s="68"/>
      <c r="Q656" s="74"/>
      <c r="R656" s="74"/>
      <c r="S656" s="74"/>
      <c r="T656" s="75"/>
      <c r="U656" s="76"/>
      <c r="V656" s="77"/>
      <c r="W656" s="77"/>
      <c r="X656" s="76"/>
      <c r="Y656" s="76"/>
      <c r="Z656" s="68"/>
      <c r="AA656" s="68"/>
      <c r="AB656" s="68"/>
      <c r="AC656" s="68"/>
      <c r="AD656" s="68"/>
    </row>
    <row r="657" spans="16:30" x14ac:dyDescent="0.2">
      <c r="P657" s="68"/>
      <c r="Q657" s="74"/>
      <c r="R657" s="74"/>
      <c r="S657" s="74"/>
      <c r="T657" s="75"/>
      <c r="U657" s="76"/>
      <c r="V657" s="77"/>
      <c r="W657" s="77"/>
      <c r="X657" s="76"/>
      <c r="Y657" s="76"/>
      <c r="Z657" s="68"/>
      <c r="AA657" s="68"/>
      <c r="AB657" s="68"/>
      <c r="AC657" s="68"/>
      <c r="AD657" s="68"/>
    </row>
    <row r="658" spans="16:30" x14ac:dyDescent="0.2">
      <c r="P658" s="68"/>
      <c r="Q658" s="74"/>
      <c r="R658" s="74"/>
      <c r="S658" s="74"/>
      <c r="T658" s="75"/>
      <c r="U658" s="76"/>
      <c r="V658" s="77"/>
      <c r="W658" s="77"/>
      <c r="X658" s="76"/>
      <c r="Y658" s="76"/>
      <c r="Z658" s="68"/>
      <c r="AA658" s="68"/>
      <c r="AB658" s="68"/>
      <c r="AC658" s="68"/>
      <c r="AD658" s="68"/>
    </row>
    <row r="659" spans="16:30" x14ac:dyDescent="0.2">
      <c r="P659" s="68"/>
      <c r="Q659" s="74"/>
      <c r="R659" s="74"/>
      <c r="S659" s="74"/>
      <c r="T659" s="75"/>
      <c r="U659" s="76"/>
      <c r="V659" s="77"/>
      <c r="W659" s="77"/>
      <c r="X659" s="76"/>
      <c r="Y659" s="76"/>
      <c r="Z659" s="68"/>
      <c r="AA659" s="68"/>
      <c r="AB659" s="68"/>
      <c r="AC659" s="68"/>
      <c r="AD659" s="68"/>
    </row>
    <row r="660" spans="16:30" x14ac:dyDescent="0.2">
      <c r="P660" s="68"/>
      <c r="Q660" s="74"/>
      <c r="R660" s="74"/>
      <c r="S660" s="74"/>
      <c r="T660" s="75"/>
      <c r="U660" s="76"/>
      <c r="V660" s="77"/>
      <c r="W660" s="77"/>
      <c r="X660" s="76"/>
      <c r="Y660" s="76"/>
      <c r="Z660" s="68"/>
      <c r="AA660" s="68"/>
      <c r="AB660" s="68"/>
      <c r="AC660" s="68"/>
      <c r="AD660" s="68"/>
    </row>
    <row r="661" spans="16:30" x14ac:dyDescent="0.2">
      <c r="P661" s="68"/>
      <c r="Q661" s="74"/>
      <c r="R661" s="74"/>
      <c r="S661" s="74"/>
      <c r="T661" s="75"/>
      <c r="U661" s="76"/>
      <c r="V661" s="77"/>
      <c r="W661" s="77"/>
      <c r="X661" s="76"/>
      <c r="Y661" s="76"/>
      <c r="Z661" s="68"/>
      <c r="AA661" s="68"/>
      <c r="AB661" s="68"/>
      <c r="AC661" s="68"/>
      <c r="AD661" s="68"/>
    </row>
    <row r="662" spans="16:30" x14ac:dyDescent="0.2">
      <c r="P662" s="68"/>
      <c r="Q662" s="74"/>
      <c r="R662" s="74"/>
      <c r="S662" s="74"/>
      <c r="T662" s="75"/>
      <c r="U662" s="76"/>
      <c r="V662" s="77"/>
      <c r="W662" s="77"/>
      <c r="X662" s="76"/>
      <c r="Y662" s="76"/>
      <c r="Z662" s="68"/>
      <c r="AA662" s="68"/>
      <c r="AB662" s="68"/>
      <c r="AC662" s="68"/>
      <c r="AD662" s="68"/>
    </row>
    <row r="663" spans="16:30" x14ac:dyDescent="0.2">
      <c r="P663" s="68"/>
      <c r="Q663" s="74"/>
      <c r="R663" s="74"/>
      <c r="S663" s="74"/>
      <c r="T663" s="75"/>
      <c r="U663" s="76"/>
      <c r="V663" s="77"/>
      <c r="W663" s="77"/>
      <c r="X663" s="76"/>
      <c r="Y663" s="76"/>
      <c r="Z663" s="68"/>
      <c r="AA663" s="68"/>
      <c r="AB663" s="68"/>
      <c r="AC663" s="68"/>
      <c r="AD663" s="68"/>
    </row>
    <row r="664" spans="16:30" x14ac:dyDescent="0.2">
      <c r="P664" s="68"/>
      <c r="Q664" s="74"/>
      <c r="R664" s="74"/>
      <c r="S664" s="74"/>
      <c r="T664" s="75"/>
      <c r="U664" s="76"/>
      <c r="V664" s="77"/>
      <c r="W664" s="77"/>
      <c r="X664" s="76"/>
      <c r="Y664" s="76"/>
      <c r="Z664" s="68"/>
      <c r="AA664" s="68"/>
      <c r="AB664" s="68"/>
      <c r="AC664" s="68"/>
      <c r="AD664" s="68"/>
    </row>
    <row r="665" spans="16:30" x14ac:dyDescent="0.2">
      <c r="P665" s="68"/>
      <c r="Q665" s="74"/>
      <c r="R665" s="74"/>
      <c r="S665" s="74"/>
      <c r="T665" s="75"/>
      <c r="U665" s="76"/>
      <c r="V665" s="77"/>
      <c r="W665" s="77"/>
      <c r="X665" s="76"/>
      <c r="Y665" s="76"/>
      <c r="Z665" s="68"/>
      <c r="AA665" s="68"/>
      <c r="AB665" s="68"/>
      <c r="AC665" s="68"/>
      <c r="AD665" s="68"/>
    </row>
    <row r="666" spans="16:30" x14ac:dyDescent="0.2">
      <c r="P666" s="68"/>
      <c r="Q666" s="74"/>
      <c r="R666" s="74"/>
      <c r="S666" s="74"/>
      <c r="T666" s="75"/>
      <c r="U666" s="76"/>
      <c r="V666" s="77"/>
      <c r="W666" s="77"/>
      <c r="X666" s="76"/>
      <c r="Y666" s="76"/>
      <c r="Z666" s="68"/>
      <c r="AA666" s="68"/>
      <c r="AB666" s="68"/>
      <c r="AC666" s="68"/>
      <c r="AD666" s="68"/>
    </row>
    <row r="667" spans="16:30" x14ac:dyDescent="0.2">
      <c r="P667" s="68"/>
      <c r="Q667" s="74"/>
      <c r="R667" s="74"/>
      <c r="S667" s="74"/>
      <c r="T667" s="75"/>
      <c r="U667" s="76"/>
      <c r="V667" s="77"/>
      <c r="W667" s="77"/>
      <c r="X667" s="76"/>
      <c r="Y667" s="76"/>
      <c r="Z667" s="68"/>
      <c r="AA667" s="68"/>
      <c r="AB667" s="68"/>
      <c r="AC667" s="68"/>
      <c r="AD667" s="68"/>
    </row>
    <row r="668" spans="16:30" x14ac:dyDescent="0.2">
      <c r="P668" s="68"/>
      <c r="Q668" s="74"/>
      <c r="R668" s="74"/>
      <c r="S668" s="74"/>
      <c r="T668" s="75"/>
      <c r="U668" s="76"/>
      <c r="V668" s="77"/>
      <c r="W668" s="77"/>
      <c r="X668" s="76"/>
      <c r="Y668" s="76"/>
      <c r="Z668" s="68"/>
      <c r="AA668" s="68"/>
      <c r="AB668" s="68"/>
      <c r="AC668" s="68"/>
      <c r="AD668" s="68"/>
    </row>
    <row r="669" spans="16:30" x14ac:dyDescent="0.2">
      <c r="P669" s="68"/>
      <c r="Q669" s="74"/>
      <c r="R669" s="74"/>
      <c r="S669" s="74"/>
      <c r="T669" s="75"/>
      <c r="U669" s="76"/>
      <c r="V669" s="77"/>
      <c r="W669" s="77"/>
      <c r="X669" s="76"/>
      <c r="Y669" s="76"/>
      <c r="Z669" s="68"/>
      <c r="AA669" s="68"/>
      <c r="AB669" s="68"/>
      <c r="AC669" s="68"/>
      <c r="AD669" s="68"/>
    </row>
    <row r="670" spans="16:30" x14ac:dyDescent="0.2">
      <c r="P670" s="68"/>
      <c r="Q670" s="74"/>
      <c r="R670" s="74"/>
      <c r="S670" s="74"/>
      <c r="T670" s="75"/>
      <c r="U670" s="76"/>
      <c r="V670" s="77"/>
      <c r="W670" s="77"/>
      <c r="X670" s="76"/>
      <c r="Y670" s="76"/>
      <c r="Z670" s="68"/>
      <c r="AA670" s="68"/>
      <c r="AB670" s="68"/>
      <c r="AC670" s="68"/>
      <c r="AD670" s="68"/>
    </row>
    <row r="671" spans="16:30" x14ac:dyDescent="0.2">
      <c r="P671" s="68"/>
      <c r="Q671" s="74"/>
      <c r="R671" s="74"/>
      <c r="S671" s="74"/>
      <c r="T671" s="75"/>
      <c r="U671" s="76"/>
      <c r="V671" s="77"/>
      <c r="W671" s="77"/>
      <c r="X671" s="76"/>
      <c r="Y671" s="76"/>
      <c r="Z671" s="68"/>
      <c r="AA671" s="68"/>
      <c r="AB671" s="68"/>
      <c r="AC671" s="68"/>
      <c r="AD671" s="68"/>
    </row>
    <row r="672" spans="16:30" x14ac:dyDescent="0.2">
      <c r="P672" s="68"/>
      <c r="Q672" s="74"/>
      <c r="R672" s="74"/>
      <c r="S672" s="74"/>
      <c r="T672" s="75"/>
      <c r="U672" s="76"/>
      <c r="V672" s="77"/>
      <c r="W672" s="77"/>
      <c r="X672" s="76"/>
      <c r="Y672" s="76"/>
      <c r="Z672" s="68"/>
      <c r="AA672" s="68"/>
      <c r="AB672" s="68"/>
      <c r="AC672" s="68"/>
      <c r="AD672" s="68"/>
    </row>
    <row r="673" spans="16:30" x14ac:dyDescent="0.2">
      <c r="P673" s="68"/>
      <c r="Q673" s="74"/>
      <c r="R673" s="74"/>
      <c r="S673" s="74"/>
      <c r="T673" s="75"/>
      <c r="U673" s="76"/>
      <c r="V673" s="77"/>
      <c r="W673" s="77"/>
      <c r="X673" s="76"/>
      <c r="Y673" s="76"/>
      <c r="Z673" s="68"/>
      <c r="AA673" s="68"/>
      <c r="AB673" s="68"/>
      <c r="AC673" s="68"/>
      <c r="AD673" s="68"/>
    </row>
    <row r="674" spans="16:30" x14ac:dyDescent="0.2">
      <c r="P674" s="68"/>
      <c r="Q674" s="74"/>
      <c r="R674" s="74"/>
      <c r="S674" s="74"/>
      <c r="T674" s="75"/>
      <c r="U674" s="76"/>
      <c r="V674" s="77"/>
      <c r="W674" s="77"/>
      <c r="X674" s="76"/>
      <c r="Y674" s="76"/>
      <c r="Z674" s="68"/>
      <c r="AA674" s="68"/>
      <c r="AB674" s="68"/>
      <c r="AC674" s="68"/>
      <c r="AD674" s="68"/>
    </row>
    <row r="675" spans="16:30" x14ac:dyDescent="0.2">
      <c r="P675" s="68"/>
      <c r="Q675" s="74"/>
      <c r="R675" s="74"/>
      <c r="S675" s="74"/>
      <c r="T675" s="75"/>
      <c r="U675" s="76"/>
      <c r="V675" s="77"/>
      <c r="W675" s="77"/>
      <c r="X675" s="76"/>
      <c r="Y675" s="76"/>
      <c r="Z675" s="68"/>
      <c r="AA675" s="68"/>
      <c r="AB675" s="68"/>
      <c r="AC675" s="68"/>
      <c r="AD675" s="68"/>
    </row>
    <row r="676" spans="16:30" x14ac:dyDescent="0.2">
      <c r="P676" s="68"/>
      <c r="Q676" s="74"/>
      <c r="R676" s="74"/>
      <c r="S676" s="74"/>
      <c r="T676" s="75"/>
      <c r="U676" s="76"/>
      <c r="V676" s="77"/>
      <c r="W676" s="77"/>
      <c r="X676" s="76"/>
      <c r="Y676" s="76"/>
      <c r="Z676" s="68"/>
      <c r="AA676" s="68"/>
      <c r="AB676" s="68"/>
      <c r="AC676" s="68"/>
      <c r="AD676" s="68"/>
    </row>
    <row r="677" spans="16:30" x14ac:dyDescent="0.2">
      <c r="P677" s="68"/>
      <c r="Q677" s="74"/>
      <c r="R677" s="74"/>
      <c r="S677" s="74"/>
      <c r="T677" s="75"/>
      <c r="U677" s="76"/>
      <c r="V677" s="77"/>
      <c r="W677" s="77"/>
      <c r="X677" s="76"/>
      <c r="Y677" s="76"/>
      <c r="Z677" s="68"/>
      <c r="AA677" s="68"/>
      <c r="AB677" s="68"/>
      <c r="AC677" s="68"/>
      <c r="AD677" s="68"/>
    </row>
    <row r="678" spans="16:30" x14ac:dyDescent="0.2">
      <c r="P678" s="68"/>
      <c r="Q678" s="74"/>
      <c r="R678" s="74"/>
      <c r="S678" s="74"/>
      <c r="T678" s="75"/>
      <c r="U678" s="76"/>
      <c r="V678" s="77"/>
      <c r="W678" s="77"/>
      <c r="X678" s="76"/>
      <c r="Y678" s="76"/>
      <c r="Z678" s="68"/>
      <c r="AA678" s="68"/>
      <c r="AB678" s="68"/>
      <c r="AC678" s="68"/>
      <c r="AD678" s="68"/>
    </row>
    <row r="679" spans="16:30" x14ac:dyDescent="0.2">
      <c r="P679" s="68"/>
      <c r="Q679" s="74"/>
      <c r="R679" s="74"/>
      <c r="S679" s="74"/>
      <c r="T679" s="75"/>
      <c r="U679" s="76"/>
      <c r="V679" s="77"/>
      <c r="W679" s="77"/>
      <c r="X679" s="76"/>
      <c r="Y679" s="76"/>
      <c r="Z679" s="68"/>
      <c r="AA679" s="68"/>
      <c r="AB679" s="68"/>
      <c r="AC679" s="68"/>
      <c r="AD679" s="68"/>
    </row>
    <row r="680" spans="16:30" x14ac:dyDescent="0.2">
      <c r="P680" s="68"/>
      <c r="Q680" s="74"/>
      <c r="R680" s="74"/>
      <c r="S680" s="74"/>
      <c r="T680" s="75"/>
      <c r="U680" s="76"/>
      <c r="V680" s="77"/>
      <c r="W680" s="77"/>
      <c r="X680" s="76"/>
      <c r="Y680" s="76"/>
      <c r="Z680" s="68"/>
      <c r="AA680" s="68"/>
      <c r="AB680" s="68"/>
      <c r="AC680" s="68"/>
      <c r="AD680" s="68"/>
    </row>
    <row r="681" spans="16:30" x14ac:dyDescent="0.2">
      <c r="P681" s="68"/>
      <c r="Q681" s="74"/>
      <c r="R681" s="74"/>
      <c r="S681" s="74"/>
      <c r="T681" s="75"/>
      <c r="U681" s="76"/>
      <c r="V681" s="77"/>
      <c r="W681" s="77"/>
      <c r="X681" s="76"/>
      <c r="Y681" s="76"/>
      <c r="Z681" s="68"/>
      <c r="AA681" s="68"/>
      <c r="AB681" s="68"/>
      <c r="AC681" s="68"/>
      <c r="AD681" s="68"/>
    </row>
    <row r="682" spans="16:30" x14ac:dyDescent="0.2">
      <c r="P682" s="68"/>
      <c r="Q682" s="74"/>
      <c r="R682" s="74"/>
      <c r="S682" s="74"/>
      <c r="T682" s="75"/>
      <c r="U682" s="76"/>
      <c r="V682" s="77"/>
      <c r="W682" s="77"/>
      <c r="X682" s="76"/>
      <c r="Y682" s="76"/>
      <c r="Z682" s="68"/>
      <c r="AA682" s="68"/>
      <c r="AB682" s="68"/>
      <c r="AC682" s="68"/>
      <c r="AD682" s="68"/>
    </row>
    <row r="683" spans="16:30" x14ac:dyDescent="0.2">
      <c r="P683" s="68"/>
      <c r="Q683" s="74"/>
      <c r="R683" s="74"/>
      <c r="S683" s="74"/>
      <c r="T683" s="75"/>
      <c r="U683" s="76"/>
      <c r="V683" s="77"/>
      <c r="W683" s="77"/>
      <c r="X683" s="76"/>
      <c r="Y683" s="76"/>
      <c r="Z683" s="68"/>
      <c r="AA683" s="68"/>
      <c r="AB683" s="68"/>
      <c r="AC683" s="68"/>
      <c r="AD683" s="68"/>
    </row>
    <row r="684" spans="16:30" x14ac:dyDescent="0.2">
      <c r="P684" s="68"/>
      <c r="Q684" s="74"/>
      <c r="R684" s="74"/>
      <c r="S684" s="74"/>
      <c r="T684" s="75"/>
      <c r="U684" s="76"/>
      <c r="V684" s="77"/>
      <c r="W684" s="77"/>
      <c r="X684" s="76"/>
      <c r="Y684" s="76"/>
      <c r="Z684" s="68"/>
      <c r="AA684" s="68"/>
      <c r="AB684" s="68"/>
      <c r="AC684" s="68"/>
      <c r="AD684" s="68"/>
    </row>
    <row r="685" spans="16:30" x14ac:dyDescent="0.2">
      <c r="P685" s="68"/>
      <c r="Q685" s="74"/>
      <c r="R685" s="74"/>
      <c r="S685" s="74"/>
      <c r="T685" s="75"/>
      <c r="U685" s="76"/>
      <c r="V685" s="77"/>
      <c r="W685" s="77"/>
      <c r="X685" s="76"/>
      <c r="Y685" s="76"/>
      <c r="Z685" s="68"/>
      <c r="AA685" s="68"/>
      <c r="AB685" s="68"/>
      <c r="AC685" s="68"/>
      <c r="AD685" s="68"/>
    </row>
    <row r="686" spans="16:30" x14ac:dyDescent="0.2">
      <c r="P686" s="68"/>
      <c r="Q686" s="74"/>
      <c r="R686" s="74"/>
      <c r="S686" s="74"/>
      <c r="T686" s="75"/>
      <c r="U686" s="76"/>
      <c r="V686" s="77"/>
      <c r="W686" s="77"/>
      <c r="X686" s="76"/>
      <c r="Y686" s="76"/>
      <c r="Z686" s="68"/>
      <c r="AA686" s="68"/>
      <c r="AB686" s="68"/>
      <c r="AC686" s="68"/>
      <c r="AD686" s="68"/>
    </row>
    <row r="687" spans="16:30" x14ac:dyDescent="0.2">
      <c r="P687" s="68"/>
      <c r="Q687" s="74"/>
      <c r="R687" s="74"/>
      <c r="S687" s="74"/>
      <c r="T687" s="75"/>
      <c r="U687" s="76"/>
      <c r="V687" s="77"/>
      <c r="W687" s="77"/>
      <c r="X687" s="76"/>
      <c r="Y687" s="76"/>
      <c r="Z687" s="68"/>
      <c r="AA687" s="68"/>
      <c r="AB687" s="68"/>
      <c r="AC687" s="68"/>
      <c r="AD687" s="68"/>
    </row>
    <row r="688" spans="16:30" x14ac:dyDescent="0.2">
      <c r="P688" s="68"/>
      <c r="Q688" s="74"/>
      <c r="R688" s="74"/>
      <c r="S688" s="74"/>
      <c r="T688" s="75"/>
      <c r="U688" s="76"/>
      <c r="V688" s="77"/>
      <c r="W688" s="77"/>
      <c r="X688" s="76"/>
      <c r="Y688" s="76"/>
      <c r="Z688" s="68"/>
      <c r="AA688" s="68"/>
      <c r="AB688" s="68"/>
      <c r="AC688" s="68"/>
      <c r="AD688" s="68"/>
    </row>
    <row r="689" spans="16:30" x14ac:dyDescent="0.2">
      <c r="P689" s="68"/>
      <c r="Q689" s="74"/>
      <c r="R689" s="74"/>
      <c r="S689" s="74"/>
      <c r="T689" s="75"/>
      <c r="U689" s="76"/>
      <c r="V689" s="77"/>
      <c r="W689" s="77"/>
      <c r="X689" s="76"/>
      <c r="Y689" s="76"/>
      <c r="Z689" s="68"/>
      <c r="AA689" s="68"/>
      <c r="AB689" s="68"/>
      <c r="AC689" s="68"/>
      <c r="AD689" s="68"/>
    </row>
    <row r="690" spans="16:30" x14ac:dyDescent="0.2">
      <c r="P690" s="68"/>
      <c r="Q690" s="74"/>
      <c r="R690" s="74"/>
      <c r="S690" s="74"/>
      <c r="T690" s="75"/>
      <c r="U690" s="76"/>
      <c r="V690" s="77"/>
      <c r="W690" s="77"/>
      <c r="X690" s="76"/>
      <c r="Y690" s="76"/>
      <c r="Z690" s="68"/>
      <c r="AA690" s="68"/>
      <c r="AB690" s="68"/>
      <c r="AC690" s="68"/>
      <c r="AD690" s="68"/>
    </row>
    <row r="691" spans="16:30" x14ac:dyDescent="0.2">
      <c r="P691" s="68"/>
      <c r="Q691" s="74"/>
      <c r="R691" s="74"/>
      <c r="S691" s="74"/>
      <c r="T691" s="75"/>
      <c r="U691" s="76"/>
      <c r="V691" s="77"/>
      <c r="W691" s="77"/>
      <c r="X691" s="76"/>
      <c r="Y691" s="76"/>
      <c r="Z691" s="68"/>
      <c r="AA691" s="68"/>
      <c r="AB691" s="68"/>
      <c r="AC691" s="68"/>
      <c r="AD691" s="68"/>
    </row>
    <row r="692" spans="16:30" x14ac:dyDescent="0.2">
      <c r="P692" s="68"/>
      <c r="Q692" s="74"/>
      <c r="R692" s="74"/>
      <c r="S692" s="74"/>
      <c r="T692" s="75"/>
      <c r="U692" s="76"/>
      <c r="V692" s="77"/>
      <c r="W692" s="77"/>
      <c r="X692" s="76"/>
      <c r="Y692" s="76"/>
      <c r="Z692" s="68"/>
      <c r="AA692" s="68"/>
      <c r="AB692" s="68"/>
      <c r="AC692" s="68"/>
      <c r="AD692" s="68"/>
    </row>
    <row r="693" spans="16:30" x14ac:dyDescent="0.2">
      <c r="P693" s="68"/>
      <c r="Q693" s="74"/>
      <c r="R693" s="74"/>
      <c r="S693" s="74"/>
      <c r="T693" s="75"/>
      <c r="U693" s="76"/>
      <c r="V693" s="77"/>
      <c r="W693" s="77"/>
      <c r="X693" s="76"/>
      <c r="Y693" s="76"/>
      <c r="Z693" s="68"/>
      <c r="AA693" s="68"/>
      <c r="AB693" s="68"/>
      <c r="AC693" s="68"/>
      <c r="AD693" s="68"/>
    </row>
    <row r="694" spans="16:30" x14ac:dyDescent="0.2">
      <c r="P694" s="68"/>
      <c r="Q694" s="74"/>
      <c r="R694" s="74"/>
      <c r="S694" s="74"/>
      <c r="T694" s="75"/>
      <c r="U694" s="76"/>
      <c r="V694" s="77"/>
      <c r="W694" s="77"/>
      <c r="X694" s="76"/>
      <c r="Y694" s="76"/>
      <c r="Z694" s="68"/>
      <c r="AA694" s="68"/>
      <c r="AB694" s="68"/>
      <c r="AC694" s="68"/>
      <c r="AD694" s="68"/>
    </row>
    <row r="695" spans="16:30" x14ac:dyDescent="0.2">
      <c r="P695" s="68"/>
      <c r="Q695" s="74"/>
      <c r="R695" s="74"/>
      <c r="S695" s="74"/>
      <c r="T695" s="75"/>
      <c r="U695" s="76"/>
      <c r="V695" s="77"/>
      <c r="W695" s="77"/>
      <c r="X695" s="76"/>
      <c r="Y695" s="76"/>
      <c r="Z695" s="68"/>
      <c r="AA695" s="68"/>
      <c r="AB695" s="68"/>
      <c r="AC695" s="68"/>
      <c r="AD695" s="68"/>
    </row>
    <row r="696" spans="16:30" x14ac:dyDescent="0.2">
      <c r="P696" s="68"/>
      <c r="Q696" s="74"/>
      <c r="R696" s="74"/>
      <c r="S696" s="74"/>
      <c r="T696" s="75"/>
      <c r="U696" s="76"/>
      <c r="V696" s="77"/>
      <c r="W696" s="77"/>
      <c r="X696" s="76"/>
      <c r="Y696" s="76"/>
      <c r="Z696" s="68"/>
      <c r="AA696" s="68"/>
      <c r="AB696" s="68"/>
      <c r="AC696" s="68"/>
      <c r="AD696" s="68"/>
    </row>
    <row r="697" spans="16:30" x14ac:dyDescent="0.2">
      <c r="P697" s="68"/>
      <c r="Q697" s="74"/>
      <c r="R697" s="74"/>
      <c r="S697" s="74"/>
      <c r="T697" s="75"/>
      <c r="U697" s="76"/>
      <c r="V697" s="77"/>
      <c r="W697" s="77"/>
      <c r="X697" s="76"/>
      <c r="Y697" s="76"/>
      <c r="Z697" s="68"/>
      <c r="AA697" s="68"/>
      <c r="AB697" s="68"/>
      <c r="AC697" s="68"/>
      <c r="AD697" s="68"/>
    </row>
    <row r="698" spans="16:30" x14ac:dyDescent="0.2">
      <c r="P698" s="68"/>
      <c r="Q698" s="74"/>
      <c r="R698" s="74"/>
      <c r="S698" s="74"/>
      <c r="T698" s="75"/>
      <c r="U698" s="76"/>
      <c r="V698" s="77"/>
      <c r="W698" s="77"/>
      <c r="X698" s="76"/>
      <c r="Y698" s="76"/>
      <c r="Z698" s="68"/>
      <c r="AA698" s="68"/>
      <c r="AB698" s="68"/>
      <c r="AC698" s="68"/>
      <c r="AD698" s="68"/>
    </row>
    <row r="699" spans="16:30" x14ac:dyDescent="0.2">
      <c r="P699" s="68"/>
      <c r="Q699" s="74"/>
      <c r="R699" s="74"/>
      <c r="S699" s="74"/>
      <c r="T699" s="75"/>
      <c r="U699" s="76"/>
      <c r="V699" s="77"/>
      <c r="W699" s="77"/>
      <c r="X699" s="76"/>
      <c r="Y699" s="76"/>
      <c r="Z699" s="68"/>
      <c r="AA699" s="68"/>
      <c r="AB699" s="68"/>
      <c r="AC699" s="68"/>
      <c r="AD699" s="68"/>
    </row>
    <row r="700" spans="16:30" x14ac:dyDescent="0.2">
      <c r="P700" s="68"/>
      <c r="Q700" s="74"/>
      <c r="R700" s="74"/>
      <c r="S700" s="74"/>
      <c r="T700" s="75"/>
      <c r="U700" s="76"/>
      <c r="V700" s="77"/>
      <c r="W700" s="77"/>
      <c r="X700" s="76"/>
      <c r="Y700" s="76"/>
      <c r="Z700" s="68"/>
      <c r="AA700" s="68"/>
      <c r="AB700" s="68"/>
      <c r="AC700" s="68"/>
      <c r="AD700" s="68"/>
    </row>
    <row r="701" spans="16:30" x14ac:dyDescent="0.2">
      <c r="P701" s="68"/>
      <c r="Q701" s="74"/>
      <c r="R701" s="74"/>
      <c r="S701" s="74"/>
      <c r="T701" s="75"/>
      <c r="U701" s="76"/>
      <c r="V701" s="77"/>
      <c r="W701" s="77"/>
      <c r="X701" s="76"/>
      <c r="Y701" s="76"/>
      <c r="Z701" s="68"/>
      <c r="AA701" s="68"/>
      <c r="AB701" s="68"/>
      <c r="AC701" s="68"/>
      <c r="AD701" s="68"/>
    </row>
    <row r="702" spans="16:30" x14ac:dyDescent="0.2">
      <c r="P702" s="68"/>
      <c r="Q702" s="74"/>
      <c r="R702" s="74"/>
      <c r="S702" s="74"/>
      <c r="T702" s="75"/>
      <c r="U702" s="76"/>
      <c r="V702" s="77"/>
      <c r="W702" s="77"/>
      <c r="X702" s="76"/>
      <c r="Y702" s="76"/>
      <c r="Z702" s="68"/>
      <c r="AA702" s="68"/>
      <c r="AB702" s="68"/>
      <c r="AC702" s="68"/>
      <c r="AD702" s="68"/>
    </row>
    <row r="703" spans="16:30" x14ac:dyDescent="0.2">
      <c r="P703" s="68"/>
      <c r="Q703" s="74"/>
      <c r="R703" s="74"/>
      <c r="S703" s="74"/>
      <c r="T703" s="75"/>
      <c r="U703" s="76"/>
      <c r="V703" s="77"/>
      <c r="W703" s="77"/>
      <c r="X703" s="76"/>
      <c r="Y703" s="76"/>
      <c r="Z703" s="68"/>
      <c r="AA703" s="68"/>
      <c r="AB703" s="68"/>
      <c r="AC703" s="68"/>
      <c r="AD703" s="68"/>
    </row>
    <row r="704" spans="16:30" x14ac:dyDescent="0.2">
      <c r="P704" s="68"/>
      <c r="Q704" s="74"/>
      <c r="R704" s="74"/>
      <c r="S704" s="74"/>
      <c r="T704" s="75"/>
      <c r="U704" s="76"/>
      <c r="V704" s="77"/>
      <c r="W704" s="77"/>
      <c r="X704" s="76"/>
      <c r="Y704" s="76"/>
      <c r="Z704" s="68"/>
      <c r="AA704" s="68"/>
      <c r="AB704" s="68"/>
      <c r="AC704" s="68"/>
      <c r="AD704" s="68"/>
    </row>
    <row r="705" spans="16:30" x14ac:dyDescent="0.2">
      <c r="P705" s="68"/>
      <c r="Q705" s="74"/>
      <c r="R705" s="74"/>
      <c r="S705" s="74"/>
      <c r="T705" s="75"/>
      <c r="U705" s="76"/>
      <c r="V705" s="77"/>
      <c r="W705" s="77"/>
      <c r="X705" s="76"/>
      <c r="Y705" s="76"/>
      <c r="Z705" s="68"/>
      <c r="AA705" s="68"/>
      <c r="AB705" s="68"/>
      <c r="AC705" s="68"/>
      <c r="AD705" s="68"/>
    </row>
    <row r="706" spans="16:30" x14ac:dyDescent="0.2">
      <c r="P706" s="68"/>
      <c r="Q706" s="74"/>
      <c r="R706" s="74"/>
      <c r="S706" s="74"/>
      <c r="T706" s="75"/>
      <c r="U706" s="76"/>
      <c r="V706" s="77"/>
      <c r="W706" s="77"/>
      <c r="X706" s="76"/>
      <c r="Y706" s="76"/>
      <c r="Z706" s="68"/>
      <c r="AA706" s="68"/>
      <c r="AB706" s="68"/>
      <c r="AC706" s="68"/>
      <c r="AD706" s="68"/>
    </row>
    <row r="707" spans="16:30" x14ac:dyDescent="0.2">
      <c r="P707" s="68"/>
      <c r="Q707" s="74"/>
      <c r="R707" s="74"/>
      <c r="S707" s="74"/>
      <c r="T707" s="75"/>
      <c r="U707" s="76"/>
      <c r="V707" s="77"/>
      <c r="W707" s="77"/>
      <c r="X707" s="76"/>
      <c r="Y707" s="76"/>
      <c r="Z707" s="68"/>
      <c r="AA707" s="68"/>
      <c r="AB707" s="68"/>
      <c r="AC707" s="68"/>
      <c r="AD707" s="68"/>
    </row>
    <row r="708" spans="16:30" x14ac:dyDescent="0.2">
      <c r="P708" s="68"/>
      <c r="Q708" s="74"/>
      <c r="R708" s="74"/>
      <c r="S708" s="74"/>
      <c r="T708" s="75"/>
      <c r="U708" s="76"/>
      <c r="V708" s="77"/>
      <c r="W708" s="77"/>
      <c r="X708" s="76"/>
      <c r="Y708" s="76"/>
      <c r="Z708" s="68"/>
      <c r="AA708" s="68"/>
      <c r="AB708" s="68"/>
      <c r="AC708" s="68"/>
      <c r="AD708" s="68"/>
    </row>
    <row r="709" spans="16:30" x14ac:dyDescent="0.2">
      <c r="P709" s="68"/>
      <c r="Q709" s="74"/>
      <c r="R709" s="74"/>
      <c r="S709" s="74"/>
      <c r="T709" s="75"/>
      <c r="U709" s="76"/>
      <c r="V709" s="77"/>
      <c r="W709" s="77"/>
      <c r="X709" s="76"/>
      <c r="Y709" s="76"/>
      <c r="Z709" s="68"/>
      <c r="AA709" s="68"/>
      <c r="AB709" s="68"/>
      <c r="AC709" s="68"/>
      <c r="AD709" s="68"/>
    </row>
    <row r="710" spans="16:30" x14ac:dyDescent="0.2">
      <c r="P710" s="68"/>
      <c r="Q710" s="74"/>
      <c r="R710" s="74"/>
      <c r="S710" s="74"/>
      <c r="T710" s="75"/>
      <c r="U710" s="76"/>
      <c r="V710" s="77"/>
      <c r="W710" s="77"/>
      <c r="X710" s="76"/>
      <c r="Y710" s="76"/>
      <c r="Z710" s="68"/>
      <c r="AA710" s="68"/>
      <c r="AB710" s="68"/>
      <c r="AC710" s="68"/>
      <c r="AD710" s="68"/>
    </row>
    <row r="711" spans="16:30" x14ac:dyDescent="0.2">
      <c r="P711" s="68"/>
      <c r="Q711" s="74"/>
      <c r="R711" s="74"/>
      <c r="S711" s="74"/>
      <c r="T711" s="75"/>
      <c r="U711" s="76"/>
      <c r="V711" s="77"/>
      <c r="W711" s="77"/>
      <c r="X711" s="76"/>
      <c r="Y711" s="76"/>
      <c r="Z711" s="68"/>
      <c r="AA711" s="68"/>
      <c r="AB711" s="68"/>
      <c r="AC711" s="68"/>
      <c r="AD711" s="68"/>
    </row>
    <row r="712" spans="16:30" x14ac:dyDescent="0.2">
      <c r="P712" s="68"/>
      <c r="Q712" s="74"/>
      <c r="R712" s="74"/>
      <c r="S712" s="74"/>
      <c r="T712" s="75"/>
      <c r="U712" s="76"/>
      <c r="V712" s="77"/>
      <c r="W712" s="77"/>
      <c r="X712" s="76"/>
      <c r="Y712" s="76"/>
      <c r="Z712" s="68"/>
      <c r="AA712" s="68"/>
      <c r="AB712" s="68"/>
      <c r="AC712" s="68"/>
      <c r="AD712" s="68"/>
    </row>
    <row r="713" spans="16:30" x14ac:dyDescent="0.2">
      <c r="P713" s="68"/>
      <c r="Q713" s="74"/>
      <c r="R713" s="74"/>
      <c r="S713" s="74"/>
      <c r="T713" s="75"/>
      <c r="U713" s="76"/>
      <c r="V713" s="77"/>
      <c r="W713" s="77"/>
      <c r="X713" s="76"/>
      <c r="Y713" s="76"/>
      <c r="Z713" s="68"/>
      <c r="AA713" s="68"/>
      <c r="AB713" s="68"/>
      <c r="AC713" s="68"/>
      <c r="AD713" s="68"/>
    </row>
    <row r="714" spans="16:30" x14ac:dyDescent="0.2">
      <c r="P714" s="68"/>
      <c r="Q714" s="74"/>
      <c r="R714" s="74"/>
      <c r="S714" s="74"/>
      <c r="T714" s="75"/>
      <c r="U714" s="76"/>
      <c r="V714" s="77"/>
      <c r="W714" s="77"/>
      <c r="X714" s="76"/>
      <c r="Y714" s="76"/>
      <c r="Z714" s="68"/>
      <c r="AA714" s="68"/>
      <c r="AB714" s="68"/>
      <c r="AC714" s="68"/>
      <c r="AD714" s="68"/>
    </row>
    <row r="715" spans="16:30" x14ac:dyDescent="0.2">
      <c r="P715" s="68"/>
      <c r="Q715" s="74"/>
      <c r="R715" s="74"/>
      <c r="S715" s="74"/>
      <c r="T715" s="75"/>
      <c r="U715" s="76"/>
      <c r="V715" s="77"/>
      <c r="W715" s="77"/>
      <c r="X715" s="76"/>
      <c r="Y715" s="76"/>
      <c r="Z715" s="68"/>
      <c r="AA715" s="68"/>
      <c r="AB715" s="68"/>
      <c r="AC715" s="68"/>
      <c r="AD715" s="68"/>
    </row>
    <row r="716" spans="16:30" x14ac:dyDescent="0.2">
      <c r="P716" s="68"/>
      <c r="Q716" s="74"/>
      <c r="R716" s="74"/>
      <c r="S716" s="74"/>
      <c r="T716" s="75"/>
      <c r="U716" s="76"/>
      <c r="V716" s="77"/>
      <c r="W716" s="77"/>
      <c r="X716" s="76"/>
      <c r="Y716" s="76"/>
      <c r="Z716" s="68"/>
      <c r="AA716" s="68"/>
      <c r="AB716" s="68"/>
      <c r="AC716" s="68"/>
      <c r="AD716" s="68"/>
    </row>
    <row r="717" spans="16:30" x14ac:dyDescent="0.2">
      <c r="P717" s="68"/>
      <c r="Q717" s="74"/>
      <c r="R717" s="74"/>
      <c r="S717" s="74"/>
      <c r="T717" s="75"/>
      <c r="U717" s="76"/>
      <c r="V717" s="77"/>
      <c r="W717" s="77"/>
      <c r="X717" s="76"/>
      <c r="Y717" s="76"/>
      <c r="Z717" s="68"/>
      <c r="AA717" s="68"/>
      <c r="AB717" s="68"/>
      <c r="AC717" s="68"/>
      <c r="AD717" s="68"/>
    </row>
    <row r="718" spans="16:30" x14ac:dyDescent="0.2">
      <c r="P718" s="68"/>
      <c r="Q718" s="74"/>
      <c r="R718" s="74"/>
      <c r="S718" s="74"/>
      <c r="T718" s="75"/>
      <c r="U718" s="76"/>
      <c r="V718" s="77"/>
      <c r="W718" s="77"/>
      <c r="X718" s="76"/>
      <c r="Y718" s="76"/>
      <c r="Z718" s="68"/>
      <c r="AA718" s="68"/>
      <c r="AB718" s="68"/>
      <c r="AC718" s="68"/>
      <c r="AD718" s="68"/>
    </row>
    <row r="719" spans="16:30" x14ac:dyDescent="0.2">
      <c r="P719" s="68"/>
      <c r="Q719" s="74"/>
      <c r="R719" s="74"/>
      <c r="S719" s="74"/>
      <c r="T719" s="75"/>
      <c r="U719" s="76"/>
      <c r="V719" s="77"/>
      <c r="W719" s="77"/>
      <c r="X719" s="76"/>
      <c r="Y719" s="76"/>
      <c r="Z719" s="68"/>
      <c r="AA719" s="68"/>
      <c r="AB719" s="68"/>
      <c r="AC719" s="68"/>
      <c r="AD719" s="68"/>
    </row>
    <row r="720" spans="16:30" x14ac:dyDescent="0.2">
      <c r="P720" s="68"/>
      <c r="Q720" s="74"/>
      <c r="R720" s="74"/>
      <c r="S720" s="74"/>
      <c r="T720" s="75"/>
      <c r="U720" s="76"/>
      <c r="V720" s="77"/>
      <c r="W720" s="77"/>
      <c r="X720" s="76"/>
      <c r="Y720" s="76"/>
      <c r="Z720" s="68"/>
      <c r="AA720" s="68"/>
      <c r="AB720" s="68"/>
      <c r="AC720" s="68"/>
      <c r="AD720" s="68"/>
    </row>
    <row r="721" spans="16:30" x14ac:dyDescent="0.2">
      <c r="P721" s="68"/>
      <c r="Q721" s="74"/>
      <c r="R721" s="74"/>
      <c r="S721" s="74"/>
      <c r="T721" s="75"/>
      <c r="U721" s="76"/>
      <c r="V721" s="77"/>
      <c r="W721" s="77"/>
      <c r="X721" s="76"/>
      <c r="Y721" s="76"/>
      <c r="Z721" s="68"/>
      <c r="AA721" s="68"/>
      <c r="AB721" s="68"/>
      <c r="AC721" s="68"/>
      <c r="AD721" s="68"/>
    </row>
    <row r="722" spans="16:30" x14ac:dyDescent="0.2">
      <c r="P722" s="68"/>
      <c r="Q722" s="74"/>
      <c r="R722" s="74"/>
      <c r="S722" s="74"/>
      <c r="T722" s="75"/>
      <c r="U722" s="76"/>
      <c r="V722" s="77"/>
      <c r="W722" s="77"/>
      <c r="X722" s="76"/>
      <c r="Y722" s="76"/>
      <c r="Z722" s="68"/>
      <c r="AA722" s="68"/>
      <c r="AB722" s="68"/>
      <c r="AC722" s="68"/>
      <c r="AD722" s="68"/>
    </row>
    <row r="723" spans="16:30" x14ac:dyDescent="0.2">
      <c r="P723" s="68"/>
      <c r="Q723" s="74"/>
      <c r="R723" s="74"/>
      <c r="S723" s="74"/>
      <c r="T723" s="75"/>
      <c r="U723" s="76"/>
      <c r="V723" s="77"/>
      <c r="W723" s="77"/>
      <c r="X723" s="76"/>
      <c r="Y723" s="76"/>
      <c r="Z723" s="68"/>
      <c r="AA723" s="68"/>
      <c r="AB723" s="68"/>
      <c r="AC723" s="68"/>
      <c r="AD723" s="68"/>
    </row>
    <row r="724" spans="16:30" x14ac:dyDescent="0.2">
      <c r="P724" s="68"/>
      <c r="Q724" s="74"/>
      <c r="R724" s="74"/>
      <c r="S724" s="74"/>
      <c r="T724" s="75"/>
      <c r="U724" s="76"/>
      <c r="V724" s="77"/>
      <c r="W724" s="77"/>
      <c r="X724" s="76"/>
      <c r="Y724" s="76"/>
      <c r="Z724" s="68"/>
      <c r="AA724" s="68"/>
      <c r="AB724" s="68"/>
      <c r="AC724" s="68"/>
      <c r="AD724" s="68"/>
    </row>
    <row r="725" spans="16:30" x14ac:dyDescent="0.2">
      <c r="P725" s="68"/>
      <c r="Q725" s="74"/>
      <c r="R725" s="74"/>
      <c r="S725" s="74"/>
      <c r="T725" s="75"/>
      <c r="U725" s="76"/>
      <c r="V725" s="77"/>
      <c r="W725" s="77"/>
      <c r="X725" s="76"/>
      <c r="Y725" s="76"/>
      <c r="Z725" s="68"/>
      <c r="AA725" s="68"/>
      <c r="AB725" s="68"/>
      <c r="AC725" s="68"/>
      <c r="AD725" s="68"/>
    </row>
    <row r="726" spans="16:30" x14ac:dyDescent="0.2">
      <c r="P726" s="68"/>
      <c r="Q726" s="74"/>
      <c r="R726" s="74"/>
      <c r="S726" s="74"/>
      <c r="T726" s="75"/>
      <c r="U726" s="76"/>
      <c r="V726" s="77"/>
      <c r="W726" s="77"/>
      <c r="X726" s="76"/>
      <c r="Y726" s="76"/>
      <c r="Z726" s="68"/>
      <c r="AA726" s="68"/>
      <c r="AB726" s="68"/>
      <c r="AC726" s="68"/>
      <c r="AD726" s="68"/>
    </row>
    <row r="727" spans="16:30" x14ac:dyDescent="0.2">
      <c r="P727" s="68"/>
      <c r="Q727" s="74"/>
      <c r="R727" s="74"/>
      <c r="S727" s="74"/>
      <c r="T727" s="75"/>
      <c r="U727" s="76"/>
      <c r="V727" s="77"/>
      <c r="W727" s="77"/>
      <c r="X727" s="76"/>
      <c r="Y727" s="76"/>
      <c r="Z727" s="68"/>
      <c r="AA727" s="68"/>
      <c r="AB727" s="68"/>
      <c r="AC727" s="68"/>
      <c r="AD727" s="68"/>
    </row>
    <row r="728" spans="16:30" x14ac:dyDescent="0.2">
      <c r="P728" s="68"/>
      <c r="Q728" s="74"/>
      <c r="R728" s="74"/>
      <c r="S728" s="74"/>
      <c r="T728" s="75"/>
      <c r="U728" s="76"/>
      <c r="V728" s="77"/>
      <c r="W728" s="77"/>
      <c r="X728" s="76"/>
      <c r="Y728" s="76"/>
      <c r="Z728" s="68"/>
      <c r="AA728" s="68"/>
      <c r="AB728" s="68"/>
      <c r="AC728" s="68"/>
      <c r="AD728" s="68"/>
    </row>
    <row r="729" spans="16:30" x14ac:dyDescent="0.2">
      <c r="P729" s="68"/>
      <c r="Q729" s="74"/>
      <c r="R729" s="74"/>
      <c r="S729" s="74"/>
      <c r="T729" s="75"/>
      <c r="U729" s="76"/>
      <c r="V729" s="77"/>
      <c r="W729" s="77"/>
      <c r="X729" s="76"/>
      <c r="Y729" s="76"/>
      <c r="Z729" s="68"/>
      <c r="AA729" s="68"/>
      <c r="AB729" s="68"/>
      <c r="AC729" s="68"/>
      <c r="AD729" s="68"/>
    </row>
    <row r="730" spans="16:30" x14ac:dyDescent="0.2">
      <c r="P730" s="68"/>
      <c r="Q730" s="74"/>
      <c r="R730" s="74"/>
      <c r="S730" s="74"/>
      <c r="T730" s="75"/>
      <c r="U730" s="76"/>
      <c r="V730" s="77"/>
      <c r="W730" s="77"/>
      <c r="X730" s="76"/>
      <c r="Y730" s="76"/>
      <c r="Z730" s="68"/>
      <c r="AA730" s="68"/>
      <c r="AB730" s="68"/>
      <c r="AC730" s="68"/>
      <c r="AD730" s="68"/>
    </row>
    <row r="731" spans="16:30" x14ac:dyDescent="0.2">
      <c r="P731" s="68"/>
      <c r="Q731" s="74"/>
      <c r="R731" s="74"/>
      <c r="S731" s="74"/>
      <c r="T731" s="75"/>
      <c r="U731" s="76"/>
      <c r="V731" s="77"/>
      <c r="W731" s="77"/>
      <c r="X731" s="76"/>
      <c r="Y731" s="76"/>
      <c r="Z731" s="68"/>
      <c r="AA731" s="68"/>
      <c r="AB731" s="68"/>
      <c r="AC731" s="68"/>
      <c r="AD731" s="68"/>
    </row>
    <row r="732" spans="16:30" x14ac:dyDescent="0.2">
      <c r="P732" s="68"/>
      <c r="Q732" s="74"/>
      <c r="R732" s="74"/>
      <c r="S732" s="74"/>
      <c r="T732" s="75"/>
      <c r="U732" s="76"/>
      <c r="V732" s="77"/>
      <c r="W732" s="77"/>
      <c r="X732" s="76"/>
      <c r="Y732" s="76"/>
      <c r="Z732" s="68"/>
      <c r="AA732" s="68"/>
      <c r="AB732" s="68"/>
      <c r="AC732" s="68"/>
      <c r="AD732" s="68"/>
    </row>
    <row r="733" spans="16:30" x14ac:dyDescent="0.2">
      <c r="P733" s="68"/>
      <c r="Q733" s="74"/>
      <c r="R733" s="74"/>
      <c r="S733" s="74"/>
      <c r="T733" s="75"/>
      <c r="U733" s="76"/>
      <c r="V733" s="77"/>
      <c r="W733" s="77"/>
      <c r="X733" s="76"/>
      <c r="Y733" s="76"/>
      <c r="Z733" s="68"/>
      <c r="AA733" s="68"/>
      <c r="AB733" s="68"/>
      <c r="AC733" s="68"/>
      <c r="AD733" s="68"/>
    </row>
    <row r="734" spans="16:30" x14ac:dyDescent="0.2">
      <c r="P734" s="68"/>
      <c r="Q734" s="74"/>
      <c r="R734" s="74"/>
      <c r="S734" s="74"/>
      <c r="T734" s="75"/>
      <c r="U734" s="76"/>
      <c r="V734" s="77"/>
      <c r="W734" s="77"/>
      <c r="X734" s="76"/>
      <c r="Y734" s="76"/>
      <c r="Z734" s="68"/>
      <c r="AA734" s="68"/>
      <c r="AB734" s="68"/>
      <c r="AC734" s="68"/>
      <c r="AD734" s="68"/>
    </row>
    <row r="735" spans="16:30" x14ac:dyDescent="0.2">
      <c r="P735" s="68"/>
      <c r="Q735" s="74"/>
      <c r="R735" s="74"/>
      <c r="S735" s="74"/>
      <c r="T735" s="75"/>
      <c r="U735" s="76"/>
      <c r="V735" s="77"/>
      <c r="W735" s="77"/>
      <c r="X735" s="76"/>
      <c r="Y735" s="76"/>
      <c r="Z735" s="68"/>
      <c r="AA735" s="68"/>
      <c r="AB735" s="68"/>
      <c r="AC735" s="68"/>
      <c r="AD735" s="68"/>
    </row>
    <row r="736" spans="16:30" x14ac:dyDescent="0.2">
      <c r="P736" s="68"/>
      <c r="Q736" s="74"/>
      <c r="R736" s="74"/>
      <c r="S736" s="74"/>
      <c r="T736" s="75"/>
      <c r="U736" s="76"/>
      <c r="V736" s="77"/>
      <c r="W736" s="77"/>
      <c r="X736" s="76"/>
      <c r="Y736" s="76"/>
      <c r="Z736" s="68"/>
      <c r="AA736" s="68"/>
      <c r="AB736" s="68"/>
      <c r="AC736" s="68"/>
      <c r="AD736" s="68"/>
    </row>
    <row r="737" spans="16:30" x14ac:dyDescent="0.2">
      <c r="P737" s="68"/>
      <c r="Q737" s="74"/>
      <c r="R737" s="74"/>
      <c r="S737" s="74"/>
      <c r="T737" s="75"/>
      <c r="U737" s="76"/>
      <c r="V737" s="77"/>
      <c r="W737" s="77"/>
      <c r="X737" s="76"/>
      <c r="Y737" s="76"/>
      <c r="Z737" s="68"/>
      <c r="AA737" s="68"/>
      <c r="AB737" s="68"/>
      <c r="AC737" s="68"/>
      <c r="AD737" s="68"/>
    </row>
    <row r="738" spans="16:30" x14ac:dyDescent="0.2">
      <c r="P738" s="68"/>
      <c r="Q738" s="74"/>
      <c r="R738" s="74"/>
      <c r="S738" s="74"/>
      <c r="T738" s="75"/>
      <c r="U738" s="76"/>
      <c r="V738" s="77"/>
      <c r="W738" s="77"/>
      <c r="X738" s="76"/>
      <c r="Y738" s="76"/>
      <c r="Z738" s="68"/>
      <c r="AA738" s="68"/>
      <c r="AB738" s="68"/>
      <c r="AC738" s="68"/>
      <c r="AD738" s="68"/>
    </row>
    <row r="739" spans="16:30" x14ac:dyDescent="0.2">
      <c r="P739" s="68"/>
      <c r="Q739" s="74"/>
      <c r="R739" s="74"/>
      <c r="S739" s="74"/>
      <c r="T739" s="75"/>
      <c r="U739" s="76"/>
      <c r="V739" s="77"/>
      <c r="W739" s="77"/>
      <c r="X739" s="76"/>
      <c r="Y739" s="76"/>
      <c r="Z739" s="68"/>
      <c r="AA739" s="68"/>
      <c r="AB739" s="68"/>
      <c r="AC739" s="68"/>
      <c r="AD739" s="68"/>
    </row>
    <row r="740" spans="16:30" x14ac:dyDescent="0.2">
      <c r="P740" s="68"/>
      <c r="Q740" s="74"/>
      <c r="R740" s="74"/>
      <c r="S740" s="74"/>
      <c r="T740" s="75"/>
      <c r="U740" s="76"/>
      <c r="V740" s="77"/>
      <c r="W740" s="77"/>
      <c r="X740" s="76"/>
      <c r="Y740" s="76"/>
      <c r="Z740" s="68"/>
      <c r="AA740" s="68"/>
      <c r="AB740" s="68"/>
      <c r="AC740" s="68"/>
      <c r="AD740" s="68"/>
    </row>
    <row r="741" spans="16:30" x14ac:dyDescent="0.2">
      <c r="P741" s="68"/>
      <c r="Q741" s="74"/>
      <c r="R741" s="74"/>
      <c r="S741" s="74"/>
      <c r="T741" s="75"/>
      <c r="U741" s="76"/>
      <c r="V741" s="77"/>
      <c r="W741" s="77"/>
      <c r="X741" s="76"/>
      <c r="Y741" s="76"/>
      <c r="Z741" s="68"/>
      <c r="AA741" s="68"/>
      <c r="AB741" s="68"/>
      <c r="AC741" s="68"/>
      <c r="AD741" s="68"/>
    </row>
    <row r="742" spans="16:30" x14ac:dyDescent="0.2">
      <c r="P742" s="68"/>
      <c r="Q742" s="74"/>
      <c r="R742" s="74"/>
      <c r="S742" s="74"/>
      <c r="T742" s="75"/>
      <c r="U742" s="76"/>
      <c r="V742" s="77"/>
      <c r="W742" s="77"/>
      <c r="X742" s="76"/>
      <c r="Y742" s="76"/>
      <c r="Z742" s="68"/>
      <c r="AA742" s="68"/>
      <c r="AB742" s="68"/>
      <c r="AC742" s="68"/>
      <c r="AD742" s="68"/>
    </row>
    <row r="743" spans="16:30" x14ac:dyDescent="0.2">
      <c r="P743" s="68"/>
      <c r="Q743" s="74"/>
      <c r="R743" s="74"/>
      <c r="S743" s="74"/>
      <c r="T743" s="75"/>
      <c r="U743" s="76"/>
      <c r="V743" s="77"/>
      <c r="W743" s="77"/>
      <c r="X743" s="76"/>
      <c r="Y743" s="76"/>
      <c r="Z743" s="68"/>
      <c r="AA743" s="68"/>
      <c r="AB743" s="68"/>
      <c r="AC743" s="68"/>
      <c r="AD743" s="68"/>
    </row>
    <row r="744" spans="16:30" x14ac:dyDescent="0.2">
      <c r="P744" s="68"/>
      <c r="Q744" s="74"/>
      <c r="R744" s="74"/>
      <c r="S744" s="74"/>
      <c r="T744" s="75"/>
      <c r="U744" s="76"/>
      <c r="V744" s="77"/>
      <c r="W744" s="77"/>
      <c r="X744" s="76"/>
      <c r="Y744" s="76"/>
      <c r="Z744" s="68"/>
      <c r="AA744" s="68"/>
      <c r="AB744" s="68"/>
      <c r="AC744" s="68"/>
      <c r="AD744" s="68"/>
    </row>
    <row r="745" spans="16:30" x14ac:dyDescent="0.2">
      <c r="P745" s="68"/>
      <c r="Q745" s="74"/>
      <c r="R745" s="74"/>
      <c r="S745" s="74"/>
      <c r="T745" s="75"/>
      <c r="U745" s="76"/>
      <c r="V745" s="77"/>
      <c r="W745" s="77"/>
      <c r="X745" s="76"/>
      <c r="Y745" s="76"/>
      <c r="Z745" s="68"/>
      <c r="AA745" s="68"/>
      <c r="AB745" s="68"/>
      <c r="AC745" s="68"/>
      <c r="AD745" s="68"/>
    </row>
    <row r="746" spans="16:30" x14ac:dyDescent="0.2">
      <c r="P746" s="68"/>
      <c r="Q746" s="74"/>
      <c r="R746" s="74"/>
      <c r="S746" s="74"/>
      <c r="T746" s="75"/>
      <c r="U746" s="76"/>
      <c r="V746" s="77"/>
      <c r="W746" s="77"/>
      <c r="X746" s="76"/>
      <c r="Y746" s="76"/>
      <c r="Z746" s="68"/>
      <c r="AA746" s="68"/>
      <c r="AB746" s="68"/>
      <c r="AC746" s="68"/>
      <c r="AD746" s="68"/>
    </row>
    <row r="747" spans="16:30" x14ac:dyDescent="0.2">
      <c r="P747" s="68"/>
      <c r="Q747" s="74"/>
      <c r="R747" s="74"/>
      <c r="S747" s="74"/>
      <c r="T747" s="75"/>
      <c r="U747" s="76"/>
      <c r="V747" s="77"/>
      <c r="W747" s="77"/>
      <c r="X747" s="76"/>
      <c r="Y747" s="76"/>
      <c r="Z747" s="68"/>
      <c r="AA747" s="68"/>
      <c r="AB747" s="68"/>
      <c r="AC747" s="68"/>
      <c r="AD747" s="68"/>
    </row>
    <row r="748" spans="16:30" x14ac:dyDescent="0.2">
      <c r="P748" s="68"/>
      <c r="Q748" s="74"/>
      <c r="R748" s="74"/>
      <c r="S748" s="74"/>
      <c r="T748" s="75"/>
      <c r="U748" s="76"/>
      <c r="V748" s="77"/>
      <c r="W748" s="77"/>
      <c r="X748" s="76"/>
      <c r="Y748" s="76"/>
      <c r="Z748" s="68"/>
      <c r="AA748" s="68"/>
      <c r="AB748" s="68"/>
      <c r="AC748" s="68"/>
      <c r="AD748" s="68"/>
    </row>
    <row r="749" spans="16:30" x14ac:dyDescent="0.2">
      <c r="P749" s="68"/>
      <c r="Q749" s="74"/>
      <c r="R749" s="74"/>
      <c r="S749" s="74"/>
      <c r="T749" s="75"/>
      <c r="U749" s="76"/>
      <c r="V749" s="77"/>
      <c r="W749" s="77"/>
      <c r="X749" s="76"/>
      <c r="Y749" s="76"/>
      <c r="Z749" s="68"/>
      <c r="AA749" s="68"/>
      <c r="AB749" s="68"/>
      <c r="AC749" s="68"/>
      <c r="AD749" s="68"/>
    </row>
    <row r="750" spans="16:30" x14ac:dyDescent="0.2">
      <c r="P750" s="68"/>
      <c r="Q750" s="74"/>
      <c r="R750" s="74"/>
      <c r="S750" s="74"/>
      <c r="T750" s="75"/>
      <c r="U750" s="76"/>
      <c r="V750" s="77"/>
      <c r="W750" s="77"/>
      <c r="X750" s="76"/>
      <c r="Y750" s="76"/>
      <c r="Z750" s="68"/>
      <c r="AA750" s="68"/>
      <c r="AB750" s="68"/>
      <c r="AC750" s="68"/>
      <c r="AD750" s="68"/>
    </row>
    <row r="751" spans="16:30" x14ac:dyDescent="0.2">
      <c r="P751" s="68"/>
      <c r="Q751" s="74"/>
      <c r="R751" s="74"/>
      <c r="S751" s="74"/>
      <c r="T751" s="75"/>
      <c r="U751" s="76"/>
      <c r="V751" s="77"/>
      <c r="W751" s="77"/>
      <c r="X751" s="76"/>
      <c r="Y751" s="76"/>
      <c r="Z751" s="68"/>
      <c r="AA751" s="68"/>
      <c r="AB751" s="68"/>
      <c r="AC751" s="68"/>
      <c r="AD751" s="68"/>
    </row>
    <row r="752" spans="16:30" x14ac:dyDescent="0.2">
      <c r="P752" s="68"/>
      <c r="Q752" s="74"/>
      <c r="R752" s="74"/>
      <c r="S752" s="74"/>
      <c r="T752" s="75"/>
      <c r="U752" s="76"/>
      <c r="V752" s="77"/>
      <c r="W752" s="77"/>
      <c r="X752" s="76"/>
      <c r="Y752" s="76"/>
      <c r="Z752" s="68"/>
      <c r="AA752" s="68"/>
      <c r="AB752" s="68"/>
      <c r="AC752" s="68"/>
      <c r="AD752" s="68"/>
    </row>
    <row r="753" spans="16:30" x14ac:dyDescent="0.2">
      <c r="P753" s="68"/>
      <c r="Q753" s="74"/>
      <c r="R753" s="74"/>
      <c r="S753" s="74"/>
      <c r="T753" s="75"/>
      <c r="U753" s="76"/>
      <c r="V753" s="77"/>
      <c r="W753" s="77"/>
      <c r="X753" s="76"/>
      <c r="Y753" s="76"/>
      <c r="Z753" s="68"/>
      <c r="AA753" s="68"/>
      <c r="AB753" s="68"/>
      <c r="AC753" s="68"/>
      <c r="AD753" s="68"/>
    </row>
    <row r="754" spans="16:30" x14ac:dyDescent="0.2">
      <c r="P754" s="68"/>
      <c r="Q754" s="74"/>
      <c r="R754" s="74"/>
      <c r="S754" s="74"/>
      <c r="T754" s="75"/>
      <c r="U754" s="76"/>
      <c r="V754" s="77"/>
      <c r="W754" s="77"/>
      <c r="X754" s="76"/>
      <c r="Y754" s="76"/>
      <c r="Z754" s="68"/>
      <c r="AA754" s="68"/>
      <c r="AB754" s="68"/>
      <c r="AC754" s="68"/>
      <c r="AD754" s="68"/>
    </row>
    <row r="755" spans="16:30" x14ac:dyDescent="0.2">
      <c r="P755" s="68"/>
      <c r="Q755" s="74"/>
      <c r="R755" s="74"/>
      <c r="S755" s="74"/>
      <c r="T755" s="75"/>
      <c r="U755" s="76"/>
      <c r="V755" s="77"/>
      <c r="W755" s="77"/>
      <c r="X755" s="76"/>
      <c r="Y755" s="76"/>
      <c r="Z755" s="68"/>
      <c r="AA755" s="68"/>
      <c r="AB755" s="68"/>
      <c r="AC755" s="68"/>
      <c r="AD755" s="68"/>
    </row>
    <row r="756" spans="16:30" x14ac:dyDescent="0.2">
      <c r="P756" s="68"/>
      <c r="Q756" s="74"/>
      <c r="R756" s="74"/>
      <c r="S756" s="74"/>
      <c r="T756" s="75"/>
      <c r="U756" s="76"/>
      <c r="V756" s="77"/>
      <c r="W756" s="77"/>
      <c r="X756" s="76"/>
      <c r="Y756" s="76"/>
      <c r="Z756" s="68"/>
      <c r="AA756" s="68"/>
      <c r="AB756" s="68"/>
      <c r="AC756" s="68"/>
      <c r="AD756" s="68"/>
    </row>
    <row r="757" spans="16:30" x14ac:dyDescent="0.2">
      <c r="P757" s="68"/>
      <c r="Q757" s="74"/>
      <c r="R757" s="74"/>
      <c r="S757" s="74"/>
      <c r="T757" s="75"/>
      <c r="U757" s="76"/>
      <c r="V757" s="77"/>
      <c r="W757" s="77"/>
      <c r="X757" s="76"/>
      <c r="Y757" s="76"/>
      <c r="Z757" s="68"/>
      <c r="AA757" s="68"/>
      <c r="AB757" s="68"/>
      <c r="AC757" s="68"/>
      <c r="AD757" s="68"/>
    </row>
    <row r="758" spans="16:30" x14ac:dyDescent="0.2">
      <c r="P758" s="68"/>
      <c r="Q758" s="74"/>
      <c r="R758" s="74"/>
      <c r="S758" s="74"/>
      <c r="T758" s="75"/>
      <c r="U758" s="76"/>
      <c r="V758" s="77"/>
      <c r="W758" s="77"/>
      <c r="X758" s="76"/>
      <c r="Y758" s="76"/>
      <c r="Z758" s="68"/>
      <c r="AA758" s="68"/>
      <c r="AB758" s="68"/>
      <c r="AC758" s="68"/>
      <c r="AD758" s="68"/>
    </row>
    <row r="759" spans="16:30" x14ac:dyDescent="0.2">
      <c r="P759" s="68"/>
      <c r="Q759" s="74"/>
      <c r="R759" s="74"/>
      <c r="S759" s="74"/>
      <c r="T759" s="75"/>
      <c r="U759" s="76"/>
      <c r="V759" s="77"/>
      <c r="W759" s="77"/>
      <c r="X759" s="76"/>
      <c r="Y759" s="76"/>
      <c r="Z759" s="68"/>
      <c r="AA759" s="68"/>
      <c r="AB759" s="68"/>
      <c r="AC759" s="68"/>
      <c r="AD759" s="68"/>
    </row>
    <row r="760" spans="16:30" x14ac:dyDescent="0.2">
      <c r="P760" s="68"/>
      <c r="Q760" s="74"/>
      <c r="R760" s="74"/>
      <c r="S760" s="74"/>
      <c r="T760" s="75"/>
      <c r="U760" s="76"/>
      <c r="V760" s="77"/>
      <c r="W760" s="77"/>
      <c r="X760" s="76"/>
      <c r="Y760" s="76"/>
      <c r="Z760" s="68"/>
      <c r="AA760" s="68"/>
      <c r="AB760" s="68"/>
      <c r="AC760" s="68"/>
      <c r="AD760" s="68"/>
    </row>
    <row r="761" spans="16:30" x14ac:dyDescent="0.2">
      <c r="P761" s="68"/>
      <c r="Q761" s="74"/>
      <c r="R761" s="74"/>
      <c r="S761" s="74"/>
      <c r="T761" s="75"/>
      <c r="U761" s="76"/>
      <c r="V761" s="77"/>
      <c r="W761" s="77"/>
      <c r="X761" s="76"/>
      <c r="Y761" s="76"/>
      <c r="Z761" s="68"/>
      <c r="AA761" s="68"/>
      <c r="AB761" s="68"/>
      <c r="AC761" s="68"/>
      <c r="AD761" s="68"/>
    </row>
    <row r="762" spans="16:30" x14ac:dyDescent="0.2">
      <c r="P762" s="68"/>
      <c r="Q762" s="74"/>
      <c r="R762" s="74"/>
      <c r="S762" s="74"/>
      <c r="T762" s="75"/>
      <c r="U762" s="76"/>
      <c r="V762" s="77"/>
      <c r="W762" s="77"/>
      <c r="X762" s="76"/>
      <c r="Y762" s="76"/>
      <c r="Z762" s="68"/>
      <c r="AA762" s="68"/>
      <c r="AB762" s="68"/>
      <c r="AC762" s="68"/>
      <c r="AD762" s="68"/>
    </row>
    <row r="763" spans="16:30" x14ac:dyDescent="0.2">
      <c r="P763" s="68"/>
      <c r="Q763" s="74"/>
      <c r="R763" s="74"/>
      <c r="S763" s="74"/>
      <c r="T763" s="75"/>
      <c r="U763" s="76"/>
      <c r="V763" s="77"/>
      <c r="W763" s="77"/>
      <c r="X763" s="76"/>
      <c r="Y763" s="76"/>
      <c r="Z763" s="68"/>
      <c r="AA763" s="68"/>
      <c r="AB763" s="68"/>
      <c r="AC763" s="68"/>
      <c r="AD763" s="68"/>
    </row>
    <row r="764" spans="16:30" x14ac:dyDescent="0.2">
      <c r="P764" s="68"/>
      <c r="Q764" s="74"/>
      <c r="R764" s="74"/>
      <c r="S764" s="74"/>
      <c r="T764" s="75"/>
      <c r="U764" s="76"/>
      <c r="V764" s="77"/>
      <c r="W764" s="77"/>
      <c r="X764" s="76"/>
      <c r="Y764" s="76"/>
      <c r="Z764" s="68"/>
      <c r="AA764" s="68"/>
      <c r="AB764" s="68"/>
      <c r="AC764" s="68"/>
      <c r="AD764" s="68"/>
    </row>
    <row r="765" spans="16:30" x14ac:dyDescent="0.2">
      <c r="P765" s="68"/>
      <c r="Q765" s="74"/>
      <c r="R765" s="74"/>
      <c r="S765" s="74"/>
      <c r="T765" s="75"/>
      <c r="U765" s="76"/>
      <c r="V765" s="77"/>
      <c r="W765" s="77"/>
      <c r="X765" s="76"/>
      <c r="Y765" s="76"/>
      <c r="Z765" s="68"/>
      <c r="AA765" s="68"/>
      <c r="AB765" s="68"/>
      <c r="AC765" s="68"/>
      <c r="AD765" s="68"/>
    </row>
    <row r="766" spans="16:30" x14ac:dyDescent="0.2">
      <c r="P766" s="68"/>
      <c r="Q766" s="74"/>
      <c r="R766" s="74"/>
      <c r="S766" s="74"/>
      <c r="T766" s="75"/>
      <c r="U766" s="76"/>
      <c r="V766" s="77"/>
      <c r="W766" s="77"/>
      <c r="X766" s="76"/>
      <c r="Y766" s="76"/>
      <c r="Z766" s="68"/>
      <c r="AA766" s="68"/>
      <c r="AB766" s="68"/>
      <c r="AC766" s="68"/>
      <c r="AD766" s="68"/>
    </row>
    <row r="767" spans="16:30" x14ac:dyDescent="0.2">
      <c r="P767" s="68"/>
      <c r="Q767" s="74"/>
      <c r="R767" s="74"/>
      <c r="S767" s="74"/>
      <c r="T767" s="75"/>
      <c r="U767" s="76"/>
      <c r="V767" s="77"/>
      <c r="W767" s="77"/>
      <c r="X767" s="76"/>
      <c r="Y767" s="76"/>
      <c r="Z767" s="68"/>
      <c r="AA767" s="68"/>
      <c r="AB767" s="68"/>
      <c r="AC767" s="68"/>
      <c r="AD767" s="68"/>
    </row>
    <row r="768" spans="16:30" x14ac:dyDescent="0.2">
      <c r="P768" s="68"/>
      <c r="Q768" s="74"/>
      <c r="R768" s="74"/>
      <c r="S768" s="74"/>
      <c r="T768" s="75"/>
      <c r="U768" s="76"/>
      <c r="V768" s="77"/>
      <c r="W768" s="77"/>
      <c r="X768" s="76"/>
      <c r="Y768" s="76"/>
      <c r="Z768" s="68"/>
      <c r="AA768" s="68"/>
      <c r="AB768" s="68"/>
      <c r="AC768" s="68"/>
      <c r="AD768" s="68"/>
    </row>
    <row r="769" spans="16:30" x14ac:dyDescent="0.2">
      <c r="P769" s="68"/>
      <c r="Q769" s="74"/>
      <c r="R769" s="74"/>
      <c r="S769" s="74"/>
      <c r="T769" s="75"/>
      <c r="U769" s="76"/>
      <c r="V769" s="77"/>
      <c r="W769" s="77"/>
      <c r="X769" s="76"/>
      <c r="Y769" s="76"/>
      <c r="Z769" s="68"/>
      <c r="AA769" s="68"/>
      <c r="AB769" s="68"/>
      <c r="AC769" s="68"/>
      <c r="AD769" s="68"/>
    </row>
    <row r="770" spans="16:30" x14ac:dyDescent="0.2">
      <c r="P770" s="68"/>
      <c r="Q770" s="74"/>
      <c r="R770" s="74"/>
      <c r="S770" s="74"/>
      <c r="T770" s="75"/>
      <c r="U770" s="76"/>
      <c r="V770" s="77"/>
      <c r="W770" s="77"/>
      <c r="X770" s="76"/>
      <c r="Y770" s="76"/>
      <c r="Z770" s="68"/>
      <c r="AA770" s="68"/>
      <c r="AB770" s="68"/>
      <c r="AC770" s="68"/>
      <c r="AD770" s="68"/>
    </row>
    <row r="771" spans="16:30" x14ac:dyDescent="0.2">
      <c r="P771" s="68"/>
      <c r="Q771" s="74"/>
      <c r="R771" s="74"/>
      <c r="S771" s="74"/>
      <c r="T771" s="75"/>
      <c r="U771" s="76"/>
      <c r="V771" s="77"/>
      <c r="W771" s="77"/>
      <c r="X771" s="76"/>
      <c r="Y771" s="76"/>
      <c r="Z771" s="68"/>
      <c r="AA771" s="68"/>
      <c r="AB771" s="68"/>
      <c r="AC771" s="68"/>
      <c r="AD771" s="68"/>
    </row>
    <row r="772" spans="16:30" x14ac:dyDescent="0.2">
      <c r="P772" s="68"/>
      <c r="Q772" s="74"/>
      <c r="R772" s="74"/>
      <c r="S772" s="74"/>
      <c r="T772" s="75"/>
      <c r="U772" s="76"/>
      <c r="V772" s="77"/>
      <c r="W772" s="77"/>
      <c r="X772" s="76"/>
      <c r="Y772" s="76"/>
      <c r="Z772" s="68"/>
      <c r="AA772" s="68"/>
      <c r="AB772" s="68"/>
      <c r="AC772" s="68"/>
      <c r="AD772" s="68"/>
    </row>
    <row r="773" spans="16:30" x14ac:dyDescent="0.2">
      <c r="P773" s="68"/>
      <c r="Q773" s="74"/>
      <c r="R773" s="74"/>
      <c r="S773" s="74"/>
      <c r="T773" s="75"/>
      <c r="U773" s="76"/>
      <c r="V773" s="77"/>
      <c r="W773" s="77"/>
      <c r="X773" s="76"/>
      <c r="Y773" s="76"/>
      <c r="Z773" s="68"/>
      <c r="AA773" s="68"/>
      <c r="AB773" s="68"/>
      <c r="AC773" s="68"/>
      <c r="AD773" s="68"/>
    </row>
    <row r="774" spans="16:30" x14ac:dyDescent="0.2">
      <c r="P774" s="68"/>
      <c r="Q774" s="74"/>
      <c r="R774" s="74"/>
      <c r="S774" s="74"/>
      <c r="T774" s="75"/>
      <c r="U774" s="76"/>
      <c r="V774" s="77"/>
      <c r="W774" s="77"/>
      <c r="X774" s="76"/>
      <c r="Y774" s="76"/>
      <c r="Z774" s="68"/>
      <c r="AA774" s="68"/>
      <c r="AB774" s="68"/>
      <c r="AC774" s="68"/>
      <c r="AD774" s="68"/>
    </row>
    <row r="775" spans="16:30" x14ac:dyDescent="0.2">
      <c r="P775" s="68"/>
      <c r="Q775" s="74"/>
      <c r="R775" s="74"/>
      <c r="S775" s="74"/>
      <c r="T775" s="75"/>
      <c r="U775" s="76"/>
      <c r="V775" s="77"/>
      <c r="W775" s="77"/>
      <c r="X775" s="76"/>
      <c r="Y775" s="76"/>
      <c r="Z775" s="68"/>
      <c r="AA775" s="68"/>
      <c r="AB775" s="68"/>
      <c r="AC775" s="68"/>
      <c r="AD775" s="68"/>
    </row>
    <row r="776" spans="16:30" x14ac:dyDescent="0.2">
      <c r="P776" s="68"/>
      <c r="Q776" s="74"/>
      <c r="R776" s="74"/>
      <c r="S776" s="74"/>
      <c r="T776" s="75"/>
      <c r="U776" s="76"/>
      <c r="V776" s="77"/>
      <c r="W776" s="77"/>
      <c r="X776" s="76"/>
      <c r="Y776" s="76"/>
      <c r="Z776" s="68"/>
      <c r="AA776" s="68"/>
      <c r="AB776" s="68"/>
      <c r="AC776" s="68"/>
      <c r="AD776" s="68"/>
    </row>
    <row r="777" spans="16:30" x14ac:dyDescent="0.2">
      <c r="P777" s="68"/>
      <c r="Q777" s="74"/>
      <c r="R777" s="74"/>
      <c r="S777" s="74"/>
      <c r="T777" s="75"/>
      <c r="U777" s="76"/>
      <c r="V777" s="77"/>
      <c r="W777" s="77"/>
      <c r="X777" s="76"/>
      <c r="Y777" s="76"/>
      <c r="Z777" s="68"/>
      <c r="AA777" s="68"/>
      <c r="AB777" s="68"/>
      <c r="AC777" s="68"/>
      <c r="AD777" s="68"/>
    </row>
    <row r="778" spans="16:30" x14ac:dyDescent="0.2">
      <c r="P778" s="68"/>
      <c r="Q778" s="74"/>
      <c r="R778" s="74"/>
      <c r="S778" s="74"/>
      <c r="T778" s="75"/>
      <c r="U778" s="76"/>
      <c r="V778" s="77"/>
      <c r="W778" s="77"/>
      <c r="X778" s="76"/>
      <c r="Y778" s="76"/>
      <c r="Z778" s="68"/>
      <c r="AA778" s="68"/>
      <c r="AB778" s="68"/>
      <c r="AC778" s="68"/>
      <c r="AD778" s="68"/>
    </row>
    <row r="779" spans="16:30" x14ac:dyDescent="0.2">
      <c r="P779" s="68"/>
      <c r="Q779" s="74"/>
      <c r="R779" s="74"/>
      <c r="S779" s="74"/>
      <c r="T779" s="75"/>
      <c r="U779" s="76"/>
      <c r="V779" s="77"/>
      <c r="W779" s="77"/>
      <c r="X779" s="76"/>
      <c r="Y779" s="76"/>
      <c r="Z779" s="68"/>
      <c r="AA779" s="68"/>
      <c r="AB779" s="68"/>
      <c r="AC779" s="68"/>
      <c r="AD779" s="68"/>
    </row>
    <row r="780" spans="16:30" x14ac:dyDescent="0.2">
      <c r="P780" s="68"/>
      <c r="Q780" s="74"/>
      <c r="R780" s="74"/>
      <c r="S780" s="74"/>
      <c r="T780" s="75"/>
      <c r="U780" s="76"/>
      <c r="V780" s="77"/>
      <c r="W780" s="77"/>
      <c r="X780" s="76"/>
      <c r="Y780" s="76"/>
      <c r="Z780" s="68"/>
      <c r="AA780" s="68"/>
      <c r="AB780" s="68"/>
      <c r="AC780" s="68"/>
      <c r="AD780" s="68"/>
    </row>
    <row r="781" spans="16:30" x14ac:dyDescent="0.2">
      <c r="P781" s="68"/>
      <c r="Q781" s="74"/>
      <c r="R781" s="74"/>
      <c r="S781" s="74"/>
      <c r="T781" s="75"/>
      <c r="U781" s="76"/>
      <c r="V781" s="77"/>
      <c r="W781" s="77"/>
      <c r="X781" s="76"/>
      <c r="Y781" s="76"/>
      <c r="Z781" s="68"/>
      <c r="AA781" s="68"/>
      <c r="AB781" s="68"/>
      <c r="AC781" s="68"/>
      <c r="AD781" s="68"/>
    </row>
    <row r="782" spans="16:30" x14ac:dyDescent="0.2">
      <c r="P782" s="68"/>
      <c r="Q782" s="74"/>
      <c r="R782" s="74"/>
      <c r="S782" s="74"/>
      <c r="T782" s="75"/>
      <c r="U782" s="76"/>
      <c r="V782" s="77"/>
      <c r="W782" s="77"/>
      <c r="X782" s="76"/>
      <c r="Y782" s="76"/>
      <c r="Z782" s="68"/>
      <c r="AA782" s="68"/>
      <c r="AB782" s="68"/>
      <c r="AC782" s="68"/>
      <c r="AD782" s="68"/>
    </row>
    <row r="783" spans="16:30" x14ac:dyDescent="0.2">
      <c r="P783" s="68"/>
      <c r="Q783" s="74"/>
      <c r="R783" s="74"/>
      <c r="S783" s="74"/>
      <c r="T783" s="75"/>
      <c r="U783" s="76"/>
      <c r="V783" s="77"/>
      <c r="W783" s="77"/>
      <c r="X783" s="76"/>
      <c r="Y783" s="76"/>
      <c r="Z783" s="68"/>
      <c r="AA783" s="68"/>
      <c r="AB783" s="68"/>
      <c r="AC783" s="68"/>
      <c r="AD783" s="68"/>
    </row>
    <row r="784" spans="16:30" x14ac:dyDescent="0.2">
      <c r="P784" s="68"/>
      <c r="Q784" s="74"/>
      <c r="R784" s="74"/>
      <c r="S784" s="74"/>
      <c r="T784" s="75"/>
      <c r="U784" s="76"/>
      <c r="V784" s="77"/>
      <c r="W784" s="77"/>
      <c r="X784" s="76"/>
      <c r="Y784" s="76"/>
      <c r="Z784" s="68"/>
      <c r="AA784" s="68"/>
      <c r="AB784" s="68"/>
      <c r="AC784" s="68"/>
      <c r="AD784" s="68"/>
    </row>
    <row r="785" spans="16:30" x14ac:dyDescent="0.2">
      <c r="P785" s="68"/>
      <c r="Q785" s="74"/>
      <c r="R785" s="74"/>
      <c r="S785" s="74"/>
      <c r="T785" s="75"/>
      <c r="U785" s="76"/>
      <c r="V785" s="77"/>
      <c r="W785" s="77"/>
      <c r="X785" s="76"/>
      <c r="Y785" s="76"/>
      <c r="Z785" s="68"/>
      <c r="AA785" s="68"/>
      <c r="AB785" s="68"/>
      <c r="AC785" s="68"/>
      <c r="AD785" s="68"/>
    </row>
    <row r="786" spans="16:30" x14ac:dyDescent="0.2">
      <c r="P786" s="68"/>
      <c r="Q786" s="74"/>
      <c r="R786" s="74"/>
      <c r="S786" s="74"/>
      <c r="T786" s="75"/>
      <c r="U786" s="76"/>
      <c r="V786" s="77"/>
      <c r="W786" s="77"/>
      <c r="X786" s="76"/>
      <c r="Y786" s="76"/>
      <c r="Z786" s="68"/>
      <c r="AA786" s="68"/>
      <c r="AB786" s="68"/>
      <c r="AC786" s="68"/>
      <c r="AD786" s="68"/>
    </row>
    <row r="787" spans="16:30" x14ac:dyDescent="0.2">
      <c r="P787" s="68"/>
      <c r="Q787" s="74"/>
      <c r="R787" s="74"/>
      <c r="S787" s="74"/>
      <c r="T787" s="75"/>
      <c r="U787" s="76"/>
      <c r="V787" s="77"/>
      <c r="W787" s="77"/>
      <c r="X787" s="76"/>
      <c r="Y787" s="76"/>
      <c r="Z787" s="68"/>
      <c r="AA787" s="68"/>
      <c r="AB787" s="68"/>
      <c r="AC787" s="68"/>
      <c r="AD787" s="68"/>
    </row>
    <row r="788" spans="16:30" x14ac:dyDescent="0.2">
      <c r="P788" s="68"/>
      <c r="Q788" s="74"/>
      <c r="R788" s="74"/>
      <c r="S788" s="74"/>
      <c r="T788" s="75"/>
      <c r="U788" s="76"/>
      <c r="V788" s="77"/>
      <c r="W788" s="77"/>
      <c r="X788" s="76"/>
      <c r="Y788" s="76"/>
      <c r="Z788" s="68"/>
      <c r="AA788" s="68"/>
      <c r="AB788" s="68"/>
      <c r="AC788" s="68"/>
      <c r="AD788" s="68"/>
    </row>
    <row r="789" spans="16:30" x14ac:dyDescent="0.2">
      <c r="P789" s="68"/>
      <c r="Q789" s="74"/>
      <c r="R789" s="74"/>
      <c r="S789" s="74"/>
      <c r="T789" s="75"/>
      <c r="U789" s="76"/>
      <c r="V789" s="77"/>
      <c r="W789" s="77"/>
      <c r="X789" s="76"/>
      <c r="Y789" s="76"/>
      <c r="Z789" s="68"/>
      <c r="AA789" s="68"/>
      <c r="AB789" s="68"/>
      <c r="AC789" s="68"/>
      <c r="AD789" s="68"/>
    </row>
    <row r="790" spans="16:30" x14ac:dyDescent="0.2">
      <c r="P790" s="68"/>
      <c r="Q790" s="74"/>
      <c r="R790" s="74"/>
      <c r="S790" s="74"/>
      <c r="T790" s="75"/>
      <c r="U790" s="76"/>
      <c r="V790" s="77"/>
      <c r="W790" s="77"/>
      <c r="X790" s="76"/>
      <c r="Y790" s="76"/>
      <c r="Z790" s="68"/>
      <c r="AA790" s="68"/>
      <c r="AB790" s="68"/>
      <c r="AC790" s="68"/>
      <c r="AD790" s="68"/>
    </row>
    <row r="791" spans="16:30" x14ac:dyDescent="0.2">
      <c r="P791" s="68"/>
      <c r="Q791" s="74"/>
      <c r="R791" s="74"/>
      <c r="S791" s="74"/>
      <c r="T791" s="75"/>
      <c r="U791" s="76"/>
      <c r="V791" s="77"/>
      <c r="W791" s="77"/>
      <c r="X791" s="76"/>
      <c r="Y791" s="76"/>
      <c r="Z791" s="68"/>
      <c r="AA791" s="68"/>
      <c r="AB791" s="68"/>
      <c r="AC791" s="68"/>
      <c r="AD791" s="68"/>
    </row>
    <row r="792" spans="16:30" x14ac:dyDescent="0.2">
      <c r="P792" s="68"/>
      <c r="Q792" s="74"/>
      <c r="R792" s="74"/>
      <c r="S792" s="74"/>
      <c r="T792" s="75"/>
      <c r="U792" s="76"/>
      <c r="V792" s="77"/>
      <c r="W792" s="77"/>
      <c r="X792" s="76"/>
      <c r="Y792" s="76"/>
      <c r="Z792" s="68"/>
      <c r="AA792" s="68"/>
      <c r="AB792" s="68"/>
      <c r="AC792" s="68"/>
      <c r="AD792" s="68"/>
    </row>
    <row r="793" spans="16:30" x14ac:dyDescent="0.2">
      <c r="P793" s="68"/>
      <c r="Q793" s="74"/>
      <c r="R793" s="74"/>
      <c r="S793" s="74"/>
      <c r="T793" s="75"/>
      <c r="U793" s="76"/>
      <c r="V793" s="77"/>
      <c r="W793" s="77"/>
      <c r="X793" s="76"/>
      <c r="Y793" s="76"/>
      <c r="Z793" s="68"/>
      <c r="AA793" s="68"/>
      <c r="AB793" s="68"/>
      <c r="AC793" s="68"/>
      <c r="AD793" s="68"/>
    </row>
    <row r="794" spans="16:30" x14ac:dyDescent="0.2">
      <c r="P794" s="68"/>
      <c r="Q794" s="74"/>
      <c r="R794" s="74"/>
      <c r="S794" s="74"/>
      <c r="T794" s="75"/>
      <c r="U794" s="76"/>
      <c r="V794" s="77"/>
      <c r="W794" s="77"/>
      <c r="X794" s="76"/>
      <c r="Y794" s="76"/>
      <c r="Z794" s="68"/>
      <c r="AA794" s="68"/>
      <c r="AB794" s="68"/>
      <c r="AC794" s="68"/>
      <c r="AD794" s="68"/>
    </row>
    <row r="795" spans="16:30" x14ac:dyDescent="0.2">
      <c r="P795" s="68"/>
      <c r="Q795" s="74"/>
      <c r="R795" s="74"/>
      <c r="S795" s="74"/>
      <c r="T795" s="75"/>
      <c r="U795" s="76"/>
      <c r="V795" s="77"/>
      <c r="W795" s="77"/>
      <c r="X795" s="76"/>
      <c r="Y795" s="76"/>
      <c r="Z795" s="68"/>
      <c r="AA795" s="68"/>
      <c r="AB795" s="68"/>
      <c r="AC795" s="68"/>
      <c r="AD795" s="68"/>
    </row>
    <row r="796" spans="16:30" x14ac:dyDescent="0.2">
      <c r="P796" s="68"/>
      <c r="Q796" s="74"/>
      <c r="R796" s="74"/>
      <c r="S796" s="74"/>
      <c r="T796" s="75"/>
      <c r="U796" s="76"/>
      <c r="V796" s="77"/>
      <c r="W796" s="77"/>
      <c r="X796" s="76"/>
      <c r="Y796" s="76"/>
      <c r="Z796" s="68"/>
      <c r="AA796" s="68"/>
      <c r="AB796" s="68"/>
      <c r="AC796" s="68"/>
      <c r="AD796" s="68"/>
    </row>
    <row r="797" spans="16:30" x14ac:dyDescent="0.2">
      <c r="P797" s="68"/>
      <c r="Q797" s="74"/>
      <c r="R797" s="74"/>
      <c r="S797" s="74"/>
      <c r="T797" s="75"/>
      <c r="U797" s="76"/>
      <c r="V797" s="77"/>
      <c r="W797" s="77"/>
      <c r="X797" s="76"/>
      <c r="Y797" s="76"/>
      <c r="Z797" s="68"/>
      <c r="AA797" s="68"/>
      <c r="AB797" s="68"/>
      <c r="AC797" s="68"/>
      <c r="AD797" s="68"/>
    </row>
    <row r="798" spans="16:30" x14ac:dyDescent="0.2">
      <c r="P798" s="68"/>
      <c r="Q798" s="74"/>
      <c r="R798" s="74"/>
      <c r="S798" s="74"/>
      <c r="T798" s="75"/>
      <c r="U798" s="76"/>
      <c r="V798" s="77"/>
      <c r="W798" s="77"/>
      <c r="X798" s="76"/>
      <c r="Y798" s="76"/>
      <c r="Z798" s="68"/>
      <c r="AA798" s="68"/>
      <c r="AB798" s="68"/>
      <c r="AC798" s="68"/>
      <c r="AD798" s="68"/>
    </row>
    <row r="799" spans="16:30" x14ac:dyDescent="0.2">
      <c r="P799" s="68"/>
      <c r="Q799" s="74"/>
      <c r="R799" s="74"/>
      <c r="S799" s="74"/>
      <c r="T799" s="75"/>
      <c r="U799" s="76"/>
      <c r="V799" s="77"/>
      <c r="W799" s="77"/>
      <c r="X799" s="76"/>
      <c r="Y799" s="76"/>
      <c r="Z799" s="68"/>
      <c r="AA799" s="68"/>
      <c r="AB799" s="68"/>
      <c r="AC799" s="68"/>
      <c r="AD799" s="68"/>
    </row>
    <row r="800" spans="16:30" x14ac:dyDescent="0.2">
      <c r="P800" s="68"/>
      <c r="Q800" s="74"/>
      <c r="R800" s="74"/>
      <c r="S800" s="74"/>
      <c r="T800" s="75"/>
      <c r="U800" s="76"/>
      <c r="V800" s="77"/>
      <c r="W800" s="77"/>
      <c r="X800" s="76"/>
      <c r="Y800" s="76"/>
      <c r="Z800" s="68"/>
      <c r="AA800" s="68"/>
      <c r="AB800" s="68"/>
      <c r="AC800" s="68"/>
      <c r="AD800" s="68"/>
    </row>
    <row r="801" spans="16:30" x14ac:dyDescent="0.2">
      <c r="P801" s="68"/>
      <c r="Q801" s="74"/>
      <c r="R801" s="74"/>
      <c r="S801" s="74"/>
      <c r="T801" s="75"/>
      <c r="U801" s="76"/>
      <c r="V801" s="77"/>
      <c r="W801" s="77"/>
      <c r="X801" s="76"/>
      <c r="Y801" s="76"/>
      <c r="Z801" s="68"/>
      <c r="AA801" s="68"/>
      <c r="AB801" s="68"/>
      <c r="AC801" s="68"/>
      <c r="AD801" s="68"/>
    </row>
    <row r="802" spans="16:30" x14ac:dyDescent="0.2">
      <c r="P802" s="68"/>
      <c r="Q802" s="74"/>
      <c r="R802" s="74"/>
      <c r="S802" s="74"/>
      <c r="T802" s="75"/>
      <c r="U802" s="76"/>
      <c r="V802" s="77"/>
      <c r="W802" s="77"/>
      <c r="X802" s="76"/>
      <c r="Y802" s="76"/>
      <c r="Z802" s="68"/>
      <c r="AA802" s="68"/>
      <c r="AB802" s="68"/>
      <c r="AC802" s="68"/>
      <c r="AD802" s="68"/>
    </row>
    <row r="803" spans="16:30" x14ac:dyDescent="0.2">
      <c r="P803" s="68"/>
      <c r="Q803" s="74"/>
      <c r="R803" s="74"/>
      <c r="S803" s="74"/>
      <c r="T803" s="75"/>
      <c r="U803" s="76"/>
      <c r="V803" s="77"/>
      <c r="W803" s="77"/>
      <c r="X803" s="76"/>
      <c r="Y803" s="76"/>
      <c r="Z803" s="68"/>
      <c r="AA803" s="68"/>
      <c r="AB803" s="68"/>
      <c r="AC803" s="68"/>
      <c r="AD803" s="68"/>
    </row>
    <row r="804" spans="16:30" x14ac:dyDescent="0.2">
      <c r="P804" s="68"/>
      <c r="Q804" s="74"/>
      <c r="R804" s="74"/>
      <c r="S804" s="74"/>
      <c r="T804" s="75"/>
      <c r="U804" s="76"/>
      <c r="V804" s="77"/>
      <c r="W804" s="77"/>
      <c r="X804" s="76"/>
      <c r="Y804" s="76"/>
      <c r="Z804" s="68"/>
      <c r="AA804" s="68"/>
      <c r="AB804" s="68"/>
      <c r="AC804" s="68"/>
      <c r="AD804" s="68"/>
    </row>
    <row r="805" spans="16:30" x14ac:dyDescent="0.2">
      <c r="P805" s="68"/>
      <c r="Q805" s="74"/>
      <c r="R805" s="74"/>
      <c r="S805" s="74"/>
      <c r="T805" s="75"/>
      <c r="U805" s="76"/>
      <c r="V805" s="77"/>
      <c r="W805" s="77"/>
      <c r="X805" s="76"/>
      <c r="Y805" s="76"/>
      <c r="Z805" s="68"/>
      <c r="AA805" s="68"/>
      <c r="AB805" s="68"/>
      <c r="AC805" s="68"/>
      <c r="AD805" s="68"/>
    </row>
    <row r="806" spans="16:30" x14ac:dyDescent="0.2">
      <c r="P806" s="68"/>
      <c r="Q806" s="74"/>
      <c r="R806" s="74"/>
      <c r="S806" s="74"/>
      <c r="T806" s="75"/>
      <c r="U806" s="76"/>
      <c r="V806" s="77"/>
      <c r="W806" s="77"/>
      <c r="X806" s="76"/>
      <c r="Y806" s="76"/>
      <c r="Z806" s="68"/>
      <c r="AA806" s="68"/>
      <c r="AB806" s="68"/>
      <c r="AC806" s="68"/>
      <c r="AD806" s="68"/>
    </row>
    <row r="807" spans="16:30" x14ac:dyDescent="0.2">
      <c r="P807" s="68"/>
      <c r="Q807" s="74"/>
      <c r="R807" s="74"/>
      <c r="S807" s="74"/>
      <c r="T807" s="75"/>
      <c r="U807" s="76"/>
      <c r="V807" s="77"/>
      <c r="W807" s="77"/>
      <c r="X807" s="76"/>
      <c r="Y807" s="76"/>
      <c r="Z807" s="68"/>
      <c r="AA807" s="68"/>
      <c r="AB807" s="68"/>
      <c r="AC807" s="68"/>
      <c r="AD807" s="68"/>
    </row>
    <row r="808" spans="16:30" x14ac:dyDescent="0.2">
      <c r="P808" s="68"/>
      <c r="Q808" s="74"/>
      <c r="R808" s="74"/>
      <c r="S808" s="74"/>
      <c r="T808" s="75"/>
      <c r="U808" s="76"/>
      <c r="V808" s="77"/>
      <c r="W808" s="77"/>
      <c r="X808" s="76"/>
      <c r="Y808" s="76"/>
      <c r="Z808" s="68"/>
      <c r="AA808" s="68"/>
      <c r="AB808" s="68"/>
      <c r="AC808" s="68"/>
      <c r="AD808" s="68"/>
    </row>
    <row r="809" spans="16:30" x14ac:dyDescent="0.2">
      <c r="P809" s="68"/>
      <c r="Q809" s="74"/>
      <c r="R809" s="74"/>
      <c r="S809" s="74"/>
      <c r="T809" s="75"/>
      <c r="U809" s="76"/>
      <c r="V809" s="77"/>
      <c r="W809" s="77"/>
      <c r="X809" s="76"/>
      <c r="Y809" s="76"/>
      <c r="Z809" s="68"/>
      <c r="AA809" s="68"/>
      <c r="AB809" s="68"/>
      <c r="AC809" s="68"/>
      <c r="AD809" s="68"/>
    </row>
    <row r="810" spans="16:30" x14ac:dyDescent="0.2">
      <c r="P810" s="68"/>
      <c r="Q810" s="74"/>
      <c r="R810" s="74"/>
      <c r="S810" s="74"/>
      <c r="T810" s="75"/>
      <c r="U810" s="76"/>
      <c r="V810" s="77"/>
      <c r="W810" s="77"/>
      <c r="X810" s="76"/>
      <c r="Y810" s="76"/>
      <c r="Z810" s="68"/>
      <c r="AA810" s="68"/>
      <c r="AB810" s="68"/>
      <c r="AC810" s="68"/>
      <c r="AD810" s="68"/>
    </row>
    <row r="811" spans="16:30" x14ac:dyDescent="0.2">
      <c r="P811" s="68"/>
      <c r="Q811" s="74"/>
      <c r="R811" s="74"/>
      <c r="S811" s="74"/>
      <c r="T811" s="75"/>
      <c r="U811" s="76"/>
      <c r="V811" s="77"/>
      <c r="W811" s="77"/>
      <c r="X811" s="76"/>
      <c r="Y811" s="76"/>
      <c r="Z811" s="68"/>
      <c r="AA811" s="68"/>
      <c r="AB811" s="68"/>
      <c r="AC811" s="68"/>
      <c r="AD811" s="68"/>
    </row>
    <row r="812" spans="16:30" x14ac:dyDescent="0.2">
      <c r="P812" s="68"/>
      <c r="Q812" s="74"/>
      <c r="R812" s="74"/>
      <c r="S812" s="74"/>
      <c r="T812" s="75"/>
      <c r="U812" s="76"/>
      <c r="V812" s="77"/>
      <c r="W812" s="77"/>
      <c r="X812" s="76"/>
      <c r="Y812" s="76"/>
      <c r="Z812" s="68"/>
      <c r="AA812" s="68"/>
      <c r="AB812" s="68"/>
      <c r="AC812" s="68"/>
      <c r="AD812" s="68"/>
    </row>
    <row r="813" spans="16:30" x14ac:dyDescent="0.2">
      <c r="P813" s="68"/>
      <c r="Q813" s="74"/>
      <c r="R813" s="74"/>
      <c r="S813" s="74"/>
      <c r="T813" s="75"/>
      <c r="U813" s="76"/>
      <c r="V813" s="77"/>
      <c r="W813" s="77"/>
      <c r="X813" s="76"/>
      <c r="Y813" s="76"/>
      <c r="Z813" s="68"/>
      <c r="AA813" s="68"/>
      <c r="AB813" s="68"/>
      <c r="AC813" s="68"/>
      <c r="AD813" s="68"/>
    </row>
    <row r="814" spans="16:30" x14ac:dyDescent="0.2">
      <c r="P814" s="68"/>
      <c r="Q814" s="74"/>
      <c r="R814" s="74"/>
      <c r="S814" s="74"/>
      <c r="T814" s="75"/>
      <c r="U814" s="76"/>
      <c r="V814" s="77"/>
      <c r="W814" s="77"/>
      <c r="X814" s="76"/>
      <c r="Y814" s="76"/>
      <c r="Z814" s="68"/>
      <c r="AA814" s="68"/>
      <c r="AB814" s="68"/>
      <c r="AC814" s="68"/>
      <c r="AD814" s="68"/>
    </row>
    <row r="815" spans="16:30" x14ac:dyDescent="0.2">
      <c r="P815" s="68"/>
      <c r="Q815" s="74"/>
      <c r="R815" s="74"/>
      <c r="S815" s="74"/>
      <c r="T815" s="75"/>
      <c r="U815" s="76"/>
      <c r="V815" s="77"/>
      <c r="W815" s="77"/>
      <c r="X815" s="76"/>
      <c r="Y815" s="76"/>
      <c r="Z815" s="68"/>
      <c r="AA815" s="68"/>
      <c r="AB815" s="68"/>
      <c r="AC815" s="68"/>
      <c r="AD815" s="68"/>
    </row>
    <row r="816" spans="16:30" x14ac:dyDescent="0.2">
      <c r="P816" s="68"/>
      <c r="Q816" s="74"/>
      <c r="R816" s="74"/>
      <c r="S816" s="74"/>
      <c r="T816" s="75"/>
      <c r="U816" s="76"/>
      <c r="V816" s="77"/>
      <c r="W816" s="77"/>
      <c r="X816" s="76"/>
      <c r="Y816" s="76"/>
      <c r="Z816" s="68"/>
      <c r="AA816" s="68"/>
      <c r="AB816" s="68"/>
      <c r="AC816" s="68"/>
      <c r="AD816" s="68"/>
    </row>
    <row r="817" spans="16:30" x14ac:dyDescent="0.2">
      <c r="P817" s="68"/>
      <c r="Q817" s="74"/>
      <c r="R817" s="74"/>
      <c r="S817" s="74"/>
      <c r="T817" s="75"/>
      <c r="U817" s="76"/>
      <c r="V817" s="77"/>
      <c r="W817" s="77"/>
      <c r="X817" s="76"/>
      <c r="Y817" s="76"/>
      <c r="Z817" s="68"/>
      <c r="AA817" s="68"/>
      <c r="AB817" s="68"/>
      <c r="AC817" s="68"/>
      <c r="AD817" s="68"/>
    </row>
    <row r="818" spans="16:30" x14ac:dyDescent="0.2">
      <c r="P818" s="68"/>
      <c r="Q818" s="74"/>
      <c r="R818" s="74"/>
      <c r="S818" s="74"/>
      <c r="T818" s="75"/>
      <c r="U818" s="76"/>
      <c r="V818" s="77"/>
      <c r="W818" s="77"/>
      <c r="X818" s="76"/>
      <c r="Y818" s="76"/>
      <c r="Z818" s="68"/>
      <c r="AA818" s="68"/>
      <c r="AB818" s="68"/>
      <c r="AC818" s="68"/>
      <c r="AD818" s="68"/>
    </row>
    <row r="819" spans="16:30" x14ac:dyDescent="0.2">
      <c r="P819" s="68"/>
      <c r="Q819" s="74"/>
      <c r="R819" s="74"/>
      <c r="S819" s="74"/>
      <c r="T819" s="75"/>
      <c r="U819" s="76"/>
      <c r="V819" s="77"/>
      <c r="W819" s="77"/>
      <c r="X819" s="76"/>
      <c r="Y819" s="76"/>
      <c r="Z819" s="68"/>
      <c r="AA819" s="68"/>
      <c r="AB819" s="68"/>
      <c r="AC819" s="68"/>
      <c r="AD819" s="68"/>
    </row>
    <row r="820" spans="16:30" x14ac:dyDescent="0.2">
      <c r="P820" s="68"/>
      <c r="Q820" s="74"/>
      <c r="R820" s="74"/>
      <c r="S820" s="74"/>
      <c r="T820" s="75"/>
      <c r="U820" s="76"/>
      <c r="V820" s="77"/>
      <c r="W820" s="77"/>
      <c r="X820" s="76"/>
      <c r="Y820" s="76"/>
      <c r="Z820" s="68"/>
      <c r="AA820" s="68"/>
      <c r="AB820" s="68"/>
      <c r="AC820" s="68"/>
      <c r="AD820" s="68"/>
    </row>
    <row r="821" spans="16:30" x14ac:dyDescent="0.2">
      <c r="P821" s="68"/>
      <c r="Q821" s="74"/>
      <c r="R821" s="74"/>
      <c r="S821" s="74"/>
      <c r="T821" s="75"/>
      <c r="U821" s="76"/>
      <c r="V821" s="77"/>
      <c r="W821" s="77"/>
      <c r="X821" s="76"/>
      <c r="Y821" s="76"/>
      <c r="Z821" s="68"/>
      <c r="AA821" s="68"/>
      <c r="AB821" s="68"/>
      <c r="AC821" s="68"/>
      <c r="AD821" s="68"/>
    </row>
    <row r="822" spans="16:30" x14ac:dyDescent="0.2">
      <c r="P822" s="68"/>
      <c r="Q822" s="74"/>
      <c r="R822" s="74"/>
      <c r="S822" s="74"/>
      <c r="T822" s="75"/>
      <c r="U822" s="76"/>
      <c r="V822" s="77"/>
      <c r="W822" s="77"/>
      <c r="X822" s="76"/>
      <c r="Y822" s="76"/>
      <c r="Z822" s="68"/>
      <c r="AA822" s="68"/>
      <c r="AB822" s="68"/>
      <c r="AC822" s="68"/>
      <c r="AD822" s="68"/>
    </row>
    <row r="823" spans="16:30" x14ac:dyDescent="0.2">
      <c r="P823" s="68"/>
      <c r="Q823" s="74"/>
      <c r="R823" s="74"/>
      <c r="S823" s="74"/>
      <c r="T823" s="75"/>
      <c r="U823" s="76"/>
      <c r="V823" s="77"/>
      <c r="W823" s="77"/>
      <c r="X823" s="76"/>
      <c r="Y823" s="76"/>
      <c r="Z823" s="68"/>
      <c r="AA823" s="68"/>
      <c r="AB823" s="68"/>
      <c r="AC823" s="68"/>
      <c r="AD823" s="68"/>
    </row>
    <row r="824" spans="16:30" x14ac:dyDescent="0.2">
      <c r="P824" s="68"/>
      <c r="Q824" s="74"/>
      <c r="R824" s="74"/>
      <c r="S824" s="74"/>
      <c r="T824" s="75"/>
      <c r="U824" s="76"/>
      <c r="V824" s="77"/>
      <c r="W824" s="77"/>
      <c r="X824" s="76"/>
      <c r="Y824" s="76"/>
      <c r="Z824" s="68"/>
      <c r="AA824" s="68"/>
      <c r="AB824" s="68"/>
      <c r="AC824" s="68"/>
      <c r="AD824" s="68"/>
    </row>
    <row r="825" spans="16:30" x14ac:dyDescent="0.2">
      <c r="P825" s="68"/>
      <c r="Q825" s="74"/>
      <c r="R825" s="74"/>
      <c r="S825" s="74"/>
      <c r="T825" s="75"/>
      <c r="U825" s="76"/>
      <c r="V825" s="77"/>
      <c r="W825" s="77"/>
      <c r="X825" s="76"/>
      <c r="Y825" s="76"/>
      <c r="Z825" s="68"/>
      <c r="AA825" s="68"/>
      <c r="AB825" s="68"/>
      <c r="AC825" s="68"/>
      <c r="AD825" s="68"/>
    </row>
    <row r="826" spans="16:30" x14ac:dyDescent="0.2">
      <c r="P826" s="68"/>
      <c r="Q826" s="74"/>
      <c r="R826" s="74"/>
      <c r="S826" s="74"/>
      <c r="T826" s="75"/>
      <c r="U826" s="76"/>
      <c r="V826" s="77"/>
      <c r="W826" s="77"/>
      <c r="X826" s="76"/>
      <c r="Y826" s="76"/>
      <c r="Z826" s="68"/>
      <c r="AA826" s="68"/>
      <c r="AB826" s="68"/>
      <c r="AC826" s="68"/>
      <c r="AD826" s="68"/>
    </row>
    <row r="827" spans="16:30" x14ac:dyDescent="0.2">
      <c r="P827" s="68"/>
      <c r="Q827" s="74"/>
      <c r="R827" s="74"/>
      <c r="S827" s="74"/>
      <c r="T827" s="75"/>
      <c r="U827" s="76"/>
      <c r="V827" s="77"/>
      <c r="W827" s="77"/>
      <c r="X827" s="76"/>
      <c r="Y827" s="76"/>
      <c r="Z827" s="68"/>
      <c r="AA827" s="68"/>
      <c r="AB827" s="68"/>
      <c r="AC827" s="68"/>
      <c r="AD827" s="68"/>
    </row>
    <row r="828" spans="16:30" x14ac:dyDescent="0.2">
      <c r="P828" s="68"/>
      <c r="Q828" s="74"/>
      <c r="R828" s="74"/>
      <c r="S828" s="74"/>
      <c r="T828" s="75"/>
      <c r="U828" s="76"/>
      <c r="V828" s="77"/>
      <c r="W828" s="77"/>
      <c r="X828" s="76"/>
      <c r="Y828" s="76"/>
      <c r="Z828" s="68"/>
      <c r="AA828" s="68"/>
      <c r="AB828" s="68"/>
      <c r="AC828" s="68"/>
      <c r="AD828" s="68"/>
    </row>
    <row r="829" spans="16:30" x14ac:dyDescent="0.2">
      <c r="P829" s="68"/>
      <c r="Q829" s="74"/>
      <c r="R829" s="74"/>
      <c r="S829" s="74"/>
      <c r="T829" s="75"/>
      <c r="U829" s="76"/>
      <c r="V829" s="77"/>
      <c r="W829" s="77"/>
      <c r="X829" s="76"/>
      <c r="Y829" s="76"/>
      <c r="Z829" s="68"/>
      <c r="AA829" s="68"/>
      <c r="AB829" s="68"/>
      <c r="AC829" s="68"/>
      <c r="AD829" s="68"/>
    </row>
    <row r="830" spans="16:30" x14ac:dyDescent="0.2">
      <c r="P830" s="68"/>
      <c r="Q830" s="74"/>
      <c r="R830" s="74"/>
      <c r="S830" s="74"/>
      <c r="T830" s="75"/>
      <c r="U830" s="76"/>
      <c r="V830" s="77"/>
      <c r="W830" s="77"/>
      <c r="X830" s="76"/>
      <c r="Y830" s="76"/>
      <c r="Z830" s="68"/>
      <c r="AA830" s="68"/>
      <c r="AB830" s="68"/>
      <c r="AC830" s="68"/>
      <c r="AD830" s="68"/>
    </row>
    <row r="831" spans="16:30" x14ac:dyDescent="0.2">
      <c r="P831" s="68"/>
      <c r="Q831" s="74"/>
      <c r="R831" s="74"/>
      <c r="S831" s="74"/>
      <c r="T831" s="75"/>
      <c r="U831" s="76"/>
      <c r="V831" s="77"/>
      <c r="W831" s="77"/>
      <c r="X831" s="76"/>
      <c r="Y831" s="76"/>
      <c r="Z831" s="68"/>
      <c r="AA831" s="68"/>
      <c r="AB831" s="68"/>
      <c r="AC831" s="68"/>
      <c r="AD831" s="68"/>
    </row>
    <row r="832" spans="16:30" x14ac:dyDescent="0.2">
      <c r="P832" s="68"/>
      <c r="Q832" s="74"/>
      <c r="R832" s="74"/>
      <c r="S832" s="74"/>
      <c r="T832" s="75"/>
      <c r="U832" s="76"/>
      <c r="V832" s="77"/>
      <c r="W832" s="77"/>
      <c r="X832" s="76"/>
      <c r="Y832" s="76"/>
      <c r="Z832" s="68"/>
      <c r="AA832" s="68"/>
      <c r="AB832" s="68"/>
      <c r="AC832" s="68"/>
      <c r="AD832" s="68"/>
    </row>
    <row r="833" spans="16:30" x14ac:dyDescent="0.2">
      <c r="P833" s="68"/>
      <c r="Q833" s="74"/>
      <c r="R833" s="74"/>
      <c r="S833" s="74"/>
      <c r="T833" s="75"/>
      <c r="U833" s="76"/>
      <c r="V833" s="77"/>
      <c r="W833" s="77"/>
      <c r="X833" s="76"/>
      <c r="Y833" s="76"/>
      <c r="Z833" s="68"/>
      <c r="AA833" s="68"/>
      <c r="AB833" s="68"/>
      <c r="AC833" s="68"/>
      <c r="AD833" s="68"/>
    </row>
    <row r="834" spans="16:30" x14ac:dyDescent="0.2">
      <c r="P834" s="68"/>
      <c r="Q834" s="74"/>
      <c r="R834" s="74"/>
      <c r="S834" s="74"/>
      <c r="T834" s="75"/>
      <c r="U834" s="76"/>
      <c r="V834" s="77"/>
      <c r="W834" s="77"/>
      <c r="X834" s="76"/>
      <c r="Y834" s="76"/>
      <c r="Z834" s="68"/>
      <c r="AA834" s="68"/>
      <c r="AB834" s="68"/>
      <c r="AC834" s="68"/>
      <c r="AD834" s="68"/>
    </row>
    <row r="835" spans="16:30" x14ac:dyDescent="0.2">
      <c r="P835" s="68"/>
      <c r="Q835" s="74"/>
      <c r="R835" s="74"/>
      <c r="S835" s="74"/>
      <c r="T835" s="75"/>
      <c r="U835" s="76"/>
      <c r="V835" s="77"/>
      <c r="W835" s="77"/>
      <c r="X835" s="76"/>
      <c r="Y835" s="76"/>
      <c r="Z835" s="68"/>
      <c r="AA835" s="68"/>
      <c r="AB835" s="68"/>
      <c r="AC835" s="68"/>
      <c r="AD835" s="68"/>
    </row>
    <row r="836" spans="16:30" x14ac:dyDescent="0.2">
      <c r="P836" s="68"/>
      <c r="Q836" s="74"/>
      <c r="R836" s="74"/>
      <c r="S836" s="74"/>
      <c r="T836" s="75"/>
      <c r="U836" s="76"/>
      <c r="V836" s="77"/>
      <c r="W836" s="77"/>
      <c r="X836" s="76"/>
      <c r="Y836" s="76"/>
      <c r="Z836" s="68"/>
      <c r="AA836" s="68"/>
      <c r="AB836" s="68"/>
      <c r="AC836" s="68"/>
      <c r="AD836" s="68"/>
    </row>
    <row r="837" spans="16:30" x14ac:dyDescent="0.2">
      <c r="P837" s="68"/>
      <c r="Q837" s="74"/>
      <c r="R837" s="74"/>
      <c r="S837" s="74"/>
      <c r="T837" s="75"/>
      <c r="U837" s="76"/>
      <c r="V837" s="77"/>
      <c r="W837" s="77"/>
      <c r="X837" s="76"/>
      <c r="Y837" s="76"/>
      <c r="Z837" s="68"/>
      <c r="AA837" s="68"/>
      <c r="AB837" s="68"/>
      <c r="AC837" s="68"/>
      <c r="AD837" s="68"/>
    </row>
    <row r="838" spans="16:30" x14ac:dyDescent="0.2">
      <c r="P838" s="68"/>
      <c r="Q838" s="74"/>
      <c r="R838" s="74"/>
      <c r="S838" s="74"/>
      <c r="T838" s="75"/>
      <c r="U838" s="76"/>
      <c r="V838" s="77"/>
      <c r="W838" s="77"/>
      <c r="X838" s="76"/>
      <c r="Y838" s="76"/>
      <c r="Z838" s="68"/>
      <c r="AA838" s="68"/>
      <c r="AB838" s="68"/>
      <c r="AC838" s="68"/>
      <c r="AD838" s="68"/>
    </row>
    <row r="839" spans="16:30" x14ac:dyDescent="0.2">
      <c r="P839" s="68"/>
      <c r="Q839" s="74"/>
      <c r="R839" s="74"/>
      <c r="S839" s="74"/>
      <c r="T839" s="75"/>
      <c r="U839" s="76"/>
      <c r="V839" s="77"/>
      <c r="W839" s="77"/>
      <c r="X839" s="76"/>
      <c r="Y839" s="76"/>
      <c r="Z839" s="68"/>
      <c r="AA839" s="68"/>
      <c r="AB839" s="68"/>
      <c r="AC839" s="68"/>
      <c r="AD839" s="68"/>
    </row>
    <row r="840" spans="16:30" x14ac:dyDescent="0.2">
      <c r="P840" s="68"/>
      <c r="Q840" s="74"/>
      <c r="R840" s="74"/>
      <c r="S840" s="74"/>
      <c r="T840" s="75"/>
      <c r="U840" s="76"/>
      <c r="V840" s="77"/>
      <c r="W840" s="77"/>
      <c r="X840" s="76"/>
      <c r="Y840" s="76"/>
      <c r="Z840" s="68"/>
      <c r="AA840" s="68"/>
      <c r="AB840" s="68"/>
      <c r="AC840" s="68"/>
      <c r="AD840" s="68"/>
    </row>
    <row r="841" spans="16:30" x14ac:dyDescent="0.2">
      <c r="P841" s="68"/>
      <c r="Q841" s="74"/>
      <c r="R841" s="74"/>
      <c r="S841" s="74"/>
      <c r="T841" s="75"/>
      <c r="U841" s="76"/>
      <c r="V841" s="77"/>
      <c r="W841" s="77"/>
      <c r="X841" s="76"/>
      <c r="Y841" s="76"/>
      <c r="Z841" s="68"/>
      <c r="AA841" s="68"/>
      <c r="AB841" s="68"/>
      <c r="AC841" s="68"/>
      <c r="AD841" s="68"/>
    </row>
    <row r="842" spans="16:30" x14ac:dyDescent="0.2">
      <c r="P842" s="68"/>
      <c r="Q842" s="74"/>
      <c r="R842" s="74"/>
      <c r="S842" s="74"/>
      <c r="T842" s="75"/>
      <c r="U842" s="76"/>
      <c r="V842" s="77"/>
      <c r="W842" s="77"/>
      <c r="X842" s="76"/>
      <c r="Y842" s="76"/>
      <c r="Z842" s="68"/>
      <c r="AA842" s="68"/>
      <c r="AB842" s="68"/>
      <c r="AC842" s="68"/>
      <c r="AD842" s="68"/>
    </row>
    <row r="843" spans="16:30" x14ac:dyDescent="0.2">
      <c r="P843" s="68"/>
      <c r="Q843" s="74"/>
      <c r="R843" s="74"/>
      <c r="S843" s="74"/>
      <c r="T843" s="75"/>
      <c r="U843" s="76"/>
      <c r="V843" s="77"/>
      <c r="W843" s="77"/>
      <c r="X843" s="76"/>
      <c r="Y843" s="76"/>
      <c r="Z843" s="68"/>
      <c r="AA843" s="68"/>
      <c r="AB843" s="68"/>
      <c r="AC843" s="68"/>
      <c r="AD843" s="68"/>
    </row>
    <row r="844" spans="16:30" x14ac:dyDescent="0.2">
      <c r="P844" s="68"/>
      <c r="Q844" s="74"/>
      <c r="R844" s="74"/>
      <c r="S844" s="74"/>
      <c r="T844" s="75"/>
      <c r="U844" s="76"/>
      <c r="V844" s="77"/>
      <c r="W844" s="77"/>
      <c r="X844" s="76"/>
      <c r="Y844" s="76"/>
      <c r="Z844" s="68"/>
      <c r="AA844" s="68"/>
      <c r="AB844" s="68"/>
      <c r="AC844" s="68"/>
      <c r="AD844" s="68"/>
    </row>
    <row r="845" spans="16:30" x14ac:dyDescent="0.2">
      <c r="P845" s="68"/>
      <c r="Q845" s="74"/>
      <c r="R845" s="74"/>
      <c r="S845" s="74"/>
      <c r="T845" s="75"/>
      <c r="U845" s="76"/>
      <c r="V845" s="77"/>
      <c r="W845" s="77"/>
      <c r="X845" s="76"/>
      <c r="Y845" s="76"/>
      <c r="Z845" s="68"/>
      <c r="AA845" s="68"/>
      <c r="AB845" s="68"/>
      <c r="AC845" s="68"/>
      <c r="AD845" s="68"/>
    </row>
    <row r="846" spans="16:30" x14ac:dyDescent="0.2">
      <c r="P846" s="68"/>
      <c r="Q846" s="74"/>
      <c r="R846" s="74"/>
      <c r="S846" s="74"/>
      <c r="T846" s="75"/>
      <c r="U846" s="76"/>
      <c r="V846" s="77"/>
      <c r="W846" s="77"/>
      <c r="X846" s="76"/>
      <c r="Y846" s="76"/>
      <c r="Z846" s="68"/>
      <c r="AA846" s="68"/>
      <c r="AB846" s="68"/>
      <c r="AC846" s="68"/>
      <c r="AD846" s="68"/>
    </row>
    <row r="847" spans="16:30" x14ac:dyDescent="0.2">
      <c r="P847" s="68"/>
      <c r="Q847" s="74"/>
      <c r="R847" s="74"/>
      <c r="S847" s="74"/>
      <c r="T847" s="75"/>
      <c r="U847" s="76"/>
      <c r="V847" s="77"/>
      <c r="W847" s="77"/>
      <c r="X847" s="76"/>
      <c r="Y847" s="76"/>
      <c r="Z847" s="68"/>
      <c r="AA847" s="68"/>
      <c r="AB847" s="68"/>
      <c r="AC847" s="68"/>
      <c r="AD847" s="68"/>
    </row>
    <row r="848" spans="16:30" x14ac:dyDescent="0.2">
      <c r="P848" s="68"/>
      <c r="Q848" s="74"/>
      <c r="R848" s="74"/>
      <c r="S848" s="74"/>
      <c r="T848" s="75"/>
      <c r="U848" s="76"/>
      <c r="V848" s="77"/>
      <c r="W848" s="77"/>
      <c r="X848" s="76"/>
      <c r="Y848" s="76"/>
      <c r="Z848" s="68"/>
      <c r="AA848" s="68"/>
      <c r="AB848" s="68"/>
      <c r="AC848" s="68"/>
      <c r="AD848" s="68"/>
    </row>
    <row r="849" spans="16:30" x14ac:dyDescent="0.2">
      <c r="P849" s="68"/>
      <c r="Q849" s="74"/>
      <c r="R849" s="74"/>
      <c r="S849" s="74"/>
      <c r="T849" s="75"/>
      <c r="U849" s="76"/>
      <c r="V849" s="77"/>
      <c r="W849" s="77"/>
      <c r="X849" s="76"/>
      <c r="Y849" s="76"/>
      <c r="Z849" s="68"/>
      <c r="AA849" s="68"/>
      <c r="AB849" s="68"/>
      <c r="AC849" s="68"/>
      <c r="AD849" s="68"/>
    </row>
    <row r="850" spans="16:30" x14ac:dyDescent="0.2">
      <c r="P850" s="68"/>
      <c r="Q850" s="74"/>
      <c r="R850" s="74"/>
      <c r="S850" s="74"/>
      <c r="T850" s="75"/>
      <c r="U850" s="76"/>
      <c r="V850" s="77"/>
      <c r="W850" s="77"/>
      <c r="X850" s="76"/>
      <c r="Y850" s="76"/>
      <c r="Z850" s="68"/>
      <c r="AA850" s="68"/>
      <c r="AB850" s="68"/>
      <c r="AC850" s="68"/>
      <c r="AD850" s="68"/>
    </row>
    <row r="851" spans="16:30" x14ac:dyDescent="0.2">
      <c r="P851" s="68"/>
      <c r="Q851" s="74"/>
      <c r="R851" s="74"/>
      <c r="S851" s="74"/>
      <c r="T851" s="75"/>
      <c r="U851" s="76"/>
      <c r="V851" s="77"/>
      <c r="W851" s="77"/>
      <c r="X851" s="76"/>
      <c r="Y851" s="76"/>
      <c r="Z851" s="68"/>
      <c r="AA851" s="68"/>
      <c r="AB851" s="68"/>
      <c r="AC851" s="68"/>
      <c r="AD851" s="68"/>
    </row>
    <row r="852" spans="16:30" x14ac:dyDescent="0.2">
      <c r="P852" s="68"/>
      <c r="Q852" s="74"/>
      <c r="R852" s="74"/>
      <c r="S852" s="74"/>
      <c r="T852" s="75"/>
      <c r="U852" s="76"/>
      <c r="V852" s="77"/>
      <c r="W852" s="77"/>
      <c r="X852" s="76"/>
      <c r="Y852" s="76"/>
      <c r="Z852" s="68"/>
      <c r="AA852" s="68"/>
      <c r="AB852" s="68"/>
      <c r="AC852" s="68"/>
      <c r="AD852" s="68"/>
    </row>
    <row r="853" spans="16:30" x14ac:dyDescent="0.2">
      <c r="P853" s="68"/>
      <c r="Q853" s="74"/>
      <c r="R853" s="74"/>
      <c r="S853" s="74"/>
      <c r="T853" s="75"/>
      <c r="U853" s="76"/>
      <c r="V853" s="77"/>
      <c r="W853" s="77"/>
      <c r="X853" s="76"/>
      <c r="Y853" s="76"/>
      <c r="Z853" s="68"/>
      <c r="AA853" s="68"/>
      <c r="AB853" s="68"/>
      <c r="AC853" s="68"/>
      <c r="AD853" s="68"/>
    </row>
    <row r="854" spans="16:30" x14ac:dyDescent="0.2">
      <c r="P854" s="68"/>
      <c r="Q854" s="74"/>
      <c r="R854" s="74"/>
      <c r="S854" s="74"/>
      <c r="T854" s="75"/>
      <c r="U854" s="76"/>
      <c r="V854" s="77"/>
      <c r="W854" s="77"/>
      <c r="X854" s="76"/>
      <c r="Y854" s="76"/>
      <c r="Z854" s="68"/>
      <c r="AA854" s="68"/>
      <c r="AB854" s="68"/>
      <c r="AC854" s="68"/>
      <c r="AD854" s="68"/>
    </row>
    <row r="855" spans="16:30" x14ac:dyDescent="0.2">
      <c r="P855" s="68"/>
      <c r="Q855" s="74"/>
      <c r="R855" s="74"/>
      <c r="S855" s="74"/>
      <c r="T855" s="75"/>
      <c r="U855" s="76"/>
      <c r="V855" s="77"/>
      <c r="W855" s="77"/>
      <c r="X855" s="76"/>
      <c r="Y855" s="76"/>
      <c r="Z855" s="68"/>
      <c r="AA855" s="68"/>
      <c r="AB855" s="68"/>
      <c r="AC855" s="68"/>
      <c r="AD855" s="68"/>
    </row>
    <row r="856" spans="16:30" x14ac:dyDescent="0.2">
      <c r="P856" s="68"/>
      <c r="Q856" s="74"/>
      <c r="R856" s="74"/>
      <c r="S856" s="74"/>
      <c r="T856" s="75"/>
      <c r="U856" s="76"/>
      <c r="V856" s="77"/>
      <c r="W856" s="77"/>
      <c r="X856" s="76"/>
      <c r="Y856" s="76"/>
      <c r="Z856" s="68"/>
      <c r="AA856" s="68"/>
      <c r="AB856" s="68"/>
      <c r="AC856" s="68"/>
      <c r="AD856" s="68"/>
    </row>
    <row r="857" spans="16:30" x14ac:dyDescent="0.2">
      <c r="P857" s="68"/>
      <c r="Q857" s="74"/>
      <c r="R857" s="74"/>
      <c r="S857" s="74"/>
      <c r="T857" s="75"/>
      <c r="U857" s="76"/>
      <c r="V857" s="77"/>
      <c r="W857" s="77"/>
      <c r="X857" s="76"/>
      <c r="Y857" s="76"/>
      <c r="Z857" s="68"/>
      <c r="AA857" s="68"/>
      <c r="AB857" s="68"/>
      <c r="AC857" s="68"/>
      <c r="AD857" s="68"/>
    </row>
    <row r="858" spans="16:30" x14ac:dyDescent="0.2">
      <c r="P858" s="68"/>
      <c r="Q858" s="74"/>
      <c r="R858" s="74"/>
      <c r="S858" s="74"/>
      <c r="T858" s="75"/>
      <c r="U858" s="76"/>
      <c r="V858" s="77"/>
      <c r="W858" s="77"/>
      <c r="X858" s="76"/>
      <c r="Y858" s="76"/>
      <c r="Z858" s="68"/>
      <c r="AA858" s="68"/>
      <c r="AB858" s="68"/>
      <c r="AC858" s="68"/>
      <c r="AD858" s="68"/>
    </row>
    <row r="859" spans="16:30" x14ac:dyDescent="0.2">
      <c r="P859" s="68"/>
      <c r="Q859" s="74"/>
      <c r="R859" s="74"/>
      <c r="S859" s="74"/>
      <c r="T859" s="75"/>
      <c r="U859" s="76"/>
      <c r="V859" s="77"/>
      <c r="W859" s="77"/>
      <c r="X859" s="76"/>
      <c r="Y859" s="76"/>
      <c r="Z859" s="68"/>
      <c r="AA859" s="68"/>
      <c r="AB859" s="68"/>
      <c r="AC859" s="68"/>
      <c r="AD859" s="68"/>
    </row>
    <row r="860" spans="16:30" x14ac:dyDescent="0.2">
      <c r="P860" s="68"/>
      <c r="Q860" s="74"/>
      <c r="R860" s="74"/>
      <c r="S860" s="74"/>
      <c r="T860" s="75"/>
      <c r="U860" s="76"/>
      <c r="V860" s="77"/>
      <c r="W860" s="77"/>
      <c r="X860" s="76"/>
      <c r="Y860" s="76"/>
      <c r="Z860" s="68"/>
      <c r="AA860" s="68"/>
      <c r="AB860" s="68"/>
      <c r="AC860" s="68"/>
      <c r="AD860" s="68"/>
    </row>
    <row r="861" spans="16:30" x14ac:dyDescent="0.2">
      <c r="P861" s="68"/>
      <c r="Q861" s="74"/>
      <c r="R861" s="74"/>
      <c r="S861" s="74"/>
      <c r="T861" s="75"/>
      <c r="U861" s="76"/>
      <c r="V861" s="77"/>
      <c r="W861" s="77"/>
      <c r="X861" s="76"/>
      <c r="Y861" s="76"/>
      <c r="Z861" s="68"/>
      <c r="AA861" s="68"/>
      <c r="AB861" s="68"/>
      <c r="AC861" s="68"/>
      <c r="AD861" s="68"/>
    </row>
    <row r="862" spans="16:30" x14ac:dyDescent="0.2">
      <c r="P862" s="68"/>
      <c r="Q862" s="74"/>
      <c r="R862" s="74"/>
      <c r="S862" s="74"/>
      <c r="T862" s="75"/>
      <c r="U862" s="76"/>
      <c r="V862" s="77"/>
      <c r="W862" s="77"/>
      <c r="X862" s="76"/>
      <c r="Y862" s="76"/>
      <c r="Z862" s="68"/>
      <c r="AA862" s="68"/>
      <c r="AB862" s="68"/>
      <c r="AC862" s="68"/>
      <c r="AD862" s="68"/>
    </row>
    <row r="863" spans="16:30" x14ac:dyDescent="0.2">
      <c r="P863" s="68"/>
      <c r="Q863" s="74"/>
      <c r="R863" s="74"/>
      <c r="S863" s="74"/>
      <c r="T863" s="75"/>
      <c r="U863" s="76"/>
      <c r="V863" s="77"/>
      <c r="W863" s="77"/>
      <c r="X863" s="76"/>
      <c r="Y863" s="76"/>
      <c r="Z863" s="68"/>
      <c r="AA863" s="68"/>
      <c r="AB863" s="68"/>
      <c r="AC863" s="68"/>
      <c r="AD863" s="68"/>
    </row>
    <row r="864" spans="16:30" x14ac:dyDescent="0.2">
      <c r="P864" s="68"/>
      <c r="Q864" s="74"/>
      <c r="R864" s="74"/>
      <c r="S864" s="74"/>
      <c r="T864" s="75"/>
      <c r="U864" s="76"/>
      <c r="V864" s="77"/>
      <c r="W864" s="77"/>
      <c r="X864" s="76"/>
      <c r="Y864" s="76"/>
      <c r="Z864" s="68"/>
      <c r="AA864" s="68"/>
      <c r="AB864" s="68"/>
      <c r="AC864" s="68"/>
      <c r="AD864" s="68"/>
    </row>
    <row r="865" spans="16:30" x14ac:dyDescent="0.2">
      <c r="P865" s="68"/>
      <c r="Q865" s="74"/>
      <c r="R865" s="74"/>
      <c r="S865" s="74"/>
      <c r="T865" s="75"/>
      <c r="U865" s="76"/>
      <c r="V865" s="77"/>
      <c r="W865" s="77"/>
      <c r="X865" s="76"/>
      <c r="Y865" s="76"/>
      <c r="Z865" s="68"/>
      <c r="AA865" s="68"/>
      <c r="AB865" s="68"/>
      <c r="AC865" s="68"/>
      <c r="AD865" s="68"/>
    </row>
    <row r="866" spans="16:30" x14ac:dyDescent="0.2">
      <c r="P866" s="68"/>
      <c r="Q866" s="74"/>
      <c r="R866" s="74"/>
      <c r="S866" s="74"/>
      <c r="T866" s="75"/>
      <c r="U866" s="76"/>
      <c r="V866" s="77"/>
      <c r="W866" s="77"/>
      <c r="X866" s="76"/>
      <c r="Y866" s="76"/>
      <c r="Z866" s="68"/>
      <c r="AA866" s="68"/>
      <c r="AB866" s="68"/>
      <c r="AC866" s="68"/>
      <c r="AD866" s="68"/>
    </row>
    <row r="867" spans="16:30" x14ac:dyDescent="0.2">
      <c r="P867" s="68"/>
      <c r="Q867" s="74"/>
      <c r="R867" s="74"/>
      <c r="S867" s="74"/>
      <c r="T867" s="75"/>
      <c r="U867" s="76"/>
      <c r="V867" s="77"/>
      <c r="W867" s="77"/>
      <c r="X867" s="76"/>
      <c r="Y867" s="76"/>
      <c r="Z867" s="68"/>
      <c r="AA867" s="68"/>
      <c r="AB867" s="68"/>
      <c r="AC867" s="68"/>
      <c r="AD867" s="68"/>
    </row>
    <row r="868" spans="16:30" x14ac:dyDescent="0.2">
      <c r="P868" s="68"/>
      <c r="Q868" s="74"/>
      <c r="R868" s="74"/>
      <c r="S868" s="74"/>
      <c r="T868" s="75"/>
      <c r="U868" s="76"/>
      <c r="V868" s="77"/>
      <c r="W868" s="77"/>
      <c r="X868" s="76"/>
      <c r="Y868" s="76"/>
      <c r="Z868" s="68"/>
      <c r="AA868" s="68"/>
      <c r="AB868" s="68"/>
      <c r="AC868" s="68"/>
      <c r="AD868" s="68"/>
    </row>
    <row r="869" spans="16:30" x14ac:dyDescent="0.2">
      <c r="P869" s="68"/>
      <c r="Q869" s="74"/>
      <c r="R869" s="74"/>
      <c r="S869" s="74"/>
      <c r="T869" s="75"/>
      <c r="U869" s="76"/>
      <c r="V869" s="77"/>
      <c r="W869" s="77"/>
      <c r="X869" s="76"/>
      <c r="Y869" s="76"/>
      <c r="Z869" s="68"/>
      <c r="AA869" s="68"/>
      <c r="AB869" s="68"/>
      <c r="AC869" s="68"/>
      <c r="AD869" s="68"/>
    </row>
    <row r="870" spans="16:30" x14ac:dyDescent="0.2">
      <c r="P870" s="68"/>
      <c r="Q870" s="74"/>
      <c r="R870" s="74"/>
      <c r="S870" s="74"/>
      <c r="T870" s="75"/>
      <c r="U870" s="76"/>
      <c r="V870" s="77"/>
      <c r="W870" s="77"/>
      <c r="X870" s="76"/>
      <c r="Y870" s="76"/>
      <c r="Z870" s="68"/>
      <c r="AA870" s="68"/>
      <c r="AB870" s="68"/>
      <c r="AC870" s="68"/>
      <c r="AD870" s="68"/>
    </row>
    <row r="871" spans="16:30" x14ac:dyDescent="0.2">
      <c r="P871" s="68"/>
      <c r="Q871" s="74"/>
      <c r="R871" s="74"/>
      <c r="S871" s="74"/>
      <c r="T871" s="75"/>
      <c r="U871" s="76"/>
      <c r="V871" s="77"/>
      <c r="W871" s="77"/>
      <c r="X871" s="76"/>
      <c r="Y871" s="76"/>
      <c r="Z871" s="68"/>
      <c r="AA871" s="68"/>
      <c r="AB871" s="68"/>
      <c r="AC871" s="68"/>
      <c r="AD871" s="68"/>
    </row>
    <row r="872" spans="16:30" x14ac:dyDescent="0.2">
      <c r="P872" s="68"/>
      <c r="Q872" s="74"/>
      <c r="R872" s="74"/>
      <c r="S872" s="74"/>
      <c r="T872" s="75"/>
      <c r="U872" s="76"/>
      <c r="V872" s="77"/>
      <c r="W872" s="77"/>
      <c r="X872" s="76"/>
      <c r="Y872" s="76"/>
      <c r="Z872" s="68"/>
      <c r="AA872" s="68"/>
      <c r="AB872" s="68"/>
      <c r="AC872" s="68"/>
      <c r="AD872" s="68"/>
    </row>
    <row r="873" spans="16:30" x14ac:dyDescent="0.2">
      <c r="P873" s="68"/>
      <c r="Q873" s="74"/>
      <c r="R873" s="74"/>
      <c r="S873" s="74"/>
      <c r="T873" s="75"/>
      <c r="U873" s="76"/>
      <c r="V873" s="77"/>
      <c r="W873" s="77"/>
      <c r="X873" s="76"/>
      <c r="Y873" s="76"/>
      <c r="Z873" s="68"/>
      <c r="AA873" s="68"/>
      <c r="AB873" s="68"/>
      <c r="AC873" s="68"/>
      <c r="AD873" s="68"/>
    </row>
    <row r="874" spans="16:30" x14ac:dyDescent="0.2">
      <c r="P874" s="68"/>
      <c r="Q874" s="74"/>
      <c r="R874" s="74"/>
      <c r="S874" s="74"/>
      <c r="T874" s="75"/>
      <c r="U874" s="76"/>
      <c r="V874" s="77"/>
      <c r="W874" s="77"/>
      <c r="X874" s="76"/>
      <c r="Y874" s="76"/>
      <c r="Z874" s="68"/>
      <c r="AA874" s="68"/>
      <c r="AB874" s="68"/>
      <c r="AC874" s="68"/>
      <c r="AD874" s="68"/>
    </row>
    <row r="875" spans="16:30" x14ac:dyDescent="0.2">
      <c r="P875" s="68"/>
      <c r="Q875" s="74"/>
      <c r="R875" s="74"/>
      <c r="S875" s="74"/>
      <c r="T875" s="75"/>
      <c r="U875" s="76"/>
      <c r="V875" s="77"/>
      <c r="W875" s="77"/>
      <c r="X875" s="76"/>
      <c r="Y875" s="76"/>
      <c r="Z875" s="68"/>
      <c r="AA875" s="68"/>
      <c r="AB875" s="68"/>
      <c r="AC875" s="68"/>
      <c r="AD875" s="68"/>
    </row>
    <row r="876" spans="16:30" x14ac:dyDescent="0.2">
      <c r="P876" s="68"/>
      <c r="Q876" s="74"/>
      <c r="R876" s="74"/>
      <c r="S876" s="74"/>
      <c r="T876" s="75"/>
      <c r="U876" s="76"/>
      <c r="V876" s="77"/>
      <c r="W876" s="77"/>
      <c r="X876" s="76"/>
      <c r="Y876" s="76"/>
      <c r="Z876" s="68"/>
      <c r="AA876" s="68"/>
      <c r="AB876" s="68"/>
      <c r="AC876" s="68"/>
      <c r="AD876" s="68"/>
    </row>
    <row r="877" spans="16:30" x14ac:dyDescent="0.2">
      <c r="P877" s="68"/>
      <c r="Q877" s="74"/>
      <c r="R877" s="74"/>
      <c r="S877" s="74"/>
      <c r="T877" s="75"/>
      <c r="U877" s="76"/>
      <c r="V877" s="77"/>
      <c r="W877" s="77"/>
      <c r="X877" s="76"/>
      <c r="Y877" s="76"/>
      <c r="Z877" s="68"/>
      <c r="AA877" s="68"/>
      <c r="AB877" s="68"/>
      <c r="AC877" s="68"/>
      <c r="AD877" s="68"/>
    </row>
    <row r="878" spans="16:30" x14ac:dyDescent="0.2">
      <c r="P878" s="68"/>
      <c r="Q878" s="74"/>
      <c r="R878" s="74"/>
      <c r="S878" s="74"/>
      <c r="T878" s="75"/>
      <c r="U878" s="76"/>
      <c r="V878" s="77"/>
      <c r="W878" s="77"/>
      <c r="X878" s="76"/>
      <c r="Y878" s="76"/>
      <c r="Z878" s="68"/>
      <c r="AA878" s="68"/>
      <c r="AB878" s="68"/>
      <c r="AC878" s="68"/>
      <c r="AD878" s="68"/>
    </row>
    <row r="879" spans="16:30" x14ac:dyDescent="0.2">
      <c r="P879" s="68"/>
      <c r="Q879" s="74"/>
      <c r="R879" s="74"/>
      <c r="S879" s="74"/>
      <c r="T879" s="75"/>
      <c r="U879" s="76"/>
      <c r="V879" s="77"/>
      <c r="W879" s="77"/>
      <c r="X879" s="76"/>
      <c r="Y879" s="76"/>
      <c r="Z879" s="68"/>
      <c r="AA879" s="68"/>
      <c r="AB879" s="68"/>
      <c r="AC879" s="68"/>
      <c r="AD879" s="68"/>
    </row>
    <row r="880" spans="16:30" x14ac:dyDescent="0.2">
      <c r="P880" s="68"/>
      <c r="Q880" s="74"/>
      <c r="R880" s="74"/>
      <c r="S880" s="74"/>
      <c r="T880" s="75"/>
      <c r="U880" s="76"/>
      <c r="V880" s="77"/>
      <c r="W880" s="77"/>
      <c r="X880" s="76"/>
      <c r="Y880" s="76"/>
      <c r="Z880" s="68"/>
      <c r="AA880" s="68"/>
      <c r="AB880" s="68"/>
      <c r="AC880" s="68"/>
      <c r="AD880" s="68"/>
    </row>
    <row r="881" spans="16:30" x14ac:dyDescent="0.2">
      <c r="P881" s="68"/>
      <c r="Q881" s="74"/>
      <c r="R881" s="74"/>
      <c r="S881" s="74"/>
      <c r="T881" s="75"/>
      <c r="U881" s="76"/>
      <c r="V881" s="77"/>
      <c r="W881" s="77"/>
      <c r="X881" s="76"/>
      <c r="Y881" s="76"/>
      <c r="Z881" s="68"/>
      <c r="AA881" s="68"/>
      <c r="AB881" s="68"/>
      <c r="AC881" s="68"/>
      <c r="AD881" s="68"/>
    </row>
    <row r="882" spans="16:30" x14ac:dyDescent="0.2">
      <c r="P882" s="68"/>
      <c r="Q882" s="74"/>
      <c r="R882" s="74"/>
      <c r="S882" s="74"/>
      <c r="T882" s="75"/>
      <c r="U882" s="76"/>
      <c r="V882" s="77"/>
      <c r="W882" s="77"/>
      <c r="X882" s="76"/>
      <c r="Y882" s="76"/>
      <c r="Z882" s="68"/>
      <c r="AA882" s="68"/>
      <c r="AB882" s="68"/>
      <c r="AC882" s="68"/>
      <c r="AD882" s="68"/>
    </row>
    <row r="883" spans="16:30" x14ac:dyDescent="0.2">
      <c r="P883" s="68"/>
      <c r="Q883" s="74"/>
      <c r="R883" s="74"/>
      <c r="S883" s="74"/>
      <c r="T883" s="75"/>
      <c r="U883" s="76"/>
      <c r="V883" s="77"/>
      <c r="W883" s="77"/>
      <c r="X883" s="76"/>
      <c r="Y883" s="76"/>
      <c r="Z883" s="68"/>
      <c r="AA883" s="68"/>
      <c r="AB883" s="68"/>
      <c r="AC883" s="68"/>
      <c r="AD883" s="68"/>
    </row>
    <row r="884" spans="16:30" x14ac:dyDescent="0.2">
      <c r="P884" s="68"/>
      <c r="Q884" s="74"/>
      <c r="R884" s="74"/>
      <c r="S884" s="74"/>
      <c r="T884" s="75"/>
      <c r="U884" s="76"/>
      <c r="V884" s="77"/>
      <c r="W884" s="77"/>
      <c r="X884" s="76"/>
      <c r="Y884" s="76"/>
      <c r="Z884" s="68"/>
      <c r="AA884" s="68"/>
      <c r="AB884" s="68"/>
      <c r="AC884" s="68"/>
      <c r="AD884" s="68"/>
    </row>
    <row r="885" spans="16:30" x14ac:dyDescent="0.2">
      <c r="P885" s="68"/>
      <c r="Q885" s="74"/>
      <c r="R885" s="74"/>
      <c r="S885" s="74"/>
      <c r="T885" s="75"/>
      <c r="U885" s="76"/>
      <c r="V885" s="77"/>
      <c r="W885" s="77"/>
      <c r="X885" s="76"/>
      <c r="Y885" s="76"/>
      <c r="Z885" s="68"/>
      <c r="AA885" s="68"/>
      <c r="AB885" s="68"/>
      <c r="AC885" s="68"/>
      <c r="AD885" s="68"/>
    </row>
    <row r="886" spans="16:30" x14ac:dyDescent="0.2">
      <c r="P886" s="68"/>
      <c r="Q886" s="74"/>
      <c r="R886" s="74"/>
      <c r="S886" s="74"/>
      <c r="T886" s="75"/>
      <c r="U886" s="76"/>
      <c r="V886" s="77"/>
      <c r="W886" s="77"/>
      <c r="X886" s="76"/>
      <c r="Y886" s="76"/>
      <c r="Z886" s="68"/>
      <c r="AA886" s="68"/>
      <c r="AB886" s="68"/>
      <c r="AC886" s="68"/>
      <c r="AD886" s="68"/>
    </row>
    <row r="887" spans="16:30" x14ac:dyDescent="0.2">
      <c r="P887" s="68"/>
      <c r="Q887" s="74"/>
      <c r="R887" s="74"/>
      <c r="S887" s="74"/>
      <c r="T887" s="75"/>
      <c r="U887" s="76"/>
      <c r="V887" s="77"/>
      <c r="W887" s="77"/>
      <c r="X887" s="76"/>
      <c r="Y887" s="76"/>
      <c r="Z887" s="68"/>
      <c r="AA887" s="68"/>
      <c r="AB887" s="68"/>
      <c r="AC887" s="68"/>
      <c r="AD887" s="68"/>
    </row>
    <row r="888" spans="16:30" x14ac:dyDescent="0.2">
      <c r="P888" s="68"/>
      <c r="Q888" s="74"/>
      <c r="R888" s="74"/>
      <c r="S888" s="74"/>
      <c r="T888" s="75"/>
      <c r="U888" s="76"/>
      <c r="V888" s="77"/>
      <c r="W888" s="77"/>
      <c r="X888" s="76"/>
      <c r="Y888" s="76"/>
      <c r="Z888" s="68"/>
      <c r="AA888" s="68"/>
      <c r="AB888" s="68"/>
      <c r="AC888" s="68"/>
      <c r="AD888" s="68"/>
    </row>
    <row r="889" spans="16:30" x14ac:dyDescent="0.2">
      <c r="P889" s="68"/>
      <c r="Q889" s="74"/>
      <c r="R889" s="74"/>
      <c r="S889" s="74"/>
      <c r="T889" s="75"/>
      <c r="U889" s="76"/>
      <c r="V889" s="77"/>
      <c r="W889" s="77"/>
      <c r="X889" s="76"/>
      <c r="Y889" s="76"/>
      <c r="Z889" s="68"/>
      <c r="AA889" s="68"/>
      <c r="AB889" s="68"/>
      <c r="AC889" s="68"/>
      <c r="AD889" s="68"/>
    </row>
    <row r="890" spans="16:30" x14ac:dyDescent="0.2">
      <c r="P890" s="68"/>
      <c r="Q890" s="74"/>
      <c r="R890" s="74"/>
      <c r="S890" s="74"/>
      <c r="T890" s="75"/>
      <c r="U890" s="76"/>
      <c r="V890" s="77"/>
      <c r="W890" s="77"/>
      <c r="X890" s="76"/>
      <c r="Y890" s="76"/>
      <c r="Z890" s="68"/>
      <c r="AA890" s="68"/>
      <c r="AB890" s="68"/>
      <c r="AC890" s="68"/>
      <c r="AD890" s="68"/>
    </row>
    <row r="891" spans="16:30" x14ac:dyDescent="0.2">
      <c r="P891" s="68"/>
      <c r="Q891" s="74"/>
      <c r="R891" s="74"/>
      <c r="S891" s="74"/>
      <c r="T891" s="75"/>
      <c r="U891" s="76"/>
      <c r="V891" s="77"/>
      <c r="W891" s="77"/>
      <c r="X891" s="76"/>
      <c r="Y891" s="76"/>
      <c r="Z891" s="68"/>
      <c r="AA891" s="68"/>
      <c r="AB891" s="68"/>
      <c r="AC891" s="68"/>
      <c r="AD891" s="68"/>
    </row>
    <row r="892" spans="16:30" x14ac:dyDescent="0.2">
      <c r="P892" s="68"/>
      <c r="Q892" s="74"/>
      <c r="R892" s="74"/>
      <c r="S892" s="74"/>
      <c r="T892" s="75"/>
      <c r="U892" s="76"/>
      <c r="V892" s="77"/>
      <c r="W892" s="77"/>
      <c r="X892" s="76"/>
      <c r="Y892" s="76"/>
      <c r="Z892" s="68"/>
      <c r="AA892" s="68"/>
      <c r="AB892" s="68"/>
      <c r="AC892" s="68"/>
      <c r="AD892" s="68"/>
    </row>
    <row r="893" spans="16:30" x14ac:dyDescent="0.2">
      <c r="P893" s="68"/>
      <c r="Q893" s="74"/>
      <c r="R893" s="74"/>
      <c r="S893" s="74"/>
      <c r="T893" s="75"/>
      <c r="U893" s="76"/>
      <c r="V893" s="77"/>
      <c r="W893" s="77"/>
      <c r="X893" s="76"/>
      <c r="Y893" s="76"/>
      <c r="Z893" s="68"/>
      <c r="AA893" s="68"/>
      <c r="AB893" s="68"/>
      <c r="AC893" s="68"/>
      <c r="AD893" s="68"/>
    </row>
    <row r="894" spans="16:30" x14ac:dyDescent="0.2">
      <c r="P894" s="68"/>
      <c r="Q894" s="74"/>
      <c r="R894" s="74"/>
      <c r="S894" s="74"/>
      <c r="T894" s="75"/>
      <c r="U894" s="76"/>
      <c r="V894" s="77"/>
      <c r="W894" s="77"/>
      <c r="X894" s="76"/>
      <c r="Y894" s="76"/>
      <c r="Z894" s="68"/>
      <c r="AA894" s="68"/>
      <c r="AB894" s="68"/>
      <c r="AC894" s="68"/>
      <c r="AD894" s="68"/>
    </row>
    <row r="895" spans="16:30" x14ac:dyDescent="0.2">
      <c r="P895" s="68"/>
      <c r="Q895" s="74"/>
      <c r="R895" s="74"/>
      <c r="S895" s="74"/>
      <c r="T895" s="75"/>
      <c r="U895" s="76"/>
      <c r="V895" s="77"/>
      <c r="W895" s="77"/>
      <c r="X895" s="76"/>
      <c r="Y895" s="76"/>
      <c r="Z895" s="68"/>
      <c r="AA895" s="68"/>
      <c r="AB895" s="68"/>
      <c r="AC895" s="68"/>
      <c r="AD895" s="68"/>
    </row>
    <row r="896" spans="16:30" x14ac:dyDescent="0.2">
      <c r="P896" s="68"/>
      <c r="Q896" s="74"/>
      <c r="R896" s="74"/>
      <c r="S896" s="74"/>
      <c r="T896" s="75"/>
      <c r="U896" s="76"/>
      <c r="V896" s="77"/>
      <c r="W896" s="77"/>
      <c r="X896" s="76"/>
      <c r="Y896" s="76"/>
      <c r="Z896" s="68"/>
      <c r="AA896" s="68"/>
      <c r="AB896" s="68"/>
      <c r="AC896" s="68"/>
      <c r="AD896" s="68"/>
    </row>
    <row r="897" spans="16:30" x14ac:dyDescent="0.2">
      <c r="P897" s="68"/>
      <c r="Q897" s="74"/>
      <c r="R897" s="74"/>
      <c r="S897" s="74"/>
      <c r="T897" s="75"/>
      <c r="U897" s="76"/>
      <c r="V897" s="77"/>
      <c r="W897" s="77"/>
      <c r="X897" s="76"/>
      <c r="Y897" s="76"/>
      <c r="Z897" s="68"/>
      <c r="AA897" s="68"/>
      <c r="AB897" s="68"/>
      <c r="AC897" s="68"/>
      <c r="AD897" s="68"/>
    </row>
    <row r="898" spans="16:30" x14ac:dyDescent="0.2">
      <c r="P898" s="68"/>
      <c r="Q898" s="74"/>
      <c r="R898" s="74"/>
      <c r="S898" s="74"/>
      <c r="T898" s="75"/>
      <c r="U898" s="76"/>
      <c r="V898" s="77"/>
      <c r="W898" s="77"/>
      <c r="X898" s="76"/>
      <c r="Y898" s="76"/>
      <c r="Z898" s="68"/>
      <c r="AA898" s="68"/>
      <c r="AB898" s="68"/>
      <c r="AC898" s="68"/>
      <c r="AD898" s="68"/>
    </row>
    <row r="899" spans="16:30" x14ac:dyDescent="0.2">
      <c r="P899" s="68"/>
      <c r="Q899" s="74"/>
      <c r="R899" s="74"/>
      <c r="S899" s="74"/>
      <c r="T899" s="75"/>
      <c r="U899" s="76"/>
      <c r="V899" s="77"/>
      <c r="W899" s="77"/>
      <c r="X899" s="76"/>
      <c r="Y899" s="76"/>
      <c r="Z899" s="68"/>
      <c r="AA899" s="68"/>
      <c r="AB899" s="68"/>
      <c r="AC899" s="68"/>
      <c r="AD899" s="68"/>
    </row>
    <row r="900" spans="16:30" x14ac:dyDescent="0.2">
      <c r="P900" s="68"/>
      <c r="Q900" s="74"/>
      <c r="R900" s="74"/>
      <c r="S900" s="74"/>
      <c r="T900" s="75"/>
      <c r="U900" s="76"/>
      <c r="V900" s="77"/>
      <c r="W900" s="77"/>
      <c r="X900" s="76"/>
      <c r="Y900" s="76"/>
      <c r="Z900" s="68"/>
      <c r="AA900" s="68"/>
      <c r="AB900" s="68"/>
      <c r="AC900" s="68"/>
      <c r="AD900" s="68"/>
    </row>
    <row r="901" spans="16:30" x14ac:dyDescent="0.2">
      <c r="P901" s="68"/>
      <c r="Q901" s="74"/>
      <c r="R901" s="74"/>
      <c r="S901" s="74"/>
      <c r="T901" s="75"/>
      <c r="U901" s="76"/>
      <c r="V901" s="77"/>
      <c r="W901" s="77"/>
      <c r="X901" s="76"/>
      <c r="Y901" s="76"/>
      <c r="Z901" s="68"/>
      <c r="AA901" s="68"/>
      <c r="AB901" s="68"/>
      <c r="AC901" s="68"/>
      <c r="AD901" s="68"/>
    </row>
    <row r="902" spans="16:30" x14ac:dyDescent="0.2">
      <c r="P902" s="68"/>
      <c r="Q902" s="74"/>
      <c r="R902" s="74"/>
      <c r="S902" s="74"/>
      <c r="T902" s="75"/>
      <c r="U902" s="76"/>
      <c r="V902" s="77"/>
      <c r="W902" s="77"/>
      <c r="X902" s="76"/>
      <c r="Y902" s="76"/>
      <c r="Z902" s="68"/>
      <c r="AA902" s="68"/>
      <c r="AB902" s="68"/>
      <c r="AC902" s="68"/>
      <c r="AD902" s="68"/>
    </row>
    <row r="903" spans="16:30" x14ac:dyDescent="0.2">
      <c r="P903" s="68"/>
      <c r="Q903" s="74"/>
      <c r="R903" s="74"/>
      <c r="S903" s="74"/>
      <c r="T903" s="75"/>
      <c r="U903" s="76"/>
      <c r="V903" s="77"/>
      <c r="W903" s="77"/>
      <c r="X903" s="76"/>
      <c r="Y903" s="76"/>
      <c r="Z903" s="68"/>
      <c r="AA903" s="68"/>
      <c r="AB903" s="68"/>
      <c r="AC903" s="68"/>
      <c r="AD903" s="68"/>
    </row>
    <row r="904" spans="16:30" x14ac:dyDescent="0.2">
      <c r="P904" s="68"/>
      <c r="Q904" s="74"/>
      <c r="R904" s="74"/>
      <c r="S904" s="74"/>
      <c r="T904" s="75"/>
      <c r="U904" s="76"/>
      <c r="V904" s="77"/>
      <c r="W904" s="77"/>
      <c r="X904" s="76"/>
      <c r="Y904" s="76"/>
      <c r="Z904" s="68"/>
      <c r="AA904" s="68"/>
      <c r="AB904" s="68"/>
      <c r="AC904" s="68"/>
      <c r="AD904" s="68"/>
    </row>
    <row r="905" spans="16:30" x14ac:dyDescent="0.2">
      <c r="P905" s="68"/>
      <c r="Q905" s="74"/>
      <c r="R905" s="74"/>
      <c r="S905" s="74"/>
      <c r="T905" s="75"/>
      <c r="U905" s="76"/>
      <c r="V905" s="77"/>
      <c r="W905" s="77"/>
      <c r="X905" s="76"/>
      <c r="Y905" s="76"/>
      <c r="Z905" s="68"/>
      <c r="AA905" s="68"/>
      <c r="AB905" s="68"/>
      <c r="AC905" s="68"/>
      <c r="AD905" s="68"/>
    </row>
    <row r="906" spans="16:30" x14ac:dyDescent="0.2">
      <c r="P906" s="68"/>
      <c r="Q906" s="74"/>
      <c r="R906" s="74"/>
      <c r="S906" s="74"/>
      <c r="T906" s="75"/>
      <c r="U906" s="76"/>
      <c r="V906" s="77"/>
      <c r="W906" s="77"/>
      <c r="X906" s="76"/>
      <c r="Y906" s="76"/>
      <c r="Z906" s="68"/>
      <c r="AA906" s="68"/>
      <c r="AB906" s="68"/>
      <c r="AC906" s="68"/>
      <c r="AD906" s="68"/>
    </row>
    <row r="907" spans="16:30" x14ac:dyDescent="0.2">
      <c r="P907" s="68"/>
      <c r="Q907" s="74"/>
      <c r="R907" s="74"/>
      <c r="S907" s="74"/>
      <c r="T907" s="75"/>
      <c r="U907" s="76"/>
      <c r="V907" s="77"/>
      <c r="W907" s="77"/>
      <c r="X907" s="76"/>
      <c r="Y907" s="76"/>
      <c r="Z907" s="68"/>
      <c r="AA907" s="68"/>
      <c r="AB907" s="68"/>
      <c r="AC907" s="68"/>
      <c r="AD907" s="68"/>
    </row>
    <row r="908" spans="16:30" x14ac:dyDescent="0.2">
      <c r="P908" s="68"/>
      <c r="Q908" s="74"/>
      <c r="R908" s="74"/>
      <c r="S908" s="74"/>
      <c r="T908" s="75"/>
      <c r="U908" s="76"/>
      <c r="V908" s="77"/>
      <c r="W908" s="77"/>
      <c r="X908" s="76"/>
      <c r="Y908" s="76"/>
      <c r="Z908" s="68"/>
      <c r="AA908" s="68"/>
      <c r="AB908" s="68"/>
      <c r="AC908" s="68"/>
      <c r="AD908" s="68"/>
    </row>
    <row r="909" spans="16:30" x14ac:dyDescent="0.2">
      <c r="P909" s="68"/>
      <c r="Q909" s="74"/>
      <c r="R909" s="74"/>
      <c r="S909" s="74"/>
      <c r="T909" s="75"/>
      <c r="U909" s="76"/>
      <c r="V909" s="77"/>
      <c r="W909" s="77"/>
      <c r="X909" s="76"/>
      <c r="Y909" s="76"/>
      <c r="Z909" s="68"/>
      <c r="AA909" s="68"/>
      <c r="AB909" s="68"/>
      <c r="AC909" s="68"/>
      <c r="AD909" s="68"/>
    </row>
    <row r="910" spans="16:30" x14ac:dyDescent="0.2">
      <c r="P910" s="68"/>
      <c r="Q910" s="74"/>
      <c r="R910" s="74"/>
      <c r="S910" s="74"/>
      <c r="T910" s="75"/>
      <c r="U910" s="76"/>
      <c r="V910" s="77"/>
      <c r="W910" s="77"/>
      <c r="X910" s="76"/>
      <c r="Y910" s="76"/>
      <c r="Z910" s="68"/>
      <c r="AA910" s="68"/>
      <c r="AB910" s="68"/>
      <c r="AC910" s="68"/>
      <c r="AD910" s="68"/>
    </row>
    <row r="911" spans="16:30" x14ac:dyDescent="0.2">
      <c r="P911" s="68"/>
      <c r="Q911" s="74"/>
      <c r="R911" s="74"/>
      <c r="S911" s="74"/>
      <c r="T911" s="75"/>
      <c r="U911" s="76"/>
      <c r="V911" s="77"/>
      <c r="W911" s="77"/>
      <c r="X911" s="76"/>
      <c r="Y911" s="76"/>
      <c r="Z911" s="68"/>
      <c r="AA911" s="68"/>
      <c r="AB911" s="68"/>
      <c r="AC911" s="68"/>
      <c r="AD911" s="68"/>
    </row>
    <row r="912" spans="16:30" x14ac:dyDescent="0.2">
      <c r="P912" s="68"/>
      <c r="Q912" s="74"/>
      <c r="R912" s="74"/>
      <c r="S912" s="74"/>
      <c r="T912" s="75"/>
      <c r="U912" s="76"/>
      <c r="V912" s="77"/>
      <c r="W912" s="77"/>
      <c r="X912" s="76"/>
      <c r="Y912" s="76"/>
      <c r="Z912" s="68"/>
      <c r="AA912" s="68"/>
      <c r="AB912" s="68"/>
      <c r="AC912" s="68"/>
      <c r="AD912" s="68"/>
    </row>
    <row r="913" spans="16:30" x14ac:dyDescent="0.2">
      <c r="P913" s="68"/>
      <c r="Q913" s="74"/>
      <c r="R913" s="74"/>
      <c r="S913" s="74"/>
      <c r="T913" s="75"/>
      <c r="U913" s="76"/>
      <c r="V913" s="77"/>
      <c r="W913" s="77"/>
      <c r="X913" s="76"/>
      <c r="Y913" s="76"/>
      <c r="Z913" s="68"/>
      <c r="AA913" s="68"/>
      <c r="AB913" s="68"/>
      <c r="AC913" s="68"/>
      <c r="AD913" s="68"/>
    </row>
    <row r="914" spans="16:30" x14ac:dyDescent="0.2">
      <c r="P914" s="68"/>
      <c r="Q914" s="74"/>
      <c r="R914" s="74"/>
      <c r="S914" s="74"/>
      <c r="T914" s="75"/>
      <c r="U914" s="76"/>
      <c r="V914" s="77"/>
      <c r="W914" s="77"/>
      <c r="X914" s="76"/>
      <c r="Y914" s="76"/>
      <c r="Z914" s="68"/>
      <c r="AA914" s="68"/>
      <c r="AB914" s="68"/>
      <c r="AC914" s="68"/>
      <c r="AD914" s="68"/>
    </row>
    <row r="915" spans="16:30" x14ac:dyDescent="0.2">
      <c r="P915" s="68"/>
      <c r="Q915" s="74"/>
      <c r="R915" s="74"/>
      <c r="S915" s="74"/>
      <c r="T915" s="75"/>
      <c r="U915" s="76"/>
      <c r="V915" s="77"/>
      <c r="W915" s="77"/>
      <c r="X915" s="76"/>
      <c r="Y915" s="76"/>
      <c r="Z915" s="68"/>
      <c r="AA915" s="68"/>
      <c r="AB915" s="68"/>
      <c r="AC915" s="68"/>
      <c r="AD915" s="68"/>
    </row>
    <row r="916" spans="16:30" x14ac:dyDescent="0.2">
      <c r="P916" s="68"/>
      <c r="Q916" s="74"/>
      <c r="R916" s="74"/>
      <c r="S916" s="74"/>
      <c r="T916" s="75"/>
      <c r="U916" s="76"/>
      <c r="V916" s="77"/>
      <c r="W916" s="77"/>
      <c r="X916" s="76"/>
      <c r="Y916" s="76"/>
      <c r="Z916" s="68"/>
      <c r="AA916" s="68"/>
      <c r="AB916" s="68"/>
      <c r="AC916" s="68"/>
      <c r="AD916" s="68"/>
    </row>
    <row r="917" spans="16:30" x14ac:dyDescent="0.2">
      <c r="P917" s="68"/>
      <c r="Q917" s="74"/>
      <c r="R917" s="74"/>
      <c r="S917" s="74"/>
      <c r="T917" s="75"/>
      <c r="U917" s="76"/>
      <c r="V917" s="77"/>
      <c r="W917" s="77"/>
      <c r="X917" s="76"/>
      <c r="Y917" s="76"/>
      <c r="Z917" s="68"/>
      <c r="AA917" s="68"/>
      <c r="AB917" s="68"/>
      <c r="AC917" s="68"/>
      <c r="AD917" s="68"/>
    </row>
    <row r="918" spans="16:30" x14ac:dyDescent="0.2">
      <c r="P918" s="68"/>
      <c r="Q918" s="74"/>
      <c r="R918" s="74"/>
      <c r="S918" s="74"/>
      <c r="T918" s="75"/>
      <c r="U918" s="76"/>
      <c r="V918" s="77"/>
      <c r="W918" s="77"/>
      <c r="X918" s="76"/>
      <c r="Y918" s="76"/>
      <c r="Z918" s="68"/>
      <c r="AA918" s="68"/>
      <c r="AB918" s="68"/>
      <c r="AC918" s="68"/>
      <c r="AD918" s="68"/>
    </row>
    <row r="919" spans="16:30" x14ac:dyDescent="0.2">
      <c r="P919" s="68"/>
      <c r="Q919" s="74"/>
      <c r="R919" s="74"/>
      <c r="S919" s="74"/>
      <c r="T919" s="75"/>
      <c r="U919" s="76"/>
      <c r="V919" s="77"/>
      <c r="W919" s="77"/>
      <c r="X919" s="76"/>
      <c r="Y919" s="76"/>
      <c r="Z919" s="68"/>
      <c r="AA919" s="68"/>
      <c r="AB919" s="68"/>
      <c r="AC919" s="68"/>
      <c r="AD919" s="68"/>
    </row>
    <row r="920" spans="16:30" x14ac:dyDescent="0.2">
      <c r="P920" s="68"/>
      <c r="Q920" s="74"/>
      <c r="R920" s="74"/>
      <c r="S920" s="74"/>
      <c r="T920" s="75"/>
      <c r="U920" s="76"/>
      <c r="V920" s="77"/>
      <c r="W920" s="77"/>
      <c r="X920" s="76"/>
      <c r="Y920" s="76"/>
      <c r="Z920" s="68"/>
      <c r="AA920" s="68"/>
      <c r="AB920" s="68"/>
      <c r="AC920" s="68"/>
      <c r="AD920" s="68"/>
    </row>
    <row r="921" spans="16:30" x14ac:dyDescent="0.2">
      <c r="P921" s="68"/>
      <c r="Q921" s="74"/>
      <c r="R921" s="74"/>
      <c r="S921" s="74"/>
      <c r="T921" s="75"/>
      <c r="U921" s="76"/>
      <c r="V921" s="77"/>
      <c r="W921" s="77"/>
      <c r="X921" s="76"/>
      <c r="Y921" s="76"/>
      <c r="Z921" s="68"/>
      <c r="AA921" s="68"/>
      <c r="AB921" s="68"/>
      <c r="AC921" s="68"/>
      <c r="AD921" s="68"/>
    </row>
    <row r="922" spans="16:30" x14ac:dyDescent="0.2">
      <c r="P922" s="68"/>
      <c r="Q922" s="74"/>
      <c r="R922" s="74"/>
      <c r="S922" s="74"/>
      <c r="T922" s="75"/>
      <c r="U922" s="76"/>
      <c r="V922" s="77"/>
      <c r="W922" s="77"/>
      <c r="X922" s="76"/>
      <c r="Y922" s="76"/>
      <c r="Z922" s="68"/>
      <c r="AA922" s="68"/>
      <c r="AB922" s="68"/>
      <c r="AC922" s="68"/>
      <c r="AD922" s="68"/>
    </row>
    <row r="923" spans="16:30" x14ac:dyDescent="0.2">
      <c r="P923" s="68"/>
      <c r="Q923" s="74"/>
      <c r="R923" s="74"/>
      <c r="S923" s="74"/>
      <c r="T923" s="75"/>
      <c r="U923" s="76"/>
      <c r="V923" s="77"/>
      <c r="W923" s="77"/>
      <c r="X923" s="76"/>
      <c r="Y923" s="76"/>
      <c r="Z923" s="68"/>
      <c r="AA923" s="68"/>
      <c r="AB923" s="68"/>
      <c r="AC923" s="68"/>
      <c r="AD923" s="68"/>
    </row>
    <row r="924" spans="16:30" x14ac:dyDescent="0.2">
      <c r="P924" s="68"/>
      <c r="Q924" s="74"/>
      <c r="R924" s="74"/>
      <c r="S924" s="74"/>
      <c r="T924" s="75"/>
      <c r="U924" s="76"/>
      <c r="V924" s="77"/>
      <c r="W924" s="77"/>
      <c r="X924" s="76"/>
      <c r="Y924" s="76"/>
      <c r="Z924" s="68"/>
      <c r="AA924" s="68"/>
      <c r="AB924" s="68"/>
      <c r="AC924" s="68"/>
      <c r="AD924" s="68"/>
    </row>
    <row r="925" spans="16:30" x14ac:dyDescent="0.2">
      <c r="P925" s="68"/>
      <c r="Q925" s="74"/>
      <c r="R925" s="74"/>
      <c r="S925" s="74"/>
      <c r="T925" s="75"/>
      <c r="U925" s="76"/>
      <c r="V925" s="77"/>
      <c r="W925" s="77"/>
      <c r="X925" s="76"/>
      <c r="Y925" s="76"/>
      <c r="Z925" s="68"/>
      <c r="AA925" s="68"/>
      <c r="AB925" s="68"/>
      <c r="AC925" s="68"/>
      <c r="AD925" s="68"/>
    </row>
    <row r="926" spans="16:30" x14ac:dyDescent="0.2">
      <c r="P926" s="68"/>
      <c r="Q926" s="74"/>
      <c r="R926" s="74"/>
      <c r="S926" s="74"/>
      <c r="T926" s="75"/>
      <c r="U926" s="76"/>
      <c r="V926" s="77"/>
      <c r="W926" s="77"/>
      <c r="X926" s="76"/>
      <c r="Y926" s="76"/>
      <c r="Z926" s="68"/>
      <c r="AA926" s="68"/>
      <c r="AB926" s="68"/>
      <c r="AC926" s="68"/>
      <c r="AD926" s="68"/>
    </row>
    <row r="927" spans="16:30" x14ac:dyDescent="0.2">
      <c r="P927" s="68"/>
      <c r="Q927" s="74"/>
      <c r="R927" s="74"/>
      <c r="S927" s="74"/>
      <c r="T927" s="75"/>
      <c r="U927" s="76"/>
      <c r="V927" s="77"/>
      <c r="W927" s="77"/>
      <c r="X927" s="76"/>
      <c r="Y927" s="76"/>
      <c r="Z927" s="68"/>
      <c r="AA927" s="68"/>
      <c r="AB927" s="68"/>
      <c r="AC927" s="68"/>
      <c r="AD927" s="68"/>
    </row>
    <row r="928" spans="16:30" x14ac:dyDescent="0.2">
      <c r="P928" s="68"/>
      <c r="Q928" s="74"/>
      <c r="R928" s="74"/>
      <c r="S928" s="74"/>
      <c r="T928" s="75"/>
      <c r="U928" s="76"/>
      <c r="V928" s="77"/>
      <c r="W928" s="77"/>
      <c r="X928" s="76"/>
      <c r="Y928" s="76"/>
      <c r="Z928" s="68"/>
      <c r="AA928" s="68"/>
      <c r="AB928" s="68"/>
      <c r="AC928" s="68"/>
      <c r="AD928" s="68"/>
    </row>
    <row r="929" spans="16:30" x14ac:dyDescent="0.2">
      <c r="P929" s="68"/>
      <c r="Q929" s="74"/>
      <c r="R929" s="74"/>
      <c r="S929" s="74"/>
      <c r="T929" s="75"/>
      <c r="U929" s="76"/>
      <c r="V929" s="77"/>
      <c r="W929" s="77"/>
      <c r="X929" s="76"/>
      <c r="Y929" s="76"/>
      <c r="Z929" s="68"/>
      <c r="AA929" s="68"/>
      <c r="AB929" s="68"/>
      <c r="AC929" s="68"/>
      <c r="AD929" s="68"/>
    </row>
    <row r="930" spans="16:30" x14ac:dyDescent="0.2">
      <c r="P930" s="68"/>
      <c r="Q930" s="74"/>
      <c r="R930" s="74"/>
      <c r="S930" s="74"/>
      <c r="T930" s="75"/>
      <c r="U930" s="76"/>
      <c r="V930" s="77"/>
      <c r="W930" s="77"/>
      <c r="X930" s="76"/>
      <c r="Y930" s="76"/>
      <c r="Z930" s="68"/>
      <c r="AA930" s="68"/>
      <c r="AB930" s="68"/>
      <c r="AC930" s="68"/>
      <c r="AD930" s="68"/>
    </row>
    <row r="931" spans="16:30" x14ac:dyDescent="0.2">
      <c r="P931" s="68"/>
      <c r="Q931" s="74"/>
      <c r="R931" s="74"/>
      <c r="S931" s="74"/>
      <c r="T931" s="75"/>
      <c r="U931" s="76"/>
      <c r="V931" s="77"/>
      <c r="W931" s="77"/>
      <c r="X931" s="76"/>
      <c r="Y931" s="76"/>
      <c r="Z931" s="68"/>
      <c r="AA931" s="68"/>
      <c r="AB931" s="68"/>
      <c r="AC931" s="68"/>
      <c r="AD931" s="68"/>
    </row>
    <row r="932" spans="16:30" x14ac:dyDescent="0.2">
      <c r="P932" s="68"/>
      <c r="Q932" s="74"/>
      <c r="R932" s="74"/>
      <c r="S932" s="74"/>
      <c r="T932" s="75"/>
      <c r="U932" s="76"/>
      <c r="V932" s="77"/>
      <c r="W932" s="77"/>
      <c r="X932" s="76"/>
      <c r="Y932" s="76"/>
      <c r="Z932" s="68"/>
      <c r="AA932" s="68"/>
      <c r="AB932" s="68"/>
      <c r="AC932" s="68"/>
      <c r="AD932" s="68"/>
    </row>
    <row r="933" spans="16:30" x14ac:dyDescent="0.2">
      <c r="P933" s="68"/>
      <c r="Q933" s="74"/>
      <c r="R933" s="74"/>
      <c r="S933" s="74"/>
      <c r="T933" s="75"/>
      <c r="U933" s="76"/>
      <c r="V933" s="77"/>
      <c r="W933" s="77"/>
      <c r="X933" s="76"/>
      <c r="Y933" s="76"/>
      <c r="Z933" s="68"/>
      <c r="AA933" s="68"/>
      <c r="AB933" s="68"/>
      <c r="AC933" s="68"/>
      <c r="AD933" s="68"/>
    </row>
    <row r="934" spans="16:30" x14ac:dyDescent="0.2">
      <c r="P934" s="68"/>
      <c r="Q934" s="74"/>
      <c r="R934" s="74"/>
      <c r="S934" s="74"/>
      <c r="T934" s="75"/>
      <c r="U934" s="76"/>
      <c r="V934" s="77"/>
      <c r="W934" s="77"/>
      <c r="X934" s="76"/>
      <c r="Y934" s="76"/>
      <c r="Z934" s="68"/>
      <c r="AA934" s="68"/>
      <c r="AB934" s="68"/>
      <c r="AC934" s="68"/>
      <c r="AD934" s="68"/>
    </row>
    <row r="935" spans="16:30" x14ac:dyDescent="0.2">
      <c r="P935" s="68"/>
      <c r="Q935" s="74"/>
      <c r="R935" s="74"/>
      <c r="S935" s="74"/>
      <c r="T935" s="75"/>
      <c r="U935" s="76"/>
      <c r="V935" s="77"/>
      <c r="W935" s="77"/>
      <c r="X935" s="76"/>
      <c r="Y935" s="76"/>
      <c r="Z935" s="68"/>
      <c r="AA935" s="68"/>
      <c r="AB935" s="68"/>
      <c r="AC935" s="68"/>
      <c r="AD935" s="68"/>
    </row>
    <row r="936" spans="16:30" x14ac:dyDescent="0.2">
      <c r="P936" s="68"/>
      <c r="Q936" s="74"/>
      <c r="R936" s="74"/>
      <c r="S936" s="74"/>
      <c r="T936" s="75"/>
      <c r="U936" s="76"/>
      <c r="V936" s="77"/>
      <c r="W936" s="77"/>
      <c r="X936" s="76"/>
      <c r="Y936" s="76"/>
      <c r="Z936" s="68"/>
      <c r="AA936" s="68"/>
      <c r="AB936" s="68"/>
      <c r="AC936" s="68"/>
      <c r="AD936" s="68"/>
    </row>
    <row r="937" spans="16:30" x14ac:dyDescent="0.2">
      <c r="P937" s="68"/>
      <c r="Q937" s="74"/>
      <c r="R937" s="74"/>
      <c r="S937" s="74"/>
      <c r="T937" s="75"/>
      <c r="U937" s="76"/>
      <c r="V937" s="77"/>
      <c r="W937" s="77"/>
      <c r="X937" s="76"/>
      <c r="Y937" s="76"/>
      <c r="Z937" s="68"/>
      <c r="AA937" s="68"/>
      <c r="AB937" s="68"/>
      <c r="AC937" s="68"/>
      <c r="AD937" s="68"/>
    </row>
    <row r="938" spans="16:30" x14ac:dyDescent="0.2">
      <c r="P938" s="68"/>
      <c r="Q938" s="74"/>
      <c r="R938" s="74"/>
      <c r="S938" s="74"/>
      <c r="T938" s="75"/>
      <c r="U938" s="76"/>
      <c r="V938" s="77"/>
      <c r="W938" s="77"/>
      <c r="X938" s="76"/>
      <c r="Y938" s="76"/>
      <c r="Z938" s="68"/>
      <c r="AA938" s="68"/>
      <c r="AB938" s="68"/>
      <c r="AC938" s="68"/>
      <c r="AD938" s="68"/>
    </row>
    <row r="939" spans="16:30" x14ac:dyDescent="0.2">
      <c r="P939" s="68"/>
      <c r="Q939" s="74"/>
      <c r="R939" s="74"/>
      <c r="S939" s="74"/>
      <c r="T939" s="75"/>
      <c r="U939" s="76"/>
      <c r="V939" s="77"/>
      <c r="W939" s="77"/>
      <c r="X939" s="76"/>
      <c r="Y939" s="76"/>
      <c r="Z939" s="68"/>
      <c r="AA939" s="68"/>
      <c r="AB939" s="68"/>
      <c r="AC939" s="68"/>
      <c r="AD939" s="68"/>
    </row>
    <row r="940" spans="16:30" x14ac:dyDescent="0.2">
      <c r="P940" s="68"/>
      <c r="Q940" s="74"/>
      <c r="R940" s="74"/>
      <c r="S940" s="74"/>
      <c r="T940" s="75"/>
      <c r="U940" s="76"/>
      <c r="V940" s="77"/>
      <c r="W940" s="77"/>
      <c r="X940" s="76"/>
      <c r="Y940" s="76"/>
      <c r="Z940" s="68"/>
      <c r="AA940" s="68"/>
      <c r="AB940" s="68"/>
      <c r="AC940" s="68"/>
      <c r="AD940" s="68"/>
    </row>
    <row r="941" spans="16:30" x14ac:dyDescent="0.2">
      <c r="P941" s="68"/>
      <c r="Q941" s="74"/>
      <c r="R941" s="74"/>
      <c r="S941" s="74"/>
      <c r="T941" s="75"/>
      <c r="U941" s="76"/>
      <c r="V941" s="77"/>
      <c r="W941" s="77"/>
      <c r="X941" s="76"/>
      <c r="Y941" s="76"/>
      <c r="Z941" s="68"/>
      <c r="AA941" s="68"/>
      <c r="AB941" s="68"/>
      <c r="AC941" s="68"/>
      <c r="AD941" s="68"/>
    </row>
    <row r="942" spans="16:30" x14ac:dyDescent="0.2">
      <c r="P942" s="68"/>
      <c r="Q942" s="74"/>
      <c r="R942" s="74"/>
      <c r="S942" s="74"/>
      <c r="T942" s="75"/>
      <c r="U942" s="76"/>
      <c r="V942" s="77"/>
      <c r="W942" s="77"/>
      <c r="X942" s="76"/>
      <c r="Y942" s="76"/>
      <c r="Z942" s="68"/>
      <c r="AA942" s="68"/>
      <c r="AB942" s="68"/>
      <c r="AC942" s="68"/>
      <c r="AD942" s="68"/>
    </row>
    <row r="943" spans="16:30" x14ac:dyDescent="0.2">
      <c r="P943" s="68"/>
      <c r="Q943" s="74"/>
      <c r="R943" s="74"/>
      <c r="S943" s="74"/>
      <c r="T943" s="75"/>
      <c r="U943" s="76"/>
      <c r="V943" s="77"/>
      <c r="W943" s="77"/>
      <c r="X943" s="76"/>
      <c r="Y943" s="76"/>
      <c r="Z943" s="68"/>
      <c r="AA943" s="68"/>
      <c r="AB943" s="68"/>
      <c r="AC943" s="68"/>
      <c r="AD943" s="68"/>
    </row>
    <row r="944" spans="16:30" x14ac:dyDescent="0.2">
      <c r="P944" s="68"/>
      <c r="Q944" s="74"/>
      <c r="R944" s="74"/>
      <c r="S944" s="74"/>
      <c r="T944" s="75"/>
      <c r="U944" s="76"/>
      <c r="V944" s="77"/>
      <c r="W944" s="77"/>
      <c r="X944" s="76"/>
      <c r="Y944" s="76"/>
      <c r="Z944" s="68"/>
      <c r="AA944" s="68"/>
      <c r="AB944" s="68"/>
      <c r="AC944" s="68"/>
      <c r="AD944" s="68"/>
    </row>
    <row r="945" spans="16:30" x14ac:dyDescent="0.2">
      <c r="P945" s="68"/>
      <c r="Q945" s="74"/>
      <c r="R945" s="74"/>
      <c r="S945" s="74"/>
      <c r="T945" s="75"/>
      <c r="U945" s="76"/>
      <c r="V945" s="77"/>
      <c r="W945" s="77"/>
      <c r="X945" s="76"/>
      <c r="Y945" s="76"/>
      <c r="Z945" s="68"/>
      <c r="AA945" s="68"/>
      <c r="AB945" s="68"/>
      <c r="AC945" s="68"/>
      <c r="AD945" s="68"/>
    </row>
    <row r="946" spans="16:30" x14ac:dyDescent="0.2">
      <c r="P946" s="68"/>
      <c r="Q946" s="74"/>
      <c r="R946" s="74"/>
      <c r="S946" s="74"/>
      <c r="T946" s="75"/>
      <c r="U946" s="76"/>
      <c r="V946" s="77"/>
      <c r="W946" s="77"/>
      <c r="X946" s="76"/>
      <c r="Y946" s="76"/>
      <c r="Z946" s="68"/>
      <c r="AA946" s="68"/>
      <c r="AB946" s="68"/>
      <c r="AC946" s="68"/>
      <c r="AD946" s="68"/>
    </row>
    <row r="947" spans="16:30" x14ac:dyDescent="0.2">
      <c r="P947" s="68"/>
      <c r="Q947" s="74"/>
      <c r="R947" s="74"/>
      <c r="S947" s="74"/>
      <c r="T947" s="75"/>
      <c r="U947" s="76"/>
      <c r="V947" s="77"/>
      <c r="W947" s="77"/>
      <c r="X947" s="76"/>
      <c r="Y947" s="76"/>
      <c r="Z947" s="68"/>
      <c r="AA947" s="68"/>
      <c r="AB947" s="68"/>
      <c r="AC947" s="68"/>
      <c r="AD947" s="68"/>
    </row>
    <row r="948" spans="16:30" x14ac:dyDescent="0.2">
      <c r="P948" s="68"/>
      <c r="Q948" s="74"/>
      <c r="R948" s="74"/>
      <c r="S948" s="74"/>
      <c r="T948" s="75"/>
      <c r="U948" s="76"/>
      <c r="V948" s="77"/>
      <c r="W948" s="77"/>
      <c r="X948" s="76"/>
      <c r="Y948" s="76"/>
      <c r="Z948" s="68"/>
      <c r="AA948" s="68"/>
      <c r="AB948" s="68"/>
      <c r="AC948" s="68"/>
      <c r="AD948" s="68"/>
    </row>
    <row r="949" spans="16:30" x14ac:dyDescent="0.2">
      <c r="P949" s="68"/>
      <c r="Q949" s="74"/>
      <c r="R949" s="74"/>
      <c r="S949" s="74"/>
      <c r="T949" s="75"/>
      <c r="U949" s="76"/>
      <c r="V949" s="77"/>
      <c r="W949" s="77"/>
      <c r="X949" s="76"/>
      <c r="Y949" s="76"/>
      <c r="Z949" s="68"/>
      <c r="AA949" s="68"/>
      <c r="AB949" s="68"/>
      <c r="AC949" s="68"/>
      <c r="AD949" s="68"/>
    </row>
    <row r="950" spans="16:30" x14ac:dyDescent="0.2">
      <c r="P950" s="68"/>
      <c r="Q950" s="74"/>
      <c r="R950" s="74"/>
      <c r="S950" s="74"/>
      <c r="T950" s="75"/>
      <c r="U950" s="76"/>
      <c r="V950" s="77"/>
      <c r="W950" s="77"/>
      <c r="X950" s="76"/>
      <c r="Y950" s="76"/>
      <c r="Z950" s="68"/>
      <c r="AA950" s="68"/>
      <c r="AB950" s="68"/>
      <c r="AC950" s="68"/>
      <c r="AD950" s="68"/>
    </row>
    <row r="951" spans="16:30" x14ac:dyDescent="0.2">
      <c r="P951" s="68"/>
      <c r="Q951" s="74"/>
      <c r="R951" s="74"/>
      <c r="S951" s="74"/>
      <c r="T951" s="75"/>
      <c r="U951" s="76"/>
      <c r="V951" s="77"/>
      <c r="W951" s="77"/>
      <c r="X951" s="76"/>
      <c r="Y951" s="76"/>
      <c r="Z951" s="68"/>
      <c r="AA951" s="68"/>
      <c r="AB951" s="68"/>
      <c r="AC951" s="68"/>
      <c r="AD951" s="68"/>
    </row>
    <row r="952" spans="16:30" x14ac:dyDescent="0.2">
      <c r="P952" s="68"/>
      <c r="Q952" s="74"/>
      <c r="R952" s="74"/>
      <c r="S952" s="74"/>
      <c r="T952" s="75"/>
      <c r="U952" s="76"/>
      <c r="V952" s="77"/>
      <c r="W952" s="77"/>
      <c r="X952" s="76"/>
      <c r="Y952" s="76"/>
      <c r="Z952" s="68"/>
      <c r="AA952" s="68"/>
      <c r="AB952" s="68"/>
      <c r="AC952" s="68"/>
      <c r="AD952" s="68"/>
    </row>
    <row r="953" spans="16:30" x14ac:dyDescent="0.2">
      <c r="P953" s="68"/>
      <c r="Q953" s="74"/>
      <c r="R953" s="74"/>
      <c r="S953" s="74"/>
      <c r="T953" s="75"/>
      <c r="U953" s="76"/>
      <c r="V953" s="77"/>
      <c r="W953" s="77"/>
      <c r="X953" s="76"/>
      <c r="Y953" s="76"/>
      <c r="Z953" s="68"/>
      <c r="AA953" s="68"/>
      <c r="AB953" s="68"/>
      <c r="AC953" s="68"/>
      <c r="AD953" s="68"/>
    </row>
    <row r="954" spans="16:30" x14ac:dyDescent="0.2">
      <c r="P954" s="68"/>
      <c r="Q954" s="74"/>
      <c r="R954" s="74"/>
      <c r="S954" s="74"/>
      <c r="T954" s="75"/>
      <c r="U954" s="76"/>
      <c r="V954" s="77"/>
      <c r="W954" s="77"/>
      <c r="X954" s="76"/>
      <c r="Y954" s="76"/>
      <c r="Z954" s="68"/>
      <c r="AA954" s="68"/>
      <c r="AB954" s="68"/>
      <c r="AC954" s="68"/>
      <c r="AD954" s="68"/>
    </row>
    <row r="955" spans="16:30" x14ac:dyDescent="0.2">
      <c r="P955" s="68"/>
      <c r="Q955" s="74"/>
      <c r="R955" s="74"/>
      <c r="S955" s="74"/>
      <c r="T955" s="75"/>
      <c r="U955" s="76"/>
      <c r="V955" s="77"/>
      <c r="W955" s="77"/>
      <c r="X955" s="76"/>
      <c r="Y955" s="76"/>
      <c r="Z955" s="68"/>
      <c r="AA955" s="68"/>
      <c r="AB955" s="68"/>
      <c r="AC955" s="68"/>
      <c r="AD955" s="68"/>
    </row>
    <row r="956" spans="16:30" x14ac:dyDescent="0.2">
      <c r="P956" s="68"/>
      <c r="Q956" s="74"/>
      <c r="R956" s="74"/>
      <c r="S956" s="74"/>
      <c r="T956" s="75"/>
      <c r="U956" s="76"/>
      <c r="V956" s="77"/>
      <c r="W956" s="77"/>
      <c r="X956" s="76"/>
      <c r="Y956" s="76"/>
      <c r="Z956" s="68"/>
      <c r="AA956" s="68"/>
      <c r="AB956" s="68"/>
      <c r="AC956" s="68"/>
      <c r="AD956" s="68"/>
    </row>
    <row r="957" spans="16:30" x14ac:dyDescent="0.2">
      <c r="P957" s="68"/>
      <c r="Q957" s="74"/>
      <c r="R957" s="74"/>
      <c r="S957" s="74"/>
      <c r="T957" s="75"/>
      <c r="U957" s="76"/>
      <c r="V957" s="77"/>
      <c r="W957" s="77"/>
      <c r="X957" s="76"/>
      <c r="Y957" s="76"/>
      <c r="Z957" s="68"/>
      <c r="AA957" s="68"/>
      <c r="AB957" s="68"/>
      <c r="AC957" s="68"/>
      <c r="AD957" s="68"/>
    </row>
    <row r="958" spans="16:30" x14ac:dyDescent="0.2">
      <c r="P958" s="68"/>
      <c r="Q958" s="74"/>
      <c r="R958" s="74"/>
      <c r="S958" s="74"/>
      <c r="T958" s="75"/>
      <c r="U958" s="76"/>
      <c r="V958" s="77"/>
      <c r="W958" s="77"/>
      <c r="X958" s="76"/>
      <c r="Y958" s="76"/>
      <c r="Z958" s="68"/>
      <c r="AA958" s="68"/>
      <c r="AB958" s="68"/>
      <c r="AC958" s="68"/>
      <c r="AD958" s="68"/>
    </row>
    <row r="959" spans="16:30" x14ac:dyDescent="0.2">
      <c r="P959" s="68"/>
      <c r="Q959" s="74"/>
      <c r="R959" s="74"/>
      <c r="S959" s="74"/>
      <c r="T959" s="75"/>
      <c r="U959" s="76"/>
      <c r="V959" s="77"/>
      <c r="W959" s="77"/>
      <c r="X959" s="76"/>
      <c r="Y959" s="76"/>
      <c r="Z959" s="68"/>
      <c r="AA959" s="68"/>
      <c r="AB959" s="68"/>
      <c r="AC959" s="68"/>
      <c r="AD959" s="68"/>
    </row>
    <row r="960" spans="16:30" x14ac:dyDescent="0.2">
      <c r="P960" s="68"/>
      <c r="Q960" s="74"/>
      <c r="R960" s="74"/>
      <c r="S960" s="74"/>
      <c r="T960" s="75"/>
      <c r="U960" s="76"/>
      <c r="V960" s="77"/>
      <c r="W960" s="77"/>
      <c r="X960" s="76"/>
      <c r="Y960" s="76"/>
      <c r="Z960" s="68"/>
      <c r="AA960" s="68"/>
      <c r="AB960" s="68"/>
      <c r="AC960" s="68"/>
      <c r="AD960" s="68"/>
    </row>
    <row r="961" spans="16:30" x14ac:dyDescent="0.2">
      <c r="P961" s="68"/>
      <c r="Q961" s="74"/>
      <c r="R961" s="74"/>
      <c r="S961" s="74"/>
      <c r="T961" s="75"/>
      <c r="U961" s="76"/>
      <c r="V961" s="77"/>
      <c r="W961" s="77"/>
      <c r="X961" s="76"/>
      <c r="Y961" s="76"/>
      <c r="Z961" s="68"/>
      <c r="AA961" s="68"/>
      <c r="AB961" s="68"/>
      <c r="AC961" s="68"/>
      <c r="AD961" s="68"/>
    </row>
    <row r="962" spans="16:30" x14ac:dyDescent="0.2">
      <c r="P962" s="68"/>
      <c r="Q962" s="74"/>
      <c r="R962" s="74"/>
      <c r="S962" s="74"/>
      <c r="T962" s="75"/>
      <c r="U962" s="76"/>
      <c r="V962" s="77"/>
      <c r="W962" s="77"/>
      <c r="X962" s="76"/>
      <c r="Y962" s="76"/>
      <c r="Z962" s="68"/>
      <c r="AA962" s="68"/>
      <c r="AB962" s="68"/>
      <c r="AC962" s="68"/>
      <c r="AD962" s="68"/>
    </row>
    <row r="963" spans="16:30" x14ac:dyDescent="0.2">
      <c r="P963" s="68"/>
      <c r="Q963" s="74"/>
      <c r="R963" s="74"/>
      <c r="S963" s="74"/>
      <c r="T963" s="75"/>
      <c r="U963" s="76"/>
      <c r="V963" s="77"/>
      <c r="W963" s="77"/>
      <c r="X963" s="76"/>
      <c r="Y963" s="76"/>
      <c r="Z963" s="68"/>
      <c r="AA963" s="68"/>
      <c r="AB963" s="68"/>
      <c r="AC963" s="68"/>
      <c r="AD963" s="68"/>
    </row>
    <row r="964" spans="16:30" x14ac:dyDescent="0.2">
      <c r="P964" s="68"/>
      <c r="Q964" s="74"/>
      <c r="R964" s="74"/>
      <c r="S964" s="74"/>
      <c r="T964" s="75"/>
      <c r="U964" s="76"/>
      <c r="V964" s="77"/>
      <c r="W964" s="77"/>
      <c r="X964" s="76"/>
      <c r="Y964" s="76"/>
      <c r="Z964" s="68"/>
      <c r="AA964" s="68"/>
      <c r="AB964" s="68"/>
      <c r="AC964" s="68"/>
      <c r="AD964" s="68"/>
    </row>
    <row r="965" spans="16:30" x14ac:dyDescent="0.2">
      <c r="P965" s="68"/>
      <c r="Q965" s="74"/>
      <c r="R965" s="74"/>
      <c r="S965" s="74"/>
      <c r="T965" s="75"/>
      <c r="U965" s="76"/>
      <c r="V965" s="77"/>
      <c r="W965" s="77"/>
      <c r="X965" s="76"/>
      <c r="Y965" s="76"/>
      <c r="Z965" s="68"/>
      <c r="AA965" s="68"/>
      <c r="AB965" s="68"/>
      <c r="AC965" s="68"/>
      <c r="AD965" s="68"/>
    </row>
    <row r="966" spans="16:30" x14ac:dyDescent="0.2">
      <c r="P966" s="68"/>
      <c r="Q966" s="74"/>
      <c r="R966" s="74"/>
      <c r="S966" s="74"/>
      <c r="T966" s="75"/>
      <c r="U966" s="76"/>
      <c r="V966" s="77"/>
      <c r="W966" s="77"/>
      <c r="X966" s="76"/>
      <c r="Y966" s="76"/>
      <c r="Z966" s="68"/>
      <c r="AA966" s="68"/>
      <c r="AB966" s="68"/>
      <c r="AC966" s="68"/>
      <c r="AD966" s="68"/>
    </row>
    <row r="967" spans="16:30" x14ac:dyDescent="0.2">
      <c r="P967" s="68"/>
      <c r="Q967" s="74"/>
      <c r="R967" s="74"/>
      <c r="S967" s="74"/>
      <c r="T967" s="75"/>
      <c r="U967" s="76"/>
      <c r="V967" s="77"/>
      <c r="W967" s="77"/>
      <c r="X967" s="76"/>
      <c r="Y967" s="76"/>
      <c r="Z967" s="68"/>
      <c r="AA967" s="68"/>
      <c r="AB967" s="68"/>
      <c r="AC967" s="68"/>
      <c r="AD967" s="68"/>
    </row>
    <row r="968" spans="16:30" x14ac:dyDescent="0.2">
      <c r="P968" s="68"/>
      <c r="Q968" s="74"/>
      <c r="R968" s="74"/>
      <c r="S968" s="74"/>
      <c r="T968" s="75"/>
      <c r="U968" s="76"/>
      <c r="V968" s="77"/>
      <c r="W968" s="77"/>
      <c r="X968" s="76"/>
      <c r="Y968" s="76"/>
      <c r="Z968" s="68"/>
      <c r="AA968" s="68"/>
      <c r="AB968" s="68"/>
      <c r="AC968" s="68"/>
      <c r="AD968" s="68"/>
    </row>
    <row r="969" spans="16:30" x14ac:dyDescent="0.2">
      <c r="P969" s="68"/>
      <c r="Q969" s="74"/>
      <c r="R969" s="74"/>
      <c r="S969" s="74"/>
      <c r="T969" s="75"/>
      <c r="U969" s="76"/>
      <c r="V969" s="77"/>
      <c r="W969" s="77"/>
      <c r="X969" s="76"/>
      <c r="Y969" s="76"/>
      <c r="Z969" s="68"/>
      <c r="AA969" s="68"/>
      <c r="AB969" s="68"/>
      <c r="AC969" s="68"/>
      <c r="AD969" s="68"/>
    </row>
    <row r="970" spans="16:30" x14ac:dyDescent="0.2">
      <c r="P970" s="68"/>
      <c r="Q970" s="74"/>
      <c r="R970" s="74"/>
      <c r="S970" s="74"/>
      <c r="T970" s="75"/>
      <c r="U970" s="76"/>
      <c r="V970" s="77"/>
      <c r="W970" s="77"/>
      <c r="X970" s="76"/>
      <c r="Y970" s="76"/>
      <c r="Z970" s="68"/>
      <c r="AA970" s="68"/>
      <c r="AB970" s="68"/>
      <c r="AC970" s="68"/>
      <c r="AD970" s="68"/>
    </row>
    <row r="971" spans="16:30" x14ac:dyDescent="0.2">
      <c r="P971" s="68"/>
      <c r="Q971" s="74"/>
      <c r="R971" s="74"/>
      <c r="S971" s="74"/>
      <c r="T971" s="75"/>
      <c r="U971" s="76"/>
      <c r="V971" s="77"/>
      <c r="W971" s="77"/>
      <c r="X971" s="76"/>
      <c r="Y971" s="76"/>
      <c r="Z971" s="68"/>
      <c r="AA971" s="68"/>
      <c r="AB971" s="68"/>
      <c r="AC971" s="68"/>
      <c r="AD971" s="68"/>
    </row>
    <row r="972" spans="16:30" x14ac:dyDescent="0.2">
      <c r="P972" s="68"/>
      <c r="Q972" s="74"/>
      <c r="R972" s="74"/>
      <c r="S972" s="74"/>
      <c r="T972" s="75"/>
      <c r="U972" s="76"/>
      <c r="V972" s="77"/>
      <c r="W972" s="77"/>
      <c r="X972" s="76"/>
      <c r="Y972" s="76"/>
      <c r="Z972" s="68"/>
      <c r="AA972" s="68"/>
      <c r="AB972" s="68"/>
      <c r="AC972" s="68"/>
      <c r="AD972" s="68"/>
    </row>
    <row r="973" spans="16:30" x14ac:dyDescent="0.2">
      <c r="P973" s="68"/>
      <c r="Q973" s="74"/>
      <c r="R973" s="74"/>
      <c r="S973" s="74"/>
      <c r="T973" s="75"/>
      <c r="U973" s="76"/>
      <c r="V973" s="77"/>
      <c r="W973" s="77"/>
      <c r="X973" s="76"/>
      <c r="Y973" s="76"/>
      <c r="Z973" s="68"/>
      <c r="AA973" s="68"/>
      <c r="AB973" s="68"/>
      <c r="AC973" s="68"/>
      <c r="AD973" s="68"/>
    </row>
    <row r="974" spans="16:30" x14ac:dyDescent="0.2">
      <c r="P974" s="68"/>
      <c r="Q974" s="74"/>
      <c r="R974" s="74"/>
      <c r="S974" s="74"/>
      <c r="T974" s="75"/>
      <c r="U974" s="76"/>
      <c r="V974" s="77"/>
      <c r="W974" s="77"/>
      <c r="X974" s="76"/>
      <c r="Y974" s="76"/>
      <c r="Z974" s="68"/>
      <c r="AA974" s="68"/>
      <c r="AB974" s="68"/>
      <c r="AC974" s="68"/>
      <c r="AD974" s="68"/>
    </row>
    <row r="975" spans="16:30" x14ac:dyDescent="0.2">
      <c r="P975" s="68"/>
      <c r="Q975" s="74"/>
      <c r="R975" s="74"/>
      <c r="S975" s="74"/>
      <c r="T975" s="75"/>
      <c r="U975" s="76"/>
      <c r="V975" s="77"/>
      <c r="W975" s="77"/>
      <c r="X975" s="76"/>
      <c r="Y975" s="76"/>
      <c r="Z975" s="68"/>
      <c r="AA975" s="68"/>
      <c r="AB975" s="68"/>
      <c r="AC975" s="68"/>
      <c r="AD975" s="68"/>
    </row>
    <row r="976" spans="16:30" x14ac:dyDescent="0.2">
      <c r="P976" s="68"/>
      <c r="Q976" s="74"/>
      <c r="R976" s="74"/>
      <c r="S976" s="74"/>
      <c r="T976" s="75"/>
      <c r="U976" s="76"/>
      <c r="V976" s="77"/>
      <c r="W976" s="77"/>
      <c r="X976" s="76"/>
      <c r="Y976" s="76"/>
      <c r="Z976" s="68"/>
      <c r="AA976" s="68"/>
      <c r="AB976" s="68"/>
      <c r="AC976" s="68"/>
      <c r="AD976" s="68"/>
    </row>
    <row r="977" spans="16:30" x14ac:dyDescent="0.2">
      <c r="P977" s="68"/>
      <c r="Q977" s="74"/>
      <c r="R977" s="74"/>
      <c r="S977" s="74"/>
      <c r="T977" s="75"/>
      <c r="U977" s="76"/>
      <c r="V977" s="77"/>
      <c r="W977" s="77"/>
      <c r="X977" s="76"/>
      <c r="Y977" s="76"/>
      <c r="Z977" s="68"/>
      <c r="AA977" s="68"/>
      <c r="AB977" s="68"/>
      <c r="AC977" s="68"/>
      <c r="AD977" s="68"/>
    </row>
    <row r="978" spans="16:30" x14ac:dyDescent="0.2">
      <c r="P978" s="68"/>
      <c r="Q978" s="74"/>
      <c r="R978" s="74"/>
      <c r="S978" s="74"/>
      <c r="T978" s="75"/>
      <c r="U978" s="76"/>
      <c r="V978" s="77"/>
      <c r="W978" s="77"/>
      <c r="X978" s="76"/>
      <c r="Y978" s="76"/>
      <c r="Z978" s="68"/>
      <c r="AA978" s="68"/>
      <c r="AB978" s="68"/>
      <c r="AC978" s="68"/>
      <c r="AD978" s="68"/>
    </row>
    <row r="979" spans="16:30" x14ac:dyDescent="0.2">
      <c r="P979" s="68"/>
      <c r="Q979" s="74"/>
      <c r="R979" s="74"/>
      <c r="S979" s="74"/>
      <c r="T979" s="75"/>
      <c r="U979" s="76"/>
      <c r="V979" s="77"/>
      <c r="W979" s="77"/>
      <c r="X979" s="76"/>
      <c r="Y979" s="76"/>
      <c r="Z979" s="68"/>
      <c r="AA979" s="68"/>
      <c r="AB979" s="68"/>
      <c r="AC979" s="68"/>
      <c r="AD979" s="68"/>
    </row>
    <row r="980" spans="16:30" x14ac:dyDescent="0.2">
      <c r="P980" s="68"/>
      <c r="Q980" s="74"/>
      <c r="R980" s="74"/>
      <c r="S980" s="74"/>
      <c r="T980" s="75"/>
      <c r="U980" s="76"/>
      <c r="V980" s="77"/>
      <c r="W980" s="77"/>
      <c r="X980" s="76"/>
      <c r="Y980" s="76"/>
      <c r="Z980" s="68"/>
      <c r="AA980" s="68"/>
      <c r="AB980" s="68"/>
      <c r="AC980" s="68"/>
      <c r="AD980" s="68"/>
    </row>
    <row r="981" spans="16:30" x14ac:dyDescent="0.2">
      <c r="P981" s="68"/>
      <c r="Q981" s="74"/>
      <c r="R981" s="74"/>
      <c r="S981" s="74"/>
      <c r="T981" s="75"/>
      <c r="U981" s="76"/>
      <c r="V981" s="77"/>
      <c r="W981" s="77"/>
      <c r="X981" s="76"/>
      <c r="Y981" s="76"/>
      <c r="Z981" s="68"/>
      <c r="AA981" s="68"/>
      <c r="AB981" s="68"/>
      <c r="AC981" s="68"/>
      <c r="AD981" s="68"/>
    </row>
    <row r="982" spans="16:30" x14ac:dyDescent="0.2">
      <c r="P982" s="68"/>
      <c r="Q982" s="74"/>
      <c r="R982" s="74"/>
      <c r="S982" s="74"/>
      <c r="T982" s="75"/>
      <c r="U982" s="76"/>
      <c r="V982" s="77"/>
      <c r="W982" s="77"/>
      <c r="X982" s="76"/>
      <c r="Y982" s="76"/>
      <c r="Z982" s="68"/>
      <c r="AA982" s="68"/>
      <c r="AB982" s="68"/>
      <c r="AC982" s="68"/>
      <c r="AD982" s="68"/>
    </row>
    <row r="983" spans="16:30" x14ac:dyDescent="0.2">
      <c r="P983" s="68"/>
      <c r="Q983" s="74"/>
      <c r="R983" s="74"/>
      <c r="S983" s="74"/>
      <c r="T983" s="75"/>
      <c r="U983" s="76"/>
      <c r="V983" s="77"/>
      <c r="W983" s="77"/>
      <c r="X983" s="76"/>
      <c r="Y983" s="76"/>
      <c r="Z983" s="68"/>
      <c r="AA983" s="68"/>
      <c r="AB983" s="68"/>
      <c r="AC983" s="68"/>
      <c r="AD983" s="68"/>
    </row>
    <row r="984" spans="16:30" x14ac:dyDescent="0.2">
      <c r="P984" s="68"/>
      <c r="Q984" s="74"/>
      <c r="R984" s="74"/>
      <c r="S984" s="74"/>
      <c r="T984" s="75"/>
      <c r="U984" s="76"/>
      <c r="V984" s="77"/>
      <c r="W984" s="77"/>
      <c r="X984" s="76"/>
      <c r="Y984" s="76"/>
      <c r="Z984" s="68"/>
      <c r="AA984" s="68"/>
      <c r="AB984" s="68"/>
      <c r="AC984" s="68"/>
      <c r="AD984" s="68"/>
    </row>
    <row r="985" spans="16:30" x14ac:dyDescent="0.2">
      <c r="P985" s="68"/>
      <c r="Q985" s="74"/>
      <c r="R985" s="74"/>
      <c r="S985" s="74"/>
      <c r="T985" s="75"/>
      <c r="U985" s="76"/>
      <c r="V985" s="77"/>
      <c r="W985" s="77"/>
      <c r="X985" s="76"/>
      <c r="Y985" s="76"/>
      <c r="Z985" s="68"/>
      <c r="AA985" s="68"/>
      <c r="AB985" s="68"/>
      <c r="AC985" s="68"/>
      <c r="AD985" s="68"/>
    </row>
    <row r="986" spans="16:30" x14ac:dyDescent="0.2">
      <c r="P986" s="68"/>
      <c r="Q986" s="74"/>
      <c r="R986" s="74"/>
      <c r="S986" s="74"/>
      <c r="T986" s="75"/>
      <c r="U986" s="76"/>
      <c r="V986" s="77"/>
      <c r="W986" s="77"/>
      <c r="X986" s="76"/>
      <c r="Y986" s="76"/>
      <c r="Z986" s="68"/>
      <c r="AA986" s="68"/>
      <c r="AB986" s="68"/>
      <c r="AC986" s="68"/>
      <c r="AD986" s="68"/>
    </row>
    <row r="987" spans="16:30" x14ac:dyDescent="0.2">
      <c r="P987" s="68"/>
      <c r="Q987" s="74"/>
      <c r="R987" s="74"/>
      <c r="S987" s="74"/>
      <c r="T987" s="75"/>
      <c r="U987" s="76"/>
      <c r="V987" s="77"/>
      <c r="W987" s="77"/>
      <c r="X987" s="76"/>
      <c r="Y987" s="76"/>
      <c r="Z987" s="68"/>
      <c r="AA987" s="68"/>
      <c r="AB987" s="68"/>
      <c r="AC987" s="68"/>
      <c r="AD987" s="68"/>
    </row>
    <row r="988" spans="16:30" x14ac:dyDescent="0.2">
      <c r="P988" s="68"/>
      <c r="Q988" s="74"/>
      <c r="R988" s="74"/>
      <c r="S988" s="74"/>
      <c r="T988" s="75"/>
      <c r="U988" s="76"/>
      <c r="V988" s="77"/>
      <c r="W988" s="77"/>
      <c r="X988" s="76"/>
      <c r="Y988" s="76"/>
      <c r="Z988" s="68"/>
      <c r="AA988" s="68"/>
      <c r="AB988" s="68"/>
      <c r="AC988" s="68"/>
      <c r="AD988" s="68"/>
    </row>
    <row r="989" spans="16:30" x14ac:dyDescent="0.2">
      <c r="P989" s="68"/>
      <c r="Q989" s="74"/>
      <c r="R989" s="74"/>
      <c r="S989" s="74"/>
      <c r="T989" s="75"/>
      <c r="U989" s="76"/>
      <c r="V989" s="77"/>
      <c r="W989" s="77"/>
      <c r="X989" s="76"/>
      <c r="Y989" s="76"/>
      <c r="Z989" s="68"/>
      <c r="AA989" s="68"/>
      <c r="AB989" s="68"/>
      <c r="AC989" s="68"/>
      <c r="AD989" s="68"/>
    </row>
    <row r="990" spans="16:30" x14ac:dyDescent="0.2">
      <c r="P990" s="68"/>
      <c r="Q990" s="74"/>
      <c r="R990" s="74"/>
      <c r="S990" s="74"/>
      <c r="T990" s="75"/>
      <c r="U990" s="76"/>
      <c r="V990" s="77"/>
      <c r="W990" s="77"/>
      <c r="X990" s="76"/>
      <c r="Y990" s="76"/>
      <c r="Z990" s="68"/>
      <c r="AA990" s="68"/>
      <c r="AB990" s="68"/>
      <c r="AC990" s="68"/>
      <c r="AD990" s="68"/>
    </row>
    <row r="991" spans="16:30" x14ac:dyDescent="0.2">
      <c r="P991" s="68"/>
      <c r="Q991" s="74"/>
      <c r="R991" s="74"/>
      <c r="S991" s="74"/>
      <c r="T991" s="75"/>
      <c r="U991" s="76"/>
      <c r="V991" s="77"/>
      <c r="W991" s="77"/>
      <c r="X991" s="76"/>
      <c r="Y991" s="76"/>
      <c r="Z991" s="68"/>
      <c r="AA991" s="68"/>
      <c r="AB991" s="68"/>
      <c r="AC991" s="68"/>
      <c r="AD991" s="68"/>
    </row>
    <row r="992" spans="16:30" x14ac:dyDescent="0.2">
      <c r="P992" s="68"/>
      <c r="Q992" s="74"/>
      <c r="R992" s="74"/>
      <c r="S992" s="74"/>
      <c r="T992" s="75"/>
      <c r="U992" s="76"/>
      <c r="V992" s="77"/>
      <c r="W992" s="77"/>
      <c r="X992" s="76"/>
      <c r="Y992" s="76"/>
      <c r="Z992" s="68"/>
      <c r="AA992" s="68"/>
      <c r="AB992" s="68"/>
      <c r="AC992" s="68"/>
      <c r="AD992" s="68"/>
    </row>
    <row r="993" spans="16:30" x14ac:dyDescent="0.2">
      <c r="P993" s="68"/>
      <c r="Q993" s="74"/>
      <c r="R993" s="74"/>
      <c r="S993" s="74"/>
      <c r="T993" s="75"/>
      <c r="U993" s="76"/>
      <c r="V993" s="77"/>
      <c r="W993" s="77"/>
      <c r="X993" s="76"/>
      <c r="Y993" s="76"/>
      <c r="Z993" s="68"/>
      <c r="AA993" s="68"/>
      <c r="AB993" s="68"/>
      <c r="AC993" s="68"/>
      <c r="AD993" s="68"/>
    </row>
    <row r="994" spans="16:30" x14ac:dyDescent="0.2">
      <c r="P994" s="68"/>
      <c r="Q994" s="74"/>
      <c r="R994" s="74"/>
      <c r="S994" s="74"/>
      <c r="T994" s="75"/>
      <c r="U994" s="76"/>
      <c r="V994" s="77"/>
      <c r="W994" s="77"/>
      <c r="X994" s="76"/>
      <c r="Y994" s="76"/>
      <c r="Z994" s="68"/>
      <c r="AA994" s="68"/>
      <c r="AB994" s="68"/>
      <c r="AC994" s="68"/>
      <c r="AD994" s="68"/>
    </row>
    <row r="995" spans="16:30" x14ac:dyDescent="0.2">
      <c r="P995" s="68"/>
      <c r="Q995" s="74"/>
      <c r="R995" s="74"/>
      <c r="S995" s="74"/>
      <c r="T995" s="75"/>
      <c r="U995" s="76"/>
      <c r="V995" s="77"/>
      <c r="W995" s="77"/>
      <c r="X995" s="76"/>
      <c r="Y995" s="76"/>
      <c r="Z995" s="68"/>
      <c r="AA995" s="68"/>
      <c r="AB995" s="68"/>
      <c r="AC995" s="68"/>
      <c r="AD995" s="68"/>
    </row>
    <row r="996" spans="16:30" x14ac:dyDescent="0.2">
      <c r="P996" s="68"/>
      <c r="Q996" s="74"/>
      <c r="R996" s="74"/>
      <c r="S996" s="74"/>
      <c r="T996" s="75"/>
      <c r="U996" s="76"/>
      <c r="V996" s="77"/>
      <c r="W996" s="77"/>
      <c r="X996" s="76"/>
      <c r="Y996" s="76"/>
      <c r="Z996" s="68"/>
      <c r="AA996" s="68"/>
      <c r="AB996" s="68"/>
      <c r="AC996" s="68"/>
      <c r="AD996" s="68"/>
    </row>
    <row r="997" spans="16:30" x14ac:dyDescent="0.2">
      <c r="P997" s="68"/>
      <c r="Q997" s="74"/>
      <c r="R997" s="74"/>
      <c r="S997" s="74"/>
      <c r="T997" s="75"/>
      <c r="U997" s="76"/>
      <c r="V997" s="77"/>
      <c r="W997" s="77"/>
      <c r="X997" s="76"/>
      <c r="Y997" s="76"/>
      <c r="Z997" s="68"/>
      <c r="AA997" s="68"/>
      <c r="AB997" s="68"/>
      <c r="AC997" s="68"/>
      <c r="AD997" s="68"/>
    </row>
    <row r="998" spans="16:30" x14ac:dyDescent="0.2">
      <c r="P998" s="68"/>
      <c r="Q998" s="74"/>
      <c r="R998" s="74"/>
      <c r="S998" s="74"/>
      <c r="T998" s="75"/>
      <c r="U998" s="76"/>
      <c r="V998" s="77"/>
      <c r="W998" s="77"/>
      <c r="X998" s="76"/>
      <c r="Y998" s="76"/>
      <c r="Z998" s="68"/>
      <c r="AA998" s="68"/>
      <c r="AB998" s="68"/>
      <c r="AC998" s="68"/>
      <c r="AD998" s="68"/>
    </row>
    <row r="999" spans="16:30" x14ac:dyDescent="0.2">
      <c r="P999" s="68"/>
      <c r="Q999" s="74"/>
      <c r="R999" s="74"/>
      <c r="S999" s="74"/>
      <c r="T999" s="75"/>
      <c r="U999" s="76"/>
      <c r="V999" s="77"/>
      <c r="W999" s="77"/>
      <c r="X999" s="76"/>
      <c r="Y999" s="76"/>
      <c r="Z999" s="68"/>
      <c r="AA999" s="68"/>
      <c r="AB999" s="68"/>
      <c r="AC999" s="68"/>
      <c r="AD999" s="68"/>
    </row>
    <row r="1000" spans="16:30" x14ac:dyDescent="0.2">
      <c r="P1000" s="68"/>
      <c r="Q1000" s="74"/>
      <c r="R1000" s="74"/>
      <c r="S1000" s="74"/>
      <c r="T1000" s="75"/>
      <c r="U1000" s="76"/>
      <c r="V1000" s="77"/>
      <c r="W1000" s="77"/>
      <c r="X1000" s="76"/>
      <c r="Y1000" s="76"/>
      <c r="Z1000" s="68"/>
      <c r="AA1000" s="68"/>
      <c r="AB1000" s="68"/>
      <c r="AC1000" s="68"/>
      <c r="AD1000" s="68"/>
    </row>
    <row r="1001" spans="16:30" x14ac:dyDescent="0.2">
      <c r="P1001" s="68"/>
      <c r="Q1001" s="74"/>
      <c r="R1001" s="74"/>
      <c r="S1001" s="74"/>
      <c r="T1001" s="75"/>
      <c r="U1001" s="76"/>
      <c r="V1001" s="77"/>
      <c r="W1001" s="77"/>
      <c r="X1001" s="76"/>
      <c r="Y1001" s="76"/>
      <c r="Z1001" s="68"/>
      <c r="AA1001" s="68"/>
      <c r="AB1001" s="68"/>
      <c r="AC1001" s="68"/>
      <c r="AD1001" s="68"/>
    </row>
    <row r="1002" spans="16:30" x14ac:dyDescent="0.2">
      <c r="P1002" s="68"/>
      <c r="Q1002" s="74"/>
      <c r="R1002" s="74"/>
      <c r="S1002" s="74"/>
      <c r="T1002" s="75"/>
      <c r="U1002" s="76"/>
      <c r="V1002" s="77"/>
      <c r="W1002" s="77"/>
      <c r="X1002" s="76"/>
      <c r="Y1002" s="76"/>
      <c r="Z1002" s="68"/>
      <c r="AA1002" s="68"/>
      <c r="AB1002" s="68"/>
      <c r="AC1002" s="68"/>
      <c r="AD1002" s="68"/>
    </row>
    <row r="1003" spans="16:30" x14ac:dyDescent="0.2">
      <c r="P1003" s="68"/>
      <c r="Q1003" s="74"/>
      <c r="R1003" s="74"/>
      <c r="S1003" s="74"/>
      <c r="T1003" s="75"/>
      <c r="U1003" s="76"/>
      <c r="V1003" s="77"/>
      <c r="W1003" s="77"/>
      <c r="X1003" s="76"/>
      <c r="Y1003" s="76"/>
      <c r="Z1003" s="68"/>
      <c r="AA1003" s="68"/>
      <c r="AB1003" s="68"/>
      <c r="AC1003" s="68"/>
      <c r="AD1003" s="68"/>
    </row>
    <row r="1004" spans="16:30" x14ac:dyDescent="0.2">
      <c r="P1004" s="68"/>
      <c r="Q1004" s="74"/>
      <c r="R1004" s="74"/>
      <c r="S1004" s="74"/>
      <c r="T1004" s="75"/>
      <c r="U1004" s="76"/>
      <c r="V1004" s="77"/>
      <c r="W1004" s="77"/>
      <c r="X1004" s="76"/>
      <c r="Y1004" s="76"/>
      <c r="Z1004" s="68"/>
      <c r="AA1004" s="68"/>
      <c r="AB1004" s="68"/>
      <c r="AC1004" s="68"/>
      <c r="AD1004" s="68"/>
    </row>
    <row r="1005" spans="16:30" x14ac:dyDescent="0.2">
      <c r="P1005" s="68"/>
      <c r="Q1005" s="74"/>
      <c r="R1005" s="74"/>
      <c r="S1005" s="74"/>
      <c r="T1005" s="75"/>
      <c r="U1005" s="76"/>
      <c r="V1005" s="77"/>
      <c r="W1005" s="77"/>
      <c r="X1005" s="76"/>
      <c r="Y1005" s="76"/>
      <c r="Z1005" s="68"/>
      <c r="AA1005" s="68"/>
      <c r="AB1005" s="68"/>
      <c r="AC1005" s="68"/>
      <c r="AD1005" s="68"/>
    </row>
    <row r="1006" spans="16:30" x14ac:dyDescent="0.2">
      <c r="P1006" s="68"/>
      <c r="Q1006" s="74"/>
      <c r="R1006" s="74"/>
      <c r="S1006" s="74"/>
      <c r="T1006" s="75"/>
      <c r="U1006" s="76"/>
      <c r="V1006" s="77"/>
      <c r="W1006" s="77"/>
      <c r="X1006" s="76"/>
      <c r="Y1006" s="76"/>
      <c r="Z1006" s="68"/>
      <c r="AA1006" s="68"/>
      <c r="AB1006" s="68"/>
      <c r="AC1006" s="68"/>
      <c r="AD1006" s="68"/>
    </row>
    <row r="1007" spans="16:30" x14ac:dyDescent="0.2">
      <c r="P1007" s="68"/>
      <c r="Q1007" s="74"/>
      <c r="R1007" s="74"/>
      <c r="S1007" s="74"/>
      <c r="T1007" s="75"/>
      <c r="U1007" s="76"/>
      <c r="V1007" s="77"/>
      <c r="W1007" s="77"/>
      <c r="X1007" s="76"/>
      <c r="Y1007" s="76"/>
      <c r="Z1007" s="68"/>
      <c r="AA1007" s="68"/>
      <c r="AB1007" s="68"/>
      <c r="AC1007" s="68"/>
      <c r="AD1007" s="68"/>
    </row>
    <row r="1008" spans="16:30" x14ac:dyDescent="0.2">
      <c r="P1008" s="68"/>
      <c r="Q1008" s="74"/>
      <c r="R1008" s="74"/>
      <c r="S1008" s="74"/>
      <c r="T1008" s="75"/>
      <c r="U1008" s="76"/>
      <c r="V1008" s="77"/>
      <c r="W1008" s="77"/>
      <c r="X1008" s="76"/>
      <c r="Y1008" s="76"/>
      <c r="Z1008" s="68"/>
      <c r="AA1008" s="68"/>
      <c r="AB1008" s="68"/>
      <c r="AC1008" s="68"/>
      <c r="AD1008" s="68"/>
    </row>
    <row r="1009" spans="16:30" x14ac:dyDescent="0.2">
      <c r="P1009" s="68"/>
      <c r="Q1009" s="74"/>
      <c r="R1009" s="74"/>
      <c r="S1009" s="74"/>
      <c r="T1009" s="75"/>
      <c r="U1009" s="76"/>
      <c r="V1009" s="77"/>
      <c r="W1009" s="77"/>
      <c r="X1009" s="76"/>
      <c r="Y1009" s="76"/>
      <c r="Z1009" s="68"/>
      <c r="AA1009" s="68"/>
      <c r="AB1009" s="68"/>
      <c r="AC1009" s="68"/>
      <c r="AD1009" s="68"/>
    </row>
    <row r="1010" spans="16:30" x14ac:dyDescent="0.2">
      <c r="P1010" s="68"/>
      <c r="Q1010" s="74"/>
      <c r="R1010" s="74"/>
      <c r="S1010" s="74"/>
      <c r="T1010" s="75"/>
      <c r="U1010" s="76"/>
      <c r="V1010" s="77"/>
      <c r="W1010" s="77"/>
      <c r="X1010" s="76"/>
      <c r="Y1010" s="76"/>
      <c r="Z1010" s="68"/>
      <c r="AA1010" s="68"/>
      <c r="AB1010" s="68"/>
      <c r="AC1010" s="68"/>
      <c r="AD1010" s="68"/>
    </row>
    <row r="1011" spans="16:30" x14ac:dyDescent="0.2">
      <c r="P1011" s="68"/>
      <c r="Q1011" s="74"/>
      <c r="R1011" s="74"/>
      <c r="S1011" s="74"/>
      <c r="T1011" s="75"/>
      <c r="U1011" s="76"/>
      <c r="V1011" s="77"/>
      <c r="W1011" s="77"/>
      <c r="X1011" s="76"/>
      <c r="Y1011" s="76"/>
      <c r="Z1011" s="68"/>
      <c r="AA1011" s="68"/>
      <c r="AB1011" s="68"/>
      <c r="AC1011" s="68"/>
      <c r="AD1011" s="68"/>
    </row>
    <row r="1012" spans="16:30" x14ac:dyDescent="0.2">
      <c r="P1012" s="68"/>
      <c r="Q1012" s="74"/>
      <c r="R1012" s="74"/>
      <c r="S1012" s="74"/>
      <c r="T1012" s="75"/>
      <c r="U1012" s="76"/>
      <c r="V1012" s="77"/>
      <c r="W1012" s="77"/>
      <c r="X1012" s="76"/>
      <c r="Y1012" s="76"/>
      <c r="Z1012" s="68"/>
      <c r="AA1012" s="68"/>
      <c r="AB1012" s="68"/>
      <c r="AC1012" s="68"/>
      <c r="AD1012" s="68"/>
    </row>
    <row r="1013" spans="16:30" x14ac:dyDescent="0.2">
      <c r="P1013" s="68"/>
      <c r="Q1013" s="74"/>
      <c r="R1013" s="74"/>
      <c r="S1013" s="74"/>
      <c r="T1013" s="75"/>
      <c r="U1013" s="76"/>
      <c r="V1013" s="77"/>
      <c r="W1013" s="77"/>
      <c r="X1013" s="76"/>
      <c r="Y1013" s="76"/>
      <c r="Z1013" s="68"/>
      <c r="AA1013" s="68"/>
      <c r="AB1013" s="68"/>
      <c r="AC1013" s="68"/>
      <c r="AD1013" s="68"/>
    </row>
    <row r="1014" spans="16:30" x14ac:dyDescent="0.2">
      <c r="P1014" s="68"/>
      <c r="Q1014" s="74"/>
      <c r="R1014" s="74"/>
      <c r="S1014" s="74"/>
      <c r="T1014" s="75"/>
      <c r="U1014" s="76"/>
      <c r="V1014" s="77"/>
      <c r="W1014" s="77"/>
      <c r="X1014" s="76"/>
      <c r="Y1014" s="76"/>
      <c r="Z1014" s="68"/>
      <c r="AA1014" s="68"/>
      <c r="AB1014" s="68"/>
      <c r="AC1014" s="68"/>
      <c r="AD1014" s="68"/>
    </row>
    <row r="1015" spans="16:30" x14ac:dyDescent="0.2">
      <c r="P1015" s="68"/>
      <c r="Q1015" s="74"/>
      <c r="R1015" s="74"/>
      <c r="S1015" s="74"/>
      <c r="T1015" s="75"/>
      <c r="U1015" s="76"/>
      <c r="V1015" s="77"/>
      <c r="W1015" s="77"/>
      <c r="X1015" s="76"/>
      <c r="Y1015" s="76"/>
      <c r="Z1015" s="68"/>
      <c r="AA1015" s="68"/>
      <c r="AB1015" s="68"/>
      <c r="AC1015" s="68"/>
      <c r="AD1015" s="68"/>
    </row>
    <row r="1016" spans="16:30" x14ac:dyDescent="0.2">
      <c r="P1016" s="68"/>
      <c r="Q1016" s="74"/>
      <c r="R1016" s="74"/>
      <c r="S1016" s="74"/>
      <c r="T1016" s="75"/>
      <c r="U1016" s="76"/>
      <c r="V1016" s="77"/>
      <c r="W1016" s="77"/>
      <c r="X1016" s="76"/>
      <c r="Y1016" s="76"/>
      <c r="Z1016" s="68"/>
      <c r="AA1016" s="68"/>
      <c r="AB1016" s="68"/>
      <c r="AC1016" s="68"/>
      <c r="AD1016" s="68"/>
    </row>
    <row r="1017" spans="16:30" x14ac:dyDescent="0.2">
      <c r="P1017" s="68"/>
      <c r="Q1017" s="74"/>
      <c r="R1017" s="74"/>
      <c r="S1017" s="74"/>
      <c r="T1017" s="75"/>
      <c r="U1017" s="76"/>
      <c r="V1017" s="77"/>
      <c r="W1017" s="77"/>
      <c r="X1017" s="76"/>
      <c r="Y1017" s="76"/>
      <c r="Z1017" s="68"/>
      <c r="AA1017" s="68"/>
      <c r="AB1017" s="68"/>
      <c r="AC1017" s="68"/>
      <c r="AD1017" s="68"/>
    </row>
    <row r="1018" spans="16:30" x14ac:dyDescent="0.2">
      <c r="P1018" s="68"/>
      <c r="Q1018" s="74"/>
      <c r="R1018" s="74"/>
      <c r="S1018" s="74"/>
      <c r="T1018" s="75"/>
      <c r="U1018" s="76"/>
      <c r="V1018" s="77"/>
      <c r="W1018" s="77"/>
      <c r="X1018" s="76"/>
      <c r="Y1018" s="76"/>
      <c r="Z1018" s="68"/>
      <c r="AA1018" s="68"/>
      <c r="AB1018" s="68"/>
      <c r="AC1018" s="68"/>
      <c r="AD1018" s="68"/>
    </row>
    <row r="1019" spans="16:30" x14ac:dyDescent="0.2">
      <c r="P1019" s="68"/>
      <c r="Q1019" s="74"/>
      <c r="R1019" s="74"/>
      <c r="S1019" s="74"/>
      <c r="T1019" s="75"/>
      <c r="U1019" s="76"/>
      <c r="V1019" s="77"/>
      <c r="W1019" s="77"/>
      <c r="X1019" s="76"/>
      <c r="Y1019" s="76"/>
      <c r="Z1019" s="68"/>
      <c r="AA1019" s="68"/>
      <c r="AB1019" s="68"/>
      <c r="AC1019" s="68"/>
      <c r="AD1019" s="68"/>
    </row>
    <row r="1020" spans="16:30" x14ac:dyDescent="0.2">
      <c r="P1020" s="68"/>
      <c r="Q1020" s="74"/>
      <c r="R1020" s="74"/>
      <c r="S1020" s="74"/>
      <c r="T1020" s="75"/>
      <c r="U1020" s="76"/>
      <c r="V1020" s="77"/>
      <c r="W1020" s="77"/>
      <c r="X1020" s="76"/>
      <c r="Y1020" s="76"/>
      <c r="Z1020" s="68"/>
      <c r="AA1020" s="68"/>
      <c r="AB1020" s="68"/>
      <c r="AC1020" s="68"/>
      <c r="AD1020" s="68"/>
    </row>
    <row r="1021" spans="16:30" x14ac:dyDescent="0.2">
      <c r="P1021" s="68"/>
      <c r="Q1021" s="74"/>
      <c r="R1021" s="74"/>
      <c r="S1021" s="74"/>
      <c r="T1021" s="75"/>
      <c r="U1021" s="76"/>
      <c r="V1021" s="77"/>
      <c r="W1021" s="77"/>
      <c r="X1021" s="76"/>
      <c r="Y1021" s="76"/>
      <c r="Z1021" s="68"/>
      <c r="AA1021" s="68"/>
      <c r="AB1021" s="68"/>
      <c r="AC1021" s="68"/>
      <c r="AD1021" s="68"/>
    </row>
    <row r="1022" spans="16:30" x14ac:dyDescent="0.2">
      <c r="P1022" s="68"/>
      <c r="Q1022" s="74"/>
      <c r="R1022" s="74"/>
      <c r="S1022" s="74"/>
      <c r="T1022" s="75"/>
      <c r="U1022" s="76"/>
      <c r="V1022" s="77"/>
      <c r="W1022" s="77"/>
      <c r="X1022" s="76"/>
      <c r="Y1022" s="76"/>
      <c r="Z1022" s="68"/>
      <c r="AA1022" s="68"/>
      <c r="AB1022" s="68"/>
      <c r="AC1022" s="68"/>
      <c r="AD1022" s="68"/>
    </row>
    <row r="1023" spans="16:30" x14ac:dyDescent="0.2">
      <c r="P1023" s="68"/>
      <c r="Q1023" s="74"/>
      <c r="R1023" s="74"/>
      <c r="S1023" s="74"/>
      <c r="T1023" s="75"/>
      <c r="U1023" s="76"/>
      <c r="V1023" s="77"/>
      <c r="W1023" s="77"/>
      <c r="X1023" s="76"/>
      <c r="Y1023" s="76"/>
      <c r="Z1023" s="68"/>
      <c r="AA1023" s="68"/>
      <c r="AB1023" s="68"/>
      <c r="AC1023" s="68"/>
      <c r="AD1023" s="68"/>
    </row>
    <row r="1024" spans="16:30" x14ac:dyDescent="0.2">
      <c r="P1024" s="68"/>
      <c r="Q1024" s="74"/>
      <c r="R1024" s="74"/>
      <c r="S1024" s="74"/>
      <c r="T1024" s="75"/>
      <c r="U1024" s="76"/>
      <c r="V1024" s="77"/>
      <c r="W1024" s="77"/>
      <c r="X1024" s="76"/>
      <c r="Y1024" s="76"/>
      <c r="Z1024" s="68"/>
      <c r="AA1024" s="68"/>
      <c r="AB1024" s="68"/>
      <c r="AC1024" s="68"/>
      <c r="AD1024" s="68"/>
    </row>
    <row r="1025" spans="16:30" x14ac:dyDescent="0.2">
      <c r="P1025" s="68"/>
      <c r="Q1025" s="74"/>
      <c r="R1025" s="74"/>
      <c r="S1025" s="74"/>
      <c r="T1025" s="75"/>
      <c r="U1025" s="76"/>
      <c r="V1025" s="77"/>
      <c r="W1025" s="77"/>
      <c r="X1025" s="76"/>
      <c r="Y1025" s="76"/>
      <c r="Z1025" s="68"/>
      <c r="AA1025" s="68"/>
      <c r="AB1025" s="68"/>
      <c r="AC1025" s="68"/>
      <c r="AD1025" s="68"/>
    </row>
    <row r="1026" spans="16:30" x14ac:dyDescent="0.2">
      <c r="P1026" s="68"/>
      <c r="Q1026" s="74"/>
      <c r="R1026" s="74"/>
      <c r="S1026" s="74"/>
      <c r="T1026" s="75"/>
      <c r="U1026" s="76"/>
      <c r="V1026" s="77"/>
      <c r="W1026" s="77"/>
      <c r="X1026" s="76"/>
      <c r="Y1026" s="76"/>
      <c r="Z1026" s="68"/>
      <c r="AA1026" s="68"/>
      <c r="AB1026" s="68"/>
      <c r="AC1026" s="68"/>
      <c r="AD1026" s="68"/>
    </row>
    <row r="1027" spans="16:30" x14ac:dyDescent="0.2">
      <c r="P1027" s="68"/>
      <c r="Q1027" s="74"/>
      <c r="R1027" s="74"/>
      <c r="S1027" s="74"/>
      <c r="T1027" s="75"/>
      <c r="U1027" s="76"/>
      <c r="V1027" s="77"/>
      <c r="W1027" s="77"/>
      <c r="X1027" s="76"/>
      <c r="Y1027" s="76"/>
      <c r="Z1027" s="68"/>
      <c r="AA1027" s="68"/>
      <c r="AB1027" s="68"/>
      <c r="AC1027" s="68"/>
      <c r="AD1027" s="68"/>
    </row>
    <row r="1028" spans="16:30" x14ac:dyDescent="0.2">
      <c r="P1028" s="68"/>
      <c r="Q1028" s="74"/>
      <c r="R1028" s="74"/>
      <c r="S1028" s="74"/>
      <c r="T1028" s="75"/>
      <c r="U1028" s="76"/>
      <c r="V1028" s="77"/>
      <c r="W1028" s="77"/>
      <c r="X1028" s="76"/>
      <c r="Y1028" s="76"/>
      <c r="Z1028" s="68"/>
      <c r="AA1028" s="68"/>
      <c r="AB1028" s="68"/>
      <c r="AC1028" s="68"/>
      <c r="AD1028" s="68"/>
    </row>
    <row r="1029" spans="16:30" x14ac:dyDescent="0.2">
      <c r="P1029" s="68"/>
      <c r="Q1029" s="74"/>
      <c r="R1029" s="74"/>
      <c r="S1029" s="74"/>
      <c r="T1029" s="75"/>
      <c r="U1029" s="76"/>
      <c r="V1029" s="77"/>
      <c r="W1029" s="77"/>
      <c r="X1029" s="76"/>
      <c r="Y1029" s="76"/>
      <c r="Z1029" s="68"/>
      <c r="AA1029" s="68"/>
      <c r="AB1029" s="68"/>
      <c r="AC1029" s="68"/>
      <c r="AD1029" s="68"/>
    </row>
    <row r="1030" spans="16:30" x14ac:dyDescent="0.2">
      <c r="P1030" s="68"/>
      <c r="Q1030" s="74"/>
      <c r="R1030" s="74"/>
      <c r="S1030" s="74"/>
      <c r="T1030" s="75"/>
      <c r="U1030" s="76"/>
      <c r="V1030" s="77"/>
      <c r="W1030" s="77"/>
      <c r="X1030" s="76"/>
      <c r="Y1030" s="76"/>
      <c r="Z1030" s="68"/>
      <c r="AA1030" s="68"/>
      <c r="AB1030" s="68"/>
      <c r="AC1030" s="68"/>
      <c r="AD1030" s="68"/>
    </row>
    <row r="1031" spans="16:30" x14ac:dyDescent="0.2">
      <c r="P1031" s="68"/>
      <c r="Q1031" s="74"/>
      <c r="R1031" s="74"/>
      <c r="S1031" s="74"/>
      <c r="T1031" s="75"/>
      <c r="U1031" s="76"/>
      <c r="V1031" s="77"/>
      <c r="W1031" s="77"/>
      <c r="X1031" s="76"/>
      <c r="Y1031" s="76"/>
      <c r="Z1031" s="68"/>
      <c r="AA1031" s="68"/>
      <c r="AB1031" s="68"/>
      <c r="AC1031" s="68"/>
      <c r="AD1031" s="68"/>
    </row>
    <row r="1032" spans="16:30" x14ac:dyDescent="0.2">
      <c r="P1032" s="68"/>
      <c r="Q1032" s="74"/>
      <c r="R1032" s="74"/>
      <c r="S1032" s="74"/>
      <c r="T1032" s="75"/>
      <c r="U1032" s="76"/>
      <c r="V1032" s="77"/>
      <c r="W1032" s="77"/>
      <c r="X1032" s="76"/>
      <c r="Y1032" s="76"/>
      <c r="Z1032" s="68"/>
      <c r="AA1032" s="68"/>
      <c r="AB1032" s="68"/>
      <c r="AC1032" s="68"/>
      <c r="AD1032" s="68"/>
    </row>
    <row r="1033" spans="16:30" x14ac:dyDescent="0.2">
      <c r="P1033" s="68"/>
      <c r="Q1033" s="74"/>
      <c r="R1033" s="74"/>
      <c r="S1033" s="74"/>
      <c r="T1033" s="75"/>
      <c r="U1033" s="76"/>
      <c r="V1033" s="77"/>
      <c r="W1033" s="77"/>
      <c r="X1033" s="76"/>
      <c r="Y1033" s="76"/>
      <c r="Z1033" s="68"/>
      <c r="AA1033" s="68"/>
      <c r="AB1033" s="68"/>
      <c r="AC1033" s="68"/>
      <c r="AD1033" s="68"/>
    </row>
    <row r="1034" spans="16:30" x14ac:dyDescent="0.2">
      <c r="P1034" s="68"/>
      <c r="Q1034" s="74"/>
      <c r="R1034" s="74"/>
      <c r="S1034" s="74"/>
      <c r="T1034" s="75"/>
      <c r="U1034" s="76"/>
      <c r="V1034" s="77"/>
      <c r="W1034" s="77"/>
      <c r="X1034" s="76"/>
      <c r="Y1034" s="76"/>
      <c r="Z1034" s="68"/>
      <c r="AA1034" s="68"/>
      <c r="AB1034" s="68"/>
      <c r="AC1034" s="68"/>
      <c r="AD1034" s="68"/>
    </row>
    <row r="1035" spans="16:30" x14ac:dyDescent="0.2">
      <c r="P1035" s="68"/>
      <c r="Q1035" s="74"/>
      <c r="R1035" s="74"/>
      <c r="S1035" s="74"/>
      <c r="T1035" s="75"/>
      <c r="U1035" s="76"/>
      <c r="V1035" s="77"/>
      <c r="W1035" s="77"/>
      <c r="X1035" s="76"/>
      <c r="Y1035" s="76"/>
      <c r="Z1035" s="68"/>
      <c r="AA1035" s="68"/>
      <c r="AB1035" s="68"/>
      <c r="AC1035" s="68"/>
      <c r="AD1035" s="68"/>
    </row>
    <row r="1036" spans="16:30" x14ac:dyDescent="0.2">
      <c r="P1036" s="68"/>
      <c r="Q1036" s="74"/>
      <c r="R1036" s="74"/>
      <c r="S1036" s="74"/>
      <c r="T1036" s="75"/>
      <c r="U1036" s="76"/>
      <c r="V1036" s="77"/>
      <c r="W1036" s="77"/>
      <c r="X1036" s="76"/>
      <c r="Y1036" s="76"/>
      <c r="Z1036" s="68"/>
      <c r="AA1036" s="68"/>
      <c r="AB1036" s="68"/>
      <c r="AC1036" s="68"/>
      <c r="AD1036" s="68"/>
    </row>
    <row r="1037" spans="16:30" x14ac:dyDescent="0.2">
      <c r="P1037" s="68"/>
      <c r="Q1037" s="74"/>
      <c r="R1037" s="74"/>
      <c r="S1037" s="74"/>
      <c r="T1037" s="75"/>
      <c r="U1037" s="76"/>
      <c r="V1037" s="77"/>
      <c r="W1037" s="77"/>
      <c r="X1037" s="76"/>
      <c r="Y1037" s="76"/>
      <c r="Z1037" s="68"/>
      <c r="AA1037" s="68"/>
      <c r="AB1037" s="68"/>
      <c r="AC1037" s="68"/>
      <c r="AD1037" s="68"/>
    </row>
    <row r="1038" spans="16:30" x14ac:dyDescent="0.2">
      <c r="P1038" s="68"/>
      <c r="Q1038" s="74"/>
      <c r="R1038" s="74"/>
      <c r="S1038" s="74"/>
      <c r="T1038" s="75"/>
      <c r="U1038" s="76"/>
      <c r="V1038" s="77"/>
      <c r="W1038" s="77"/>
      <c r="X1038" s="76"/>
      <c r="Y1038" s="76"/>
      <c r="Z1038" s="68"/>
      <c r="AA1038" s="68"/>
      <c r="AB1038" s="68"/>
      <c r="AC1038" s="68"/>
      <c r="AD1038" s="68"/>
    </row>
    <row r="1039" spans="16:30" x14ac:dyDescent="0.2">
      <c r="P1039" s="68"/>
      <c r="Q1039" s="74"/>
      <c r="R1039" s="74"/>
      <c r="S1039" s="74"/>
      <c r="T1039" s="75"/>
      <c r="U1039" s="76"/>
      <c r="V1039" s="77"/>
      <c r="W1039" s="77"/>
      <c r="X1039" s="76"/>
      <c r="Y1039" s="76"/>
      <c r="Z1039" s="68"/>
      <c r="AA1039" s="68"/>
      <c r="AB1039" s="68"/>
      <c r="AC1039" s="68"/>
      <c r="AD1039" s="68"/>
    </row>
    <row r="1040" spans="16:30" x14ac:dyDescent="0.2">
      <c r="P1040" s="68"/>
      <c r="Q1040" s="74"/>
      <c r="R1040" s="74"/>
      <c r="S1040" s="74"/>
      <c r="T1040" s="75"/>
      <c r="U1040" s="76"/>
      <c r="V1040" s="77"/>
      <c r="W1040" s="77"/>
      <c r="X1040" s="76"/>
      <c r="Y1040" s="76"/>
      <c r="Z1040" s="68"/>
      <c r="AA1040" s="68"/>
      <c r="AB1040" s="68"/>
      <c r="AC1040" s="68"/>
      <c r="AD1040" s="68"/>
    </row>
    <row r="1041" spans="16:30" x14ac:dyDescent="0.2">
      <c r="P1041" s="68"/>
      <c r="Q1041" s="74"/>
      <c r="R1041" s="74"/>
      <c r="S1041" s="74"/>
      <c r="T1041" s="75"/>
      <c r="U1041" s="76"/>
      <c r="V1041" s="77"/>
      <c r="W1041" s="77"/>
      <c r="X1041" s="76"/>
      <c r="Y1041" s="76"/>
      <c r="Z1041" s="68"/>
      <c r="AA1041" s="68"/>
      <c r="AB1041" s="68"/>
      <c r="AC1041" s="68"/>
      <c r="AD1041" s="68"/>
    </row>
    <row r="1042" spans="16:30" x14ac:dyDescent="0.2">
      <c r="P1042" s="68"/>
      <c r="Q1042" s="74"/>
      <c r="R1042" s="74"/>
      <c r="S1042" s="74"/>
      <c r="T1042" s="75"/>
      <c r="U1042" s="76"/>
      <c r="V1042" s="77"/>
      <c r="W1042" s="77"/>
      <c r="X1042" s="76"/>
      <c r="Y1042" s="76"/>
      <c r="Z1042" s="68"/>
      <c r="AA1042" s="68"/>
      <c r="AB1042" s="68"/>
      <c r="AC1042" s="68"/>
      <c r="AD1042" s="68"/>
    </row>
    <row r="1043" spans="16:30" x14ac:dyDescent="0.2">
      <c r="P1043" s="68"/>
      <c r="Q1043" s="74"/>
      <c r="R1043" s="74"/>
      <c r="S1043" s="74"/>
      <c r="T1043" s="75"/>
      <c r="U1043" s="76"/>
      <c r="V1043" s="77"/>
      <c r="W1043" s="77"/>
      <c r="X1043" s="76"/>
      <c r="Y1043" s="76"/>
      <c r="Z1043" s="68"/>
      <c r="AA1043" s="68"/>
      <c r="AB1043" s="68"/>
      <c r="AC1043" s="68"/>
      <c r="AD1043" s="68"/>
    </row>
    <row r="1044" spans="16:30" x14ac:dyDescent="0.2">
      <c r="P1044" s="68"/>
      <c r="Q1044" s="74"/>
      <c r="R1044" s="74"/>
      <c r="S1044" s="74"/>
      <c r="T1044" s="75"/>
      <c r="U1044" s="76"/>
      <c r="V1044" s="77"/>
      <c r="W1044" s="77"/>
      <c r="X1044" s="76"/>
      <c r="Y1044" s="76"/>
      <c r="Z1044" s="68"/>
      <c r="AA1044" s="68"/>
      <c r="AB1044" s="68"/>
      <c r="AC1044" s="68"/>
      <c r="AD1044" s="68"/>
    </row>
    <row r="1045" spans="16:30" x14ac:dyDescent="0.2">
      <c r="P1045" s="68"/>
      <c r="Q1045" s="74"/>
      <c r="R1045" s="74"/>
      <c r="S1045" s="74"/>
      <c r="T1045" s="75"/>
      <c r="U1045" s="76"/>
      <c r="V1045" s="77"/>
      <c r="W1045" s="77"/>
      <c r="X1045" s="76"/>
      <c r="Y1045" s="76"/>
      <c r="Z1045" s="68"/>
      <c r="AA1045" s="68"/>
      <c r="AB1045" s="68"/>
      <c r="AC1045" s="68"/>
      <c r="AD1045" s="68"/>
    </row>
    <row r="1046" spans="16:30" x14ac:dyDescent="0.2">
      <c r="P1046" s="68"/>
      <c r="Q1046" s="74"/>
      <c r="R1046" s="74"/>
      <c r="S1046" s="74"/>
      <c r="T1046" s="75"/>
      <c r="U1046" s="76"/>
      <c r="V1046" s="77"/>
      <c r="W1046" s="77"/>
      <c r="X1046" s="76"/>
      <c r="Y1046" s="76"/>
      <c r="Z1046" s="68"/>
      <c r="AA1046" s="68"/>
      <c r="AB1046" s="68"/>
      <c r="AC1046" s="68"/>
      <c r="AD1046" s="68"/>
    </row>
    <row r="1047" spans="16:30" x14ac:dyDescent="0.2">
      <c r="P1047" s="68"/>
      <c r="Q1047" s="74"/>
      <c r="R1047" s="74"/>
      <c r="S1047" s="74"/>
      <c r="T1047" s="75"/>
      <c r="U1047" s="76"/>
      <c r="V1047" s="77"/>
      <c r="W1047" s="77"/>
      <c r="X1047" s="76"/>
      <c r="Y1047" s="76"/>
      <c r="Z1047" s="68"/>
      <c r="AA1047" s="68"/>
      <c r="AB1047" s="68"/>
      <c r="AC1047" s="68"/>
      <c r="AD1047" s="68"/>
    </row>
    <row r="1048" spans="16:30" x14ac:dyDescent="0.2">
      <c r="P1048" s="68"/>
      <c r="Q1048" s="74"/>
      <c r="R1048" s="74"/>
      <c r="S1048" s="74"/>
      <c r="T1048" s="75"/>
      <c r="U1048" s="76"/>
      <c r="V1048" s="77"/>
      <c r="W1048" s="77"/>
      <c r="X1048" s="76"/>
      <c r="Y1048" s="76"/>
      <c r="Z1048" s="68"/>
      <c r="AA1048" s="68"/>
      <c r="AB1048" s="68"/>
      <c r="AC1048" s="68"/>
      <c r="AD1048" s="68"/>
    </row>
    <row r="1049" spans="16:30" x14ac:dyDescent="0.2">
      <c r="P1049" s="68"/>
      <c r="Q1049" s="74"/>
      <c r="R1049" s="74"/>
      <c r="S1049" s="74"/>
      <c r="T1049" s="75"/>
      <c r="U1049" s="76"/>
      <c r="V1049" s="77"/>
      <c r="W1049" s="77"/>
      <c r="X1049" s="76"/>
      <c r="Y1049" s="76"/>
      <c r="Z1049" s="68"/>
      <c r="AA1049" s="68"/>
      <c r="AB1049" s="68"/>
      <c r="AC1049" s="68"/>
      <c r="AD1049" s="68"/>
    </row>
    <row r="1050" spans="16:30" x14ac:dyDescent="0.2">
      <c r="P1050" s="68"/>
      <c r="Q1050" s="74"/>
      <c r="R1050" s="74"/>
      <c r="S1050" s="74"/>
      <c r="T1050" s="75"/>
      <c r="U1050" s="76"/>
      <c r="V1050" s="77"/>
      <c r="W1050" s="77"/>
      <c r="X1050" s="76"/>
      <c r="Y1050" s="76"/>
      <c r="Z1050" s="68"/>
      <c r="AA1050" s="68"/>
      <c r="AB1050" s="68"/>
      <c r="AC1050" s="68"/>
      <c r="AD1050" s="68"/>
    </row>
    <row r="1051" spans="16:30" x14ac:dyDescent="0.2">
      <c r="P1051" s="68"/>
      <c r="Q1051" s="74"/>
      <c r="R1051" s="74"/>
      <c r="S1051" s="74"/>
      <c r="T1051" s="75"/>
      <c r="U1051" s="76"/>
      <c r="V1051" s="77"/>
      <c r="W1051" s="77"/>
      <c r="X1051" s="76"/>
      <c r="Y1051" s="76"/>
      <c r="Z1051" s="68"/>
      <c r="AA1051" s="68"/>
      <c r="AB1051" s="68"/>
      <c r="AC1051" s="68"/>
      <c r="AD1051" s="68"/>
    </row>
    <row r="1052" spans="16:30" x14ac:dyDescent="0.2">
      <c r="P1052" s="68"/>
      <c r="Q1052" s="74"/>
      <c r="R1052" s="74"/>
      <c r="S1052" s="74"/>
      <c r="T1052" s="75"/>
      <c r="U1052" s="76"/>
      <c r="V1052" s="77"/>
      <c r="W1052" s="77"/>
      <c r="X1052" s="76"/>
      <c r="Y1052" s="76"/>
      <c r="Z1052" s="68"/>
      <c r="AA1052" s="68"/>
      <c r="AB1052" s="68"/>
      <c r="AC1052" s="68"/>
      <c r="AD1052" s="68"/>
    </row>
    <row r="1053" spans="16:30" x14ac:dyDescent="0.2">
      <c r="P1053" s="68"/>
      <c r="Q1053" s="74"/>
      <c r="R1053" s="74"/>
      <c r="S1053" s="74"/>
      <c r="T1053" s="75"/>
      <c r="U1053" s="76"/>
      <c r="V1053" s="77"/>
      <c r="W1053" s="77"/>
      <c r="X1053" s="76"/>
      <c r="Y1053" s="76"/>
      <c r="Z1053" s="68"/>
      <c r="AA1053" s="68"/>
      <c r="AB1053" s="68"/>
      <c r="AC1053" s="68"/>
      <c r="AD1053" s="68"/>
    </row>
    <row r="1054" spans="16:30" x14ac:dyDescent="0.2">
      <c r="P1054" s="68"/>
      <c r="Q1054" s="74"/>
      <c r="R1054" s="74"/>
      <c r="S1054" s="74"/>
      <c r="T1054" s="75"/>
      <c r="U1054" s="76"/>
      <c r="V1054" s="77"/>
      <c r="W1054" s="77"/>
      <c r="X1054" s="76"/>
      <c r="Y1054" s="76"/>
      <c r="Z1054" s="68"/>
      <c r="AA1054" s="68"/>
      <c r="AB1054" s="68"/>
      <c r="AC1054" s="68"/>
      <c r="AD1054" s="68"/>
    </row>
    <row r="1055" spans="16:30" x14ac:dyDescent="0.2">
      <c r="P1055" s="68"/>
      <c r="Q1055" s="74"/>
      <c r="R1055" s="74"/>
      <c r="S1055" s="74"/>
      <c r="T1055" s="75"/>
      <c r="U1055" s="76"/>
      <c r="V1055" s="77"/>
      <c r="W1055" s="77"/>
      <c r="X1055" s="76"/>
      <c r="Y1055" s="76"/>
      <c r="Z1055" s="68"/>
      <c r="AA1055" s="68"/>
      <c r="AB1055" s="68"/>
      <c r="AC1055" s="68"/>
      <c r="AD1055" s="68"/>
    </row>
    <row r="1056" spans="16:30" x14ac:dyDescent="0.2">
      <c r="P1056" s="68"/>
      <c r="Q1056" s="74"/>
      <c r="R1056" s="74"/>
      <c r="S1056" s="74"/>
      <c r="T1056" s="75"/>
      <c r="U1056" s="76"/>
      <c r="V1056" s="77"/>
      <c r="W1056" s="77"/>
      <c r="X1056" s="76"/>
      <c r="Y1056" s="76"/>
      <c r="Z1056" s="68"/>
      <c r="AA1056" s="68"/>
      <c r="AB1056" s="68"/>
      <c r="AC1056" s="68"/>
      <c r="AD1056" s="68"/>
    </row>
    <row r="1057" spans="16:30" x14ac:dyDescent="0.2">
      <c r="P1057" s="68"/>
      <c r="Q1057" s="74"/>
      <c r="R1057" s="74"/>
      <c r="S1057" s="74"/>
      <c r="T1057" s="75"/>
      <c r="U1057" s="76"/>
      <c r="V1057" s="77"/>
      <c r="W1057" s="77"/>
      <c r="X1057" s="76"/>
      <c r="Y1057" s="76"/>
      <c r="Z1057" s="68"/>
      <c r="AA1057" s="68"/>
      <c r="AB1057" s="68"/>
      <c r="AC1057" s="68"/>
      <c r="AD1057" s="68"/>
    </row>
    <row r="1058" spans="16:30" x14ac:dyDescent="0.2">
      <c r="P1058" s="68"/>
      <c r="Q1058" s="74"/>
      <c r="R1058" s="74"/>
      <c r="S1058" s="74"/>
      <c r="T1058" s="75"/>
      <c r="U1058" s="76"/>
      <c r="V1058" s="77"/>
      <c r="W1058" s="77"/>
      <c r="X1058" s="76"/>
      <c r="Y1058" s="76"/>
      <c r="Z1058" s="68"/>
      <c r="AA1058" s="68"/>
      <c r="AB1058" s="68"/>
      <c r="AC1058" s="68"/>
      <c r="AD1058" s="68"/>
    </row>
    <row r="1059" spans="16:30" x14ac:dyDescent="0.2">
      <c r="P1059" s="68"/>
      <c r="Q1059" s="74"/>
      <c r="R1059" s="74"/>
      <c r="S1059" s="74"/>
      <c r="T1059" s="75"/>
      <c r="U1059" s="76"/>
      <c r="V1059" s="77"/>
      <c r="W1059" s="77"/>
      <c r="X1059" s="76"/>
      <c r="Y1059" s="76"/>
      <c r="Z1059" s="68"/>
      <c r="AA1059" s="68"/>
      <c r="AB1059" s="68"/>
      <c r="AC1059" s="68"/>
      <c r="AD1059" s="68"/>
    </row>
    <row r="1060" spans="16:30" x14ac:dyDescent="0.2">
      <c r="P1060" s="68"/>
      <c r="Q1060" s="74"/>
      <c r="R1060" s="74"/>
      <c r="S1060" s="74"/>
      <c r="T1060" s="75"/>
      <c r="U1060" s="76"/>
      <c r="V1060" s="77"/>
      <c r="W1060" s="77"/>
      <c r="X1060" s="76"/>
      <c r="Y1060" s="76"/>
      <c r="Z1060" s="68"/>
      <c r="AA1060" s="68"/>
      <c r="AB1060" s="68"/>
      <c r="AC1060" s="68"/>
      <c r="AD1060" s="68"/>
    </row>
    <row r="1061" spans="16:30" x14ac:dyDescent="0.2">
      <c r="P1061" s="68"/>
      <c r="Q1061" s="74"/>
      <c r="R1061" s="74"/>
      <c r="S1061" s="74"/>
      <c r="T1061" s="75"/>
      <c r="U1061" s="76"/>
      <c r="V1061" s="77"/>
      <c r="W1061" s="77"/>
      <c r="X1061" s="76"/>
      <c r="Y1061" s="76"/>
      <c r="Z1061" s="68"/>
      <c r="AA1061" s="68"/>
      <c r="AB1061" s="68"/>
      <c r="AC1061" s="68"/>
      <c r="AD1061" s="68"/>
    </row>
    <row r="1062" spans="16:30" x14ac:dyDescent="0.2">
      <c r="P1062" s="68"/>
      <c r="Q1062" s="74"/>
      <c r="R1062" s="74"/>
      <c r="S1062" s="74"/>
      <c r="T1062" s="75"/>
      <c r="U1062" s="76"/>
      <c r="V1062" s="77"/>
      <c r="W1062" s="77"/>
      <c r="X1062" s="76"/>
      <c r="Y1062" s="76"/>
      <c r="Z1062" s="68"/>
      <c r="AA1062" s="68"/>
      <c r="AB1062" s="68"/>
      <c r="AC1062" s="68"/>
      <c r="AD1062" s="68"/>
    </row>
    <row r="1063" spans="16:30" x14ac:dyDescent="0.2">
      <c r="P1063" s="68"/>
      <c r="Q1063" s="74"/>
      <c r="R1063" s="74"/>
      <c r="S1063" s="74"/>
      <c r="T1063" s="75"/>
      <c r="U1063" s="76"/>
      <c r="V1063" s="77"/>
      <c r="W1063" s="77"/>
      <c r="X1063" s="76"/>
      <c r="Y1063" s="76"/>
      <c r="Z1063" s="68"/>
      <c r="AA1063" s="68"/>
      <c r="AB1063" s="68"/>
      <c r="AC1063" s="68"/>
      <c r="AD1063" s="68"/>
    </row>
    <row r="1064" spans="16:30" x14ac:dyDescent="0.2">
      <c r="P1064" s="68"/>
      <c r="Q1064" s="74"/>
      <c r="R1064" s="74"/>
      <c r="S1064" s="74"/>
      <c r="T1064" s="75"/>
      <c r="U1064" s="76"/>
      <c r="V1064" s="77"/>
      <c r="W1064" s="77"/>
      <c r="X1064" s="76"/>
      <c r="Y1064" s="76"/>
      <c r="Z1064" s="68"/>
      <c r="AA1064" s="68"/>
      <c r="AB1064" s="68"/>
      <c r="AC1064" s="68"/>
      <c r="AD1064" s="68"/>
    </row>
    <row r="1065" spans="16:30" x14ac:dyDescent="0.2">
      <c r="P1065" s="68"/>
      <c r="Q1065" s="74"/>
      <c r="R1065" s="74"/>
      <c r="S1065" s="74"/>
      <c r="T1065" s="75"/>
      <c r="U1065" s="76"/>
      <c r="V1065" s="77"/>
      <c r="W1065" s="77"/>
      <c r="X1065" s="76"/>
      <c r="Y1065" s="76"/>
      <c r="Z1065" s="68"/>
      <c r="AA1065" s="68"/>
      <c r="AB1065" s="68"/>
      <c r="AC1065" s="68"/>
      <c r="AD1065" s="68"/>
    </row>
    <row r="1066" spans="16:30" x14ac:dyDescent="0.2">
      <c r="P1066" s="68"/>
      <c r="Q1066" s="74"/>
      <c r="R1066" s="74"/>
      <c r="S1066" s="74"/>
      <c r="T1066" s="75"/>
      <c r="U1066" s="76"/>
      <c r="V1066" s="77"/>
      <c r="W1066" s="77"/>
      <c r="X1066" s="76"/>
      <c r="Y1066" s="76"/>
      <c r="Z1066" s="68"/>
      <c r="AA1066" s="68"/>
      <c r="AB1066" s="68"/>
      <c r="AC1066" s="68"/>
      <c r="AD1066" s="68"/>
    </row>
    <row r="1067" spans="16:30" x14ac:dyDescent="0.2">
      <c r="P1067" s="68"/>
      <c r="Q1067" s="74"/>
      <c r="R1067" s="74"/>
      <c r="S1067" s="74"/>
      <c r="T1067" s="75"/>
      <c r="U1067" s="76"/>
      <c r="V1067" s="77"/>
      <c r="W1067" s="77"/>
      <c r="X1067" s="76"/>
      <c r="Y1067" s="76"/>
      <c r="Z1067" s="68"/>
      <c r="AA1067" s="68"/>
      <c r="AB1067" s="68"/>
      <c r="AC1067" s="68"/>
      <c r="AD1067" s="68"/>
    </row>
    <row r="1068" spans="16:30" x14ac:dyDescent="0.2">
      <c r="P1068" s="68"/>
      <c r="Q1068" s="74"/>
      <c r="R1068" s="74"/>
      <c r="S1068" s="74"/>
      <c r="T1068" s="75"/>
      <c r="U1068" s="76"/>
      <c r="V1068" s="77"/>
      <c r="W1068" s="77"/>
      <c r="X1068" s="76"/>
      <c r="Y1068" s="76"/>
      <c r="Z1068" s="68"/>
      <c r="AA1068" s="68"/>
      <c r="AB1068" s="68"/>
      <c r="AC1068" s="68"/>
      <c r="AD1068" s="68"/>
    </row>
    <row r="1069" spans="16:30" x14ac:dyDescent="0.2">
      <c r="P1069" s="68"/>
      <c r="Q1069" s="74"/>
      <c r="R1069" s="74"/>
      <c r="S1069" s="74"/>
      <c r="T1069" s="75"/>
      <c r="U1069" s="76"/>
      <c r="V1069" s="77"/>
      <c r="W1069" s="77"/>
      <c r="X1069" s="76"/>
      <c r="Y1069" s="76"/>
      <c r="Z1069" s="68"/>
      <c r="AA1069" s="68"/>
      <c r="AB1069" s="68"/>
      <c r="AC1069" s="68"/>
      <c r="AD1069" s="68"/>
    </row>
    <row r="1070" spans="16:30" x14ac:dyDescent="0.2">
      <c r="P1070" s="68"/>
      <c r="Q1070" s="74"/>
      <c r="R1070" s="74"/>
      <c r="S1070" s="74"/>
      <c r="T1070" s="75"/>
      <c r="U1070" s="76"/>
      <c r="V1070" s="77"/>
      <c r="W1070" s="77"/>
      <c r="X1070" s="76"/>
      <c r="Y1070" s="76"/>
      <c r="Z1070" s="68"/>
      <c r="AA1070" s="68"/>
      <c r="AB1070" s="68"/>
      <c r="AC1070" s="68"/>
      <c r="AD1070" s="68"/>
    </row>
    <row r="1071" spans="16:30" x14ac:dyDescent="0.2">
      <c r="P1071" s="68"/>
      <c r="Q1071" s="74"/>
      <c r="R1071" s="74"/>
      <c r="S1071" s="74"/>
      <c r="T1071" s="75"/>
      <c r="U1071" s="76"/>
      <c r="V1071" s="77"/>
      <c r="W1071" s="77"/>
      <c r="X1071" s="76"/>
      <c r="Y1071" s="76"/>
      <c r="Z1071" s="68"/>
      <c r="AA1071" s="68"/>
      <c r="AB1071" s="68"/>
      <c r="AC1071" s="68"/>
      <c r="AD1071" s="68"/>
    </row>
    <row r="1072" spans="16:30" x14ac:dyDescent="0.2">
      <c r="P1072" s="68"/>
      <c r="Q1072" s="74"/>
      <c r="R1072" s="74"/>
      <c r="S1072" s="74"/>
      <c r="T1072" s="75"/>
      <c r="U1072" s="76"/>
      <c r="V1072" s="77"/>
      <c r="W1072" s="77"/>
      <c r="X1072" s="76"/>
      <c r="Y1072" s="76"/>
      <c r="Z1072" s="68"/>
      <c r="AA1072" s="68"/>
      <c r="AB1072" s="68"/>
      <c r="AC1072" s="68"/>
      <c r="AD1072" s="68"/>
    </row>
    <row r="1073" spans="16:30" x14ac:dyDescent="0.2">
      <c r="P1073" s="68"/>
      <c r="Q1073" s="74"/>
      <c r="R1073" s="74"/>
      <c r="S1073" s="74"/>
      <c r="T1073" s="75"/>
      <c r="U1073" s="76"/>
      <c r="V1073" s="77"/>
      <c r="W1073" s="77"/>
      <c r="X1073" s="76"/>
      <c r="Y1073" s="76"/>
      <c r="Z1073" s="68"/>
      <c r="AA1073" s="68"/>
      <c r="AB1073" s="68"/>
      <c r="AC1073" s="68"/>
      <c r="AD1073" s="68"/>
    </row>
    <row r="1074" spans="16:30" x14ac:dyDescent="0.2">
      <c r="P1074" s="68"/>
      <c r="Q1074" s="74"/>
      <c r="R1074" s="74"/>
      <c r="S1074" s="74"/>
      <c r="T1074" s="75"/>
      <c r="U1074" s="76"/>
      <c r="V1074" s="77"/>
      <c r="W1074" s="77"/>
      <c r="X1074" s="76"/>
      <c r="Y1074" s="76"/>
      <c r="Z1074" s="68"/>
      <c r="AA1074" s="68"/>
      <c r="AB1074" s="68"/>
      <c r="AC1074" s="68"/>
      <c r="AD1074" s="68"/>
    </row>
    <row r="1075" spans="16:30" x14ac:dyDescent="0.2">
      <c r="P1075" s="68"/>
      <c r="Q1075" s="74"/>
      <c r="R1075" s="74"/>
      <c r="S1075" s="74"/>
      <c r="T1075" s="75"/>
      <c r="U1075" s="76"/>
      <c r="V1075" s="77"/>
      <c r="W1075" s="77"/>
      <c r="X1075" s="76"/>
      <c r="Y1075" s="76"/>
      <c r="Z1075" s="68"/>
      <c r="AA1075" s="68"/>
      <c r="AB1075" s="68"/>
      <c r="AC1075" s="68"/>
      <c r="AD1075" s="68"/>
    </row>
    <row r="1076" spans="16:30" x14ac:dyDescent="0.2">
      <c r="P1076" s="68"/>
      <c r="Q1076" s="74"/>
      <c r="R1076" s="74"/>
      <c r="S1076" s="74"/>
      <c r="T1076" s="75"/>
      <c r="U1076" s="76"/>
      <c r="V1076" s="77"/>
      <c r="W1076" s="77"/>
      <c r="X1076" s="76"/>
      <c r="Y1076" s="76"/>
      <c r="Z1076" s="68"/>
      <c r="AA1076" s="68"/>
      <c r="AB1076" s="68"/>
      <c r="AC1076" s="68"/>
      <c r="AD1076" s="68"/>
    </row>
    <row r="1077" spans="16:30" x14ac:dyDescent="0.2">
      <c r="P1077" s="68"/>
      <c r="Q1077" s="74"/>
      <c r="R1077" s="74"/>
      <c r="S1077" s="74"/>
      <c r="T1077" s="75"/>
      <c r="U1077" s="76"/>
      <c r="V1077" s="77"/>
      <c r="W1077" s="77"/>
      <c r="X1077" s="76"/>
      <c r="Y1077" s="76"/>
      <c r="Z1077" s="68"/>
      <c r="AA1077" s="68"/>
      <c r="AB1077" s="68"/>
      <c r="AC1077" s="68"/>
      <c r="AD1077" s="68"/>
    </row>
    <row r="1078" spans="16:30" x14ac:dyDescent="0.2">
      <c r="P1078" s="68"/>
      <c r="Q1078" s="74"/>
      <c r="R1078" s="74"/>
      <c r="S1078" s="74"/>
      <c r="T1078" s="75"/>
      <c r="U1078" s="76"/>
      <c r="V1078" s="77"/>
      <c r="W1078" s="77"/>
      <c r="X1078" s="76"/>
      <c r="Y1078" s="76"/>
      <c r="Z1078" s="68"/>
      <c r="AA1078" s="68"/>
      <c r="AB1078" s="68"/>
      <c r="AC1078" s="68"/>
      <c r="AD1078" s="68"/>
    </row>
    <row r="1079" spans="16:30" x14ac:dyDescent="0.2">
      <c r="P1079" s="68"/>
      <c r="Q1079" s="74"/>
      <c r="R1079" s="74"/>
      <c r="S1079" s="74"/>
      <c r="T1079" s="75"/>
      <c r="U1079" s="76"/>
      <c r="V1079" s="77"/>
      <c r="W1079" s="77"/>
      <c r="X1079" s="76"/>
      <c r="Y1079" s="76"/>
      <c r="Z1079" s="68"/>
      <c r="AA1079" s="68"/>
      <c r="AB1079" s="68"/>
      <c r="AC1079" s="68"/>
      <c r="AD1079" s="68"/>
    </row>
    <row r="1080" spans="16:30" x14ac:dyDescent="0.2">
      <c r="P1080" s="68"/>
      <c r="Q1080" s="74"/>
      <c r="R1080" s="74"/>
      <c r="S1080" s="74"/>
      <c r="T1080" s="75"/>
      <c r="U1080" s="76"/>
      <c r="V1080" s="77"/>
      <c r="W1080" s="77"/>
      <c r="X1080" s="76"/>
      <c r="Y1080" s="76"/>
      <c r="Z1080" s="68"/>
      <c r="AA1080" s="68"/>
      <c r="AB1080" s="68"/>
      <c r="AC1080" s="68"/>
      <c r="AD1080" s="68"/>
    </row>
    <row r="1081" spans="16:30" x14ac:dyDescent="0.2">
      <c r="P1081" s="68"/>
      <c r="Q1081" s="74"/>
      <c r="R1081" s="74"/>
      <c r="S1081" s="74"/>
      <c r="T1081" s="75"/>
      <c r="U1081" s="76"/>
      <c r="V1081" s="77"/>
      <c r="W1081" s="77"/>
      <c r="X1081" s="76"/>
      <c r="Y1081" s="76"/>
      <c r="Z1081" s="68"/>
      <c r="AA1081" s="68"/>
      <c r="AB1081" s="68"/>
      <c r="AC1081" s="68"/>
      <c r="AD1081" s="68"/>
    </row>
    <row r="1082" spans="16:30" x14ac:dyDescent="0.2">
      <c r="P1082" s="68"/>
      <c r="Q1082" s="74"/>
      <c r="R1082" s="74"/>
      <c r="S1082" s="74"/>
      <c r="T1082" s="75"/>
      <c r="U1082" s="76"/>
      <c r="V1082" s="77"/>
      <c r="W1082" s="77"/>
      <c r="X1082" s="76"/>
      <c r="Y1082" s="76"/>
      <c r="Z1082" s="68"/>
      <c r="AA1082" s="68"/>
      <c r="AB1082" s="68"/>
      <c r="AC1082" s="68"/>
      <c r="AD1082" s="68"/>
    </row>
    <row r="1083" spans="16:30" x14ac:dyDescent="0.2">
      <c r="P1083" s="68"/>
      <c r="Q1083" s="74"/>
      <c r="R1083" s="74"/>
      <c r="S1083" s="74"/>
      <c r="T1083" s="75"/>
      <c r="U1083" s="76"/>
      <c r="V1083" s="77"/>
      <c r="W1083" s="77"/>
      <c r="X1083" s="76"/>
      <c r="Y1083" s="76"/>
      <c r="Z1083" s="68"/>
      <c r="AA1083" s="68"/>
      <c r="AB1083" s="68"/>
      <c r="AC1083" s="68"/>
      <c r="AD1083" s="68"/>
    </row>
    <row r="1084" spans="16:30" x14ac:dyDescent="0.2">
      <c r="P1084" s="68"/>
      <c r="Q1084" s="74"/>
      <c r="R1084" s="74"/>
      <c r="S1084" s="74"/>
      <c r="T1084" s="75"/>
      <c r="U1084" s="76"/>
      <c r="V1084" s="77"/>
      <c r="W1084" s="77"/>
      <c r="X1084" s="76"/>
      <c r="Y1084" s="76"/>
      <c r="Z1084" s="68"/>
      <c r="AA1084" s="68"/>
      <c r="AB1084" s="68"/>
      <c r="AC1084" s="68"/>
      <c r="AD1084" s="68"/>
    </row>
    <row r="1085" spans="16:30" x14ac:dyDescent="0.2">
      <c r="P1085" s="68"/>
      <c r="Q1085" s="74"/>
      <c r="R1085" s="74"/>
      <c r="S1085" s="74"/>
      <c r="T1085" s="75"/>
      <c r="U1085" s="76"/>
      <c r="V1085" s="77"/>
      <c r="W1085" s="77"/>
      <c r="X1085" s="76"/>
      <c r="Y1085" s="76"/>
      <c r="Z1085" s="68"/>
      <c r="AA1085" s="68"/>
      <c r="AB1085" s="68"/>
      <c r="AC1085" s="68"/>
      <c r="AD1085" s="68"/>
    </row>
    <row r="1086" spans="16:30" x14ac:dyDescent="0.2">
      <c r="P1086" s="68"/>
      <c r="Q1086" s="74"/>
      <c r="R1086" s="74"/>
      <c r="S1086" s="74"/>
      <c r="T1086" s="75"/>
      <c r="U1086" s="76"/>
      <c r="V1086" s="77"/>
      <c r="W1086" s="77"/>
      <c r="X1086" s="76"/>
      <c r="Y1086" s="76"/>
      <c r="Z1086" s="68"/>
      <c r="AA1086" s="68"/>
      <c r="AB1086" s="68"/>
      <c r="AC1086" s="68"/>
      <c r="AD1086" s="68"/>
    </row>
    <row r="1087" spans="16:30" x14ac:dyDescent="0.2">
      <c r="P1087" s="68"/>
      <c r="Q1087" s="74"/>
      <c r="R1087" s="74"/>
      <c r="S1087" s="74"/>
      <c r="T1087" s="75"/>
      <c r="U1087" s="76"/>
      <c r="V1087" s="77"/>
      <c r="W1087" s="77"/>
      <c r="X1087" s="76"/>
      <c r="Y1087" s="76"/>
      <c r="Z1087" s="68"/>
      <c r="AA1087" s="68"/>
      <c r="AB1087" s="68"/>
      <c r="AC1087" s="68"/>
      <c r="AD1087" s="68"/>
    </row>
    <row r="1088" spans="16:30" x14ac:dyDescent="0.2">
      <c r="P1088" s="68"/>
      <c r="Q1088" s="74"/>
      <c r="R1088" s="74"/>
      <c r="S1088" s="74"/>
      <c r="T1088" s="75"/>
      <c r="U1088" s="76"/>
      <c r="V1088" s="77"/>
      <c r="W1088" s="77"/>
      <c r="X1088" s="76"/>
      <c r="Y1088" s="76"/>
      <c r="Z1088" s="68"/>
      <c r="AA1088" s="68"/>
      <c r="AB1088" s="68"/>
      <c r="AC1088" s="68"/>
      <c r="AD1088" s="68"/>
    </row>
    <row r="1089" spans="16:30" x14ac:dyDescent="0.2">
      <c r="P1089" s="68"/>
      <c r="Q1089" s="74"/>
      <c r="R1089" s="74"/>
      <c r="S1089" s="74"/>
      <c r="T1089" s="75"/>
      <c r="U1089" s="76"/>
      <c r="V1089" s="77"/>
      <c r="W1089" s="77"/>
      <c r="X1089" s="76"/>
      <c r="Y1089" s="76"/>
      <c r="Z1089" s="68"/>
      <c r="AA1089" s="68"/>
      <c r="AB1089" s="68"/>
      <c r="AC1089" s="68"/>
      <c r="AD1089" s="68"/>
    </row>
    <row r="1090" spans="16:30" x14ac:dyDescent="0.2">
      <c r="P1090" s="68"/>
      <c r="Q1090" s="74"/>
      <c r="R1090" s="74"/>
      <c r="S1090" s="74"/>
      <c r="T1090" s="75"/>
      <c r="U1090" s="76"/>
      <c r="V1090" s="77"/>
      <c r="W1090" s="77"/>
      <c r="X1090" s="76"/>
      <c r="Y1090" s="76"/>
      <c r="Z1090" s="68"/>
      <c r="AA1090" s="68"/>
      <c r="AB1090" s="68"/>
      <c r="AC1090" s="68"/>
      <c r="AD1090" s="68"/>
    </row>
    <row r="1091" spans="16:30" x14ac:dyDescent="0.2">
      <c r="P1091" s="68"/>
      <c r="Q1091" s="74"/>
      <c r="R1091" s="74"/>
      <c r="S1091" s="74"/>
      <c r="T1091" s="75"/>
      <c r="U1091" s="76"/>
      <c r="V1091" s="77"/>
      <c r="W1091" s="77"/>
      <c r="X1091" s="76"/>
      <c r="Y1091" s="76"/>
      <c r="Z1091" s="68"/>
      <c r="AA1091" s="68"/>
      <c r="AB1091" s="68"/>
      <c r="AC1091" s="68"/>
      <c r="AD1091" s="68"/>
    </row>
    <row r="1092" spans="16:30" x14ac:dyDescent="0.2">
      <c r="P1092" s="68"/>
      <c r="Q1092" s="74"/>
      <c r="R1092" s="74"/>
      <c r="S1092" s="74"/>
      <c r="T1092" s="75"/>
      <c r="U1092" s="76"/>
      <c r="V1092" s="77"/>
      <c r="W1092" s="77"/>
      <c r="X1092" s="76"/>
      <c r="Y1092" s="76"/>
      <c r="Z1092" s="68"/>
      <c r="AA1092" s="68"/>
      <c r="AB1092" s="68"/>
      <c r="AC1092" s="68"/>
      <c r="AD1092" s="68"/>
    </row>
    <row r="1093" spans="16:30" x14ac:dyDescent="0.2">
      <c r="P1093" s="68"/>
      <c r="Q1093" s="74"/>
      <c r="R1093" s="74"/>
      <c r="S1093" s="74"/>
      <c r="T1093" s="75"/>
      <c r="U1093" s="76"/>
      <c r="V1093" s="77"/>
      <c r="W1093" s="77"/>
      <c r="X1093" s="76"/>
      <c r="Y1093" s="76"/>
      <c r="Z1093" s="68"/>
      <c r="AA1093" s="68"/>
      <c r="AB1093" s="68"/>
      <c r="AC1093" s="68"/>
      <c r="AD1093" s="68"/>
    </row>
    <row r="1094" spans="16:30" x14ac:dyDescent="0.2">
      <c r="P1094" s="68"/>
      <c r="Q1094" s="74"/>
      <c r="R1094" s="74"/>
      <c r="S1094" s="74"/>
      <c r="T1094" s="75"/>
      <c r="U1094" s="76"/>
      <c r="V1094" s="77"/>
      <c r="W1094" s="77"/>
      <c r="X1094" s="76"/>
      <c r="Y1094" s="76"/>
      <c r="Z1094" s="68"/>
      <c r="AA1094" s="68"/>
      <c r="AB1094" s="68"/>
      <c r="AC1094" s="68"/>
      <c r="AD1094" s="68"/>
    </row>
    <row r="1095" spans="16:30" x14ac:dyDescent="0.2">
      <c r="P1095" s="68"/>
      <c r="Q1095" s="74"/>
      <c r="R1095" s="74"/>
      <c r="S1095" s="74"/>
      <c r="T1095" s="75"/>
      <c r="U1095" s="76"/>
      <c r="V1095" s="77"/>
      <c r="W1095" s="77"/>
      <c r="X1095" s="76"/>
      <c r="Y1095" s="76"/>
      <c r="Z1095" s="68"/>
      <c r="AA1095" s="68"/>
      <c r="AB1095" s="68"/>
      <c r="AC1095" s="68"/>
      <c r="AD1095" s="68"/>
    </row>
    <row r="1096" spans="16:30" x14ac:dyDescent="0.2">
      <c r="P1096" s="68"/>
      <c r="Q1096" s="74"/>
      <c r="R1096" s="74"/>
      <c r="S1096" s="74"/>
      <c r="T1096" s="75"/>
      <c r="U1096" s="76"/>
      <c r="V1096" s="77"/>
      <c r="W1096" s="77"/>
      <c r="X1096" s="76"/>
      <c r="Y1096" s="76"/>
      <c r="Z1096" s="68"/>
      <c r="AA1096" s="68"/>
      <c r="AB1096" s="68"/>
      <c r="AC1096" s="68"/>
      <c r="AD1096" s="68"/>
    </row>
    <row r="1097" spans="16:30" x14ac:dyDescent="0.2">
      <c r="P1097" s="68"/>
      <c r="Q1097" s="74"/>
      <c r="R1097" s="74"/>
      <c r="S1097" s="74"/>
      <c r="T1097" s="75"/>
      <c r="U1097" s="76"/>
      <c r="V1097" s="77"/>
      <c r="W1097" s="77"/>
      <c r="X1097" s="76"/>
      <c r="Y1097" s="76"/>
      <c r="Z1097" s="68"/>
      <c r="AA1097" s="68"/>
      <c r="AB1097" s="68"/>
      <c r="AC1097" s="68"/>
      <c r="AD1097" s="68"/>
    </row>
    <row r="1098" spans="16:30" x14ac:dyDescent="0.2">
      <c r="P1098" s="68"/>
      <c r="Q1098" s="74"/>
      <c r="R1098" s="74"/>
      <c r="S1098" s="74"/>
      <c r="T1098" s="75"/>
      <c r="U1098" s="76"/>
      <c r="V1098" s="77"/>
      <c r="W1098" s="77"/>
      <c r="X1098" s="76"/>
      <c r="Y1098" s="76"/>
      <c r="Z1098" s="68"/>
      <c r="AA1098" s="68"/>
      <c r="AB1098" s="68"/>
      <c r="AC1098" s="68"/>
      <c r="AD1098" s="68"/>
    </row>
    <row r="1099" spans="16:30" x14ac:dyDescent="0.2">
      <c r="P1099" s="68"/>
      <c r="Q1099" s="74"/>
      <c r="R1099" s="74"/>
      <c r="S1099" s="74"/>
      <c r="T1099" s="75"/>
      <c r="U1099" s="76"/>
      <c r="V1099" s="77"/>
      <c r="W1099" s="77"/>
      <c r="X1099" s="76"/>
      <c r="Y1099" s="76"/>
      <c r="Z1099" s="68"/>
      <c r="AA1099" s="68"/>
      <c r="AB1099" s="68"/>
      <c r="AC1099" s="68"/>
      <c r="AD1099" s="68"/>
    </row>
    <row r="1100" spans="16:30" x14ac:dyDescent="0.2">
      <c r="P1100" s="68"/>
      <c r="Q1100" s="74"/>
      <c r="R1100" s="74"/>
      <c r="S1100" s="74"/>
      <c r="T1100" s="75"/>
      <c r="U1100" s="76"/>
      <c r="V1100" s="77"/>
      <c r="W1100" s="77"/>
      <c r="X1100" s="76"/>
      <c r="Y1100" s="76"/>
      <c r="Z1100" s="68"/>
      <c r="AA1100" s="68"/>
      <c r="AB1100" s="68"/>
      <c r="AC1100" s="68"/>
      <c r="AD1100" s="68"/>
    </row>
    <row r="1101" spans="16:30" x14ac:dyDescent="0.2">
      <c r="P1101" s="68"/>
      <c r="Q1101" s="74"/>
      <c r="R1101" s="74"/>
      <c r="S1101" s="74"/>
      <c r="T1101" s="75"/>
      <c r="U1101" s="76"/>
      <c r="V1101" s="77"/>
      <c r="W1101" s="77"/>
      <c r="X1101" s="76"/>
      <c r="Y1101" s="76"/>
      <c r="Z1101" s="68"/>
      <c r="AA1101" s="68"/>
      <c r="AB1101" s="68"/>
      <c r="AC1101" s="68"/>
      <c r="AD1101" s="68"/>
    </row>
    <row r="1102" spans="16:30" x14ac:dyDescent="0.2">
      <c r="P1102" s="68"/>
      <c r="Q1102" s="74"/>
      <c r="R1102" s="74"/>
      <c r="S1102" s="74"/>
      <c r="T1102" s="75"/>
      <c r="U1102" s="76"/>
      <c r="V1102" s="77"/>
      <c r="W1102" s="77"/>
      <c r="X1102" s="76"/>
      <c r="Y1102" s="76"/>
      <c r="Z1102" s="68"/>
      <c r="AA1102" s="68"/>
      <c r="AB1102" s="68"/>
      <c r="AC1102" s="68"/>
      <c r="AD1102" s="68"/>
    </row>
    <row r="1103" spans="16:30" x14ac:dyDescent="0.2">
      <c r="P1103" s="68"/>
      <c r="Q1103" s="74"/>
      <c r="R1103" s="74"/>
      <c r="S1103" s="74"/>
      <c r="T1103" s="75"/>
      <c r="U1103" s="76"/>
      <c r="V1103" s="77"/>
      <c r="W1103" s="77"/>
      <c r="X1103" s="76"/>
      <c r="Y1103" s="76"/>
      <c r="Z1103" s="68"/>
      <c r="AA1103" s="68"/>
      <c r="AB1103" s="68"/>
      <c r="AC1103" s="68"/>
      <c r="AD1103" s="68"/>
    </row>
    <row r="1104" spans="16:30" x14ac:dyDescent="0.2">
      <c r="P1104" s="68"/>
      <c r="Q1104" s="74"/>
      <c r="R1104" s="74"/>
      <c r="S1104" s="74"/>
      <c r="T1104" s="75"/>
      <c r="U1104" s="76"/>
      <c r="V1104" s="77"/>
      <c r="W1104" s="77"/>
      <c r="X1104" s="76"/>
      <c r="Y1104" s="76"/>
      <c r="Z1104" s="68"/>
      <c r="AA1104" s="68"/>
      <c r="AB1104" s="68"/>
      <c r="AC1104" s="68"/>
      <c r="AD1104" s="68"/>
    </row>
    <row r="1105" spans="16:30" x14ac:dyDescent="0.2">
      <c r="P1105" s="68"/>
      <c r="Q1105" s="74"/>
      <c r="R1105" s="74"/>
      <c r="S1105" s="74"/>
      <c r="T1105" s="75"/>
      <c r="U1105" s="76"/>
      <c r="V1105" s="77"/>
      <c r="W1105" s="77"/>
      <c r="X1105" s="76"/>
      <c r="Y1105" s="76"/>
      <c r="Z1105" s="68"/>
      <c r="AA1105" s="68"/>
      <c r="AB1105" s="68"/>
      <c r="AC1105" s="68"/>
      <c r="AD1105" s="68"/>
    </row>
    <row r="1106" spans="16:30" x14ac:dyDescent="0.2">
      <c r="P1106" s="68"/>
      <c r="Q1106" s="74"/>
      <c r="R1106" s="74"/>
      <c r="S1106" s="74"/>
      <c r="T1106" s="75"/>
      <c r="U1106" s="76"/>
      <c r="V1106" s="77"/>
      <c r="W1106" s="77"/>
      <c r="X1106" s="76"/>
      <c r="Y1106" s="76"/>
      <c r="Z1106" s="68"/>
      <c r="AA1106" s="68"/>
      <c r="AB1106" s="68"/>
      <c r="AC1106" s="68"/>
      <c r="AD1106" s="68"/>
    </row>
    <row r="1107" spans="16:30" x14ac:dyDescent="0.2">
      <c r="P1107" s="68"/>
      <c r="Q1107" s="74"/>
      <c r="R1107" s="74"/>
      <c r="S1107" s="74"/>
      <c r="T1107" s="75"/>
      <c r="U1107" s="76"/>
      <c r="V1107" s="77"/>
      <c r="W1107" s="77"/>
      <c r="X1107" s="76"/>
      <c r="Y1107" s="76"/>
      <c r="Z1107" s="68"/>
      <c r="AA1107" s="68"/>
      <c r="AB1107" s="68"/>
      <c r="AC1107" s="68"/>
      <c r="AD1107" s="68"/>
    </row>
    <row r="1108" spans="16:30" x14ac:dyDescent="0.2">
      <c r="P1108" s="68"/>
      <c r="Q1108" s="74"/>
      <c r="R1108" s="74"/>
      <c r="S1108" s="74"/>
      <c r="T1108" s="75"/>
      <c r="U1108" s="76"/>
      <c r="V1108" s="77"/>
      <c r="W1108" s="77"/>
      <c r="X1108" s="76"/>
      <c r="Y1108" s="76"/>
      <c r="Z1108" s="68"/>
      <c r="AA1108" s="68"/>
      <c r="AB1108" s="68"/>
      <c r="AC1108" s="68"/>
      <c r="AD1108" s="68"/>
    </row>
    <row r="1109" spans="16:30" x14ac:dyDescent="0.2">
      <c r="P1109" s="68"/>
      <c r="Q1109" s="74"/>
      <c r="R1109" s="74"/>
      <c r="S1109" s="74"/>
      <c r="T1109" s="75"/>
      <c r="U1109" s="76"/>
      <c r="V1109" s="77"/>
      <c r="W1109" s="77"/>
      <c r="X1109" s="76"/>
      <c r="Y1109" s="76"/>
      <c r="Z1109" s="68"/>
      <c r="AA1109" s="68"/>
      <c r="AB1109" s="68"/>
      <c r="AC1109" s="68"/>
      <c r="AD1109" s="68"/>
    </row>
    <row r="1110" spans="16:30" x14ac:dyDescent="0.2">
      <c r="P1110" s="68"/>
      <c r="Q1110" s="74"/>
      <c r="R1110" s="74"/>
      <c r="S1110" s="74"/>
      <c r="T1110" s="75"/>
      <c r="U1110" s="76"/>
      <c r="V1110" s="77"/>
      <c r="W1110" s="77"/>
      <c r="X1110" s="76"/>
      <c r="Y1110" s="76"/>
      <c r="Z1110" s="68"/>
      <c r="AA1110" s="68"/>
      <c r="AB1110" s="68"/>
      <c r="AC1110" s="68"/>
      <c r="AD1110" s="68"/>
    </row>
    <row r="1111" spans="16:30" x14ac:dyDescent="0.2">
      <c r="P1111" s="68"/>
      <c r="Q1111" s="74"/>
      <c r="R1111" s="74"/>
      <c r="S1111" s="74"/>
      <c r="T1111" s="75"/>
      <c r="U1111" s="76"/>
      <c r="V1111" s="77"/>
      <c r="W1111" s="77"/>
      <c r="X1111" s="76"/>
      <c r="Y1111" s="76"/>
      <c r="Z1111" s="68"/>
      <c r="AA1111" s="68"/>
      <c r="AB1111" s="68"/>
      <c r="AC1111" s="68"/>
      <c r="AD1111" s="68"/>
    </row>
    <row r="1112" spans="16:30" x14ac:dyDescent="0.2">
      <c r="P1112" s="68"/>
      <c r="Q1112" s="74"/>
      <c r="R1112" s="74"/>
      <c r="S1112" s="74"/>
      <c r="T1112" s="75"/>
      <c r="U1112" s="76"/>
      <c r="V1112" s="77"/>
      <c r="W1112" s="77"/>
      <c r="X1112" s="76"/>
      <c r="Y1112" s="76"/>
      <c r="Z1112" s="68"/>
      <c r="AA1112" s="68"/>
      <c r="AB1112" s="68"/>
      <c r="AC1112" s="68"/>
      <c r="AD1112" s="68"/>
    </row>
    <row r="1113" spans="16:30" x14ac:dyDescent="0.2">
      <c r="P1113" s="68"/>
      <c r="Q1113" s="74"/>
      <c r="R1113" s="74"/>
      <c r="S1113" s="74"/>
      <c r="T1113" s="75"/>
      <c r="U1113" s="76"/>
      <c r="V1113" s="77"/>
      <c r="W1113" s="77"/>
      <c r="X1113" s="76"/>
      <c r="Y1113" s="76"/>
      <c r="Z1113" s="68"/>
      <c r="AA1113" s="68"/>
      <c r="AB1113" s="68"/>
      <c r="AC1113" s="68"/>
      <c r="AD1113" s="68"/>
    </row>
    <row r="1114" spans="16:30" x14ac:dyDescent="0.2">
      <c r="P1114" s="68"/>
      <c r="Q1114" s="74"/>
      <c r="R1114" s="74"/>
      <c r="S1114" s="74"/>
      <c r="T1114" s="75"/>
      <c r="U1114" s="76"/>
      <c r="V1114" s="77"/>
      <c r="W1114" s="77"/>
      <c r="X1114" s="76"/>
      <c r="Y1114" s="76"/>
      <c r="Z1114" s="68"/>
      <c r="AA1114" s="68"/>
      <c r="AB1114" s="68"/>
      <c r="AC1114" s="68"/>
      <c r="AD1114" s="68"/>
    </row>
    <row r="1115" spans="16:30" x14ac:dyDescent="0.2">
      <c r="P1115" s="68"/>
      <c r="Q1115" s="74"/>
      <c r="R1115" s="74"/>
      <c r="S1115" s="74"/>
      <c r="T1115" s="75"/>
      <c r="U1115" s="76"/>
      <c r="V1115" s="77"/>
      <c r="W1115" s="77"/>
      <c r="X1115" s="76"/>
      <c r="Y1115" s="76"/>
      <c r="Z1115" s="68"/>
      <c r="AA1115" s="68"/>
      <c r="AB1115" s="68"/>
      <c r="AC1115" s="68"/>
      <c r="AD1115" s="68"/>
    </row>
    <row r="1116" spans="16:30" x14ac:dyDescent="0.2">
      <c r="P1116" s="68"/>
      <c r="Q1116" s="74"/>
      <c r="R1116" s="74"/>
      <c r="S1116" s="74"/>
      <c r="T1116" s="75"/>
      <c r="U1116" s="76"/>
      <c r="V1116" s="77"/>
      <c r="W1116" s="77"/>
      <c r="X1116" s="76"/>
      <c r="Y1116" s="76"/>
      <c r="Z1116" s="68"/>
      <c r="AA1116" s="68"/>
      <c r="AB1116" s="68"/>
      <c r="AC1116" s="68"/>
      <c r="AD1116" s="68"/>
    </row>
    <row r="1117" spans="16:30" x14ac:dyDescent="0.2">
      <c r="P1117" s="68"/>
      <c r="Q1117" s="74"/>
      <c r="R1117" s="74"/>
      <c r="S1117" s="74"/>
      <c r="T1117" s="75"/>
      <c r="U1117" s="76"/>
      <c r="V1117" s="77"/>
      <c r="W1117" s="77"/>
      <c r="X1117" s="76"/>
      <c r="Y1117" s="76"/>
      <c r="Z1117" s="68"/>
      <c r="AA1117" s="68"/>
      <c r="AB1117" s="68"/>
      <c r="AC1117" s="68"/>
      <c r="AD1117" s="68"/>
    </row>
    <row r="1118" spans="16:30" x14ac:dyDescent="0.2">
      <c r="P1118" s="68"/>
      <c r="Q1118" s="74"/>
      <c r="R1118" s="74"/>
      <c r="S1118" s="74"/>
      <c r="T1118" s="75"/>
      <c r="U1118" s="76"/>
      <c r="V1118" s="77"/>
      <c r="W1118" s="77"/>
      <c r="X1118" s="76"/>
      <c r="Y1118" s="76"/>
      <c r="Z1118" s="68"/>
      <c r="AA1118" s="68"/>
      <c r="AB1118" s="68"/>
      <c r="AC1118" s="68"/>
      <c r="AD1118" s="68"/>
    </row>
    <row r="1119" spans="16:30" x14ac:dyDescent="0.2">
      <c r="P1119" s="68"/>
      <c r="Q1119" s="74"/>
      <c r="R1119" s="74"/>
      <c r="S1119" s="74"/>
      <c r="T1119" s="75"/>
      <c r="U1119" s="76"/>
      <c r="V1119" s="77"/>
      <c r="W1119" s="77"/>
      <c r="X1119" s="76"/>
      <c r="Y1119" s="76"/>
      <c r="Z1119" s="68"/>
      <c r="AA1119" s="68"/>
      <c r="AB1119" s="68"/>
      <c r="AC1119" s="68"/>
      <c r="AD1119" s="68"/>
    </row>
    <row r="1120" spans="16:30" x14ac:dyDescent="0.2">
      <c r="P1120" s="68"/>
      <c r="Q1120" s="74"/>
      <c r="R1120" s="74"/>
      <c r="S1120" s="74"/>
      <c r="T1120" s="75"/>
      <c r="U1120" s="76"/>
      <c r="V1120" s="77"/>
      <c r="W1120" s="77"/>
      <c r="X1120" s="76"/>
      <c r="Y1120" s="76"/>
      <c r="Z1120" s="68"/>
      <c r="AA1120" s="68"/>
      <c r="AB1120" s="68"/>
      <c r="AC1120" s="68"/>
      <c r="AD1120" s="68"/>
    </row>
    <row r="1121" spans="16:30" x14ac:dyDescent="0.2">
      <c r="P1121" s="68"/>
      <c r="Q1121" s="74"/>
      <c r="R1121" s="74"/>
      <c r="S1121" s="74"/>
      <c r="T1121" s="75"/>
      <c r="U1121" s="76"/>
      <c r="V1121" s="77"/>
      <c r="W1121" s="77"/>
      <c r="X1121" s="76"/>
      <c r="Y1121" s="76"/>
      <c r="Z1121" s="68"/>
      <c r="AA1121" s="68"/>
      <c r="AB1121" s="68"/>
      <c r="AC1121" s="68"/>
      <c r="AD1121" s="68"/>
    </row>
    <row r="1122" spans="16:30" x14ac:dyDescent="0.2">
      <c r="P1122" s="68"/>
      <c r="Q1122" s="74"/>
      <c r="R1122" s="74"/>
      <c r="S1122" s="74"/>
      <c r="T1122" s="75"/>
      <c r="U1122" s="76"/>
      <c r="V1122" s="77"/>
      <c r="W1122" s="77"/>
      <c r="X1122" s="76"/>
      <c r="Y1122" s="76"/>
      <c r="Z1122" s="68"/>
      <c r="AA1122" s="68"/>
      <c r="AB1122" s="68"/>
      <c r="AC1122" s="68"/>
      <c r="AD1122" s="68"/>
    </row>
    <row r="1123" spans="16:30" x14ac:dyDescent="0.2">
      <c r="P1123" s="68"/>
      <c r="Q1123" s="74"/>
      <c r="R1123" s="74"/>
      <c r="S1123" s="74"/>
      <c r="T1123" s="75"/>
      <c r="U1123" s="76"/>
      <c r="V1123" s="77"/>
      <c r="W1123" s="77"/>
      <c r="X1123" s="76"/>
      <c r="Y1123" s="76"/>
      <c r="Z1123" s="68"/>
      <c r="AA1123" s="68"/>
      <c r="AB1123" s="68"/>
      <c r="AC1123" s="68"/>
      <c r="AD1123" s="68"/>
    </row>
    <row r="1124" spans="16:30" x14ac:dyDescent="0.2">
      <c r="P1124" s="68"/>
      <c r="Q1124" s="74"/>
      <c r="R1124" s="74"/>
      <c r="S1124" s="74"/>
      <c r="T1124" s="75"/>
      <c r="U1124" s="76"/>
      <c r="V1124" s="77"/>
      <c r="W1124" s="77"/>
      <c r="X1124" s="76"/>
      <c r="Y1124" s="76"/>
      <c r="Z1124" s="68"/>
      <c r="AA1124" s="68"/>
      <c r="AB1124" s="68"/>
      <c r="AC1124" s="68"/>
      <c r="AD1124" s="68"/>
    </row>
    <row r="1125" spans="16:30" x14ac:dyDescent="0.2">
      <c r="P1125" s="68"/>
      <c r="Q1125" s="74"/>
      <c r="R1125" s="74"/>
      <c r="S1125" s="74"/>
      <c r="T1125" s="75"/>
      <c r="U1125" s="76"/>
      <c r="V1125" s="77"/>
      <c r="W1125" s="77"/>
      <c r="X1125" s="76"/>
      <c r="Y1125" s="76"/>
      <c r="Z1125" s="68"/>
      <c r="AA1125" s="68"/>
      <c r="AB1125" s="68"/>
      <c r="AC1125" s="68"/>
      <c r="AD1125" s="68"/>
    </row>
    <row r="1126" spans="16:30" x14ac:dyDescent="0.2">
      <c r="P1126" s="68"/>
      <c r="Q1126" s="74"/>
      <c r="R1126" s="74"/>
      <c r="S1126" s="74"/>
      <c r="T1126" s="75"/>
      <c r="U1126" s="76"/>
      <c r="V1126" s="77"/>
      <c r="W1126" s="77"/>
      <c r="X1126" s="76"/>
      <c r="Y1126" s="76"/>
      <c r="Z1126" s="68"/>
      <c r="AA1126" s="68"/>
      <c r="AB1126" s="68"/>
      <c r="AC1126" s="68"/>
      <c r="AD1126" s="68"/>
    </row>
    <row r="1127" spans="16:30" x14ac:dyDescent="0.2">
      <c r="P1127" s="68"/>
      <c r="Q1127" s="74"/>
      <c r="R1127" s="74"/>
      <c r="S1127" s="74"/>
      <c r="T1127" s="75"/>
      <c r="U1127" s="76"/>
      <c r="V1127" s="77"/>
      <c r="W1127" s="77"/>
      <c r="X1127" s="76"/>
      <c r="Y1127" s="76"/>
      <c r="Z1127" s="68"/>
      <c r="AA1127" s="68"/>
      <c r="AB1127" s="68"/>
      <c r="AC1127" s="68"/>
      <c r="AD1127" s="68"/>
    </row>
    <row r="1128" spans="16:30" x14ac:dyDescent="0.2">
      <c r="P1128" s="68"/>
      <c r="Q1128" s="74"/>
      <c r="R1128" s="74"/>
      <c r="S1128" s="74"/>
      <c r="T1128" s="75"/>
      <c r="U1128" s="76"/>
      <c r="V1128" s="77"/>
      <c r="W1128" s="77"/>
      <c r="X1128" s="76"/>
      <c r="Y1128" s="76"/>
      <c r="Z1128" s="68"/>
      <c r="AA1128" s="68"/>
      <c r="AB1128" s="68"/>
      <c r="AC1128" s="68"/>
      <c r="AD1128" s="68"/>
    </row>
    <row r="1129" spans="16:30" x14ac:dyDescent="0.2">
      <c r="P1129" s="68"/>
      <c r="Q1129" s="74"/>
      <c r="R1129" s="74"/>
      <c r="S1129" s="74"/>
      <c r="T1129" s="75"/>
      <c r="U1129" s="76"/>
      <c r="V1129" s="77"/>
      <c r="W1129" s="77"/>
      <c r="X1129" s="76"/>
      <c r="Y1129" s="76"/>
      <c r="Z1129" s="68"/>
      <c r="AA1129" s="68"/>
      <c r="AB1129" s="68"/>
      <c r="AC1129" s="68"/>
      <c r="AD1129" s="68"/>
    </row>
    <row r="1130" spans="16:30" x14ac:dyDescent="0.2">
      <c r="P1130" s="68"/>
      <c r="Q1130" s="74"/>
      <c r="R1130" s="74"/>
      <c r="S1130" s="74"/>
      <c r="T1130" s="75"/>
      <c r="U1130" s="76"/>
      <c r="V1130" s="77"/>
      <c r="W1130" s="77"/>
      <c r="X1130" s="76"/>
      <c r="Y1130" s="76"/>
      <c r="Z1130" s="68"/>
      <c r="AA1130" s="68"/>
      <c r="AB1130" s="68"/>
      <c r="AC1130" s="68"/>
      <c r="AD1130" s="68"/>
    </row>
    <row r="1131" spans="16:30" x14ac:dyDescent="0.2">
      <c r="P1131" s="68"/>
      <c r="Q1131" s="74"/>
      <c r="R1131" s="74"/>
      <c r="S1131" s="74"/>
      <c r="T1131" s="75"/>
      <c r="U1131" s="76"/>
      <c r="V1131" s="77"/>
      <c r="W1131" s="77"/>
      <c r="X1131" s="76"/>
      <c r="Y1131" s="76"/>
      <c r="Z1131" s="68"/>
      <c r="AA1131" s="68"/>
      <c r="AB1131" s="68"/>
      <c r="AC1131" s="68"/>
      <c r="AD1131" s="68"/>
    </row>
    <row r="1132" spans="16:30" x14ac:dyDescent="0.2">
      <c r="P1132" s="68"/>
      <c r="Q1132" s="74"/>
      <c r="R1132" s="74"/>
      <c r="S1132" s="74"/>
      <c r="T1132" s="75"/>
      <c r="U1132" s="76"/>
      <c r="V1132" s="77"/>
      <c r="W1132" s="77"/>
      <c r="X1132" s="76"/>
      <c r="Y1132" s="76"/>
      <c r="Z1132" s="68"/>
      <c r="AA1132" s="68"/>
      <c r="AB1132" s="68"/>
      <c r="AC1132" s="68"/>
      <c r="AD1132" s="68"/>
    </row>
    <row r="1133" spans="16:30" x14ac:dyDescent="0.2">
      <c r="P1133" s="68"/>
      <c r="Q1133" s="74"/>
      <c r="R1133" s="74"/>
      <c r="S1133" s="74"/>
      <c r="T1133" s="75"/>
      <c r="U1133" s="76"/>
      <c r="V1133" s="77"/>
      <c r="W1133" s="77"/>
      <c r="X1133" s="76"/>
      <c r="Y1133" s="76"/>
      <c r="Z1133" s="68"/>
      <c r="AA1133" s="68"/>
      <c r="AB1133" s="68"/>
      <c r="AC1133" s="68"/>
      <c r="AD1133" s="68"/>
    </row>
    <row r="1134" spans="16:30" x14ac:dyDescent="0.2">
      <c r="P1134" s="68"/>
      <c r="Q1134" s="74"/>
      <c r="R1134" s="74"/>
      <c r="S1134" s="74"/>
      <c r="T1134" s="75"/>
      <c r="U1134" s="76"/>
      <c r="V1134" s="77"/>
      <c r="W1134" s="77"/>
      <c r="X1134" s="76"/>
      <c r="Y1134" s="76"/>
      <c r="Z1134" s="68"/>
      <c r="AA1134" s="68"/>
      <c r="AB1134" s="68"/>
      <c r="AC1134" s="68"/>
      <c r="AD1134" s="68"/>
    </row>
    <row r="1135" spans="16:30" x14ac:dyDescent="0.2">
      <c r="P1135" s="68"/>
      <c r="Q1135" s="74"/>
      <c r="R1135" s="74"/>
      <c r="S1135" s="74"/>
      <c r="T1135" s="75"/>
      <c r="U1135" s="76"/>
      <c r="V1135" s="77"/>
      <c r="W1135" s="77"/>
      <c r="X1135" s="76"/>
      <c r="Y1135" s="76"/>
      <c r="Z1135" s="68"/>
      <c r="AA1135" s="68"/>
      <c r="AB1135" s="68"/>
      <c r="AC1135" s="68"/>
      <c r="AD1135" s="68"/>
    </row>
    <row r="1136" spans="16:30" x14ac:dyDescent="0.2">
      <c r="P1136" s="68"/>
      <c r="Q1136" s="74"/>
      <c r="R1136" s="74"/>
      <c r="S1136" s="74"/>
      <c r="T1136" s="75"/>
      <c r="U1136" s="76"/>
      <c r="V1136" s="77"/>
      <c r="W1136" s="77"/>
      <c r="X1136" s="76"/>
      <c r="Y1136" s="76"/>
      <c r="Z1136" s="68"/>
      <c r="AA1136" s="68"/>
      <c r="AB1136" s="68"/>
      <c r="AC1136" s="68"/>
      <c r="AD1136" s="68"/>
    </row>
    <row r="1137" spans="16:30" x14ac:dyDescent="0.2">
      <c r="P1137" s="68"/>
      <c r="Q1137" s="74"/>
      <c r="R1137" s="74"/>
      <c r="S1137" s="74"/>
      <c r="T1137" s="75"/>
      <c r="U1137" s="76"/>
      <c r="V1137" s="77"/>
      <c r="W1137" s="77"/>
      <c r="X1137" s="76"/>
      <c r="Y1137" s="76"/>
      <c r="Z1137" s="68"/>
      <c r="AA1137" s="68"/>
      <c r="AB1137" s="68"/>
      <c r="AC1137" s="68"/>
      <c r="AD1137" s="68"/>
    </row>
    <row r="1138" spans="16:30" x14ac:dyDescent="0.2">
      <c r="P1138" s="68"/>
      <c r="Q1138" s="74"/>
      <c r="R1138" s="74"/>
      <c r="S1138" s="74"/>
      <c r="T1138" s="75"/>
      <c r="U1138" s="76"/>
      <c r="V1138" s="77"/>
      <c r="W1138" s="77"/>
      <c r="X1138" s="76"/>
      <c r="Y1138" s="76"/>
      <c r="Z1138" s="68"/>
      <c r="AA1138" s="68"/>
      <c r="AB1138" s="68"/>
      <c r="AC1138" s="68"/>
      <c r="AD1138" s="68"/>
    </row>
    <row r="1139" spans="16:30" x14ac:dyDescent="0.2">
      <c r="P1139" s="68"/>
      <c r="Q1139" s="74"/>
      <c r="R1139" s="74"/>
      <c r="S1139" s="74"/>
      <c r="T1139" s="75"/>
      <c r="U1139" s="76"/>
      <c r="V1139" s="77"/>
      <c r="W1139" s="77"/>
      <c r="X1139" s="76"/>
      <c r="Y1139" s="76"/>
      <c r="Z1139" s="68"/>
      <c r="AA1139" s="68"/>
      <c r="AB1139" s="68"/>
      <c r="AC1139" s="68"/>
      <c r="AD1139" s="68"/>
    </row>
    <row r="1140" spans="16:30" x14ac:dyDescent="0.2">
      <c r="P1140" s="68"/>
      <c r="Q1140" s="74"/>
      <c r="R1140" s="74"/>
      <c r="S1140" s="74"/>
      <c r="T1140" s="75"/>
      <c r="U1140" s="76"/>
      <c r="V1140" s="77"/>
      <c r="W1140" s="77"/>
      <c r="X1140" s="76"/>
      <c r="Y1140" s="76"/>
      <c r="Z1140" s="68"/>
      <c r="AA1140" s="68"/>
      <c r="AB1140" s="68"/>
      <c r="AC1140" s="68"/>
      <c r="AD1140" s="68"/>
    </row>
    <row r="1141" spans="16:30" x14ac:dyDescent="0.2">
      <c r="P1141" s="68"/>
      <c r="Q1141" s="74"/>
      <c r="R1141" s="74"/>
      <c r="S1141" s="74"/>
      <c r="T1141" s="75"/>
      <c r="U1141" s="76"/>
      <c r="V1141" s="77"/>
      <c r="W1141" s="77"/>
      <c r="X1141" s="76"/>
      <c r="Y1141" s="76"/>
      <c r="Z1141" s="68"/>
      <c r="AA1141" s="68"/>
      <c r="AB1141" s="68"/>
      <c r="AC1141" s="68"/>
      <c r="AD1141" s="68"/>
    </row>
    <row r="1142" spans="16:30" x14ac:dyDescent="0.2">
      <c r="P1142" s="68"/>
      <c r="Q1142" s="74"/>
      <c r="R1142" s="74"/>
      <c r="S1142" s="74"/>
      <c r="T1142" s="75"/>
      <c r="U1142" s="76"/>
      <c r="V1142" s="77"/>
      <c r="W1142" s="77"/>
      <c r="X1142" s="76"/>
      <c r="Y1142" s="76"/>
      <c r="Z1142" s="68"/>
      <c r="AA1142" s="68"/>
      <c r="AB1142" s="68"/>
      <c r="AC1142" s="68"/>
      <c r="AD1142" s="68"/>
    </row>
    <row r="1143" spans="16:30" x14ac:dyDescent="0.2">
      <c r="P1143" s="68"/>
      <c r="Q1143" s="74"/>
      <c r="R1143" s="74"/>
      <c r="S1143" s="74"/>
      <c r="T1143" s="75"/>
      <c r="U1143" s="76"/>
      <c r="V1143" s="77"/>
      <c r="W1143" s="77"/>
      <c r="X1143" s="76"/>
      <c r="Y1143" s="76"/>
      <c r="Z1143" s="68"/>
      <c r="AA1143" s="68"/>
      <c r="AB1143" s="68"/>
      <c r="AC1143" s="68"/>
      <c r="AD1143" s="68"/>
    </row>
    <row r="1144" spans="16:30" x14ac:dyDescent="0.2">
      <c r="P1144" s="68"/>
      <c r="Q1144" s="74"/>
      <c r="R1144" s="74"/>
      <c r="S1144" s="74"/>
      <c r="T1144" s="75"/>
      <c r="U1144" s="76"/>
      <c r="V1144" s="77"/>
      <c r="W1144" s="77"/>
      <c r="X1144" s="76"/>
      <c r="Y1144" s="76"/>
      <c r="Z1144" s="68"/>
      <c r="AA1144" s="68"/>
      <c r="AB1144" s="68"/>
      <c r="AC1144" s="68"/>
      <c r="AD1144" s="68"/>
    </row>
    <row r="1145" spans="16:30" x14ac:dyDescent="0.2">
      <c r="P1145" s="68"/>
      <c r="Q1145" s="74"/>
      <c r="R1145" s="74"/>
      <c r="S1145" s="74"/>
      <c r="T1145" s="75"/>
      <c r="U1145" s="76"/>
      <c r="V1145" s="77"/>
      <c r="W1145" s="77"/>
      <c r="X1145" s="76"/>
      <c r="Y1145" s="76"/>
      <c r="Z1145" s="68"/>
      <c r="AA1145" s="68"/>
      <c r="AB1145" s="68"/>
      <c r="AC1145" s="68"/>
      <c r="AD1145" s="68"/>
    </row>
    <row r="1146" spans="16:30" x14ac:dyDescent="0.2">
      <c r="P1146" s="68"/>
      <c r="Q1146" s="74"/>
      <c r="R1146" s="74"/>
      <c r="S1146" s="74"/>
      <c r="T1146" s="75"/>
      <c r="U1146" s="76"/>
      <c r="V1146" s="77"/>
      <c r="W1146" s="77"/>
      <c r="X1146" s="76"/>
      <c r="Y1146" s="76"/>
      <c r="Z1146" s="68"/>
      <c r="AA1146" s="68"/>
      <c r="AB1146" s="68"/>
      <c r="AC1146" s="68"/>
      <c r="AD1146" s="68"/>
    </row>
    <row r="1147" spans="16:30" x14ac:dyDescent="0.2">
      <c r="P1147" s="68"/>
      <c r="Q1147" s="74"/>
      <c r="R1147" s="74"/>
      <c r="S1147" s="74"/>
      <c r="T1147" s="75"/>
      <c r="U1147" s="76"/>
      <c r="V1147" s="77"/>
      <c r="W1147" s="77"/>
      <c r="X1147" s="76"/>
      <c r="Y1147" s="76"/>
      <c r="Z1147" s="68"/>
      <c r="AA1147" s="68"/>
      <c r="AB1147" s="68"/>
      <c r="AC1147" s="68"/>
      <c r="AD1147" s="68"/>
    </row>
    <row r="1148" spans="16:30" x14ac:dyDescent="0.2">
      <c r="P1148" s="68"/>
      <c r="Q1148" s="74"/>
      <c r="R1148" s="74"/>
      <c r="S1148" s="74"/>
      <c r="T1148" s="75"/>
      <c r="U1148" s="76"/>
      <c r="V1148" s="77"/>
      <c r="W1148" s="77"/>
      <c r="X1148" s="76"/>
      <c r="Y1148" s="76"/>
      <c r="Z1148" s="68"/>
      <c r="AA1148" s="68"/>
      <c r="AB1148" s="68"/>
      <c r="AC1148" s="68"/>
      <c r="AD1148" s="68"/>
    </row>
    <row r="1149" spans="16:30" x14ac:dyDescent="0.2">
      <c r="P1149" s="68"/>
      <c r="Q1149" s="74"/>
      <c r="R1149" s="74"/>
      <c r="S1149" s="74"/>
      <c r="T1149" s="75"/>
      <c r="U1149" s="76"/>
      <c r="V1149" s="77"/>
      <c r="W1149" s="77"/>
      <c r="X1149" s="76"/>
      <c r="Y1149" s="76"/>
      <c r="Z1149" s="68"/>
      <c r="AA1149" s="68"/>
      <c r="AB1149" s="68"/>
      <c r="AC1149" s="68"/>
      <c r="AD1149" s="68"/>
    </row>
    <row r="1150" spans="16:30" x14ac:dyDescent="0.2">
      <c r="P1150" s="68"/>
      <c r="Q1150" s="74"/>
      <c r="R1150" s="74"/>
      <c r="S1150" s="74"/>
      <c r="T1150" s="75"/>
      <c r="U1150" s="76"/>
      <c r="V1150" s="77"/>
      <c r="W1150" s="77"/>
      <c r="X1150" s="76"/>
      <c r="Y1150" s="76"/>
      <c r="Z1150" s="68"/>
      <c r="AA1150" s="68"/>
      <c r="AB1150" s="68"/>
      <c r="AC1150" s="68"/>
      <c r="AD1150" s="68"/>
    </row>
    <row r="1151" spans="16:30" x14ac:dyDescent="0.2">
      <c r="P1151" s="68"/>
      <c r="Q1151" s="74"/>
      <c r="R1151" s="74"/>
      <c r="S1151" s="74"/>
      <c r="T1151" s="75"/>
      <c r="U1151" s="76"/>
      <c r="V1151" s="77"/>
      <c r="W1151" s="77"/>
      <c r="X1151" s="76"/>
      <c r="Y1151" s="76"/>
      <c r="Z1151" s="68"/>
      <c r="AA1151" s="68"/>
      <c r="AB1151" s="68"/>
      <c r="AC1151" s="68"/>
      <c r="AD1151" s="68"/>
    </row>
    <row r="1152" spans="16:30" x14ac:dyDescent="0.2">
      <c r="P1152" s="68"/>
      <c r="Q1152" s="74"/>
      <c r="R1152" s="74"/>
      <c r="S1152" s="74"/>
      <c r="T1152" s="75"/>
      <c r="U1152" s="76"/>
      <c r="V1152" s="77"/>
      <c r="W1152" s="77"/>
      <c r="X1152" s="76"/>
      <c r="Y1152" s="76"/>
      <c r="Z1152" s="68"/>
      <c r="AA1152" s="68"/>
      <c r="AB1152" s="68"/>
      <c r="AC1152" s="68"/>
      <c r="AD1152" s="68"/>
    </row>
    <row r="1153" spans="16:30" x14ac:dyDescent="0.2">
      <c r="P1153" s="68"/>
      <c r="Q1153" s="74"/>
      <c r="R1153" s="74"/>
      <c r="S1153" s="74"/>
      <c r="T1153" s="75"/>
      <c r="U1153" s="76"/>
      <c r="V1153" s="77"/>
      <c r="W1153" s="77"/>
      <c r="X1153" s="76"/>
      <c r="Y1153" s="76"/>
      <c r="Z1153" s="68"/>
      <c r="AA1153" s="68"/>
      <c r="AB1153" s="68"/>
      <c r="AC1153" s="68"/>
      <c r="AD1153" s="68"/>
    </row>
    <row r="1154" spans="16:30" x14ac:dyDescent="0.2">
      <c r="P1154" s="68"/>
      <c r="Q1154" s="74"/>
      <c r="R1154" s="74"/>
      <c r="S1154" s="74"/>
      <c r="T1154" s="75"/>
      <c r="U1154" s="76"/>
      <c r="V1154" s="77"/>
      <c r="W1154" s="77"/>
      <c r="X1154" s="76"/>
      <c r="Y1154" s="76"/>
      <c r="Z1154" s="68"/>
      <c r="AA1154" s="68"/>
      <c r="AB1154" s="68"/>
      <c r="AC1154" s="68"/>
      <c r="AD1154" s="68"/>
    </row>
    <row r="1155" spans="16:30" x14ac:dyDescent="0.2">
      <c r="P1155" s="68"/>
      <c r="Q1155" s="74"/>
      <c r="R1155" s="74"/>
      <c r="S1155" s="74"/>
      <c r="T1155" s="75"/>
      <c r="U1155" s="76"/>
      <c r="V1155" s="77"/>
      <c r="W1155" s="77"/>
      <c r="X1155" s="76"/>
      <c r="Y1155" s="76"/>
      <c r="Z1155" s="68"/>
      <c r="AA1155" s="68"/>
      <c r="AB1155" s="68"/>
      <c r="AC1155" s="68"/>
      <c r="AD1155" s="68"/>
    </row>
    <row r="1156" spans="16:30" x14ac:dyDescent="0.2">
      <c r="P1156" s="68"/>
      <c r="Q1156" s="74"/>
      <c r="R1156" s="74"/>
      <c r="S1156" s="74"/>
      <c r="T1156" s="75"/>
      <c r="U1156" s="76"/>
      <c r="V1156" s="77"/>
      <c r="W1156" s="77"/>
      <c r="X1156" s="76"/>
      <c r="Y1156" s="76"/>
      <c r="Z1156" s="68"/>
      <c r="AA1156" s="68"/>
      <c r="AB1156" s="68"/>
      <c r="AC1156" s="68"/>
      <c r="AD1156" s="68"/>
    </row>
    <row r="1157" spans="16:30" x14ac:dyDescent="0.2">
      <c r="P1157" s="68"/>
      <c r="Q1157" s="74"/>
      <c r="R1157" s="74"/>
      <c r="S1157" s="74"/>
      <c r="T1157" s="75"/>
      <c r="U1157" s="76"/>
      <c r="V1157" s="77"/>
      <c r="W1157" s="77"/>
      <c r="X1157" s="76"/>
      <c r="Y1157" s="76"/>
      <c r="Z1157" s="68"/>
      <c r="AA1157" s="68"/>
      <c r="AB1157" s="68"/>
      <c r="AC1157" s="68"/>
      <c r="AD1157" s="68"/>
    </row>
    <row r="1158" spans="16:30" x14ac:dyDescent="0.2">
      <c r="P1158" s="68"/>
      <c r="Q1158" s="74"/>
      <c r="R1158" s="74"/>
      <c r="S1158" s="74"/>
      <c r="T1158" s="75"/>
      <c r="U1158" s="76"/>
      <c r="V1158" s="77"/>
      <c r="W1158" s="77"/>
      <c r="X1158" s="76"/>
      <c r="Y1158" s="76"/>
      <c r="Z1158" s="68"/>
      <c r="AA1158" s="68"/>
      <c r="AB1158" s="68"/>
      <c r="AC1158" s="68"/>
      <c r="AD1158" s="68"/>
    </row>
    <row r="1159" spans="16:30" x14ac:dyDescent="0.2">
      <c r="P1159" s="68"/>
      <c r="Q1159" s="74"/>
      <c r="R1159" s="74"/>
      <c r="S1159" s="74"/>
      <c r="T1159" s="75"/>
      <c r="U1159" s="76"/>
      <c r="V1159" s="77"/>
      <c r="W1159" s="77"/>
      <c r="X1159" s="76"/>
      <c r="Y1159" s="76"/>
      <c r="Z1159" s="68"/>
      <c r="AA1159" s="68"/>
      <c r="AB1159" s="68"/>
      <c r="AC1159" s="68"/>
      <c r="AD1159" s="68"/>
    </row>
    <row r="1160" spans="16:30" x14ac:dyDescent="0.2">
      <c r="P1160" s="68"/>
      <c r="Q1160" s="74"/>
      <c r="R1160" s="74"/>
      <c r="S1160" s="74"/>
      <c r="T1160" s="75"/>
      <c r="U1160" s="76"/>
      <c r="V1160" s="77"/>
      <c r="W1160" s="77"/>
      <c r="X1160" s="76"/>
      <c r="Y1160" s="76"/>
      <c r="Z1160" s="68"/>
      <c r="AA1160" s="68"/>
      <c r="AB1160" s="68"/>
      <c r="AC1160" s="68"/>
      <c r="AD1160" s="68"/>
    </row>
    <row r="1161" spans="16:30" x14ac:dyDescent="0.2">
      <c r="P1161" s="68"/>
      <c r="Q1161" s="74"/>
      <c r="R1161" s="74"/>
      <c r="S1161" s="74"/>
      <c r="T1161" s="75"/>
      <c r="U1161" s="76"/>
      <c r="V1161" s="77"/>
      <c r="W1161" s="77"/>
      <c r="X1161" s="76"/>
      <c r="Y1161" s="76"/>
      <c r="Z1161" s="68"/>
      <c r="AA1161" s="68"/>
      <c r="AB1161" s="68"/>
      <c r="AC1161" s="68"/>
      <c r="AD1161" s="68"/>
    </row>
    <row r="1162" spans="16:30" x14ac:dyDescent="0.2">
      <c r="P1162" s="68"/>
      <c r="Q1162" s="74"/>
      <c r="R1162" s="74"/>
      <c r="S1162" s="74"/>
      <c r="T1162" s="75"/>
      <c r="U1162" s="76"/>
      <c r="V1162" s="77"/>
      <c r="W1162" s="77"/>
      <c r="X1162" s="76"/>
      <c r="Y1162" s="76"/>
      <c r="Z1162" s="68"/>
      <c r="AA1162" s="68"/>
      <c r="AB1162" s="68"/>
      <c r="AC1162" s="68"/>
      <c r="AD1162" s="68"/>
    </row>
    <row r="1163" spans="16:30" x14ac:dyDescent="0.2">
      <c r="P1163" s="68"/>
      <c r="Q1163" s="74"/>
      <c r="R1163" s="74"/>
      <c r="S1163" s="74"/>
      <c r="T1163" s="75"/>
      <c r="U1163" s="76"/>
      <c r="V1163" s="77"/>
      <c r="W1163" s="77"/>
      <c r="X1163" s="76"/>
      <c r="Y1163" s="76"/>
      <c r="Z1163" s="68"/>
      <c r="AA1163" s="68"/>
      <c r="AB1163" s="68"/>
      <c r="AC1163" s="68"/>
      <c r="AD1163" s="68"/>
    </row>
    <row r="1164" spans="16:30" x14ac:dyDescent="0.2">
      <c r="P1164" s="68"/>
      <c r="Q1164" s="74"/>
      <c r="R1164" s="74"/>
      <c r="S1164" s="74"/>
      <c r="T1164" s="75"/>
      <c r="U1164" s="76"/>
      <c r="V1164" s="77"/>
      <c r="W1164" s="77"/>
      <c r="X1164" s="76"/>
      <c r="Y1164" s="76"/>
      <c r="Z1164" s="68"/>
      <c r="AA1164" s="68"/>
      <c r="AB1164" s="68"/>
      <c r="AC1164" s="68"/>
      <c r="AD1164" s="68"/>
    </row>
    <row r="1165" spans="16:30" x14ac:dyDescent="0.2">
      <c r="P1165" s="68"/>
      <c r="Q1165" s="74"/>
      <c r="R1165" s="74"/>
      <c r="S1165" s="74"/>
      <c r="T1165" s="75"/>
      <c r="U1165" s="76"/>
      <c r="V1165" s="77"/>
      <c r="W1165" s="77"/>
      <c r="X1165" s="76"/>
      <c r="Y1165" s="76"/>
      <c r="Z1165" s="68"/>
      <c r="AA1165" s="68"/>
      <c r="AB1165" s="68"/>
      <c r="AC1165" s="68"/>
      <c r="AD1165" s="68"/>
    </row>
    <row r="1166" spans="16:30" x14ac:dyDescent="0.2">
      <c r="P1166" s="68"/>
      <c r="Q1166" s="74"/>
      <c r="R1166" s="74"/>
      <c r="S1166" s="74"/>
      <c r="T1166" s="75"/>
      <c r="U1166" s="76"/>
      <c r="V1166" s="77"/>
      <c r="W1166" s="77"/>
      <c r="X1166" s="76"/>
      <c r="Y1166" s="76"/>
      <c r="Z1166" s="68"/>
      <c r="AA1166" s="68"/>
      <c r="AB1166" s="68"/>
      <c r="AC1166" s="68"/>
      <c r="AD1166" s="68"/>
    </row>
    <row r="1167" spans="16:30" x14ac:dyDescent="0.2">
      <c r="P1167" s="68"/>
      <c r="Q1167" s="74"/>
      <c r="R1167" s="74"/>
      <c r="S1167" s="74"/>
      <c r="T1167" s="75"/>
      <c r="U1167" s="76"/>
      <c r="V1167" s="77"/>
      <c r="W1167" s="77"/>
      <c r="X1167" s="76"/>
      <c r="Y1167" s="76"/>
      <c r="Z1167" s="68"/>
      <c r="AA1167" s="68"/>
      <c r="AB1167" s="68"/>
      <c r="AC1167" s="68"/>
      <c r="AD1167" s="68"/>
    </row>
    <row r="1168" spans="16:30" x14ac:dyDescent="0.2">
      <c r="P1168" s="68"/>
      <c r="Q1168" s="74"/>
      <c r="R1168" s="74"/>
      <c r="S1168" s="74"/>
      <c r="T1168" s="75"/>
      <c r="U1168" s="76"/>
      <c r="V1168" s="77"/>
      <c r="W1168" s="77"/>
      <c r="X1168" s="76"/>
      <c r="Y1168" s="76"/>
      <c r="Z1168" s="68"/>
      <c r="AA1168" s="68"/>
      <c r="AB1168" s="68"/>
      <c r="AC1168" s="68"/>
      <c r="AD1168" s="68"/>
    </row>
    <row r="1169" spans="16:30" x14ac:dyDescent="0.2">
      <c r="P1169" s="68"/>
      <c r="Q1169" s="74"/>
      <c r="R1169" s="74"/>
      <c r="S1169" s="74"/>
      <c r="T1169" s="75"/>
      <c r="U1169" s="76"/>
      <c r="V1169" s="77"/>
      <c r="W1169" s="77"/>
      <c r="X1169" s="76"/>
      <c r="Y1169" s="76"/>
      <c r="Z1169" s="68"/>
      <c r="AA1169" s="68"/>
      <c r="AB1169" s="68"/>
      <c r="AC1169" s="68"/>
      <c r="AD1169" s="68"/>
    </row>
    <row r="1170" spans="16:30" x14ac:dyDescent="0.2">
      <c r="P1170" s="68"/>
      <c r="Q1170" s="74"/>
      <c r="R1170" s="74"/>
      <c r="S1170" s="74"/>
      <c r="T1170" s="75"/>
      <c r="U1170" s="76"/>
      <c r="V1170" s="77"/>
      <c r="W1170" s="77"/>
      <c r="X1170" s="76"/>
      <c r="Y1170" s="76"/>
      <c r="Z1170" s="68"/>
      <c r="AA1170" s="68"/>
      <c r="AB1170" s="68"/>
      <c r="AC1170" s="68"/>
      <c r="AD1170" s="68"/>
    </row>
    <row r="1171" spans="16:30" x14ac:dyDescent="0.2">
      <c r="P1171" s="68"/>
      <c r="Q1171" s="74"/>
      <c r="R1171" s="74"/>
      <c r="S1171" s="74"/>
      <c r="T1171" s="75"/>
      <c r="U1171" s="76"/>
      <c r="V1171" s="77"/>
      <c r="W1171" s="77"/>
      <c r="X1171" s="76"/>
      <c r="Y1171" s="76"/>
      <c r="Z1171" s="68"/>
      <c r="AA1171" s="68"/>
      <c r="AB1171" s="68"/>
      <c r="AC1171" s="68"/>
      <c r="AD1171" s="68"/>
    </row>
    <row r="1172" spans="16:30" x14ac:dyDescent="0.2">
      <c r="P1172" s="68"/>
      <c r="Q1172" s="74"/>
      <c r="R1172" s="74"/>
      <c r="S1172" s="74"/>
      <c r="T1172" s="75"/>
      <c r="U1172" s="76"/>
      <c r="V1172" s="77"/>
      <c r="W1172" s="77"/>
      <c r="X1172" s="76"/>
      <c r="Y1172" s="76"/>
      <c r="Z1172" s="68"/>
      <c r="AA1172" s="68"/>
      <c r="AB1172" s="68"/>
      <c r="AC1172" s="68"/>
      <c r="AD1172" s="68"/>
    </row>
    <row r="1173" spans="16:30" x14ac:dyDescent="0.2">
      <c r="P1173" s="68"/>
      <c r="Q1173" s="74"/>
      <c r="R1173" s="74"/>
      <c r="S1173" s="74"/>
      <c r="T1173" s="75"/>
      <c r="U1173" s="76"/>
      <c r="V1173" s="77"/>
      <c r="W1173" s="77"/>
      <c r="X1173" s="76"/>
      <c r="Y1173" s="76"/>
      <c r="Z1173" s="68"/>
      <c r="AA1173" s="68"/>
      <c r="AB1173" s="68"/>
      <c r="AC1173" s="68"/>
      <c r="AD1173" s="68"/>
    </row>
    <row r="1174" spans="16:30" x14ac:dyDescent="0.2">
      <c r="P1174" s="68"/>
      <c r="Q1174" s="74"/>
      <c r="R1174" s="74"/>
      <c r="S1174" s="74"/>
      <c r="T1174" s="75"/>
      <c r="U1174" s="76"/>
      <c r="V1174" s="77"/>
      <c r="W1174" s="77"/>
      <c r="X1174" s="76"/>
      <c r="Y1174" s="76"/>
      <c r="Z1174" s="68"/>
      <c r="AA1174" s="68"/>
      <c r="AB1174" s="68"/>
      <c r="AC1174" s="68"/>
      <c r="AD1174" s="68"/>
    </row>
    <row r="1175" spans="16:30" x14ac:dyDescent="0.2">
      <c r="P1175" s="68"/>
      <c r="Q1175" s="74"/>
      <c r="R1175" s="74"/>
      <c r="S1175" s="74"/>
      <c r="T1175" s="75"/>
      <c r="U1175" s="76"/>
      <c r="V1175" s="77"/>
      <c r="W1175" s="77"/>
      <c r="X1175" s="76"/>
      <c r="Y1175" s="76"/>
      <c r="Z1175" s="68"/>
      <c r="AA1175" s="68"/>
      <c r="AB1175" s="68"/>
      <c r="AC1175" s="68"/>
      <c r="AD1175" s="68"/>
    </row>
    <row r="1176" spans="16:30" x14ac:dyDescent="0.2">
      <c r="P1176" s="68"/>
      <c r="Q1176" s="74"/>
      <c r="R1176" s="74"/>
      <c r="S1176" s="74"/>
      <c r="T1176" s="75"/>
      <c r="U1176" s="76"/>
      <c r="V1176" s="77"/>
      <c r="W1176" s="77"/>
      <c r="X1176" s="76"/>
      <c r="Y1176" s="76"/>
      <c r="Z1176" s="68"/>
      <c r="AA1176" s="68"/>
      <c r="AB1176" s="68"/>
      <c r="AC1176" s="68"/>
      <c r="AD1176" s="68"/>
    </row>
    <row r="1177" spans="16:30" x14ac:dyDescent="0.2">
      <c r="P1177" s="68"/>
      <c r="Q1177" s="74"/>
      <c r="R1177" s="74"/>
      <c r="S1177" s="74"/>
      <c r="T1177" s="75"/>
      <c r="U1177" s="76"/>
      <c r="V1177" s="77"/>
      <c r="W1177" s="77"/>
      <c r="X1177" s="76"/>
      <c r="Y1177" s="76"/>
      <c r="Z1177" s="68"/>
      <c r="AA1177" s="68"/>
      <c r="AB1177" s="68"/>
      <c r="AC1177" s="68"/>
      <c r="AD1177" s="68"/>
    </row>
    <row r="1178" spans="16:30" x14ac:dyDescent="0.2">
      <c r="P1178" s="68"/>
      <c r="Q1178" s="74"/>
      <c r="R1178" s="74"/>
      <c r="S1178" s="74"/>
      <c r="T1178" s="75"/>
      <c r="U1178" s="76"/>
      <c r="V1178" s="77"/>
      <c r="W1178" s="77"/>
      <c r="X1178" s="76"/>
      <c r="Y1178" s="76"/>
      <c r="Z1178" s="68"/>
      <c r="AA1178" s="68"/>
      <c r="AB1178" s="68"/>
      <c r="AC1178" s="68"/>
      <c r="AD1178" s="68"/>
    </row>
    <row r="1179" spans="16:30" x14ac:dyDescent="0.2">
      <c r="P1179" s="68"/>
      <c r="Q1179" s="74"/>
      <c r="R1179" s="74"/>
      <c r="S1179" s="74"/>
      <c r="T1179" s="75"/>
      <c r="U1179" s="76"/>
      <c r="V1179" s="77"/>
      <c r="W1179" s="77"/>
      <c r="X1179" s="76"/>
      <c r="Y1179" s="76"/>
      <c r="Z1179" s="68"/>
      <c r="AA1179" s="68"/>
      <c r="AB1179" s="68"/>
      <c r="AC1179" s="68"/>
      <c r="AD1179" s="68"/>
    </row>
    <row r="1180" spans="16:30" x14ac:dyDescent="0.2">
      <c r="P1180" s="68"/>
      <c r="Q1180" s="74"/>
      <c r="R1180" s="74"/>
      <c r="S1180" s="74"/>
      <c r="T1180" s="75"/>
      <c r="U1180" s="76"/>
      <c r="V1180" s="77"/>
      <c r="W1180" s="77"/>
      <c r="X1180" s="76"/>
      <c r="Y1180" s="76"/>
      <c r="Z1180" s="68"/>
      <c r="AA1180" s="68"/>
      <c r="AB1180" s="68"/>
      <c r="AC1180" s="68"/>
      <c r="AD1180" s="68"/>
    </row>
    <row r="1181" spans="16:30" x14ac:dyDescent="0.2">
      <c r="P1181" s="68"/>
      <c r="Q1181" s="74"/>
      <c r="R1181" s="74"/>
      <c r="S1181" s="74"/>
      <c r="T1181" s="75"/>
      <c r="U1181" s="76"/>
      <c r="V1181" s="77"/>
      <c r="W1181" s="77"/>
      <c r="X1181" s="76"/>
      <c r="Y1181" s="76"/>
      <c r="Z1181" s="68"/>
      <c r="AA1181" s="68"/>
      <c r="AB1181" s="68"/>
      <c r="AC1181" s="68"/>
      <c r="AD1181" s="68"/>
    </row>
    <row r="1182" spans="16:30" x14ac:dyDescent="0.2">
      <c r="P1182" s="68"/>
      <c r="Q1182" s="74"/>
      <c r="R1182" s="74"/>
      <c r="S1182" s="74"/>
      <c r="T1182" s="75"/>
      <c r="U1182" s="76"/>
      <c r="V1182" s="77"/>
      <c r="W1182" s="77"/>
      <c r="X1182" s="76"/>
      <c r="Y1182" s="76"/>
      <c r="Z1182" s="68"/>
      <c r="AA1182" s="68"/>
      <c r="AB1182" s="68"/>
      <c r="AC1182" s="68"/>
      <c r="AD1182" s="68"/>
    </row>
    <row r="1183" spans="16:30" x14ac:dyDescent="0.2">
      <c r="P1183" s="68"/>
      <c r="Q1183" s="74"/>
      <c r="R1183" s="74"/>
      <c r="S1183" s="74"/>
      <c r="T1183" s="75"/>
      <c r="U1183" s="76"/>
      <c r="V1183" s="77"/>
      <c r="W1183" s="77"/>
      <c r="X1183" s="76"/>
      <c r="Y1183" s="76"/>
      <c r="Z1183" s="68"/>
      <c r="AA1183" s="68"/>
      <c r="AB1183" s="68"/>
      <c r="AC1183" s="68"/>
      <c r="AD1183" s="68"/>
    </row>
    <row r="1184" spans="16:30" x14ac:dyDescent="0.2">
      <c r="P1184" s="68"/>
      <c r="Q1184" s="74"/>
      <c r="R1184" s="74"/>
      <c r="S1184" s="74"/>
      <c r="T1184" s="75"/>
      <c r="U1184" s="76"/>
      <c r="V1184" s="77"/>
      <c r="W1184" s="77"/>
      <c r="X1184" s="76"/>
      <c r="Y1184" s="76"/>
      <c r="Z1184" s="68"/>
      <c r="AA1184" s="68"/>
      <c r="AB1184" s="68"/>
      <c r="AC1184" s="68"/>
      <c r="AD1184" s="68"/>
    </row>
    <row r="1185" spans="16:30" x14ac:dyDescent="0.2">
      <c r="P1185" s="68"/>
      <c r="Q1185" s="74"/>
      <c r="R1185" s="74"/>
      <c r="S1185" s="74"/>
      <c r="T1185" s="75"/>
      <c r="U1185" s="76"/>
      <c r="V1185" s="77"/>
      <c r="W1185" s="77"/>
      <c r="X1185" s="76"/>
      <c r="Y1185" s="76"/>
      <c r="Z1185" s="68"/>
      <c r="AA1185" s="68"/>
      <c r="AB1185" s="68"/>
      <c r="AC1185" s="68"/>
      <c r="AD1185" s="68"/>
    </row>
    <row r="1186" spans="16:30" x14ac:dyDescent="0.2">
      <c r="P1186" s="68"/>
      <c r="Q1186" s="74"/>
      <c r="R1186" s="74"/>
      <c r="S1186" s="74"/>
      <c r="T1186" s="75"/>
      <c r="U1186" s="76"/>
      <c r="V1186" s="77"/>
      <c r="W1186" s="77"/>
      <c r="X1186" s="76"/>
      <c r="Y1186" s="76"/>
      <c r="Z1186" s="68"/>
      <c r="AA1186" s="68"/>
      <c r="AB1186" s="68"/>
      <c r="AC1186" s="68"/>
      <c r="AD1186" s="68"/>
    </row>
    <row r="1187" spans="16:30" x14ac:dyDescent="0.2">
      <c r="P1187" s="68"/>
      <c r="Q1187" s="74"/>
      <c r="R1187" s="74"/>
      <c r="S1187" s="74"/>
      <c r="T1187" s="75"/>
      <c r="U1187" s="76"/>
      <c r="V1187" s="77"/>
      <c r="W1187" s="77"/>
      <c r="X1187" s="76"/>
      <c r="Y1187" s="76"/>
      <c r="Z1187" s="68"/>
      <c r="AA1187" s="68"/>
      <c r="AB1187" s="68"/>
      <c r="AC1187" s="68"/>
      <c r="AD1187" s="68"/>
    </row>
    <row r="1188" spans="16:30" x14ac:dyDescent="0.2">
      <c r="P1188" s="68"/>
      <c r="Q1188" s="74"/>
      <c r="R1188" s="74"/>
      <c r="S1188" s="74"/>
      <c r="T1188" s="75"/>
      <c r="U1188" s="76"/>
      <c r="V1188" s="77"/>
      <c r="W1188" s="77"/>
      <c r="X1188" s="76"/>
      <c r="Y1188" s="76"/>
      <c r="Z1188" s="68"/>
      <c r="AA1188" s="68"/>
      <c r="AB1188" s="68"/>
      <c r="AC1188" s="68"/>
      <c r="AD1188" s="68"/>
    </row>
    <row r="1189" spans="16:30" x14ac:dyDescent="0.2">
      <c r="P1189" s="68"/>
      <c r="Q1189" s="74"/>
      <c r="R1189" s="74"/>
      <c r="S1189" s="74"/>
      <c r="T1189" s="75"/>
      <c r="U1189" s="76"/>
      <c r="V1189" s="77"/>
      <c r="W1189" s="77"/>
      <c r="X1189" s="76"/>
      <c r="Y1189" s="76"/>
      <c r="Z1189" s="68"/>
      <c r="AA1189" s="68"/>
      <c r="AB1189" s="68"/>
      <c r="AC1189" s="68"/>
      <c r="AD1189" s="68"/>
    </row>
    <row r="1190" spans="16:30" x14ac:dyDescent="0.2">
      <c r="P1190" s="68"/>
      <c r="Q1190" s="74"/>
      <c r="R1190" s="74"/>
      <c r="S1190" s="74"/>
      <c r="T1190" s="75"/>
      <c r="U1190" s="76"/>
      <c r="V1190" s="77"/>
      <c r="W1190" s="77"/>
      <c r="X1190" s="76"/>
      <c r="Y1190" s="76"/>
      <c r="Z1190" s="68"/>
      <c r="AA1190" s="68"/>
      <c r="AB1190" s="68"/>
      <c r="AC1190" s="68"/>
      <c r="AD1190" s="68"/>
    </row>
    <row r="1191" spans="16:30" x14ac:dyDescent="0.2">
      <c r="P1191" s="68"/>
      <c r="Q1191" s="74"/>
      <c r="R1191" s="74"/>
      <c r="S1191" s="74"/>
      <c r="T1191" s="75"/>
      <c r="U1191" s="76"/>
      <c r="V1191" s="77"/>
      <c r="W1191" s="77"/>
      <c r="X1191" s="76"/>
      <c r="Y1191" s="76"/>
      <c r="Z1191" s="68"/>
      <c r="AA1191" s="68"/>
      <c r="AB1191" s="68"/>
      <c r="AC1191" s="68"/>
      <c r="AD1191" s="68"/>
    </row>
    <row r="1192" spans="16:30" x14ac:dyDescent="0.2">
      <c r="P1192" s="68"/>
      <c r="Q1192" s="74"/>
      <c r="R1192" s="74"/>
      <c r="S1192" s="74"/>
      <c r="T1192" s="75"/>
      <c r="U1192" s="76"/>
      <c r="V1192" s="77"/>
      <c r="W1192" s="77"/>
      <c r="X1192" s="76"/>
      <c r="Y1192" s="76"/>
      <c r="Z1192" s="68"/>
      <c r="AA1192" s="68"/>
      <c r="AB1192" s="68"/>
      <c r="AC1192" s="68"/>
      <c r="AD1192" s="68"/>
    </row>
    <row r="1193" spans="16:30" x14ac:dyDescent="0.2">
      <c r="P1193" s="68"/>
      <c r="Q1193" s="74"/>
      <c r="R1193" s="74"/>
      <c r="S1193" s="74"/>
      <c r="T1193" s="75"/>
      <c r="U1193" s="76"/>
      <c r="V1193" s="77"/>
      <c r="W1193" s="77"/>
      <c r="X1193" s="76"/>
      <c r="Y1193" s="76"/>
      <c r="Z1193" s="68"/>
      <c r="AA1193" s="68"/>
      <c r="AB1193" s="68"/>
      <c r="AC1193" s="68"/>
      <c r="AD1193" s="68"/>
    </row>
    <row r="1194" spans="16:30" x14ac:dyDescent="0.2">
      <c r="P1194" s="68"/>
      <c r="Q1194" s="74"/>
      <c r="R1194" s="74"/>
      <c r="S1194" s="74"/>
      <c r="T1194" s="75"/>
      <c r="U1194" s="76"/>
      <c r="V1194" s="77"/>
      <c r="W1194" s="77"/>
      <c r="X1194" s="76"/>
      <c r="Y1194" s="76"/>
      <c r="Z1194" s="68"/>
      <c r="AA1194" s="68"/>
      <c r="AB1194" s="68"/>
      <c r="AC1194" s="68"/>
      <c r="AD1194" s="68"/>
    </row>
    <row r="1195" spans="16:30" x14ac:dyDescent="0.2">
      <c r="P1195" s="68"/>
      <c r="Q1195" s="74"/>
      <c r="R1195" s="74"/>
      <c r="S1195" s="74"/>
      <c r="T1195" s="75"/>
      <c r="U1195" s="76"/>
      <c r="V1195" s="77"/>
      <c r="W1195" s="77"/>
      <c r="X1195" s="76"/>
      <c r="Y1195" s="76"/>
      <c r="Z1195" s="68"/>
      <c r="AA1195" s="68"/>
      <c r="AB1195" s="68"/>
      <c r="AC1195" s="68"/>
      <c r="AD1195" s="68"/>
    </row>
    <row r="1196" spans="16:30" x14ac:dyDescent="0.2">
      <c r="P1196" s="68"/>
      <c r="Q1196" s="74"/>
      <c r="R1196" s="74"/>
      <c r="S1196" s="74"/>
      <c r="T1196" s="75"/>
      <c r="U1196" s="76"/>
      <c r="V1196" s="77"/>
      <c r="W1196" s="77"/>
      <c r="X1196" s="76"/>
      <c r="Y1196" s="76"/>
      <c r="Z1196" s="68"/>
      <c r="AA1196" s="68"/>
      <c r="AB1196" s="68"/>
      <c r="AC1196" s="68"/>
      <c r="AD1196" s="68"/>
    </row>
    <row r="1197" spans="16:30" x14ac:dyDescent="0.2">
      <c r="P1197" s="68"/>
      <c r="Q1197" s="74"/>
      <c r="R1197" s="74"/>
      <c r="S1197" s="74"/>
      <c r="T1197" s="75"/>
      <c r="U1197" s="76"/>
      <c r="V1197" s="77"/>
      <c r="W1197" s="77"/>
      <c r="X1197" s="76"/>
      <c r="Y1197" s="76"/>
      <c r="Z1197" s="68"/>
      <c r="AA1197" s="68"/>
      <c r="AB1197" s="68"/>
      <c r="AC1197" s="68"/>
      <c r="AD1197" s="68"/>
    </row>
    <row r="1198" spans="16:30" x14ac:dyDescent="0.2">
      <c r="P1198" s="68"/>
      <c r="Q1198" s="74"/>
      <c r="R1198" s="74"/>
      <c r="S1198" s="74"/>
      <c r="T1198" s="75"/>
      <c r="U1198" s="76"/>
      <c r="V1198" s="77"/>
      <c r="W1198" s="77"/>
      <c r="X1198" s="76"/>
      <c r="Y1198" s="76"/>
      <c r="Z1198" s="68"/>
      <c r="AA1198" s="68"/>
      <c r="AB1198" s="68"/>
      <c r="AC1198" s="68"/>
      <c r="AD1198" s="68"/>
    </row>
    <row r="1199" spans="16:30" x14ac:dyDescent="0.2">
      <c r="P1199" s="68"/>
      <c r="Q1199" s="74"/>
      <c r="R1199" s="74"/>
      <c r="S1199" s="74"/>
      <c r="T1199" s="75"/>
      <c r="U1199" s="76"/>
      <c r="V1199" s="77"/>
      <c r="W1199" s="77"/>
      <c r="X1199" s="76"/>
      <c r="Y1199" s="76"/>
      <c r="Z1199" s="68"/>
      <c r="AA1199" s="68"/>
      <c r="AB1199" s="68"/>
      <c r="AC1199" s="68"/>
      <c r="AD1199" s="68"/>
    </row>
    <row r="1200" spans="16:30" x14ac:dyDescent="0.2">
      <c r="P1200" s="68"/>
      <c r="Q1200" s="74"/>
      <c r="R1200" s="74"/>
      <c r="S1200" s="74"/>
      <c r="T1200" s="75"/>
      <c r="U1200" s="76"/>
      <c r="V1200" s="77"/>
      <c r="W1200" s="77"/>
      <c r="X1200" s="76"/>
      <c r="Y1200" s="76"/>
      <c r="Z1200" s="68"/>
      <c r="AA1200" s="68"/>
      <c r="AB1200" s="68"/>
      <c r="AC1200" s="68"/>
      <c r="AD1200" s="68"/>
    </row>
    <row r="1201" spans="16:30" x14ac:dyDescent="0.2">
      <c r="P1201" s="68"/>
      <c r="Q1201" s="74"/>
      <c r="R1201" s="74"/>
      <c r="S1201" s="74"/>
      <c r="T1201" s="75"/>
      <c r="U1201" s="76"/>
      <c r="V1201" s="77"/>
      <c r="W1201" s="77"/>
      <c r="X1201" s="76"/>
      <c r="Y1201" s="76"/>
      <c r="Z1201" s="68"/>
      <c r="AA1201" s="68"/>
      <c r="AB1201" s="68"/>
      <c r="AC1201" s="68"/>
      <c r="AD1201" s="68"/>
    </row>
    <row r="1202" spans="16:30" x14ac:dyDescent="0.2">
      <c r="P1202" s="68"/>
      <c r="Q1202" s="74"/>
      <c r="R1202" s="74"/>
      <c r="S1202" s="74"/>
      <c r="T1202" s="75"/>
      <c r="U1202" s="76"/>
      <c r="V1202" s="77"/>
      <c r="W1202" s="77"/>
      <c r="X1202" s="76"/>
      <c r="Y1202" s="76"/>
      <c r="Z1202" s="68"/>
      <c r="AA1202" s="68"/>
      <c r="AB1202" s="68"/>
      <c r="AC1202" s="68"/>
      <c r="AD1202" s="68"/>
    </row>
    <row r="1203" spans="16:30" x14ac:dyDescent="0.2">
      <c r="P1203" s="68"/>
      <c r="Q1203" s="74"/>
      <c r="R1203" s="74"/>
      <c r="S1203" s="74"/>
      <c r="T1203" s="75"/>
      <c r="U1203" s="76"/>
      <c r="V1203" s="77"/>
      <c r="W1203" s="77"/>
      <c r="X1203" s="76"/>
      <c r="Y1203" s="76"/>
      <c r="Z1203" s="68"/>
      <c r="AA1203" s="68"/>
      <c r="AB1203" s="68"/>
      <c r="AC1203" s="68"/>
      <c r="AD1203" s="68"/>
    </row>
    <row r="1204" spans="16:30" x14ac:dyDescent="0.2">
      <c r="P1204" s="68"/>
      <c r="Q1204" s="74"/>
      <c r="R1204" s="74"/>
      <c r="S1204" s="74"/>
      <c r="T1204" s="75"/>
      <c r="U1204" s="76"/>
      <c r="V1204" s="77"/>
      <c r="W1204" s="77"/>
      <c r="X1204" s="76"/>
      <c r="Y1204" s="76"/>
      <c r="Z1204" s="68"/>
      <c r="AA1204" s="68"/>
      <c r="AB1204" s="68"/>
      <c r="AC1204" s="68"/>
      <c r="AD1204" s="68"/>
    </row>
    <row r="1205" spans="16:30" x14ac:dyDescent="0.2">
      <c r="P1205" s="68"/>
      <c r="Q1205" s="74"/>
      <c r="R1205" s="74"/>
      <c r="S1205" s="74"/>
      <c r="T1205" s="75"/>
      <c r="U1205" s="76"/>
      <c r="V1205" s="77"/>
      <c r="W1205" s="77"/>
      <c r="X1205" s="76"/>
      <c r="Y1205" s="76"/>
      <c r="Z1205" s="68"/>
      <c r="AA1205" s="68"/>
      <c r="AB1205" s="68"/>
      <c r="AC1205" s="68"/>
      <c r="AD1205" s="68"/>
    </row>
    <row r="1206" spans="16:30" x14ac:dyDescent="0.2">
      <c r="P1206" s="68"/>
      <c r="Q1206" s="74"/>
      <c r="R1206" s="74"/>
      <c r="S1206" s="74"/>
      <c r="T1206" s="75"/>
      <c r="U1206" s="76"/>
      <c r="V1206" s="77"/>
      <c r="W1206" s="77"/>
      <c r="X1206" s="76"/>
      <c r="Y1206" s="76"/>
      <c r="Z1206" s="68"/>
      <c r="AA1206" s="68"/>
      <c r="AB1206" s="68"/>
      <c r="AC1206" s="68"/>
      <c r="AD1206" s="68"/>
    </row>
    <row r="1207" spans="16:30" x14ac:dyDescent="0.2">
      <c r="P1207" s="68"/>
      <c r="Q1207" s="74"/>
      <c r="R1207" s="74"/>
      <c r="S1207" s="74"/>
      <c r="T1207" s="75"/>
      <c r="U1207" s="76"/>
      <c r="V1207" s="77"/>
      <c r="W1207" s="77"/>
      <c r="X1207" s="76"/>
      <c r="Y1207" s="76"/>
      <c r="Z1207" s="68"/>
      <c r="AA1207" s="68"/>
      <c r="AB1207" s="68"/>
      <c r="AC1207" s="68"/>
      <c r="AD1207" s="68"/>
    </row>
    <row r="1208" spans="16:30" x14ac:dyDescent="0.2">
      <c r="P1208" s="68"/>
      <c r="Q1208" s="74"/>
      <c r="R1208" s="74"/>
      <c r="S1208" s="74"/>
      <c r="T1208" s="75"/>
      <c r="U1208" s="76"/>
      <c r="V1208" s="77"/>
      <c r="W1208" s="77"/>
      <c r="X1208" s="76"/>
      <c r="Y1208" s="76"/>
      <c r="Z1208" s="68"/>
      <c r="AA1208" s="68"/>
      <c r="AB1208" s="68"/>
      <c r="AC1208" s="68"/>
      <c r="AD1208" s="68"/>
    </row>
    <row r="1209" spans="16:30" x14ac:dyDescent="0.2">
      <c r="P1209" s="68"/>
      <c r="Q1209" s="74"/>
      <c r="R1209" s="74"/>
      <c r="S1209" s="74"/>
      <c r="T1209" s="75"/>
      <c r="U1209" s="76"/>
      <c r="V1209" s="77"/>
      <c r="W1209" s="77"/>
      <c r="X1209" s="76"/>
      <c r="Y1209" s="76"/>
      <c r="Z1209" s="68"/>
      <c r="AA1209" s="68"/>
      <c r="AB1209" s="68"/>
      <c r="AC1209" s="68"/>
      <c r="AD1209" s="68"/>
    </row>
    <row r="1210" spans="16:30" x14ac:dyDescent="0.2">
      <c r="P1210" s="68"/>
      <c r="Q1210" s="74"/>
      <c r="R1210" s="74"/>
      <c r="S1210" s="74"/>
      <c r="T1210" s="75"/>
      <c r="U1210" s="76"/>
      <c r="V1210" s="77"/>
      <c r="W1210" s="77"/>
      <c r="X1210" s="76"/>
      <c r="Y1210" s="76"/>
      <c r="Z1210" s="68"/>
      <c r="AA1210" s="68"/>
      <c r="AB1210" s="68"/>
      <c r="AC1210" s="68"/>
      <c r="AD1210" s="68"/>
    </row>
    <row r="1211" spans="16:30" x14ac:dyDescent="0.2">
      <c r="P1211" s="68"/>
      <c r="Q1211" s="74"/>
      <c r="R1211" s="74"/>
      <c r="S1211" s="74"/>
      <c r="T1211" s="75"/>
      <c r="U1211" s="76"/>
      <c r="V1211" s="77"/>
      <c r="W1211" s="77"/>
      <c r="X1211" s="76"/>
      <c r="Y1211" s="76"/>
      <c r="Z1211" s="68"/>
      <c r="AA1211" s="68"/>
      <c r="AB1211" s="68"/>
      <c r="AC1211" s="68"/>
      <c r="AD1211" s="68"/>
    </row>
    <row r="1212" spans="16:30" x14ac:dyDescent="0.2">
      <c r="P1212" s="68"/>
      <c r="Q1212" s="74"/>
      <c r="R1212" s="74"/>
      <c r="S1212" s="74"/>
      <c r="T1212" s="75"/>
      <c r="U1212" s="76"/>
      <c r="V1212" s="77"/>
      <c r="W1212" s="77"/>
      <c r="X1212" s="76"/>
      <c r="Y1212" s="76"/>
      <c r="Z1212" s="68"/>
      <c r="AA1212" s="68"/>
      <c r="AB1212" s="68"/>
      <c r="AC1212" s="68"/>
      <c r="AD1212" s="68"/>
    </row>
    <row r="1213" spans="16:30" x14ac:dyDescent="0.2">
      <c r="P1213" s="68"/>
      <c r="Q1213" s="74"/>
      <c r="R1213" s="74"/>
      <c r="S1213" s="74"/>
      <c r="T1213" s="75"/>
      <c r="U1213" s="76"/>
      <c r="V1213" s="77"/>
      <c r="W1213" s="77"/>
      <c r="X1213" s="76"/>
      <c r="Y1213" s="76"/>
      <c r="Z1213" s="68"/>
      <c r="AA1213" s="68"/>
      <c r="AB1213" s="68"/>
      <c r="AC1213" s="68"/>
      <c r="AD1213" s="68"/>
    </row>
    <row r="1214" spans="16:30" x14ac:dyDescent="0.2">
      <c r="P1214" s="68"/>
      <c r="Q1214" s="74"/>
      <c r="R1214" s="74"/>
      <c r="S1214" s="74"/>
      <c r="T1214" s="75"/>
      <c r="U1214" s="76"/>
      <c r="V1214" s="77"/>
      <c r="W1214" s="77"/>
      <c r="X1214" s="76"/>
      <c r="Y1214" s="76"/>
      <c r="Z1214" s="68"/>
      <c r="AA1214" s="68"/>
      <c r="AB1214" s="68"/>
      <c r="AC1214" s="68"/>
      <c r="AD1214" s="68"/>
    </row>
    <row r="1215" spans="16:30" x14ac:dyDescent="0.2">
      <c r="P1215" s="68"/>
      <c r="Q1215" s="74"/>
      <c r="R1215" s="74"/>
      <c r="S1215" s="74"/>
      <c r="T1215" s="75"/>
      <c r="U1215" s="76"/>
      <c r="V1215" s="77"/>
      <c r="W1215" s="77"/>
      <c r="X1215" s="76"/>
      <c r="Y1215" s="76"/>
      <c r="Z1215" s="68"/>
      <c r="AA1215" s="68"/>
      <c r="AB1215" s="68"/>
      <c r="AC1215" s="68"/>
      <c r="AD1215" s="68"/>
    </row>
    <row r="1216" spans="16:30" x14ac:dyDescent="0.2">
      <c r="P1216" s="68"/>
      <c r="Q1216" s="74"/>
      <c r="R1216" s="74"/>
      <c r="S1216" s="74"/>
      <c r="T1216" s="75"/>
      <c r="U1216" s="76"/>
      <c r="V1216" s="77"/>
      <c r="W1216" s="77"/>
      <c r="X1216" s="76"/>
      <c r="Y1216" s="76"/>
      <c r="Z1216" s="68"/>
      <c r="AA1216" s="68"/>
      <c r="AB1216" s="68"/>
      <c r="AC1216" s="68"/>
      <c r="AD1216" s="68"/>
    </row>
    <row r="1217" spans="16:30" x14ac:dyDescent="0.2">
      <c r="P1217" s="68"/>
      <c r="Q1217" s="74"/>
      <c r="R1217" s="74"/>
      <c r="S1217" s="74"/>
      <c r="T1217" s="75"/>
      <c r="U1217" s="76"/>
      <c r="V1217" s="77"/>
      <c r="W1217" s="77"/>
      <c r="X1217" s="76"/>
      <c r="Y1217" s="76"/>
      <c r="Z1217" s="68"/>
      <c r="AA1217" s="68"/>
      <c r="AB1217" s="68"/>
      <c r="AC1217" s="68"/>
      <c r="AD1217" s="68"/>
    </row>
    <row r="1218" spans="16:30" x14ac:dyDescent="0.2">
      <c r="P1218" s="68"/>
      <c r="Q1218" s="74"/>
      <c r="R1218" s="74"/>
      <c r="S1218" s="74"/>
      <c r="T1218" s="75"/>
      <c r="U1218" s="76"/>
      <c r="V1218" s="77"/>
      <c r="W1218" s="77"/>
      <c r="X1218" s="76"/>
      <c r="Y1218" s="76"/>
      <c r="Z1218" s="68"/>
      <c r="AA1218" s="68"/>
      <c r="AB1218" s="68"/>
      <c r="AC1218" s="68"/>
      <c r="AD1218" s="68"/>
    </row>
    <row r="1219" spans="16:30" x14ac:dyDescent="0.2">
      <c r="P1219" s="68"/>
      <c r="Q1219" s="74"/>
      <c r="R1219" s="74"/>
      <c r="S1219" s="74"/>
      <c r="T1219" s="75"/>
      <c r="U1219" s="76"/>
      <c r="V1219" s="77"/>
      <c r="W1219" s="77"/>
      <c r="X1219" s="76"/>
      <c r="Y1219" s="76"/>
      <c r="Z1219" s="68"/>
      <c r="AA1219" s="68"/>
      <c r="AB1219" s="68"/>
      <c r="AC1219" s="68"/>
      <c r="AD1219" s="68"/>
    </row>
    <row r="1220" spans="16:30" x14ac:dyDescent="0.2">
      <c r="P1220" s="68"/>
      <c r="Q1220" s="74"/>
      <c r="R1220" s="74"/>
      <c r="S1220" s="74"/>
      <c r="T1220" s="75"/>
      <c r="U1220" s="76"/>
      <c r="V1220" s="77"/>
      <c r="W1220" s="77"/>
      <c r="X1220" s="76"/>
      <c r="Y1220" s="76"/>
      <c r="Z1220" s="68"/>
      <c r="AA1220" s="68"/>
      <c r="AB1220" s="68"/>
      <c r="AC1220" s="68"/>
      <c r="AD1220" s="68"/>
    </row>
    <row r="1221" spans="16:30" x14ac:dyDescent="0.2">
      <c r="P1221" s="68"/>
      <c r="Q1221" s="74"/>
      <c r="R1221" s="74"/>
      <c r="S1221" s="74"/>
      <c r="T1221" s="75"/>
      <c r="U1221" s="76"/>
      <c r="V1221" s="77"/>
      <c r="W1221" s="77"/>
      <c r="X1221" s="76"/>
      <c r="Y1221" s="76"/>
      <c r="Z1221" s="68"/>
      <c r="AA1221" s="68"/>
      <c r="AB1221" s="68"/>
      <c r="AC1221" s="68"/>
      <c r="AD1221" s="68"/>
    </row>
    <row r="1222" spans="16:30" x14ac:dyDescent="0.2">
      <c r="P1222" s="68"/>
      <c r="Q1222" s="74"/>
      <c r="R1222" s="74"/>
      <c r="S1222" s="74"/>
      <c r="T1222" s="75"/>
      <c r="U1222" s="76"/>
      <c r="V1222" s="77"/>
      <c r="W1222" s="77"/>
      <c r="X1222" s="76"/>
      <c r="Y1222" s="76"/>
      <c r="Z1222" s="68"/>
      <c r="AA1222" s="68"/>
      <c r="AB1222" s="68"/>
      <c r="AC1222" s="68"/>
      <c r="AD1222" s="68"/>
    </row>
    <row r="1223" spans="16:30" x14ac:dyDescent="0.2">
      <c r="P1223" s="68"/>
      <c r="Q1223" s="74"/>
      <c r="R1223" s="74"/>
      <c r="S1223" s="74"/>
      <c r="T1223" s="75"/>
      <c r="U1223" s="76"/>
      <c r="V1223" s="77"/>
      <c r="W1223" s="77"/>
      <c r="X1223" s="76"/>
      <c r="Y1223" s="76"/>
      <c r="Z1223" s="68"/>
      <c r="AA1223" s="68"/>
      <c r="AB1223" s="68"/>
      <c r="AC1223" s="68"/>
      <c r="AD1223" s="68"/>
    </row>
    <row r="1224" spans="16:30" x14ac:dyDescent="0.2">
      <c r="P1224" s="68"/>
      <c r="Q1224" s="74"/>
      <c r="R1224" s="74"/>
      <c r="S1224" s="74"/>
      <c r="T1224" s="75"/>
      <c r="U1224" s="76"/>
      <c r="V1224" s="77"/>
      <c r="W1224" s="77"/>
      <c r="X1224" s="76"/>
      <c r="Y1224" s="76"/>
      <c r="Z1224" s="68"/>
      <c r="AA1224" s="68"/>
      <c r="AB1224" s="68"/>
      <c r="AC1224" s="68"/>
      <c r="AD1224" s="68"/>
    </row>
    <row r="1225" spans="16:30" x14ac:dyDescent="0.2">
      <c r="P1225" s="68"/>
      <c r="Q1225" s="74"/>
      <c r="R1225" s="74"/>
      <c r="S1225" s="74"/>
      <c r="T1225" s="75"/>
      <c r="U1225" s="76"/>
      <c r="V1225" s="77"/>
      <c r="W1225" s="77"/>
      <c r="X1225" s="76"/>
      <c r="Y1225" s="76"/>
      <c r="Z1225" s="68"/>
      <c r="AA1225" s="68"/>
      <c r="AB1225" s="68"/>
      <c r="AC1225" s="68"/>
      <c r="AD1225" s="68"/>
    </row>
    <row r="1226" spans="16:30" x14ac:dyDescent="0.2">
      <c r="P1226" s="68"/>
      <c r="Q1226" s="74"/>
      <c r="R1226" s="74"/>
      <c r="S1226" s="74"/>
      <c r="T1226" s="75"/>
      <c r="U1226" s="76"/>
      <c r="V1226" s="77"/>
      <c r="W1226" s="77"/>
      <c r="X1226" s="76"/>
      <c r="Y1226" s="76"/>
      <c r="Z1226" s="68"/>
      <c r="AA1226" s="68"/>
      <c r="AB1226" s="68"/>
      <c r="AC1226" s="68"/>
      <c r="AD1226" s="68"/>
    </row>
    <row r="1227" spans="16:30" x14ac:dyDescent="0.2">
      <c r="P1227" s="68"/>
      <c r="Q1227" s="74"/>
      <c r="R1227" s="74"/>
      <c r="S1227" s="74"/>
      <c r="T1227" s="75"/>
      <c r="U1227" s="76"/>
      <c r="V1227" s="77"/>
      <c r="W1227" s="77"/>
      <c r="X1227" s="76"/>
      <c r="Y1227" s="76"/>
      <c r="Z1227" s="68"/>
      <c r="AA1227" s="68"/>
      <c r="AB1227" s="68"/>
      <c r="AC1227" s="68"/>
      <c r="AD1227" s="68"/>
    </row>
    <row r="1228" spans="16:30" x14ac:dyDescent="0.2">
      <c r="P1228" s="68"/>
      <c r="Q1228" s="74"/>
      <c r="R1228" s="74"/>
      <c r="S1228" s="74"/>
      <c r="T1228" s="75"/>
      <c r="U1228" s="76"/>
      <c r="V1228" s="77"/>
      <c r="W1228" s="77"/>
      <c r="X1228" s="76"/>
      <c r="Y1228" s="76"/>
      <c r="Z1228" s="68"/>
      <c r="AA1228" s="68"/>
      <c r="AB1228" s="68"/>
      <c r="AC1228" s="68"/>
      <c r="AD1228" s="68"/>
    </row>
    <row r="1229" spans="16:30" x14ac:dyDescent="0.2">
      <c r="P1229" s="68"/>
      <c r="Q1229" s="74"/>
      <c r="R1229" s="74"/>
      <c r="S1229" s="74"/>
      <c r="T1229" s="75"/>
      <c r="U1229" s="76"/>
      <c r="V1229" s="77"/>
      <c r="W1229" s="77"/>
      <c r="X1229" s="76"/>
      <c r="Y1229" s="76"/>
      <c r="Z1229" s="68"/>
      <c r="AA1229" s="68"/>
      <c r="AB1229" s="68"/>
      <c r="AC1229" s="68"/>
      <c r="AD1229" s="68"/>
    </row>
    <row r="1230" spans="16:30" x14ac:dyDescent="0.2">
      <c r="P1230" s="68"/>
      <c r="Q1230" s="74"/>
      <c r="R1230" s="74"/>
      <c r="S1230" s="74"/>
      <c r="T1230" s="75"/>
      <c r="U1230" s="76"/>
      <c r="V1230" s="77"/>
      <c r="W1230" s="77"/>
      <c r="X1230" s="76"/>
      <c r="Y1230" s="76"/>
      <c r="Z1230" s="68"/>
      <c r="AA1230" s="68"/>
      <c r="AB1230" s="68"/>
      <c r="AC1230" s="68"/>
      <c r="AD1230" s="68"/>
    </row>
    <row r="1231" spans="16:30" x14ac:dyDescent="0.2">
      <c r="P1231" s="68"/>
      <c r="Q1231" s="74"/>
      <c r="R1231" s="74"/>
      <c r="S1231" s="74"/>
      <c r="T1231" s="75"/>
      <c r="U1231" s="76"/>
      <c r="V1231" s="77"/>
      <c r="W1231" s="77"/>
      <c r="X1231" s="76"/>
      <c r="Y1231" s="76"/>
      <c r="Z1231" s="68"/>
      <c r="AA1231" s="68"/>
      <c r="AB1231" s="68"/>
      <c r="AC1231" s="68"/>
      <c r="AD1231" s="68"/>
    </row>
    <row r="1232" spans="16:30" x14ac:dyDescent="0.2">
      <c r="P1232" s="68"/>
      <c r="Q1232" s="74"/>
      <c r="R1232" s="74"/>
      <c r="S1232" s="74"/>
      <c r="T1232" s="75"/>
      <c r="U1232" s="76"/>
      <c r="V1232" s="77"/>
      <c r="W1232" s="77"/>
      <c r="X1232" s="76"/>
      <c r="Y1232" s="76"/>
      <c r="Z1232" s="68"/>
      <c r="AA1232" s="68"/>
      <c r="AB1232" s="68"/>
      <c r="AC1232" s="68"/>
      <c r="AD1232" s="68"/>
    </row>
    <row r="1233" spans="16:30" x14ac:dyDescent="0.2">
      <c r="P1233" s="68"/>
      <c r="Q1233" s="74"/>
      <c r="R1233" s="74"/>
      <c r="S1233" s="74"/>
      <c r="T1233" s="75"/>
      <c r="U1233" s="76"/>
      <c r="V1233" s="77"/>
      <c r="W1233" s="77"/>
      <c r="X1233" s="76"/>
      <c r="Y1233" s="76"/>
      <c r="Z1233" s="68"/>
      <c r="AA1233" s="68"/>
      <c r="AB1233" s="68"/>
      <c r="AC1233" s="68"/>
      <c r="AD1233" s="68"/>
    </row>
    <row r="1234" spans="16:30" x14ac:dyDescent="0.2">
      <c r="P1234" s="68"/>
      <c r="Q1234" s="74"/>
      <c r="R1234" s="74"/>
      <c r="S1234" s="74"/>
      <c r="T1234" s="75"/>
      <c r="U1234" s="76"/>
      <c r="V1234" s="77"/>
      <c r="W1234" s="77"/>
      <c r="X1234" s="76"/>
      <c r="Y1234" s="76"/>
      <c r="Z1234" s="68"/>
      <c r="AA1234" s="68"/>
      <c r="AB1234" s="68"/>
      <c r="AC1234" s="68"/>
      <c r="AD1234" s="68"/>
    </row>
    <row r="1235" spans="16:30" x14ac:dyDescent="0.2">
      <c r="P1235" s="68"/>
      <c r="Q1235" s="74"/>
      <c r="R1235" s="74"/>
      <c r="S1235" s="74"/>
      <c r="T1235" s="75"/>
      <c r="U1235" s="76"/>
      <c r="V1235" s="77"/>
      <c r="W1235" s="77"/>
      <c r="X1235" s="76"/>
      <c r="Y1235" s="76"/>
      <c r="Z1235" s="68"/>
      <c r="AA1235" s="68"/>
      <c r="AB1235" s="68"/>
      <c r="AC1235" s="68"/>
      <c r="AD1235" s="68"/>
    </row>
    <row r="1236" spans="16:30" x14ac:dyDescent="0.2">
      <c r="P1236" s="68"/>
      <c r="Q1236" s="74"/>
      <c r="R1236" s="74"/>
      <c r="S1236" s="74"/>
      <c r="T1236" s="75"/>
      <c r="U1236" s="76"/>
      <c r="V1236" s="77"/>
      <c r="W1236" s="77"/>
      <c r="X1236" s="76"/>
      <c r="Y1236" s="76"/>
      <c r="Z1236" s="68"/>
      <c r="AA1236" s="68"/>
      <c r="AB1236" s="68"/>
      <c r="AC1236" s="68"/>
      <c r="AD1236" s="68"/>
    </row>
    <row r="1237" spans="16:30" x14ac:dyDescent="0.2">
      <c r="P1237" s="68"/>
      <c r="Q1237" s="74"/>
      <c r="R1237" s="74"/>
      <c r="S1237" s="74"/>
      <c r="T1237" s="75"/>
      <c r="U1237" s="76"/>
      <c r="V1237" s="77"/>
      <c r="W1237" s="77"/>
      <c r="X1237" s="76"/>
      <c r="Y1237" s="76"/>
      <c r="Z1237" s="68"/>
      <c r="AA1237" s="68"/>
      <c r="AB1237" s="68"/>
      <c r="AC1237" s="68"/>
      <c r="AD1237" s="68"/>
    </row>
    <row r="1238" spans="16:30" x14ac:dyDescent="0.2">
      <c r="P1238" s="68"/>
      <c r="Q1238" s="74"/>
      <c r="R1238" s="74"/>
      <c r="S1238" s="74"/>
      <c r="T1238" s="75"/>
      <c r="U1238" s="76"/>
      <c r="V1238" s="77"/>
      <c r="W1238" s="77"/>
      <c r="X1238" s="76"/>
      <c r="Y1238" s="76"/>
      <c r="Z1238" s="68"/>
      <c r="AA1238" s="68"/>
      <c r="AB1238" s="68"/>
      <c r="AC1238" s="68"/>
      <c r="AD1238" s="68"/>
    </row>
    <row r="1239" spans="16:30" x14ac:dyDescent="0.2">
      <c r="P1239" s="68"/>
      <c r="Q1239" s="74"/>
      <c r="R1239" s="74"/>
      <c r="S1239" s="74"/>
      <c r="T1239" s="75"/>
      <c r="U1239" s="76"/>
      <c r="V1239" s="77"/>
      <c r="W1239" s="77"/>
      <c r="X1239" s="76"/>
      <c r="Y1239" s="76"/>
      <c r="Z1239" s="68"/>
      <c r="AA1239" s="68"/>
      <c r="AB1239" s="68"/>
      <c r="AC1239" s="68"/>
      <c r="AD1239" s="68"/>
    </row>
    <row r="1240" spans="16:30" x14ac:dyDescent="0.2">
      <c r="P1240" s="68"/>
      <c r="Q1240" s="74"/>
      <c r="R1240" s="74"/>
      <c r="S1240" s="74"/>
      <c r="T1240" s="75"/>
      <c r="U1240" s="76"/>
      <c r="V1240" s="77"/>
      <c r="W1240" s="77"/>
      <c r="X1240" s="76"/>
      <c r="Y1240" s="76"/>
      <c r="Z1240" s="68"/>
      <c r="AA1240" s="68"/>
      <c r="AB1240" s="68"/>
      <c r="AC1240" s="68"/>
      <c r="AD1240" s="68"/>
    </row>
    <row r="1241" spans="16:30" x14ac:dyDescent="0.2">
      <c r="P1241" s="68"/>
      <c r="Q1241" s="74"/>
      <c r="R1241" s="74"/>
      <c r="S1241" s="74"/>
      <c r="T1241" s="75"/>
      <c r="U1241" s="76"/>
      <c r="V1241" s="77"/>
      <c r="W1241" s="77"/>
      <c r="X1241" s="76"/>
      <c r="Y1241" s="76"/>
      <c r="Z1241" s="68"/>
      <c r="AA1241" s="68"/>
      <c r="AB1241" s="68"/>
      <c r="AC1241" s="68"/>
      <c r="AD1241" s="68"/>
    </row>
    <row r="1242" spans="16:30" x14ac:dyDescent="0.2">
      <c r="P1242" s="68"/>
      <c r="Q1242" s="74"/>
      <c r="R1242" s="74"/>
      <c r="S1242" s="74"/>
      <c r="T1242" s="75"/>
      <c r="U1242" s="76"/>
      <c r="V1242" s="77"/>
      <c r="W1242" s="77"/>
      <c r="X1242" s="76"/>
      <c r="Y1242" s="76"/>
      <c r="Z1242" s="68"/>
      <c r="AA1242" s="68"/>
      <c r="AB1242" s="68"/>
      <c r="AC1242" s="68"/>
      <c r="AD1242" s="68"/>
    </row>
    <row r="1243" spans="16:30" x14ac:dyDescent="0.2">
      <c r="P1243" s="68"/>
      <c r="Q1243" s="74"/>
      <c r="R1243" s="74"/>
      <c r="S1243" s="74"/>
      <c r="T1243" s="75"/>
      <c r="U1243" s="76"/>
      <c r="V1243" s="77"/>
      <c r="W1243" s="77"/>
      <c r="X1243" s="76"/>
      <c r="Y1243" s="76"/>
      <c r="Z1243" s="68"/>
      <c r="AA1243" s="68"/>
      <c r="AB1243" s="68"/>
      <c r="AC1243" s="68"/>
      <c r="AD1243" s="68"/>
    </row>
    <row r="1244" spans="16:30" x14ac:dyDescent="0.2">
      <c r="P1244" s="68"/>
      <c r="Q1244" s="74"/>
      <c r="R1244" s="74"/>
      <c r="S1244" s="74"/>
      <c r="T1244" s="75"/>
      <c r="U1244" s="76"/>
      <c r="V1244" s="77"/>
      <c r="W1244" s="77"/>
      <c r="X1244" s="76"/>
      <c r="Y1244" s="76"/>
      <c r="Z1244" s="68"/>
      <c r="AA1244" s="68"/>
      <c r="AB1244" s="68"/>
      <c r="AC1244" s="68"/>
      <c r="AD1244" s="68"/>
    </row>
    <row r="1245" spans="16:30" x14ac:dyDescent="0.2">
      <c r="P1245" s="68"/>
      <c r="Q1245" s="74"/>
      <c r="R1245" s="74"/>
      <c r="S1245" s="74"/>
      <c r="T1245" s="75"/>
      <c r="U1245" s="76"/>
      <c r="V1245" s="77"/>
      <c r="W1245" s="77"/>
      <c r="X1245" s="76"/>
      <c r="Y1245" s="76"/>
      <c r="Z1245" s="68"/>
      <c r="AA1245" s="68"/>
      <c r="AB1245" s="68"/>
      <c r="AC1245" s="68"/>
      <c r="AD1245" s="68"/>
    </row>
    <row r="1246" spans="16:30" x14ac:dyDescent="0.2">
      <c r="P1246" s="68"/>
      <c r="Q1246" s="74"/>
      <c r="R1246" s="74"/>
      <c r="S1246" s="74"/>
      <c r="T1246" s="75"/>
      <c r="U1246" s="76"/>
      <c r="V1246" s="77"/>
      <c r="W1246" s="77"/>
      <c r="X1246" s="76"/>
      <c r="Y1246" s="76"/>
      <c r="Z1246" s="68"/>
      <c r="AA1246" s="68"/>
      <c r="AB1246" s="68"/>
      <c r="AC1246" s="68"/>
      <c r="AD1246" s="68"/>
    </row>
    <row r="1247" spans="16:30" x14ac:dyDescent="0.2">
      <c r="P1247" s="68"/>
      <c r="Q1247" s="74"/>
      <c r="R1247" s="74"/>
      <c r="S1247" s="74"/>
      <c r="T1247" s="75"/>
      <c r="U1247" s="76"/>
      <c r="V1247" s="77"/>
      <c r="W1247" s="77"/>
      <c r="X1247" s="76"/>
      <c r="Y1247" s="76"/>
      <c r="Z1247" s="68"/>
      <c r="AA1247" s="68"/>
      <c r="AB1247" s="68"/>
      <c r="AC1247" s="68"/>
      <c r="AD1247" s="68"/>
    </row>
    <row r="1248" spans="16:30" x14ac:dyDescent="0.2">
      <c r="P1248" s="68"/>
      <c r="Q1248" s="74"/>
      <c r="R1248" s="74"/>
      <c r="S1248" s="74"/>
      <c r="T1248" s="75"/>
      <c r="U1248" s="76"/>
      <c r="V1248" s="77"/>
      <c r="W1248" s="77"/>
      <c r="X1248" s="76"/>
      <c r="Y1248" s="76"/>
      <c r="Z1248" s="68"/>
      <c r="AA1248" s="68"/>
      <c r="AB1248" s="68"/>
      <c r="AC1248" s="68"/>
      <c r="AD1248" s="68"/>
    </row>
    <row r="1249" spans="16:30" x14ac:dyDescent="0.2">
      <c r="P1249" s="68"/>
      <c r="Q1249" s="74"/>
      <c r="R1249" s="74"/>
      <c r="S1249" s="74"/>
      <c r="T1249" s="75"/>
      <c r="U1249" s="76"/>
      <c r="V1249" s="77"/>
      <c r="W1249" s="77"/>
      <c r="X1249" s="76"/>
      <c r="Y1249" s="76"/>
      <c r="Z1249" s="68"/>
      <c r="AA1249" s="68"/>
      <c r="AB1249" s="68"/>
      <c r="AC1249" s="68"/>
      <c r="AD1249" s="68"/>
    </row>
    <row r="1250" spans="16:30" x14ac:dyDescent="0.2">
      <c r="P1250" s="68"/>
      <c r="Q1250" s="74"/>
      <c r="R1250" s="74"/>
      <c r="S1250" s="74"/>
      <c r="T1250" s="75"/>
      <c r="U1250" s="76"/>
      <c r="V1250" s="77"/>
      <c r="W1250" s="77"/>
      <c r="X1250" s="76"/>
      <c r="Y1250" s="76"/>
      <c r="Z1250" s="68"/>
      <c r="AA1250" s="68"/>
      <c r="AB1250" s="68"/>
      <c r="AC1250" s="68"/>
      <c r="AD1250" s="68"/>
    </row>
    <row r="1251" spans="16:30" x14ac:dyDescent="0.2">
      <c r="P1251" s="68"/>
      <c r="Q1251" s="74"/>
      <c r="R1251" s="74"/>
      <c r="S1251" s="74"/>
      <c r="T1251" s="75"/>
      <c r="U1251" s="76"/>
      <c r="V1251" s="77"/>
      <c r="W1251" s="77"/>
      <c r="X1251" s="76"/>
      <c r="Y1251" s="76"/>
      <c r="Z1251" s="68"/>
      <c r="AA1251" s="68"/>
      <c r="AB1251" s="68"/>
      <c r="AC1251" s="68"/>
      <c r="AD1251" s="68"/>
    </row>
    <row r="1252" spans="16:30" x14ac:dyDescent="0.2">
      <c r="P1252" s="68"/>
      <c r="Q1252" s="74"/>
      <c r="R1252" s="74"/>
      <c r="S1252" s="74"/>
      <c r="T1252" s="75"/>
      <c r="U1252" s="76"/>
      <c r="V1252" s="77"/>
      <c r="W1252" s="77"/>
      <c r="X1252" s="76"/>
      <c r="Y1252" s="76"/>
      <c r="Z1252" s="68"/>
      <c r="AA1252" s="68"/>
      <c r="AB1252" s="68"/>
      <c r="AC1252" s="68"/>
      <c r="AD1252" s="68"/>
    </row>
    <row r="1253" spans="16:30" x14ac:dyDescent="0.2">
      <c r="P1253" s="68"/>
      <c r="Q1253" s="74"/>
      <c r="R1253" s="74"/>
      <c r="S1253" s="74"/>
      <c r="T1253" s="75"/>
      <c r="U1253" s="76"/>
      <c r="V1253" s="77"/>
      <c r="W1253" s="77"/>
      <c r="X1253" s="76"/>
      <c r="Y1253" s="76"/>
      <c r="Z1253" s="68"/>
      <c r="AA1253" s="68"/>
      <c r="AB1253" s="68"/>
      <c r="AC1253" s="68"/>
      <c r="AD1253" s="68"/>
    </row>
    <row r="1254" spans="16:30" x14ac:dyDescent="0.2">
      <c r="P1254" s="68"/>
      <c r="Q1254" s="74"/>
      <c r="R1254" s="74"/>
      <c r="S1254" s="74"/>
      <c r="T1254" s="75"/>
      <c r="U1254" s="76"/>
      <c r="V1254" s="77"/>
      <c r="W1254" s="77"/>
      <c r="X1254" s="76"/>
      <c r="Y1254" s="76"/>
      <c r="Z1254" s="68"/>
      <c r="AA1254" s="68"/>
      <c r="AB1254" s="68"/>
      <c r="AC1254" s="68"/>
      <c r="AD1254" s="68"/>
    </row>
    <row r="1255" spans="16:30" x14ac:dyDescent="0.2">
      <c r="P1255" s="68"/>
      <c r="Q1255" s="74"/>
      <c r="R1255" s="74"/>
      <c r="S1255" s="74"/>
      <c r="T1255" s="75"/>
      <c r="U1255" s="76"/>
      <c r="V1255" s="77"/>
      <c r="W1255" s="77"/>
      <c r="X1255" s="76"/>
      <c r="Y1255" s="76"/>
      <c r="Z1255" s="68"/>
      <c r="AA1255" s="68"/>
      <c r="AB1255" s="68"/>
      <c r="AC1255" s="68"/>
      <c r="AD1255" s="68"/>
    </row>
    <row r="1256" spans="16:30" x14ac:dyDescent="0.2">
      <c r="P1256" s="68"/>
      <c r="Q1256" s="74"/>
      <c r="R1256" s="74"/>
      <c r="S1256" s="74"/>
      <c r="T1256" s="75"/>
      <c r="U1256" s="76"/>
      <c r="V1256" s="77"/>
      <c r="W1256" s="77"/>
      <c r="X1256" s="76"/>
      <c r="Y1256" s="76"/>
      <c r="Z1256" s="68"/>
      <c r="AA1256" s="68"/>
      <c r="AB1256" s="68"/>
      <c r="AC1256" s="68"/>
      <c r="AD1256" s="68"/>
    </row>
    <row r="1257" spans="16:30" x14ac:dyDescent="0.2">
      <c r="P1257" s="68"/>
      <c r="Q1257" s="74"/>
      <c r="R1257" s="74"/>
      <c r="S1257" s="74"/>
      <c r="T1257" s="75"/>
      <c r="U1257" s="76"/>
      <c r="V1257" s="77"/>
      <c r="W1257" s="77"/>
      <c r="X1257" s="76"/>
      <c r="Y1257" s="76"/>
      <c r="Z1257" s="68"/>
      <c r="AA1257" s="68"/>
      <c r="AB1257" s="68"/>
      <c r="AC1257" s="68"/>
      <c r="AD1257" s="68"/>
    </row>
    <row r="1258" spans="16:30" x14ac:dyDescent="0.2">
      <c r="P1258" s="68"/>
      <c r="Q1258" s="74"/>
      <c r="R1258" s="74"/>
      <c r="S1258" s="74"/>
      <c r="T1258" s="75"/>
      <c r="U1258" s="76"/>
      <c r="V1258" s="77"/>
      <c r="W1258" s="77"/>
      <c r="X1258" s="76"/>
      <c r="Y1258" s="76"/>
      <c r="Z1258" s="68"/>
      <c r="AA1258" s="68"/>
      <c r="AB1258" s="68"/>
      <c r="AC1258" s="68"/>
      <c r="AD1258" s="68"/>
    </row>
    <row r="1259" spans="16:30" x14ac:dyDescent="0.2">
      <c r="P1259" s="68"/>
      <c r="Q1259" s="74"/>
      <c r="R1259" s="74"/>
      <c r="S1259" s="74"/>
      <c r="T1259" s="75"/>
      <c r="U1259" s="76"/>
      <c r="V1259" s="77"/>
      <c r="W1259" s="77"/>
      <c r="X1259" s="76"/>
      <c r="Y1259" s="76"/>
      <c r="Z1259" s="68"/>
      <c r="AA1259" s="68"/>
      <c r="AB1259" s="68"/>
      <c r="AC1259" s="68"/>
      <c r="AD1259" s="68"/>
    </row>
    <row r="1260" spans="16:30" x14ac:dyDescent="0.2">
      <c r="P1260" s="68"/>
      <c r="Q1260" s="74"/>
      <c r="R1260" s="74"/>
      <c r="S1260" s="74"/>
      <c r="T1260" s="75"/>
      <c r="U1260" s="76"/>
      <c r="V1260" s="77"/>
      <c r="W1260" s="77"/>
      <c r="X1260" s="76"/>
      <c r="Y1260" s="76"/>
      <c r="Z1260" s="68"/>
      <c r="AA1260" s="68"/>
      <c r="AB1260" s="68"/>
      <c r="AC1260" s="68"/>
      <c r="AD1260" s="68"/>
    </row>
    <row r="1261" spans="16:30" x14ac:dyDescent="0.2">
      <c r="P1261" s="68"/>
      <c r="Q1261" s="74"/>
      <c r="R1261" s="74"/>
      <c r="S1261" s="74"/>
      <c r="T1261" s="75"/>
      <c r="U1261" s="76"/>
      <c r="V1261" s="77"/>
      <c r="W1261" s="77"/>
      <c r="X1261" s="76"/>
      <c r="Y1261" s="76"/>
      <c r="Z1261" s="68"/>
      <c r="AA1261" s="68"/>
      <c r="AB1261" s="68"/>
      <c r="AC1261" s="68"/>
      <c r="AD1261" s="68"/>
    </row>
    <row r="1262" spans="16:30" x14ac:dyDescent="0.2">
      <c r="P1262" s="68"/>
      <c r="Q1262" s="74"/>
      <c r="R1262" s="74"/>
      <c r="S1262" s="74"/>
      <c r="T1262" s="75"/>
      <c r="U1262" s="76"/>
      <c r="V1262" s="77"/>
      <c r="W1262" s="77"/>
      <c r="X1262" s="76"/>
      <c r="Y1262" s="76"/>
      <c r="Z1262" s="68"/>
      <c r="AA1262" s="68"/>
      <c r="AB1262" s="68"/>
      <c r="AC1262" s="68"/>
      <c r="AD1262" s="68"/>
    </row>
    <row r="1263" spans="16:30" x14ac:dyDescent="0.2">
      <c r="P1263" s="68"/>
      <c r="Q1263" s="74"/>
      <c r="R1263" s="74"/>
      <c r="S1263" s="74"/>
      <c r="T1263" s="75"/>
      <c r="U1263" s="76"/>
      <c r="V1263" s="77"/>
      <c r="W1263" s="77"/>
      <c r="X1263" s="76"/>
      <c r="Y1263" s="76"/>
      <c r="Z1263" s="68"/>
      <c r="AA1263" s="68"/>
      <c r="AB1263" s="68"/>
      <c r="AC1263" s="68"/>
      <c r="AD1263" s="68"/>
    </row>
    <row r="1264" spans="16:30" x14ac:dyDescent="0.2">
      <c r="P1264" s="68"/>
      <c r="Q1264" s="74"/>
      <c r="R1264" s="74"/>
      <c r="S1264" s="74"/>
      <c r="T1264" s="75"/>
      <c r="U1264" s="76"/>
      <c r="V1264" s="77"/>
      <c r="W1264" s="77"/>
      <c r="X1264" s="76"/>
      <c r="Y1264" s="76"/>
      <c r="Z1264" s="68"/>
      <c r="AA1264" s="68"/>
      <c r="AB1264" s="68"/>
      <c r="AC1264" s="68"/>
      <c r="AD1264" s="68"/>
    </row>
    <row r="1265" spans="16:30" x14ac:dyDescent="0.2">
      <c r="P1265" s="68"/>
      <c r="Q1265" s="74"/>
      <c r="R1265" s="74"/>
      <c r="S1265" s="74"/>
      <c r="T1265" s="75"/>
      <c r="U1265" s="76"/>
      <c r="V1265" s="77"/>
      <c r="W1265" s="77"/>
      <c r="X1265" s="76"/>
      <c r="Y1265" s="76"/>
      <c r="Z1265" s="68"/>
      <c r="AA1265" s="68"/>
      <c r="AB1265" s="68"/>
      <c r="AC1265" s="68"/>
      <c r="AD1265" s="68"/>
    </row>
    <row r="1266" spans="16:30" x14ac:dyDescent="0.2">
      <c r="P1266" s="68"/>
      <c r="Q1266" s="74"/>
      <c r="R1266" s="74"/>
      <c r="S1266" s="74"/>
      <c r="T1266" s="75"/>
      <c r="U1266" s="76"/>
      <c r="V1266" s="77"/>
      <c r="W1266" s="77"/>
      <c r="X1266" s="76"/>
      <c r="Y1266" s="76"/>
      <c r="Z1266" s="68"/>
      <c r="AA1266" s="68"/>
      <c r="AB1266" s="68"/>
      <c r="AC1266" s="68"/>
      <c r="AD1266" s="68"/>
    </row>
    <row r="1267" spans="16:30" x14ac:dyDescent="0.2">
      <c r="P1267" s="68"/>
      <c r="Q1267" s="74"/>
      <c r="R1267" s="74"/>
      <c r="S1267" s="74"/>
      <c r="T1267" s="75"/>
      <c r="U1267" s="76"/>
      <c r="V1267" s="77"/>
      <c r="W1267" s="77"/>
      <c r="X1267" s="76"/>
      <c r="Y1267" s="76"/>
      <c r="Z1267" s="68"/>
      <c r="AA1267" s="68"/>
      <c r="AB1267" s="68"/>
      <c r="AC1267" s="68"/>
      <c r="AD1267" s="68"/>
    </row>
    <row r="1268" spans="16:30" x14ac:dyDescent="0.2">
      <c r="P1268" s="68"/>
      <c r="Q1268" s="74"/>
      <c r="R1268" s="74"/>
      <c r="S1268" s="74"/>
      <c r="T1268" s="75"/>
      <c r="U1268" s="76"/>
      <c r="V1268" s="77"/>
      <c r="W1268" s="77"/>
      <c r="X1268" s="76"/>
      <c r="Y1268" s="76"/>
      <c r="Z1268" s="68"/>
      <c r="AA1268" s="68"/>
      <c r="AB1268" s="68"/>
      <c r="AC1268" s="68"/>
      <c r="AD1268" s="68"/>
    </row>
    <row r="1269" spans="16:30" x14ac:dyDescent="0.2">
      <c r="P1269" s="68"/>
      <c r="Q1269" s="74"/>
      <c r="R1269" s="74"/>
      <c r="S1269" s="74"/>
      <c r="T1269" s="75"/>
      <c r="U1269" s="76"/>
      <c r="V1269" s="77"/>
      <c r="W1269" s="77"/>
      <c r="X1269" s="76"/>
      <c r="Y1269" s="76"/>
      <c r="Z1269" s="68"/>
      <c r="AA1269" s="68"/>
      <c r="AB1269" s="68"/>
      <c r="AC1269" s="68"/>
      <c r="AD1269" s="68"/>
    </row>
    <row r="1270" spans="16:30" x14ac:dyDescent="0.2">
      <c r="P1270" s="68"/>
      <c r="Q1270" s="74"/>
      <c r="R1270" s="74"/>
      <c r="S1270" s="74"/>
      <c r="T1270" s="75"/>
      <c r="U1270" s="76"/>
      <c r="V1270" s="77"/>
      <c r="W1270" s="77"/>
      <c r="X1270" s="76"/>
      <c r="Y1270" s="76"/>
      <c r="Z1270" s="68"/>
      <c r="AA1270" s="68"/>
      <c r="AB1270" s="68"/>
      <c r="AC1270" s="68"/>
      <c r="AD1270" s="68"/>
    </row>
    <row r="1271" spans="16:30" x14ac:dyDescent="0.2">
      <c r="P1271" s="68"/>
      <c r="Q1271" s="74"/>
      <c r="R1271" s="74"/>
      <c r="S1271" s="74"/>
      <c r="T1271" s="75"/>
      <c r="U1271" s="76"/>
      <c r="V1271" s="77"/>
      <c r="W1271" s="77"/>
      <c r="X1271" s="76"/>
      <c r="Y1271" s="76"/>
      <c r="Z1271" s="68"/>
      <c r="AA1271" s="68"/>
      <c r="AB1271" s="68"/>
      <c r="AC1271" s="68"/>
      <c r="AD1271" s="68"/>
    </row>
    <row r="1272" spans="16:30" x14ac:dyDescent="0.2">
      <c r="P1272" s="68"/>
      <c r="Q1272" s="74"/>
      <c r="R1272" s="74"/>
      <c r="S1272" s="74"/>
      <c r="T1272" s="75"/>
      <c r="U1272" s="76"/>
      <c r="V1272" s="77"/>
      <c r="W1272" s="77"/>
      <c r="X1272" s="76"/>
      <c r="Y1272" s="76"/>
      <c r="Z1272" s="68"/>
      <c r="AA1272" s="68"/>
      <c r="AB1272" s="68"/>
      <c r="AC1272" s="68"/>
      <c r="AD1272" s="68"/>
    </row>
    <row r="1273" spans="16:30" x14ac:dyDescent="0.2">
      <c r="P1273" s="68"/>
      <c r="Q1273" s="74"/>
      <c r="R1273" s="74"/>
      <c r="S1273" s="74"/>
      <c r="T1273" s="75"/>
      <c r="U1273" s="76"/>
      <c r="V1273" s="77"/>
      <c r="W1273" s="77"/>
      <c r="X1273" s="76"/>
      <c r="Y1273" s="76"/>
      <c r="Z1273" s="68"/>
      <c r="AA1273" s="68"/>
      <c r="AB1273" s="68"/>
      <c r="AC1273" s="68"/>
      <c r="AD1273" s="68"/>
    </row>
    <row r="1274" spans="16:30" x14ac:dyDescent="0.2">
      <c r="P1274" s="68"/>
      <c r="Q1274" s="74"/>
      <c r="R1274" s="74"/>
      <c r="S1274" s="74"/>
      <c r="T1274" s="75"/>
      <c r="U1274" s="76"/>
      <c r="V1274" s="77"/>
      <c r="W1274" s="77"/>
      <c r="X1274" s="76"/>
      <c r="Y1274" s="76"/>
      <c r="Z1274" s="68"/>
      <c r="AA1274" s="68"/>
      <c r="AB1274" s="68"/>
      <c r="AC1274" s="68"/>
      <c r="AD1274" s="68"/>
    </row>
    <row r="1275" spans="16:30" x14ac:dyDescent="0.2">
      <c r="P1275" s="68"/>
      <c r="Q1275" s="74"/>
      <c r="R1275" s="74"/>
      <c r="S1275" s="74"/>
      <c r="T1275" s="75"/>
      <c r="U1275" s="76"/>
      <c r="V1275" s="77"/>
      <c r="W1275" s="77"/>
      <c r="X1275" s="76"/>
      <c r="Y1275" s="76"/>
      <c r="Z1275" s="68"/>
      <c r="AA1275" s="68"/>
      <c r="AB1275" s="68"/>
      <c r="AC1275" s="68"/>
      <c r="AD1275" s="68"/>
    </row>
    <row r="1276" spans="16:30" x14ac:dyDescent="0.2">
      <c r="P1276" s="68"/>
      <c r="Q1276" s="74"/>
      <c r="R1276" s="74"/>
      <c r="S1276" s="74"/>
      <c r="T1276" s="75"/>
      <c r="U1276" s="76"/>
      <c r="V1276" s="77"/>
      <c r="W1276" s="77"/>
      <c r="X1276" s="76"/>
      <c r="Y1276" s="76"/>
      <c r="Z1276" s="68"/>
      <c r="AA1276" s="68"/>
      <c r="AB1276" s="68"/>
      <c r="AC1276" s="68"/>
      <c r="AD1276" s="68"/>
    </row>
    <row r="1277" spans="16:30" x14ac:dyDescent="0.2">
      <c r="P1277" s="68"/>
      <c r="Q1277" s="74"/>
      <c r="R1277" s="74"/>
      <c r="S1277" s="74"/>
      <c r="T1277" s="75"/>
      <c r="U1277" s="76"/>
      <c r="V1277" s="77"/>
      <c r="W1277" s="77"/>
      <c r="X1277" s="76"/>
      <c r="Y1277" s="76"/>
      <c r="Z1277" s="68"/>
      <c r="AA1277" s="68"/>
      <c r="AB1277" s="68"/>
      <c r="AC1277" s="68"/>
      <c r="AD1277" s="68"/>
    </row>
    <row r="1278" spans="16:30" x14ac:dyDescent="0.2">
      <c r="P1278" s="68"/>
      <c r="Q1278" s="74"/>
      <c r="R1278" s="74"/>
      <c r="S1278" s="74"/>
      <c r="T1278" s="75"/>
      <c r="U1278" s="76"/>
      <c r="V1278" s="77"/>
      <c r="W1278" s="77"/>
      <c r="X1278" s="76"/>
      <c r="Y1278" s="76"/>
      <c r="Z1278" s="68"/>
      <c r="AA1278" s="68"/>
      <c r="AB1278" s="68"/>
      <c r="AC1278" s="68"/>
      <c r="AD1278" s="68"/>
    </row>
    <row r="1279" spans="16:30" x14ac:dyDescent="0.2">
      <c r="P1279" s="68"/>
      <c r="Q1279" s="74"/>
      <c r="R1279" s="74"/>
      <c r="S1279" s="74"/>
      <c r="T1279" s="75"/>
      <c r="U1279" s="76"/>
      <c r="V1279" s="77"/>
      <c r="W1279" s="77"/>
      <c r="X1279" s="76"/>
      <c r="Y1279" s="76"/>
      <c r="Z1279" s="68"/>
      <c r="AA1279" s="68"/>
      <c r="AB1279" s="68"/>
      <c r="AC1279" s="68"/>
      <c r="AD1279" s="68"/>
    </row>
    <row r="1280" spans="16:30" x14ac:dyDescent="0.2">
      <c r="P1280" s="68"/>
      <c r="Q1280" s="74"/>
      <c r="R1280" s="74"/>
      <c r="S1280" s="74"/>
      <c r="T1280" s="75"/>
      <c r="U1280" s="76"/>
      <c r="V1280" s="77"/>
      <c r="W1280" s="77"/>
      <c r="X1280" s="76"/>
      <c r="Y1280" s="76"/>
      <c r="Z1280" s="68"/>
      <c r="AA1280" s="68"/>
      <c r="AB1280" s="68"/>
      <c r="AC1280" s="68"/>
      <c r="AD1280" s="68"/>
    </row>
    <row r="1281" spans="16:30" x14ac:dyDescent="0.2">
      <c r="P1281" s="68"/>
      <c r="Q1281" s="74"/>
      <c r="R1281" s="74"/>
      <c r="S1281" s="74"/>
      <c r="T1281" s="75"/>
      <c r="U1281" s="76"/>
      <c r="V1281" s="77"/>
      <c r="W1281" s="77"/>
      <c r="X1281" s="76"/>
      <c r="Y1281" s="76"/>
      <c r="Z1281" s="68"/>
      <c r="AA1281" s="68"/>
      <c r="AB1281" s="68"/>
      <c r="AC1281" s="68"/>
      <c r="AD1281" s="68"/>
    </row>
    <row r="1282" spans="16:30" x14ac:dyDescent="0.2">
      <c r="P1282" s="68"/>
      <c r="Q1282" s="74"/>
      <c r="R1282" s="74"/>
      <c r="S1282" s="74"/>
      <c r="T1282" s="75"/>
      <c r="U1282" s="76"/>
      <c r="V1282" s="77"/>
      <c r="W1282" s="77"/>
      <c r="X1282" s="76"/>
      <c r="Y1282" s="76"/>
      <c r="Z1282" s="68"/>
      <c r="AA1282" s="68"/>
      <c r="AB1282" s="68"/>
      <c r="AC1282" s="68"/>
      <c r="AD1282" s="68"/>
    </row>
    <row r="1283" spans="16:30" x14ac:dyDescent="0.2">
      <c r="P1283" s="68"/>
      <c r="Q1283" s="74"/>
      <c r="R1283" s="74"/>
      <c r="S1283" s="74"/>
      <c r="T1283" s="75"/>
      <c r="U1283" s="76"/>
      <c r="V1283" s="77"/>
      <c r="W1283" s="77"/>
      <c r="X1283" s="76"/>
      <c r="Y1283" s="76"/>
      <c r="Z1283" s="68"/>
      <c r="AA1283" s="68"/>
      <c r="AB1283" s="68"/>
      <c r="AC1283" s="68"/>
      <c r="AD1283" s="68"/>
    </row>
    <row r="1284" spans="16:30" x14ac:dyDescent="0.2">
      <c r="P1284" s="68"/>
      <c r="Q1284" s="74"/>
      <c r="R1284" s="74"/>
      <c r="S1284" s="74"/>
      <c r="T1284" s="75"/>
      <c r="U1284" s="76"/>
      <c r="V1284" s="77"/>
      <c r="W1284" s="77"/>
      <c r="X1284" s="76"/>
      <c r="Y1284" s="76"/>
      <c r="Z1284" s="68"/>
      <c r="AA1284" s="68"/>
      <c r="AB1284" s="68"/>
      <c r="AC1284" s="68"/>
      <c r="AD1284" s="68"/>
    </row>
    <row r="1285" spans="16:30" x14ac:dyDescent="0.2">
      <c r="P1285" s="68"/>
      <c r="Q1285" s="74"/>
      <c r="R1285" s="74"/>
      <c r="S1285" s="74"/>
      <c r="T1285" s="75"/>
      <c r="U1285" s="76"/>
      <c r="V1285" s="77"/>
      <c r="W1285" s="77"/>
      <c r="X1285" s="76"/>
      <c r="Y1285" s="76"/>
      <c r="Z1285" s="68"/>
      <c r="AA1285" s="68"/>
      <c r="AB1285" s="68"/>
      <c r="AC1285" s="68"/>
      <c r="AD1285" s="68"/>
    </row>
    <row r="1286" spans="16:30" x14ac:dyDescent="0.2">
      <c r="P1286" s="68"/>
      <c r="Q1286" s="74"/>
      <c r="R1286" s="74"/>
      <c r="S1286" s="74"/>
      <c r="T1286" s="75"/>
      <c r="U1286" s="76"/>
      <c r="V1286" s="77"/>
      <c r="W1286" s="77"/>
      <c r="X1286" s="76"/>
      <c r="Y1286" s="76"/>
      <c r="Z1286" s="68"/>
      <c r="AA1286" s="68"/>
      <c r="AB1286" s="68"/>
      <c r="AC1286" s="68"/>
      <c r="AD1286" s="68"/>
    </row>
    <row r="1287" spans="16:30" x14ac:dyDescent="0.2">
      <c r="P1287" s="68"/>
      <c r="Q1287" s="74"/>
      <c r="R1287" s="74"/>
      <c r="S1287" s="74"/>
      <c r="T1287" s="75"/>
      <c r="U1287" s="76"/>
      <c r="V1287" s="77"/>
      <c r="W1287" s="77"/>
      <c r="X1287" s="76"/>
      <c r="Y1287" s="76"/>
      <c r="Z1287" s="68"/>
      <c r="AA1287" s="68"/>
      <c r="AB1287" s="68"/>
      <c r="AC1287" s="68"/>
      <c r="AD1287" s="68"/>
    </row>
    <row r="1288" spans="16:30" x14ac:dyDescent="0.2">
      <c r="P1288" s="68"/>
      <c r="Q1288" s="74"/>
      <c r="R1288" s="74"/>
      <c r="S1288" s="74"/>
      <c r="T1288" s="75"/>
      <c r="U1288" s="76"/>
      <c r="V1288" s="77"/>
      <c r="W1288" s="77"/>
      <c r="X1288" s="76"/>
      <c r="Y1288" s="76"/>
      <c r="Z1288" s="68"/>
      <c r="AA1288" s="68"/>
      <c r="AB1288" s="68"/>
      <c r="AC1288" s="68"/>
      <c r="AD1288" s="68"/>
    </row>
    <row r="1289" spans="16:30" x14ac:dyDescent="0.2">
      <c r="P1289" s="68"/>
      <c r="Q1289" s="74"/>
      <c r="R1289" s="74"/>
      <c r="S1289" s="74"/>
      <c r="T1289" s="75"/>
      <c r="U1289" s="76"/>
      <c r="V1289" s="77"/>
      <c r="W1289" s="77"/>
      <c r="X1289" s="76"/>
      <c r="Y1289" s="76"/>
      <c r="Z1289" s="68"/>
      <c r="AA1289" s="68"/>
      <c r="AB1289" s="68"/>
      <c r="AC1289" s="68"/>
      <c r="AD1289" s="68"/>
    </row>
    <row r="1290" spans="16:30" x14ac:dyDescent="0.2">
      <c r="P1290" s="68"/>
      <c r="Q1290" s="74"/>
      <c r="R1290" s="74"/>
      <c r="S1290" s="74"/>
      <c r="T1290" s="75"/>
      <c r="U1290" s="76"/>
      <c r="V1290" s="77"/>
      <c r="W1290" s="77"/>
      <c r="X1290" s="76"/>
      <c r="Y1290" s="76"/>
      <c r="Z1290" s="68"/>
      <c r="AA1290" s="68"/>
      <c r="AB1290" s="68"/>
      <c r="AC1290" s="68"/>
      <c r="AD1290" s="68"/>
    </row>
    <row r="1291" spans="16:30" x14ac:dyDescent="0.2">
      <c r="P1291" s="68"/>
      <c r="Q1291" s="74"/>
      <c r="R1291" s="74"/>
      <c r="S1291" s="74"/>
      <c r="T1291" s="75"/>
      <c r="U1291" s="76"/>
      <c r="V1291" s="77"/>
      <c r="W1291" s="77"/>
      <c r="X1291" s="76"/>
      <c r="Y1291" s="76"/>
      <c r="Z1291" s="68"/>
      <c r="AA1291" s="68"/>
      <c r="AB1291" s="68"/>
      <c r="AC1291" s="68"/>
      <c r="AD1291" s="68"/>
    </row>
    <row r="1292" spans="16:30" x14ac:dyDescent="0.2">
      <c r="P1292" s="68"/>
      <c r="Q1292" s="74"/>
      <c r="R1292" s="74"/>
      <c r="S1292" s="74"/>
      <c r="T1292" s="75"/>
      <c r="U1292" s="76"/>
      <c r="V1292" s="77"/>
      <c r="W1292" s="77"/>
      <c r="X1292" s="76"/>
      <c r="Y1292" s="76"/>
      <c r="Z1292" s="68"/>
      <c r="AA1292" s="68"/>
      <c r="AB1292" s="68"/>
      <c r="AC1292" s="68"/>
      <c r="AD1292" s="68"/>
    </row>
    <row r="1293" spans="16:30" x14ac:dyDescent="0.2">
      <c r="P1293" s="68"/>
      <c r="Q1293" s="74"/>
      <c r="R1293" s="74"/>
      <c r="S1293" s="74"/>
      <c r="T1293" s="75"/>
      <c r="U1293" s="76"/>
      <c r="V1293" s="77"/>
      <c r="W1293" s="77"/>
      <c r="X1293" s="76"/>
      <c r="Y1293" s="76"/>
      <c r="Z1293" s="68"/>
      <c r="AA1293" s="68"/>
      <c r="AB1293" s="68"/>
      <c r="AC1293" s="68"/>
      <c r="AD1293" s="68"/>
    </row>
    <row r="1294" spans="16:30" x14ac:dyDescent="0.2">
      <c r="P1294" s="68"/>
      <c r="Q1294" s="74"/>
      <c r="R1294" s="74"/>
      <c r="S1294" s="74"/>
      <c r="T1294" s="75"/>
      <c r="U1294" s="76"/>
      <c r="V1294" s="77"/>
      <c r="W1294" s="77"/>
      <c r="X1294" s="76"/>
      <c r="Y1294" s="76"/>
      <c r="Z1294" s="68"/>
      <c r="AA1294" s="68"/>
      <c r="AB1294" s="68"/>
      <c r="AC1294" s="68"/>
      <c r="AD1294" s="68"/>
    </row>
    <row r="1295" spans="16:30" x14ac:dyDescent="0.2">
      <c r="P1295" s="68"/>
      <c r="Q1295" s="74"/>
      <c r="R1295" s="74"/>
      <c r="S1295" s="74"/>
      <c r="T1295" s="75"/>
      <c r="U1295" s="76"/>
      <c r="V1295" s="77"/>
      <c r="W1295" s="77"/>
      <c r="X1295" s="76"/>
      <c r="Y1295" s="76"/>
      <c r="Z1295" s="68"/>
      <c r="AA1295" s="68"/>
      <c r="AB1295" s="68"/>
      <c r="AC1295" s="68"/>
      <c r="AD1295" s="68"/>
    </row>
    <row r="1296" spans="16:30" x14ac:dyDescent="0.2">
      <c r="P1296" s="68"/>
      <c r="Q1296" s="74"/>
      <c r="R1296" s="74"/>
      <c r="S1296" s="74"/>
      <c r="T1296" s="75"/>
      <c r="U1296" s="76"/>
      <c r="V1296" s="77"/>
      <c r="W1296" s="77"/>
      <c r="X1296" s="76"/>
      <c r="Y1296" s="76"/>
      <c r="Z1296" s="68"/>
      <c r="AA1296" s="68"/>
      <c r="AB1296" s="68"/>
      <c r="AC1296" s="68"/>
      <c r="AD1296" s="68"/>
    </row>
    <row r="1297" spans="16:30" x14ac:dyDescent="0.2">
      <c r="P1297" s="68"/>
      <c r="Q1297" s="74"/>
      <c r="R1297" s="74"/>
      <c r="S1297" s="74"/>
      <c r="T1297" s="75"/>
      <c r="U1297" s="76"/>
      <c r="V1297" s="77"/>
      <c r="W1297" s="77"/>
      <c r="X1297" s="76"/>
      <c r="Y1297" s="76"/>
      <c r="Z1297" s="68"/>
      <c r="AA1297" s="68"/>
      <c r="AB1297" s="68"/>
      <c r="AC1297" s="68"/>
      <c r="AD1297" s="68"/>
    </row>
    <row r="1298" spans="16:30" x14ac:dyDescent="0.2">
      <c r="P1298" s="68"/>
      <c r="Q1298" s="74"/>
      <c r="R1298" s="74"/>
      <c r="S1298" s="74"/>
      <c r="T1298" s="75"/>
      <c r="U1298" s="76"/>
      <c r="V1298" s="77"/>
      <c r="W1298" s="77"/>
      <c r="X1298" s="76"/>
      <c r="Y1298" s="76"/>
      <c r="Z1298" s="68"/>
      <c r="AA1298" s="68"/>
      <c r="AB1298" s="68"/>
      <c r="AC1298" s="68"/>
      <c r="AD1298" s="68"/>
    </row>
    <row r="1299" spans="16:30" x14ac:dyDescent="0.2">
      <c r="P1299" s="68"/>
      <c r="Q1299" s="74"/>
      <c r="R1299" s="74"/>
      <c r="S1299" s="74"/>
      <c r="T1299" s="75"/>
      <c r="U1299" s="76"/>
      <c r="V1299" s="77"/>
      <c r="W1299" s="77"/>
      <c r="X1299" s="76"/>
      <c r="Y1299" s="76"/>
      <c r="Z1299" s="68"/>
      <c r="AA1299" s="68"/>
      <c r="AB1299" s="68"/>
      <c r="AC1299" s="68"/>
      <c r="AD1299" s="68"/>
    </row>
    <row r="1300" spans="16:30" x14ac:dyDescent="0.2">
      <c r="P1300" s="68"/>
      <c r="Q1300" s="74"/>
      <c r="R1300" s="74"/>
      <c r="S1300" s="74"/>
      <c r="T1300" s="75"/>
      <c r="U1300" s="76"/>
      <c r="V1300" s="77"/>
      <c r="W1300" s="77"/>
      <c r="X1300" s="76"/>
      <c r="Y1300" s="76"/>
      <c r="Z1300" s="68"/>
      <c r="AA1300" s="68"/>
      <c r="AB1300" s="68"/>
      <c r="AC1300" s="68"/>
      <c r="AD1300" s="68"/>
    </row>
    <row r="1301" spans="16:30" x14ac:dyDescent="0.2">
      <c r="P1301" s="68"/>
      <c r="Q1301" s="74"/>
      <c r="R1301" s="74"/>
      <c r="S1301" s="74"/>
      <c r="T1301" s="75"/>
      <c r="U1301" s="76"/>
      <c r="V1301" s="77"/>
      <c r="W1301" s="77"/>
      <c r="X1301" s="76"/>
      <c r="Y1301" s="76"/>
      <c r="Z1301" s="68"/>
      <c r="AA1301" s="68"/>
      <c r="AB1301" s="68"/>
      <c r="AC1301" s="68"/>
      <c r="AD1301" s="68"/>
    </row>
    <row r="1302" spans="16:30" x14ac:dyDescent="0.2">
      <c r="P1302" s="68"/>
      <c r="Q1302" s="74"/>
      <c r="R1302" s="74"/>
      <c r="S1302" s="74"/>
      <c r="T1302" s="75"/>
      <c r="U1302" s="76"/>
      <c r="V1302" s="77"/>
      <c r="W1302" s="77"/>
      <c r="X1302" s="76"/>
      <c r="Y1302" s="76"/>
      <c r="Z1302" s="68"/>
      <c r="AA1302" s="68"/>
      <c r="AB1302" s="68"/>
      <c r="AC1302" s="68"/>
      <c r="AD1302" s="68"/>
    </row>
    <row r="1303" spans="16:30" x14ac:dyDescent="0.2">
      <c r="P1303" s="68"/>
      <c r="Q1303" s="74"/>
      <c r="R1303" s="74"/>
      <c r="S1303" s="74"/>
      <c r="T1303" s="75"/>
      <c r="U1303" s="76"/>
      <c r="V1303" s="77"/>
      <c r="W1303" s="77"/>
      <c r="X1303" s="76"/>
      <c r="Y1303" s="76"/>
      <c r="Z1303" s="68"/>
      <c r="AA1303" s="68"/>
      <c r="AB1303" s="68"/>
      <c r="AC1303" s="68"/>
      <c r="AD1303" s="68"/>
    </row>
    <row r="1304" spans="16:30" x14ac:dyDescent="0.2">
      <c r="P1304" s="68"/>
      <c r="Q1304" s="74"/>
      <c r="R1304" s="74"/>
      <c r="S1304" s="74"/>
      <c r="T1304" s="75"/>
      <c r="U1304" s="76"/>
      <c r="V1304" s="77"/>
      <c r="W1304" s="77"/>
      <c r="X1304" s="76"/>
      <c r="Y1304" s="76"/>
      <c r="Z1304" s="68"/>
      <c r="AA1304" s="68"/>
      <c r="AB1304" s="68"/>
      <c r="AC1304" s="68"/>
      <c r="AD1304" s="68"/>
    </row>
    <row r="1305" spans="16:30" x14ac:dyDescent="0.2">
      <c r="P1305" s="68"/>
      <c r="Q1305" s="74"/>
      <c r="R1305" s="74"/>
      <c r="S1305" s="74"/>
      <c r="T1305" s="75"/>
      <c r="U1305" s="76"/>
      <c r="V1305" s="77"/>
      <c r="W1305" s="77"/>
      <c r="X1305" s="76"/>
      <c r="Y1305" s="76"/>
      <c r="Z1305" s="68"/>
      <c r="AA1305" s="68"/>
      <c r="AB1305" s="68"/>
      <c r="AC1305" s="68"/>
      <c r="AD1305" s="68"/>
    </row>
    <row r="1306" spans="16:30" x14ac:dyDescent="0.2">
      <c r="P1306" s="68"/>
      <c r="Q1306" s="74"/>
      <c r="R1306" s="74"/>
      <c r="S1306" s="74"/>
      <c r="T1306" s="75"/>
      <c r="U1306" s="76"/>
      <c r="V1306" s="77"/>
      <c r="W1306" s="77"/>
      <c r="X1306" s="76"/>
      <c r="Y1306" s="76"/>
      <c r="Z1306" s="68"/>
      <c r="AA1306" s="68"/>
      <c r="AB1306" s="68"/>
      <c r="AC1306" s="68"/>
      <c r="AD1306" s="68"/>
    </row>
    <row r="1307" spans="16:30" x14ac:dyDescent="0.2">
      <c r="P1307" s="68"/>
      <c r="Q1307" s="74"/>
      <c r="R1307" s="74"/>
      <c r="S1307" s="74"/>
      <c r="T1307" s="75"/>
      <c r="U1307" s="76"/>
      <c r="V1307" s="77"/>
      <c r="W1307" s="77"/>
      <c r="X1307" s="76"/>
      <c r="Y1307" s="76"/>
      <c r="Z1307" s="68"/>
      <c r="AA1307" s="68"/>
      <c r="AB1307" s="68"/>
      <c r="AC1307" s="68"/>
      <c r="AD1307" s="68"/>
    </row>
    <row r="1308" spans="16:30" x14ac:dyDescent="0.2">
      <c r="P1308" s="68"/>
      <c r="Q1308" s="74"/>
      <c r="R1308" s="74"/>
      <c r="S1308" s="74"/>
      <c r="T1308" s="75"/>
      <c r="U1308" s="76"/>
      <c r="V1308" s="77"/>
      <c r="W1308" s="77"/>
      <c r="X1308" s="76"/>
      <c r="Y1308" s="76"/>
      <c r="Z1308" s="68"/>
      <c r="AA1308" s="68"/>
      <c r="AB1308" s="68"/>
      <c r="AC1308" s="68"/>
      <c r="AD1308" s="68"/>
    </row>
    <row r="1309" spans="16:30" x14ac:dyDescent="0.2">
      <c r="P1309" s="68"/>
      <c r="Q1309" s="74"/>
      <c r="R1309" s="74"/>
      <c r="S1309" s="74"/>
      <c r="T1309" s="75"/>
      <c r="U1309" s="76"/>
      <c r="V1309" s="77"/>
      <c r="W1309" s="77"/>
      <c r="X1309" s="76"/>
      <c r="Y1309" s="76"/>
      <c r="Z1309" s="68"/>
      <c r="AA1309" s="68"/>
      <c r="AB1309" s="68"/>
      <c r="AC1309" s="68"/>
      <c r="AD1309" s="68"/>
    </row>
    <row r="1310" spans="16:30" x14ac:dyDescent="0.2">
      <c r="P1310" s="68"/>
      <c r="Q1310" s="74"/>
      <c r="R1310" s="74"/>
      <c r="S1310" s="74"/>
      <c r="T1310" s="75"/>
      <c r="U1310" s="76"/>
      <c r="V1310" s="77"/>
      <c r="W1310" s="77"/>
      <c r="X1310" s="76"/>
      <c r="Y1310" s="76"/>
      <c r="Z1310" s="68"/>
      <c r="AA1310" s="68"/>
      <c r="AB1310" s="68"/>
      <c r="AC1310" s="68"/>
      <c r="AD1310" s="68"/>
    </row>
    <row r="1311" spans="16:30" x14ac:dyDescent="0.2">
      <c r="P1311" s="68"/>
      <c r="Q1311" s="74"/>
      <c r="R1311" s="74"/>
      <c r="S1311" s="74"/>
      <c r="T1311" s="75"/>
      <c r="U1311" s="76"/>
      <c r="V1311" s="77"/>
      <c r="W1311" s="77"/>
      <c r="X1311" s="76"/>
      <c r="Y1311" s="68"/>
      <c r="Z1311" s="68"/>
      <c r="AA1311" s="68"/>
      <c r="AB1311" s="68"/>
      <c r="AC1311" s="68"/>
      <c r="AD1311" s="68"/>
    </row>
    <row r="1312" spans="16:30" x14ac:dyDescent="0.2">
      <c r="P1312" s="68"/>
      <c r="Q1312" s="74"/>
      <c r="R1312" s="74"/>
      <c r="S1312" s="74"/>
      <c r="T1312" s="75"/>
      <c r="U1312" s="76"/>
      <c r="V1312" s="77"/>
      <c r="W1312" s="77"/>
      <c r="X1312" s="76"/>
      <c r="Y1312" s="68"/>
      <c r="Z1312" s="68"/>
      <c r="AA1312" s="68"/>
      <c r="AB1312" s="68"/>
      <c r="AC1312" s="68"/>
      <c r="AD1312" s="68"/>
    </row>
    <row r="1313" spans="16:30" x14ac:dyDescent="0.2">
      <c r="P1313" s="68"/>
      <c r="Q1313" s="74"/>
      <c r="R1313" s="74"/>
      <c r="S1313" s="74"/>
      <c r="T1313" s="75"/>
      <c r="U1313" s="76"/>
      <c r="V1313" s="77"/>
      <c r="W1313" s="77"/>
      <c r="X1313" s="76"/>
      <c r="Y1313" s="68"/>
      <c r="Z1313" s="68"/>
      <c r="AA1313" s="68"/>
      <c r="AB1313" s="68"/>
      <c r="AC1313" s="68"/>
      <c r="AD1313" s="68"/>
    </row>
    <row r="1314" spans="16:30" x14ac:dyDescent="0.2">
      <c r="P1314" s="68"/>
      <c r="Q1314" s="74"/>
      <c r="R1314" s="74"/>
      <c r="S1314" s="74"/>
      <c r="T1314" s="75"/>
      <c r="U1314" s="76"/>
      <c r="V1314" s="77"/>
      <c r="W1314" s="77"/>
      <c r="X1314" s="76"/>
      <c r="Y1314" s="68"/>
      <c r="Z1314" s="68"/>
      <c r="AA1314" s="68"/>
      <c r="AB1314" s="68"/>
      <c r="AC1314" s="68"/>
      <c r="AD1314" s="68"/>
    </row>
    <row r="1315" spans="16:30" x14ac:dyDescent="0.2">
      <c r="P1315" s="68"/>
      <c r="Q1315" s="74"/>
      <c r="R1315" s="74"/>
      <c r="S1315" s="74"/>
      <c r="T1315" s="75"/>
      <c r="U1315" s="76"/>
      <c r="V1315" s="77"/>
      <c r="W1315" s="77"/>
      <c r="X1315" s="76"/>
      <c r="Y1315" s="68"/>
      <c r="Z1315" s="68"/>
      <c r="AA1315" s="68"/>
      <c r="AB1315" s="68"/>
      <c r="AC1315" s="68"/>
      <c r="AD1315" s="68"/>
    </row>
    <row r="1316" spans="16:30" x14ac:dyDescent="0.2">
      <c r="P1316" s="68"/>
      <c r="Q1316" s="74"/>
      <c r="R1316" s="74"/>
      <c r="S1316" s="74"/>
      <c r="T1316" s="75"/>
      <c r="U1316" s="76"/>
      <c r="V1316" s="77"/>
      <c r="W1316" s="77"/>
      <c r="X1316" s="76"/>
      <c r="Y1316" s="68"/>
      <c r="Z1316" s="68"/>
      <c r="AA1316" s="68"/>
      <c r="AB1316" s="68"/>
      <c r="AC1316" s="68"/>
      <c r="AD1316" s="68"/>
    </row>
    <row r="1317" spans="16:30" x14ac:dyDescent="0.2">
      <c r="P1317" s="68"/>
      <c r="Q1317" s="74"/>
      <c r="R1317" s="74"/>
      <c r="S1317" s="74"/>
      <c r="T1317" s="75"/>
      <c r="U1317" s="76"/>
      <c r="V1317" s="77"/>
      <c r="W1317" s="77"/>
      <c r="X1317" s="76"/>
      <c r="Y1317" s="68"/>
      <c r="Z1317" s="68"/>
      <c r="AA1317" s="68"/>
      <c r="AB1317" s="68"/>
      <c r="AC1317" s="68"/>
      <c r="AD1317" s="68"/>
    </row>
    <row r="1318" spans="16:30" x14ac:dyDescent="0.2">
      <c r="P1318" s="68"/>
      <c r="Q1318" s="74"/>
      <c r="R1318" s="74"/>
      <c r="S1318" s="74"/>
      <c r="T1318" s="75"/>
      <c r="U1318" s="76"/>
      <c r="V1318" s="77"/>
      <c r="W1318" s="77"/>
      <c r="X1318" s="76"/>
      <c r="Y1318" s="68"/>
      <c r="Z1318" s="68"/>
      <c r="AA1318" s="68"/>
      <c r="AB1318" s="68"/>
      <c r="AC1318" s="68"/>
      <c r="AD1318" s="68"/>
    </row>
    <row r="1319" spans="16:30" x14ac:dyDescent="0.2">
      <c r="P1319" s="68"/>
      <c r="Q1319" s="74"/>
      <c r="R1319" s="74"/>
      <c r="S1319" s="74"/>
      <c r="T1319" s="75"/>
      <c r="U1319" s="76"/>
      <c r="V1319" s="77"/>
      <c r="W1319" s="77"/>
      <c r="X1319" s="76"/>
      <c r="Y1319" s="68"/>
      <c r="Z1319" s="68"/>
      <c r="AA1319" s="68"/>
      <c r="AB1319" s="68"/>
      <c r="AC1319" s="68"/>
      <c r="AD1319" s="68"/>
    </row>
    <row r="1320" spans="16:30" x14ac:dyDescent="0.2">
      <c r="P1320" s="68"/>
      <c r="Q1320" s="74"/>
      <c r="R1320" s="74"/>
      <c r="S1320" s="74"/>
      <c r="T1320" s="75"/>
      <c r="U1320" s="76"/>
      <c r="V1320" s="77"/>
      <c r="W1320" s="77"/>
      <c r="X1320" s="76"/>
      <c r="Y1320" s="68"/>
      <c r="Z1320" s="68"/>
      <c r="AA1320" s="68"/>
      <c r="AB1320" s="68"/>
      <c r="AC1320" s="68"/>
      <c r="AD1320" s="68"/>
    </row>
    <row r="1321" spans="16:30" x14ac:dyDescent="0.2">
      <c r="P1321" s="68"/>
      <c r="Q1321" s="74"/>
      <c r="R1321" s="74"/>
      <c r="S1321" s="74"/>
      <c r="T1321" s="75"/>
      <c r="U1321" s="76"/>
      <c r="V1321" s="77"/>
      <c r="W1321" s="77"/>
      <c r="X1321" s="76"/>
      <c r="Y1321" s="68"/>
      <c r="Z1321" s="68"/>
      <c r="AA1321" s="68"/>
      <c r="AB1321" s="68"/>
      <c r="AC1321" s="68"/>
      <c r="AD1321" s="68"/>
    </row>
    <row r="1322" spans="16:30" x14ac:dyDescent="0.2">
      <c r="P1322" s="68"/>
      <c r="Q1322" s="74"/>
      <c r="R1322" s="74"/>
      <c r="S1322" s="74"/>
      <c r="T1322" s="75"/>
      <c r="U1322" s="76"/>
      <c r="V1322" s="77"/>
      <c r="W1322" s="77"/>
      <c r="X1322" s="76"/>
      <c r="Y1322" s="68"/>
      <c r="Z1322" s="68"/>
      <c r="AA1322" s="68"/>
      <c r="AB1322" s="68"/>
      <c r="AC1322" s="68"/>
      <c r="AD1322" s="68"/>
    </row>
    <row r="1323" spans="16:30" x14ac:dyDescent="0.2">
      <c r="P1323" s="68"/>
      <c r="Q1323" s="74"/>
      <c r="R1323" s="74"/>
      <c r="S1323" s="74"/>
      <c r="T1323" s="75"/>
      <c r="U1323" s="76"/>
      <c r="V1323" s="77"/>
      <c r="W1323" s="77"/>
      <c r="X1323" s="76"/>
      <c r="Y1323" s="68"/>
      <c r="Z1323" s="68"/>
      <c r="AA1323" s="68"/>
      <c r="AB1323" s="68"/>
      <c r="AC1323" s="68"/>
      <c r="AD1323" s="68"/>
    </row>
    <row r="1324" spans="16:30" x14ac:dyDescent="0.2">
      <c r="P1324" s="68"/>
      <c r="Q1324" s="74"/>
      <c r="R1324" s="74"/>
      <c r="S1324" s="74"/>
      <c r="T1324" s="75"/>
      <c r="U1324" s="76"/>
      <c r="V1324" s="77"/>
      <c r="W1324" s="77"/>
      <c r="X1324" s="76"/>
      <c r="Y1324" s="68"/>
      <c r="Z1324" s="68"/>
      <c r="AA1324" s="68"/>
      <c r="AB1324" s="68"/>
      <c r="AC1324" s="68"/>
      <c r="AD1324" s="68"/>
    </row>
    <row r="1325" spans="16:30" x14ac:dyDescent="0.2">
      <c r="P1325" s="68"/>
      <c r="Q1325" s="74"/>
      <c r="R1325" s="74"/>
      <c r="S1325" s="74"/>
      <c r="T1325" s="75"/>
      <c r="U1325" s="76"/>
      <c r="V1325" s="77"/>
      <c r="W1325" s="77"/>
      <c r="X1325" s="76"/>
      <c r="Y1325" s="68"/>
      <c r="Z1325" s="68"/>
      <c r="AA1325" s="68"/>
      <c r="AB1325" s="68"/>
      <c r="AC1325" s="68"/>
      <c r="AD1325" s="68"/>
    </row>
    <row r="1326" spans="16:30" x14ac:dyDescent="0.2">
      <c r="P1326" s="68"/>
      <c r="Q1326" s="74"/>
      <c r="R1326" s="74"/>
      <c r="S1326" s="74"/>
      <c r="T1326" s="75"/>
      <c r="U1326" s="76"/>
      <c r="V1326" s="77"/>
      <c r="W1326" s="77"/>
      <c r="X1326" s="76"/>
      <c r="Y1326" s="68"/>
      <c r="Z1326" s="68"/>
      <c r="AA1326" s="68"/>
      <c r="AB1326" s="68"/>
      <c r="AC1326" s="68"/>
      <c r="AD1326" s="68"/>
    </row>
    <row r="1327" spans="16:30" x14ac:dyDescent="0.2">
      <c r="P1327" s="68"/>
      <c r="Q1327" s="74"/>
      <c r="R1327" s="74"/>
      <c r="S1327" s="74"/>
      <c r="T1327" s="75"/>
      <c r="U1327" s="76"/>
      <c r="V1327" s="77"/>
      <c r="W1327" s="77"/>
      <c r="X1327" s="76"/>
      <c r="Y1327" s="68"/>
      <c r="Z1327" s="68"/>
      <c r="AA1327" s="68"/>
      <c r="AB1327" s="68"/>
      <c r="AC1327" s="68"/>
      <c r="AD1327" s="68"/>
    </row>
    <row r="1328" spans="16:30" x14ac:dyDescent="0.2">
      <c r="P1328" s="68"/>
      <c r="Q1328" s="74"/>
      <c r="R1328" s="74"/>
      <c r="S1328" s="74"/>
      <c r="T1328" s="75"/>
      <c r="U1328" s="76"/>
      <c r="V1328" s="77"/>
      <c r="W1328" s="77"/>
      <c r="X1328" s="76"/>
      <c r="Y1328" s="68"/>
      <c r="Z1328" s="68"/>
      <c r="AA1328" s="68"/>
      <c r="AB1328" s="68"/>
      <c r="AC1328" s="68"/>
      <c r="AD1328" s="68"/>
    </row>
    <row r="1329" spans="16:30" x14ac:dyDescent="0.2">
      <c r="P1329" s="68"/>
      <c r="Q1329" s="74"/>
      <c r="R1329" s="74"/>
      <c r="S1329" s="74"/>
      <c r="T1329" s="75"/>
      <c r="U1329" s="76"/>
      <c r="V1329" s="77"/>
      <c r="W1329" s="77"/>
      <c r="X1329" s="76"/>
      <c r="Y1329" s="68"/>
      <c r="Z1329" s="68"/>
      <c r="AA1329" s="68"/>
      <c r="AB1329" s="68"/>
      <c r="AC1329" s="68"/>
      <c r="AD1329" s="68"/>
    </row>
    <row r="1330" spans="16:30" x14ac:dyDescent="0.2">
      <c r="P1330" s="68"/>
      <c r="Q1330" s="74"/>
      <c r="R1330" s="74"/>
      <c r="S1330" s="74"/>
      <c r="T1330" s="75"/>
      <c r="U1330" s="76"/>
      <c r="V1330" s="77"/>
      <c r="W1330" s="77"/>
      <c r="X1330" s="76"/>
      <c r="Y1330" s="68"/>
      <c r="Z1330" s="68"/>
      <c r="AA1330" s="68"/>
      <c r="AB1330" s="68"/>
      <c r="AC1330" s="68"/>
      <c r="AD1330" s="68"/>
    </row>
    <row r="1331" spans="16:30" x14ac:dyDescent="0.2">
      <c r="P1331" s="68"/>
      <c r="Q1331" s="74"/>
      <c r="R1331" s="74"/>
      <c r="S1331" s="74"/>
      <c r="T1331" s="75"/>
      <c r="U1331" s="76"/>
      <c r="V1331" s="77"/>
      <c r="W1331" s="77"/>
      <c r="X1331" s="76"/>
      <c r="Y1331" s="68"/>
      <c r="Z1331" s="68"/>
      <c r="AA1331" s="68"/>
      <c r="AB1331" s="68"/>
      <c r="AC1331" s="68"/>
      <c r="AD1331" s="68"/>
    </row>
    <row r="1332" spans="16:30" x14ac:dyDescent="0.2">
      <c r="P1332" s="68"/>
      <c r="Q1332" s="74"/>
      <c r="R1332" s="74"/>
      <c r="S1332" s="74"/>
      <c r="T1332" s="75"/>
      <c r="U1332" s="76"/>
      <c r="V1332" s="77"/>
      <c r="W1332" s="77"/>
      <c r="X1332" s="76"/>
      <c r="Y1332" s="68"/>
      <c r="Z1332" s="68"/>
      <c r="AA1332" s="68"/>
      <c r="AB1332" s="68"/>
      <c r="AC1332" s="68"/>
      <c r="AD1332" s="68"/>
    </row>
    <row r="1333" spans="16:30" x14ac:dyDescent="0.2">
      <c r="P1333" s="68"/>
      <c r="Q1333" s="74"/>
      <c r="R1333" s="74"/>
      <c r="S1333" s="74"/>
      <c r="T1333" s="75"/>
      <c r="U1333" s="76"/>
      <c r="V1333" s="77"/>
      <c r="W1333" s="77"/>
      <c r="X1333" s="76"/>
      <c r="Y1333" s="68"/>
      <c r="Z1333" s="68"/>
      <c r="AA1333" s="68"/>
      <c r="AB1333" s="68"/>
      <c r="AC1333" s="68"/>
      <c r="AD1333" s="68"/>
    </row>
    <row r="1334" spans="16:30" x14ac:dyDescent="0.2">
      <c r="P1334" s="68"/>
      <c r="Q1334" s="74"/>
      <c r="R1334" s="74"/>
      <c r="S1334" s="74"/>
      <c r="T1334" s="75"/>
      <c r="U1334" s="76"/>
      <c r="V1334" s="77"/>
      <c r="W1334" s="77"/>
      <c r="X1334" s="76"/>
      <c r="Y1334" s="68"/>
      <c r="Z1334" s="68"/>
      <c r="AA1334" s="68"/>
      <c r="AB1334" s="68"/>
      <c r="AC1334" s="68"/>
      <c r="AD1334" s="68"/>
    </row>
    <row r="1335" spans="16:30" x14ac:dyDescent="0.2">
      <c r="P1335" s="68"/>
      <c r="Q1335" s="74"/>
      <c r="R1335" s="74"/>
      <c r="S1335" s="74"/>
      <c r="T1335" s="75"/>
      <c r="U1335" s="76"/>
      <c r="V1335" s="77"/>
      <c r="W1335" s="77"/>
      <c r="X1335" s="76"/>
      <c r="Y1335" s="68"/>
      <c r="Z1335" s="68"/>
      <c r="AA1335" s="68"/>
      <c r="AB1335" s="68"/>
      <c r="AC1335" s="68"/>
      <c r="AD1335" s="68"/>
    </row>
    <row r="1336" spans="16:30" x14ac:dyDescent="0.2">
      <c r="P1336" s="68"/>
      <c r="Q1336" s="74"/>
      <c r="R1336" s="74"/>
      <c r="S1336" s="74"/>
      <c r="T1336" s="75"/>
      <c r="U1336" s="76"/>
      <c r="V1336" s="77"/>
      <c r="W1336" s="77"/>
      <c r="X1336" s="76"/>
      <c r="Y1336" s="68"/>
      <c r="Z1336" s="68"/>
      <c r="AA1336" s="68"/>
      <c r="AB1336" s="68"/>
      <c r="AC1336" s="68"/>
      <c r="AD1336" s="68"/>
    </row>
    <row r="1337" spans="16:30" x14ac:dyDescent="0.2">
      <c r="P1337" s="68"/>
      <c r="Q1337" s="74"/>
      <c r="R1337" s="74"/>
      <c r="S1337" s="74"/>
      <c r="T1337" s="75"/>
      <c r="U1337" s="76"/>
      <c r="V1337" s="77"/>
      <c r="W1337" s="77"/>
      <c r="X1337" s="76"/>
      <c r="Y1337" s="68"/>
      <c r="Z1337" s="68"/>
      <c r="AA1337" s="68"/>
      <c r="AB1337" s="68"/>
      <c r="AC1337" s="68"/>
      <c r="AD1337" s="68"/>
    </row>
    <row r="1338" spans="16:30" x14ac:dyDescent="0.2">
      <c r="P1338" s="68"/>
      <c r="Q1338" s="74"/>
      <c r="R1338" s="74"/>
      <c r="S1338" s="74"/>
      <c r="T1338" s="75"/>
      <c r="U1338" s="76"/>
      <c r="V1338" s="77"/>
      <c r="W1338" s="77"/>
      <c r="X1338" s="76"/>
      <c r="Y1338" s="68"/>
      <c r="Z1338" s="68"/>
      <c r="AA1338" s="68"/>
      <c r="AB1338" s="68"/>
      <c r="AC1338" s="68"/>
      <c r="AD1338" s="68"/>
    </row>
    <row r="1339" spans="16:30" x14ac:dyDescent="0.2">
      <c r="P1339" s="68"/>
      <c r="Q1339" s="74"/>
      <c r="R1339" s="74"/>
      <c r="S1339" s="74"/>
      <c r="T1339" s="75"/>
      <c r="U1339" s="76"/>
      <c r="V1339" s="77"/>
      <c r="W1339" s="77"/>
      <c r="X1339" s="76"/>
      <c r="Y1339" s="68"/>
      <c r="Z1339" s="68"/>
      <c r="AA1339" s="68"/>
      <c r="AB1339" s="68"/>
      <c r="AC1339" s="68"/>
      <c r="AD1339" s="68"/>
    </row>
    <row r="1340" spans="16:30" x14ac:dyDescent="0.2">
      <c r="P1340" s="68"/>
      <c r="Q1340" s="74"/>
      <c r="R1340" s="74"/>
      <c r="S1340" s="74"/>
      <c r="T1340" s="75"/>
      <c r="U1340" s="76"/>
      <c r="V1340" s="77"/>
      <c r="W1340" s="77"/>
      <c r="X1340" s="76"/>
      <c r="Y1340" s="68"/>
      <c r="Z1340" s="68"/>
      <c r="AA1340" s="68"/>
      <c r="AB1340" s="68"/>
      <c r="AC1340" s="68"/>
      <c r="AD1340" s="68"/>
    </row>
    <row r="1341" spans="16:30" x14ac:dyDescent="0.2">
      <c r="P1341" s="68"/>
      <c r="Q1341" s="74"/>
      <c r="R1341" s="74"/>
      <c r="S1341" s="74"/>
      <c r="T1341" s="75"/>
      <c r="U1341" s="76"/>
      <c r="V1341" s="77"/>
      <c r="W1341" s="77"/>
      <c r="X1341" s="76"/>
      <c r="Y1341" s="68"/>
      <c r="Z1341" s="68"/>
      <c r="AA1341" s="68"/>
      <c r="AB1341" s="68"/>
      <c r="AC1341" s="68"/>
      <c r="AD1341" s="68"/>
    </row>
    <row r="1342" spans="16:30" x14ac:dyDescent="0.2">
      <c r="P1342" s="68"/>
      <c r="Q1342" s="74"/>
      <c r="R1342" s="74"/>
      <c r="S1342" s="74"/>
      <c r="T1342" s="75"/>
      <c r="U1342" s="76"/>
      <c r="V1342" s="77"/>
      <c r="W1342" s="77"/>
      <c r="X1342" s="76"/>
      <c r="Y1342" s="68"/>
      <c r="Z1342" s="68"/>
      <c r="AA1342" s="68"/>
      <c r="AB1342" s="68"/>
      <c r="AC1342" s="68"/>
      <c r="AD1342" s="68"/>
    </row>
    <row r="1343" spans="16:30" x14ac:dyDescent="0.2">
      <c r="P1343" s="68"/>
      <c r="Q1343" s="74"/>
      <c r="R1343" s="74"/>
      <c r="S1343" s="74"/>
      <c r="T1343" s="75"/>
      <c r="U1343" s="76"/>
      <c r="V1343" s="77"/>
      <c r="W1343" s="77"/>
      <c r="X1343" s="76"/>
      <c r="Y1343" s="68"/>
      <c r="Z1343" s="68"/>
      <c r="AA1343" s="68"/>
      <c r="AB1343" s="68"/>
      <c r="AC1343" s="68"/>
      <c r="AD1343" s="68"/>
    </row>
    <row r="1344" spans="16:30" x14ac:dyDescent="0.2">
      <c r="P1344" s="68"/>
      <c r="Q1344" s="74"/>
      <c r="R1344" s="74"/>
      <c r="S1344" s="74"/>
      <c r="T1344" s="75"/>
      <c r="U1344" s="76"/>
      <c r="V1344" s="77"/>
      <c r="W1344" s="77"/>
      <c r="X1344" s="76"/>
      <c r="Y1344" s="68"/>
      <c r="Z1344" s="68"/>
      <c r="AA1344" s="68"/>
      <c r="AB1344" s="68"/>
      <c r="AC1344" s="68"/>
      <c r="AD1344" s="68"/>
    </row>
    <row r="1345" spans="16:30" x14ac:dyDescent="0.2">
      <c r="P1345" s="68"/>
      <c r="Q1345" s="74"/>
      <c r="R1345" s="74"/>
      <c r="S1345" s="74"/>
      <c r="T1345" s="75"/>
      <c r="U1345" s="76"/>
      <c r="V1345" s="77"/>
      <c r="W1345" s="77"/>
      <c r="X1345" s="76"/>
      <c r="Y1345" s="68"/>
      <c r="Z1345" s="68"/>
      <c r="AA1345" s="68"/>
      <c r="AB1345" s="68"/>
      <c r="AC1345" s="68"/>
      <c r="AD1345" s="68"/>
    </row>
    <row r="1346" spans="16:30" x14ac:dyDescent="0.2">
      <c r="P1346" s="68"/>
      <c r="Q1346" s="74"/>
      <c r="R1346" s="74"/>
      <c r="S1346" s="74"/>
      <c r="T1346" s="75"/>
      <c r="U1346" s="76"/>
      <c r="V1346" s="77"/>
      <c r="W1346" s="77"/>
      <c r="X1346" s="76"/>
      <c r="Y1346" s="68"/>
      <c r="Z1346" s="68"/>
      <c r="AA1346" s="68"/>
      <c r="AB1346" s="68"/>
      <c r="AC1346" s="68"/>
      <c r="AD1346" s="68"/>
    </row>
    <row r="1347" spans="16:30" x14ac:dyDescent="0.2">
      <c r="P1347" s="68"/>
      <c r="Q1347" s="74"/>
      <c r="R1347" s="74"/>
      <c r="S1347" s="74"/>
      <c r="T1347" s="75"/>
      <c r="U1347" s="76"/>
      <c r="V1347" s="77"/>
      <c r="W1347" s="77"/>
      <c r="X1347" s="76"/>
      <c r="Y1347" s="68"/>
      <c r="Z1347" s="68"/>
      <c r="AA1347" s="68"/>
      <c r="AB1347" s="68"/>
      <c r="AC1347" s="68"/>
      <c r="AD1347" s="68"/>
    </row>
    <row r="1348" spans="16:30" x14ac:dyDescent="0.2">
      <c r="P1348" s="68"/>
      <c r="Q1348" s="74"/>
      <c r="R1348" s="74"/>
      <c r="S1348" s="74"/>
      <c r="T1348" s="75"/>
      <c r="U1348" s="76"/>
      <c r="V1348" s="77"/>
      <c r="W1348" s="77"/>
      <c r="X1348" s="76"/>
      <c r="Y1348" s="68"/>
      <c r="Z1348" s="68"/>
      <c r="AA1348" s="68"/>
      <c r="AB1348" s="68"/>
      <c r="AC1348" s="68"/>
      <c r="AD1348" s="68"/>
    </row>
    <row r="1349" spans="16:30" x14ac:dyDescent="0.2">
      <c r="P1349" s="68"/>
      <c r="Q1349" s="74"/>
      <c r="R1349" s="74"/>
      <c r="S1349" s="74"/>
      <c r="T1349" s="75"/>
      <c r="U1349" s="76"/>
      <c r="V1349" s="77"/>
      <c r="W1349" s="77"/>
      <c r="X1349" s="76"/>
      <c r="Y1349" s="68"/>
      <c r="Z1349" s="68"/>
      <c r="AA1349" s="68"/>
      <c r="AB1349" s="68"/>
      <c r="AC1349" s="68"/>
      <c r="AD1349" s="68"/>
    </row>
    <row r="1350" spans="16:30" x14ac:dyDescent="0.2">
      <c r="P1350" s="68"/>
      <c r="Q1350" s="74"/>
      <c r="R1350" s="74"/>
      <c r="S1350" s="74"/>
      <c r="T1350" s="75"/>
      <c r="U1350" s="76"/>
      <c r="V1350" s="77"/>
      <c r="W1350" s="77"/>
      <c r="X1350" s="76"/>
      <c r="Y1350" s="68"/>
      <c r="Z1350" s="68"/>
      <c r="AA1350" s="68"/>
      <c r="AB1350" s="68"/>
      <c r="AC1350" s="68"/>
      <c r="AD1350" s="68"/>
    </row>
    <row r="1351" spans="16:30" x14ac:dyDescent="0.2">
      <c r="P1351" s="68"/>
      <c r="Q1351" s="74"/>
      <c r="R1351" s="74"/>
      <c r="S1351" s="74"/>
      <c r="T1351" s="75"/>
      <c r="U1351" s="76"/>
      <c r="V1351" s="77"/>
      <c r="W1351" s="77"/>
      <c r="X1351" s="76"/>
      <c r="Y1351" s="68"/>
      <c r="Z1351" s="68"/>
      <c r="AA1351" s="68"/>
      <c r="AB1351" s="68"/>
      <c r="AC1351" s="68"/>
      <c r="AD1351" s="68"/>
    </row>
    <row r="1352" spans="16:30" x14ac:dyDescent="0.2">
      <c r="P1352" s="68"/>
      <c r="Q1352" s="74"/>
      <c r="R1352" s="74"/>
      <c r="S1352" s="74"/>
      <c r="T1352" s="75"/>
      <c r="U1352" s="76"/>
      <c r="V1352" s="77"/>
      <c r="W1352" s="77"/>
      <c r="X1352" s="76"/>
      <c r="Y1352" s="68"/>
      <c r="Z1352" s="68"/>
      <c r="AA1352" s="68"/>
      <c r="AB1352" s="68"/>
      <c r="AC1352" s="68"/>
      <c r="AD1352" s="68"/>
    </row>
    <row r="1353" spans="16:30" x14ac:dyDescent="0.2">
      <c r="P1353" s="68"/>
      <c r="Q1353" s="74"/>
      <c r="R1353" s="74"/>
      <c r="S1353" s="74"/>
      <c r="T1353" s="75"/>
      <c r="U1353" s="76"/>
      <c r="V1353" s="77"/>
      <c r="W1353" s="77"/>
      <c r="X1353" s="76"/>
      <c r="Y1353" s="68"/>
      <c r="Z1353" s="68"/>
      <c r="AA1353" s="68"/>
      <c r="AB1353" s="68"/>
      <c r="AC1353" s="68"/>
      <c r="AD1353" s="68"/>
    </row>
    <row r="1354" spans="16:30" x14ac:dyDescent="0.2">
      <c r="P1354" s="68"/>
      <c r="Q1354" s="74"/>
      <c r="R1354" s="74"/>
      <c r="S1354" s="74"/>
      <c r="T1354" s="75"/>
      <c r="U1354" s="76"/>
      <c r="V1354" s="77"/>
      <c r="W1354" s="77"/>
      <c r="X1354" s="76"/>
      <c r="Y1354" s="68"/>
      <c r="Z1354" s="68"/>
      <c r="AA1354" s="68"/>
      <c r="AB1354" s="68"/>
      <c r="AC1354" s="68"/>
      <c r="AD1354" s="68"/>
    </row>
    <row r="1355" spans="16:30" x14ac:dyDescent="0.2">
      <c r="P1355" s="68"/>
      <c r="Q1355" s="74"/>
      <c r="R1355" s="74"/>
      <c r="S1355" s="74"/>
      <c r="T1355" s="75"/>
      <c r="U1355" s="76"/>
      <c r="V1355" s="77"/>
      <c r="W1355" s="77"/>
      <c r="X1355" s="76"/>
      <c r="Y1355" s="68"/>
      <c r="Z1355" s="68"/>
      <c r="AA1355" s="68"/>
      <c r="AB1355" s="68"/>
      <c r="AC1355" s="68"/>
      <c r="AD1355" s="68"/>
    </row>
    <row r="1356" spans="16:30" x14ac:dyDescent="0.2">
      <c r="P1356" s="68"/>
      <c r="Q1356" s="74"/>
      <c r="R1356" s="74"/>
      <c r="S1356" s="74"/>
      <c r="T1356" s="75"/>
      <c r="U1356" s="76"/>
      <c r="V1356" s="77"/>
      <c r="W1356" s="77"/>
      <c r="X1356" s="76"/>
      <c r="Y1356" s="68"/>
      <c r="Z1356" s="68"/>
      <c r="AA1356" s="68"/>
      <c r="AB1356" s="68"/>
      <c r="AC1356" s="68"/>
      <c r="AD1356" s="68"/>
    </row>
    <row r="1357" spans="16:30" x14ac:dyDescent="0.2">
      <c r="P1357" s="68"/>
      <c r="Q1357" s="74"/>
      <c r="R1357" s="74"/>
      <c r="S1357" s="74"/>
      <c r="T1357" s="75"/>
      <c r="U1357" s="76"/>
      <c r="V1357" s="77"/>
      <c r="W1357" s="77"/>
      <c r="X1357" s="76"/>
      <c r="Y1357" s="68"/>
      <c r="Z1357" s="68"/>
      <c r="AA1357" s="68"/>
      <c r="AB1357" s="68"/>
      <c r="AC1357" s="68"/>
      <c r="AD1357" s="68"/>
    </row>
    <row r="1358" spans="16:30" x14ac:dyDescent="0.2">
      <c r="P1358" s="68"/>
      <c r="Q1358" s="74"/>
      <c r="R1358" s="74"/>
      <c r="S1358" s="74"/>
      <c r="T1358" s="75"/>
      <c r="U1358" s="76"/>
      <c r="V1358" s="77"/>
      <c r="W1358" s="77"/>
      <c r="X1358" s="76"/>
      <c r="Y1358" s="68"/>
      <c r="Z1358" s="68"/>
      <c r="AA1358" s="68"/>
      <c r="AB1358" s="68"/>
      <c r="AC1358" s="68"/>
      <c r="AD1358" s="68"/>
    </row>
    <row r="1359" spans="16:30" x14ac:dyDescent="0.2">
      <c r="P1359" s="68"/>
      <c r="Q1359" s="74"/>
      <c r="R1359" s="74"/>
      <c r="S1359" s="74"/>
      <c r="T1359" s="75"/>
      <c r="U1359" s="76"/>
      <c r="V1359" s="77"/>
      <c r="W1359" s="77"/>
      <c r="X1359" s="76"/>
      <c r="Y1359" s="68"/>
      <c r="Z1359" s="68"/>
      <c r="AA1359" s="68"/>
      <c r="AB1359" s="68"/>
      <c r="AC1359" s="68"/>
      <c r="AD1359" s="68"/>
    </row>
    <row r="1360" spans="16:30" x14ac:dyDescent="0.2">
      <c r="P1360" s="68"/>
      <c r="Q1360" s="74"/>
      <c r="R1360" s="74"/>
      <c r="S1360" s="74"/>
      <c r="T1360" s="75"/>
      <c r="U1360" s="76"/>
      <c r="V1360" s="77"/>
      <c r="W1360" s="77"/>
      <c r="X1360" s="76"/>
      <c r="Y1360" s="68"/>
      <c r="Z1360" s="68"/>
      <c r="AA1360" s="68"/>
      <c r="AB1360" s="68"/>
      <c r="AC1360" s="68"/>
      <c r="AD1360" s="68"/>
    </row>
    <row r="1361" spans="16:30" x14ac:dyDescent="0.2">
      <c r="P1361" s="68"/>
      <c r="Q1361" s="74"/>
      <c r="R1361" s="74"/>
      <c r="S1361" s="74"/>
      <c r="T1361" s="75"/>
      <c r="U1361" s="76"/>
      <c r="V1361" s="77"/>
      <c r="W1361" s="77"/>
      <c r="X1361" s="76"/>
      <c r="Y1361" s="68"/>
      <c r="Z1361" s="68"/>
      <c r="AA1361" s="68"/>
      <c r="AB1361" s="68"/>
      <c r="AC1361" s="68"/>
      <c r="AD1361" s="68"/>
    </row>
    <row r="1362" spans="16:30" x14ac:dyDescent="0.2">
      <c r="P1362" s="68"/>
      <c r="Q1362" s="74"/>
      <c r="R1362" s="74"/>
      <c r="S1362" s="74"/>
      <c r="T1362" s="75"/>
      <c r="U1362" s="76"/>
      <c r="V1362" s="77"/>
      <c r="W1362" s="77"/>
      <c r="X1362" s="76"/>
      <c r="Y1362" s="68"/>
      <c r="Z1362" s="68"/>
      <c r="AA1362" s="68"/>
      <c r="AB1362" s="68"/>
      <c r="AC1362" s="68"/>
      <c r="AD1362" s="68"/>
    </row>
    <row r="1363" spans="16:30" x14ac:dyDescent="0.2">
      <c r="P1363" s="68"/>
      <c r="Q1363" s="74"/>
      <c r="R1363" s="74"/>
      <c r="S1363" s="74"/>
      <c r="T1363" s="75"/>
      <c r="U1363" s="76"/>
      <c r="V1363" s="77"/>
      <c r="W1363" s="77"/>
      <c r="X1363" s="76"/>
      <c r="Y1363" s="68"/>
      <c r="Z1363" s="68"/>
      <c r="AA1363" s="68"/>
      <c r="AB1363" s="68"/>
      <c r="AC1363" s="68"/>
      <c r="AD1363" s="68"/>
    </row>
    <row r="1364" spans="16:30" x14ac:dyDescent="0.2">
      <c r="P1364" s="68"/>
      <c r="Q1364" s="74"/>
      <c r="R1364" s="74"/>
      <c r="S1364" s="74"/>
      <c r="T1364" s="75"/>
      <c r="U1364" s="76"/>
      <c r="V1364" s="77"/>
      <c r="W1364" s="77"/>
      <c r="X1364" s="76"/>
      <c r="Y1364" s="68"/>
      <c r="Z1364" s="68"/>
      <c r="AA1364" s="68"/>
      <c r="AB1364" s="68"/>
      <c r="AC1364" s="68"/>
      <c r="AD1364" s="68"/>
    </row>
    <row r="1365" spans="16:30" x14ac:dyDescent="0.2">
      <c r="P1365" s="68"/>
      <c r="Q1365" s="74"/>
      <c r="R1365" s="74"/>
      <c r="S1365" s="74"/>
      <c r="T1365" s="75"/>
      <c r="U1365" s="76"/>
      <c r="V1365" s="77"/>
      <c r="W1365" s="77"/>
      <c r="X1365" s="76"/>
      <c r="Y1365" s="68"/>
      <c r="Z1365" s="68"/>
      <c r="AA1365" s="68"/>
      <c r="AB1365" s="68"/>
      <c r="AC1365" s="68"/>
      <c r="AD1365" s="68"/>
    </row>
    <row r="1366" spans="16:30" x14ac:dyDescent="0.2">
      <c r="P1366" s="68"/>
      <c r="Q1366" s="74"/>
      <c r="R1366" s="74"/>
      <c r="S1366" s="74"/>
      <c r="T1366" s="75"/>
      <c r="U1366" s="76"/>
      <c r="V1366" s="77"/>
      <c r="W1366" s="77"/>
      <c r="X1366" s="76"/>
      <c r="Y1366" s="68"/>
      <c r="Z1366" s="68"/>
      <c r="AA1366" s="68"/>
      <c r="AB1366" s="68"/>
      <c r="AC1366" s="68"/>
      <c r="AD1366" s="68"/>
    </row>
    <row r="1367" spans="16:30" x14ac:dyDescent="0.2">
      <c r="P1367" s="68"/>
      <c r="Q1367" s="74"/>
      <c r="R1367" s="74"/>
      <c r="S1367" s="74"/>
      <c r="T1367" s="75"/>
      <c r="U1367" s="76"/>
      <c r="V1367" s="77"/>
      <c r="W1367" s="77"/>
      <c r="X1367" s="76"/>
      <c r="Y1367" s="68"/>
      <c r="Z1367" s="68"/>
      <c r="AA1367" s="68"/>
      <c r="AB1367" s="68"/>
      <c r="AC1367" s="68"/>
      <c r="AD1367" s="68"/>
    </row>
    <row r="1368" spans="16:30" x14ac:dyDescent="0.2">
      <c r="P1368" s="68"/>
      <c r="Q1368" s="74"/>
      <c r="R1368" s="74"/>
      <c r="S1368" s="74"/>
      <c r="T1368" s="75"/>
      <c r="U1368" s="76"/>
      <c r="V1368" s="77"/>
      <c r="W1368" s="77"/>
      <c r="X1368" s="76"/>
      <c r="Y1368" s="68"/>
      <c r="Z1368" s="68"/>
      <c r="AA1368" s="68"/>
      <c r="AB1368" s="68"/>
      <c r="AC1368" s="68"/>
      <c r="AD1368" s="68"/>
    </row>
    <row r="1369" spans="16:30" x14ac:dyDescent="0.2">
      <c r="P1369" s="68"/>
      <c r="Q1369" s="74"/>
      <c r="R1369" s="74"/>
      <c r="S1369" s="74"/>
      <c r="T1369" s="75"/>
      <c r="U1369" s="76"/>
      <c r="V1369" s="77"/>
      <c r="W1369" s="77"/>
      <c r="X1369" s="76"/>
      <c r="Y1369" s="68"/>
      <c r="Z1369" s="68"/>
      <c r="AA1369" s="68"/>
      <c r="AB1369" s="68"/>
      <c r="AC1369" s="68"/>
      <c r="AD1369" s="68"/>
    </row>
    <row r="1370" spans="16:30" x14ac:dyDescent="0.2">
      <c r="P1370" s="68"/>
      <c r="Q1370" s="74"/>
      <c r="R1370" s="74"/>
      <c r="S1370" s="74"/>
      <c r="T1370" s="75"/>
      <c r="U1370" s="76"/>
      <c r="V1370" s="77"/>
      <c r="W1370" s="77"/>
      <c r="X1370" s="76"/>
      <c r="Y1370" s="68"/>
      <c r="Z1370" s="68"/>
      <c r="AA1370" s="68"/>
      <c r="AB1370" s="68"/>
      <c r="AC1370" s="68"/>
      <c r="AD1370" s="68"/>
    </row>
    <row r="1371" spans="16:30" x14ac:dyDescent="0.2">
      <c r="P1371" s="68"/>
      <c r="Q1371" s="74"/>
      <c r="R1371" s="74"/>
      <c r="S1371" s="74"/>
      <c r="T1371" s="75"/>
      <c r="U1371" s="76"/>
      <c r="V1371" s="77"/>
      <c r="W1371" s="77"/>
      <c r="X1371" s="76"/>
      <c r="Y1371" s="68"/>
      <c r="Z1371" s="68"/>
      <c r="AA1371" s="68"/>
      <c r="AB1371" s="68"/>
      <c r="AC1371" s="68"/>
      <c r="AD1371" s="68"/>
    </row>
    <row r="1372" spans="16:30" x14ac:dyDescent="0.2">
      <c r="P1372" s="68"/>
      <c r="Q1372" s="74"/>
      <c r="R1372" s="74"/>
      <c r="S1372" s="74"/>
      <c r="T1372" s="75"/>
      <c r="U1372" s="76"/>
      <c r="V1372" s="77"/>
      <c r="W1372" s="77"/>
      <c r="X1372" s="76"/>
      <c r="Y1372" s="68"/>
      <c r="Z1372" s="68"/>
      <c r="AA1372" s="68"/>
      <c r="AB1372" s="68"/>
      <c r="AC1372" s="68"/>
      <c r="AD1372" s="68"/>
    </row>
    <row r="1373" spans="16:30" x14ac:dyDescent="0.2">
      <c r="P1373" s="68"/>
      <c r="Q1373" s="74"/>
      <c r="R1373" s="74"/>
      <c r="S1373" s="74"/>
      <c r="T1373" s="75"/>
      <c r="U1373" s="76"/>
      <c r="V1373" s="77"/>
      <c r="W1373" s="77"/>
      <c r="X1373" s="76"/>
      <c r="Y1373" s="68"/>
      <c r="Z1373" s="68"/>
      <c r="AA1373" s="68"/>
      <c r="AB1373" s="68"/>
      <c r="AC1373" s="68"/>
      <c r="AD1373" s="68"/>
    </row>
    <row r="1374" spans="16:30" x14ac:dyDescent="0.2">
      <c r="P1374" s="68"/>
      <c r="Q1374" s="74"/>
      <c r="R1374" s="74"/>
      <c r="S1374" s="74"/>
      <c r="T1374" s="75"/>
      <c r="U1374" s="76"/>
      <c r="V1374" s="77"/>
      <c r="W1374" s="77"/>
      <c r="X1374" s="76"/>
      <c r="Y1374" s="68"/>
      <c r="Z1374" s="68"/>
      <c r="AA1374" s="68"/>
      <c r="AB1374" s="68"/>
      <c r="AC1374" s="68"/>
      <c r="AD1374" s="68"/>
    </row>
    <row r="1375" spans="16:30" x14ac:dyDescent="0.2"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8"/>
      <c r="AA1375" s="68"/>
      <c r="AB1375" s="68"/>
      <c r="AC1375" s="68"/>
      <c r="AD1375" s="68"/>
    </row>
    <row r="1376" spans="16:30" x14ac:dyDescent="0.2"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8"/>
      <c r="AA1376" s="68"/>
      <c r="AB1376" s="68"/>
      <c r="AC1376" s="68"/>
      <c r="AD1376" s="68"/>
    </row>
    <row r="1377" spans="16:30" x14ac:dyDescent="0.2"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8"/>
      <c r="AA1377" s="68"/>
      <c r="AB1377" s="68"/>
      <c r="AC1377" s="68"/>
      <c r="AD1377" s="68"/>
    </row>
    <row r="1378" spans="16:30" x14ac:dyDescent="0.2"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8"/>
      <c r="AA1378" s="68"/>
      <c r="AB1378" s="68"/>
      <c r="AC1378" s="68"/>
      <c r="AD1378" s="68"/>
    </row>
    <row r="1379" spans="16:30" x14ac:dyDescent="0.2"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8"/>
      <c r="AA1379" s="68"/>
      <c r="AB1379" s="68"/>
      <c r="AC1379" s="68"/>
      <c r="AD1379" s="68"/>
    </row>
    <row r="1380" spans="16:30" x14ac:dyDescent="0.2"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8"/>
      <c r="AA1380" s="68"/>
      <c r="AB1380" s="68"/>
      <c r="AC1380" s="68"/>
      <c r="AD1380" s="68"/>
    </row>
    <row r="1381" spans="16:30" x14ac:dyDescent="0.2"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8"/>
      <c r="AA1381" s="68"/>
      <c r="AB1381" s="68"/>
      <c r="AC1381" s="68"/>
      <c r="AD1381" s="68"/>
    </row>
    <row r="1382" spans="16:30" x14ac:dyDescent="0.2"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8"/>
      <c r="AA1382" s="68"/>
      <c r="AB1382" s="68"/>
      <c r="AC1382" s="68"/>
      <c r="AD1382" s="68"/>
    </row>
    <row r="1383" spans="16:30" x14ac:dyDescent="0.2"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8"/>
      <c r="AA1383" s="68"/>
      <c r="AB1383" s="68"/>
      <c r="AC1383" s="68"/>
      <c r="AD1383" s="68"/>
    </row>
    <row r="1384" spans="16:30" x14ac:dyDescent="0.2"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8"/>
      <c r="AA1384" s="68"/>
      <c r="AB1384" s="68"/>
      <c r="AC1384" s="68"/>
      <c r="AD1384" s="68"/>
    </row>
    <row r="1385" spans="16:30" x14ac:dyDescent="0.2"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8"/>
      <c r="AA1385" s="68"/>
      <c r="AB1385" s="68"/>
      <c r="AC1385" s="68"/>
      <c r="AD1385" s="68"/>
    </row>
    <row r="1386" spans="16:30" x14ac:dyDescent="0.2"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8"/>
      <c r="AA1386" s="68"/>
      <c r="AB1386" s="68"/>
      <c r="AC1386" s="68"/>
      <c r="AD1386" s="68"/>
    </row>
    <row r="1387" spans="16:30" x14ac:dyDescent="0.2"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8"/>
      <c r="AA1387" s="68"/>
      <c r="AB1387" s="68"/>
      <c r="AC1387" s="68"/>
      <c r="AD1387" s="68"/>
    </row>
    <row r="1388" spans="16:30" x14ac:dyDescent="0.2"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8"/>
      <c r="AA1388" s="68"/>
      <c r="AB1388" s="68"/>
      <c r="AC1388" s="68"/>
      <c r="AD1388" s="68"/>
    </row>
    <row r="1389" spans="16:30" x14ac:dyDescent="0.2"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8"/>
      <c r="AA1389" s="68"/>
      <c r="AB1389" s="68"/>
      <c r="AC1389" s="68"/>
      <c r="AD1389" s="68"/>
    </row>
    <row r="1390" spans="16:30" x14ac:dyDescent="0.2"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8"/>
      <c r="AA1390" s="68"/>
      <c r="AB1390" s="68"/>
      <c r="AC1390" s="68"/>
      <c r="AD1390" s="68"/>
    </row>
    <row r="1391" spans="16:30" x14ac:dyDescent="0.2"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8"/>
      <c r="AA1391" s="68"/>
      <c r="AB1391" s="68"/>
      <c r="AC1391" s="68"/>
      <c r="AD1391" s="68"/>
    </row>
    <row r="1392" spans="16:30" x14ac:dyDescent="0.2"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8"/>
      <c r="AA1392" s="68"/>
      <c r="AB1392" s="68"/>
      <c r="AC1392" s="68"/>
      <c r="AD1392" s="68"/>
    </row>
    <row r="1393" spans="16:30" x14ac:dyDescent="0.2"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8"/>
      <c r="AA1393" s="68"/>
      <c r="AB1393" s="68"/>
      <c r="AC1393" s="68"/>
      <c r="AD1393" s="68"/>
    </row>
    <row r="1394" spans="16:30" x14ac:dyDescent="0.2"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8"/>
      <c r="AA1394" s="68"/>
      <c r="AB1394" s="68"/>
      <c r="AC1394" s="68"/>
      <c r="AD1394" s="68"/>
    </row>
    <row r="1395" spans="16:30" x14ac:dyDescent="0.2"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8"/>
      <c r="AA1395" s="68"/>
      <c r="AB1395" s="68"/>
      <c r="AC1395" s="68"/>
      <c r="AD1395" s="68"/>
    </row>
    <row r="1396" spans="16:30" x14ac:dyDescent="0.2"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8"/>
      <c r="AA1396" s="68"/>
      <c r="AB1396" s="68"/>
      <c r="AC1396" s="68"/>
      <c r="AD1396" s="68"/>
    </row>
    <row r="1397" spans="16:30" x14ac:dyDescent="0.2"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8"/>
      <c r="AA1397" s="68"/>
      <c r="AB1397" s="68"/>
      <c r="AC1397" s="68"/>
      <c r="AD1397" s="68"/>
    </row>
    <row r="1398" spans="16:30" x14ac:dyDescent="0.2"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8"/>
      <c r="AA1398" s="68"/>
      <c r="AB1398" s="68"/>
      <c r="AC1398" s="68"/>
      <c r="AD1398" s="68"/>
    </row>
    <row r="1399" spans="16:30" x14ac:dyDescent="0.2"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8"/>
      <c r="AA1399" s="68"/>
      <c r="AB1399" s="68"/>
      <c r="AC1399" s="68"/>
      <c r="AD1399" s="68"/>
    </row>
    <row r="1400" spans="16:30" x14ac:dyDescent="0.2"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8"/>
      <c r="AA1400" s="68"/>
      <c r="AB1400" s="68"/>
      <c r="AC1400" s="68"/>
      <c r="AD1400" s="68"/>
    </row>
    <row r="1401" spans="16:30" x14ac:dyDescent="0.2"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8"/>
      <c r="AA1401" s="68"/>
      <c r="AB1401" s="68"/>
      <c r="AC1401" s="68"/>
      <c r="AD1401" s="68"/>
    </row>
    <row r="1402" spans="16:30" x14ac:dyDescent="0.2"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8"/>
      <c r="AA1402" s="68"/>
      <c r="AB1402" s="68"/>
      <c r="AC1402" s="68"/>
      <c r="AD1402" s="68"/>
    </row>
    <row r="1403" spans="16:30" x14ac:dyDescent="0.2"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8"/>
      <c r="AA1403" s="68"/>
      <c r="AB1403" s="68"/>
      <c r="AC1403" s="68"/>
      <c r="AD1403" s="68"/>
    </row>
    <row r="1404" spans="16:30" x14ac:dyDescent="0.2"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8"/>
      <c r="AA1404" s="68"/>
      <c r="AB1404" s="68"/>
      <c r="AC1404" s="68"/>
      <c r="AD1404" s="68"/>
    </row>
    <row r="1405" spans="16:30" x14ac:dyDescent="0.2"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8"/>
      <c r="AA1405" s="68"/>
      <c r="AB1405" s="68"/>
      <c r="AC1405" s="68"/>
      <c r="AD1405" s="68"/>
    </row>
    <row r="1406" spans="16:30" x14ac:dyDescent="0.2"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8"/>
      <c r="AA1406" s="68"/>
      <c r="AB1406" s="68"/>
      <c r="AC1406" s="68"/>
      <c r="AD1406" s="68"/>
    </row>
    <row r="1407" spans="16:30" x14ac:dyDescent="0.2"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8"/>
      <c r="AA1407" s="68"/>
      <c r="AB1407" s="68"/>
      <c r="AC1407" s="68"/>
      <c r="AD1407" s="68"/>
    </row>
    <row r="1408" spans="16:30" x14ac:dyDescent="0.2">
      <c r="P1408" s="68"/>
      <c r="Q1408" s="68"/>
      <c r="R1408" s="68"/>
      <c r="S1408" s="68"/>
      <c r="T1408" s="68"/>
      <c r="U1408" s="68"/>
      <c r="V1408" s="68"/>
      <c r="W1408" s="68"/>
      <c r="X1408" s="68"/>
      <c r="Y1408" s="68"/>
      <c r="Z1408" s="68"/>
      <c r="AA1408" s="68"/>
      <c r="AB1408" s="68"/>
      <c r="AC1408" s="68"/>
      <c r="AD1408" s="68"/>
    </row>
    <row r="1409" spans="16:30" x14ac:dyDescent="0.2">
      <c r="P1409" s="68"/>
      <c r="Q1409" s="68"/>
      <c r="R1409" s="68"/>
      <c r="S1409" s="68"/>
      <c r="T1409" s="68"/>
      <c r="U1409" s="68"/>
      <c r="V1409" s="68"/>
      <c r="W1409" s="68"/>
      <c r="X1409" s="68"/>
      <c r="Y1409" s="68"/>
      <c r="Z1409" s="68"/>
      <c r="AA1409" s="68"/>
      <c r="AB1409" s="68"/>
      <c r="AC1409" s="68"/>
      <c r="AD1409" s="68"/>
    </row>
    <row r="1410" spans="16:30" x14ac:dyDescent="0.2">
      <c r="P1410" s="68"/>
      <c r="Q1410" s="68"/>
      <c r="R1410" s="68"/>
      <c r="S1410" s="68"/>
      <c r="T1410" s="68"/>
      <c r="U1410" s="68"/>
      <c r="V1410" s="68"/>
      <c r="W1410" s="68"/>
      <c r="X1410" s="68"/>
      <c r="Y1410" s="68"/>
      <c r="Z1410" s="68"/>
      <c r="AA1410" s="68"/>
      <c r="AB1410" s="68"/>
      <c r="AC1410" s="68"/>
      <c r="AD1410" s="68"/>
    </row>
    <row r="1411" spans="16:30" x14ac:dyDescent="0.2">
      <c r="P1411" s="68"/>
      <c r="Q1411" s="68"/>
      <c r="R1411" s="68"/>
      <c r="S1411" s="68"/>
      <c r="T1411" s="68"/>
      <c r="U1411" s="68"/>
      <c r="V1411" s="68"/>
      <c r="W1411" s="68"/>
      <c r="X1411" s="68"/>
      <c r="Y1411" s="68"/>
      <c r="Z1411" s="68"/>
      <c r="AA1411" s="68"/>
      <c r="AB1411" s="68"/>
      <c r="AC1411" s="68"/>
      <c r="AD1411" s="68"/>
    </row>
    <row r="1412" spans="16:30" x14ac:dyDescent="0.2">
      <c r="P1412" s="68"/>
      <c r="Q1412" s="68"/>
      <c r="R1412" s="68"/>
      <c r="S1412" s="68"/>
      <c r="T1412" s="68"/>
      <c r="U1412" s="68"/>
      <c r="V1412" s="68"/>
      <c r="W1412" s="68"/>
      <c r="X1412" s="68"/>
      <c r="Y1412" s="68"/>
      <c r="Z1412" s="68"/>
      <c r="AA1412" s="68"/>
      <c r="AB1412" s="68"/>
      <c r="AC1412" s="68"/>
      <c r="AD1412" s="68"/>
    </row>
    <row r="1413" spans="16:30" x14ac:dyDescent="0.2">
      <c r="P1413" s="68"/>
      <c r="Q1413" s="68"/>
      <c r="R1413" s="68"/>
      <c r="S1413" s="68"/>
      <c r="T1413" s="68"/>
      <c r="U1413" s="68"/>
      <c r="V1413" s="68"/>
      <c r="W1413" s="68"/>
      <c r="X1413" s="68"/>
      <c r="Y1413" s="68"/>
      <c r="Z1413" s="68"/>
      <c r="AA1413" s="68"/>
      <c r="AB1413" s="68"/>
      <c r="AC1413" s="68"/>
      <c r="AD1413" s="68"/>
    </row>
    <row r="1414" spans="16:30" x14ac:dyDescent="0.2">
      <c r="P1414" s="68"/>
      <c r="Q1414" s="68"/>
      <c r="R1414" s="68"/>
      <c r="S1414" s="68"/>
      <c r="T1414" s="68"/>
      <c r="U1414" s="68"/>
      <c r="V1414" s="68"/>
      <c r="W1414" s="68"/>
      <c r="X1414" s="68"/>
      <c r="Y1414" s="68"/>
      <c r="Z1414" s="68"/>
      <c r="AA1414" s="68"/>
      <c r="AB1414" s="68"/>
      <c r="AC1414" s="68"/>
      <c r="AD1414" s="68"/>
    </row>
    <row r="1415" spans="16:30" x14ac:dyDescent="0.2"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8"/>
      <c r="AA1415" s="68"/>
      <c r="AB1415" s="68"/>
      <c r="AC1415" s="68"/>
      <c r="AD1415" s="68"/>
    </row>
    <row r="1416" spans="16:30" x14ac:dyDescent="0.2"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8"/>
      <c r="AA1416" s="68"/>
      <c r="AB1416" s="68"/>
      <c r="AC1416" s="68"/>
      <c r="AD1416" s="68"/>
    </row>
    <row r="1417" spans="16:30" x14ac:dyDescent="0.2"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8"/>
      <c r="AA1417" s="68"/>
      <c r="AB1417" s="68"/>
      <c r="AC1417" s="68"/>
      <c r="AD1417" s="68"/>
    </row>
    <row r="1418" spans="16:30" x14ac:dyDescent="0.2"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8"/>
      <c r="AA1418" s="68"/>
      <c r="AB1418" s="68"/>
      <c r="AC1418" s="68"/>
      <c r="AD1418" s="68"/>
    </row>
    <row r="1419" spans="16:30" x14ac:dyDescent="0.2"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8"/>
      <c r="AA1419" s="68"/>
      <c r="AB1419" s="68"/>
      <c r="AC1419" s="68"/>
      <c r="AD1419" s="68"/>
    </row>
    <row r="1420" spans="16:30" x14ac:dyDescent="0.2"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8"/>
      <c r="AA1420" s="68"/>
      <c r="AB1420" s="68"/>
      <c r="AC1420" s="68"/>
      <c r="AD1420" s="68"/>
    </row>
    <row r="1421" spans="16:30" x14ac:dyDescent="0.2"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8"/>
      <c r="AA1421" s="68"/>
      <c r="AB1421" s="68"/>
      <c r="AC1421" s="68"/>
      <c r="AD1421" s="68"/>
    </row>
    <row r="1422" spans="16:30" x14ac:dyDescent="0.2"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8"/>
      <c r="AA1422" s="68"/>
      <c r="AB1422" s="68"/>
      <c r="AC1422" s="68"/>
      <c r="AD1422" s="68"/>
    </row>
    <row r="1423" spans="16:30" x14ac:dyDescent="0.2"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8"/>
      <c r="AA1423" s="68"/>
      <c r="AB1423" s="68"/>
      <c r="AC1423" s="68"/>
      <c r="AD1423" s="68"/>
    </row>
    <row r="1424" spans="16:30" x14ac:dyDescent="0.2"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8"/>
      <c r="AA1424" s="68"/>
      <c r="AB1424" s="68"/>
      <c r="AC1424" s="68"/>
      <c r="AD1424" s="68"/>
    </row>
    <row r="1425" spans="16:30" x14ac:dyDescent="0.2"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8"/>
      <c r="AA1425" s="68"/>
      <c r="AB1425" s="68"/>
      <c r="AC1425" s="68"/>
      <c r="AD1425" s="68"/>
    </row>
    <row r="1426" spans="16:30" x14ac:dyDescent="0.2"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8"/>
      <c r="AA1426" s="68"/>
      <c r="AB1426" s="68"/>
      <c r="AC1426" s="68"/>
      <c r="AD1426" s="68"/>
    </row>
    <row r="1427" spans="16:30" x14ac:dyDescent="0.2"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8"/>
      <c r="AA1427" s="68"/>
      <c r="AB1427" s="68"/>
      <c r="AC1427" s="68"/>
      <c r="AD1427" s="68"/>
    </row>
    <row r="1428" spans="16:30" x14ac:dyDescent="0.2"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8"/>
      <c r="AA1428" s="68"/>
      <c r="AB1428" s="68"/>
      <c r="AC1428" s="68"/>
      <c r="AD1428" s="68"/>
    </row>
    <row r="1429" spans="16:30" x14ac:dyDescent="0.2"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8"/>
      <c r="AA1429" s="68"/>
      <c r="AB1429" s="68"/>
      <c r="AC1429" s="68"/>
      <c r="AD1429" s="68"/>
    </row>
    <row r="1430" spans="16:30" x14ac:dyDescent="0.2"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8"/>
      <c r="AA1430" s="68"/>
      <c r="AB1430" s="68"/>
      <c r="AC1430" s="68"/>
      <c r="AD1430" s="68"/>
    </row>
    <row r="1431" spans="16:30" x14ac:dyDescent="0.2"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8"/>
      <c r="AA1431" s="68"/>
      <c r="AB1431" s="68"/>
      <c r="AC1431" s="68"/>
      <c r="AD1431" s="68"/>
    </row>
    <row r="1432" spans="16:30" x14ac:dyDescent="0.2"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8"/>
      <c r="AA1432" s="68"/>
      <c r="AB1432" s="68"/>
      <c r="AC1432" s="68"/>
      <c r="AD1432" s="68"/>
    </row>
    <row r="1433" spans="16:30" x14ac:dyDescent="0.2"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8"/>
      <c r="AA1433" s="68"/>
      <c r="AB1433" s="68"/>
      <c r="AC1433" s="68"/>
      <c r="AD1433" s="68"/>
    </row>
    <row r="1434" spans="16:30" x14ac:dyDescent="0.2">
      <c r="P1434" s="68"/>
      <c r="Q1434" s="68"/>
      <c r="R1434" s="68"/>
      <c r="S1434" s="68"/>
      <c r="T1434" s="68"/>
      <c r="U1434" s="68"/>
      <c r="V1434" s="68"/>
      <c r="W1434" s="68"/>
      <c r="X1434" s="68"/>
      <c r="Y1434" s="68"/>
      <c r="Z1434" s="68"/>
      <c r="AA1434" s="68"/>
      <c r="AB1434" s="68"/>
      <c r="AC1434" s="68"/>
      <c r="AD1434" s="68"/>
    </row>
    <row r="1435" spans="16:30" x14ac:dyDescent="0.2">
      <c r="P1435" s="68"/>
      <c r="Q1435" s="68"/>
      <c r="R1435" s="68"/>
      <c r="S1435" s="68"/>
      <c r="T1435" s="68"/>
      <c r="U1435" s="68"/>
      <c r="V1435" s="68"/>
      <c r="W1435" s="68"/>
      <c r="X1435" s="68"/>
      <c r="Y1435" s="68"/>
      <c r="Z1435" s="68"/>
      <c r="AA1435" s="68"/>
      <c r="AB1435" s="68"/>
      <c r="AC1435" s="68"/>
      <c r="AD1435" s="68"/>
    </row>
    <row r="1436" spans="16:30" x14ac:dyDescent="0.2">
      <c r="P1436" s="68"/>
      <c r="Q1436" s="68"/>
      <c r="R1436" s="68"/>
      <c r="S1436" s="68"/>
      <c r="T1436" s="68"/>
      <c r="U1436" s="68"/>
      <c r="V1436" s="68"/>
      <c r="W1436" s="68"/>
      <c r="X1436" s="68"/>
      <c r="Y1436" s="68"/>
      <c r="Z1436" s="68"/>
      <c r="AA1436" s="68"/>
      <c r="AB1436" s="68"/>
      <c r="AC1436" s="68"/>
      <c r="AD1436" s="68"/>
    </row>
    <row r="1437" spans="16:30" x14ac:dyDescent="0.2">
      <c r="P1437" s="68"/>
      <c r="Q1437" s="68"/>
      <c r="R1437" s="68"/>
      <c r="S1437" s="68"/>
      <c r="T1437" s="68"/>
      <c r="U1437" s="68"/>
      <c r="V1437" s="68"/>
      <c r="W1437" s="68"/>
      <c r="X1437" s="68"/>
      <c r="Y1437" s="68"/>
      <c r="Z1437" s="68"/>
      <c r="AA1437" s="68"/>
      <c r="AB1437" s="68"/>
      <c r="AC1437" s="68"/>
      <c r="AD1437" s="68"/>
    </row>
    <row r="1438" spans="16:30" x14ac:dyDescent="0.2">
      <c r="P1438" s="68"/>
      <c r="Q1438" s="68"/>
      <c r="R1438" s="68"/>
      <c r="S1438" s="68"/>
      <c r="T1438" s="68"/>
      <c r="U1438" s="68"/>
      <c r="V1438" s="68"/>
      <c r="W1438" s="68"/>
      <c r="X1438" s="68"/>
      <c r="Y1438" s="68"/>
      <c r="Z1438" s="68"/>
      <c r="AA1438" s="68"/>
      <c r="AB1438" s="68"/>
      <c r="AC1438" s="68"/>
      <c r="AD1438" s="68"/>
    </row>
    <row r="1439" spans="16:30" x14ac:dyDescent="0.2"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8"/>
      <c r="AA1439" s="68"/>
      <c r="AB1439" s="68"/>
      <c r="AC1439" s="68"/>
      <c r="AD1439" s="68"/>
    </row>
    <row r="1440" spans="16:30" x14ac:dyDescent="0.2"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8"/>
      <c r="AA1440" s="68"/>
      <c r="AB1440" s="68"/>
      <c r="AC1440" s="68"/>
      <c r="AD1440" s="68"/>
    </row>
    <row r="1441" spans="16:30" x14ac:dyDescent="0.2"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8"/>
      <c r="AA1441" s="68"/>
      <c r="AB1441" s="68"/>
      <c r="AC1441" s="68"/>
      <c r="AD1441" s="68"/>
    </row>
    <row r="1442" spans="16:30" x14ac:dyDescent="0.2"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8"/>
      <c r="AA1442" s="68"/>
      <c r="AB1442" s="68"/>
      <c r="AC1442" s="68"/>
      <c r="AD1442" s="68"/>
    </row>
    <row r="1443" spans="16:30" x14ac:dyDescent="0.2"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8"/>
      <c r="AA1443" s="68"/>
      <c r="AB1443" s="68"/>
      <c r="AC1443" s="68"/>
      <c r="AD1443" s="68"/>
    </row>
    <row r="1444" spans="16:30" x14ac:dyDescent="0.2"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8"/>
      <c r="AA1444" s="68"/>
      <c r="AB1444" s="68"/>
      <c r="AC1444" s="68"/>
      <c r="AD1444" s="68"/>
    </row>
    <row r="1445" spans="16:30" x14ac:dyDescent="0.2"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8"/>
      <c r="AA1445" s="68"/>
      <c r="AB1445" s="68"/>
      <c r="AC1445" s="68"/>
      <c r="AD1445" s="68"/>
    </row>
    <row r="1446" spans="16:30" x14ac:dyDescent="0.2"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8"/>
      <c r="AA1446" s="68"/>
      <c r="AB1446" s="68"/>
      <c r="AC1446" s="68"/>
      <c r="AD1446" s="68"/>
    </row>
    <row r="1447" spans="16:30" x14ac:dyDescent="0.2"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8"/>
      <c r="AA1447" s="68"/>
      <c r="AB1447" s="68"/>
      <c r="AC1447" s="68"/>
      <c r="AD1447" s="68"/>
    </row>
    <row r="1448" spans="16:30" x14ac:dyDescent="0.2"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8"/>
      <c r="AA1448" s="68"/>
      <c r="AB1448" s="68"/>
      <c r="AC1448" s="68"/>
      <c r="AD1448" s="68"/>
    </row>
    <row r="1449" spans="16:30" x14ac:dyDescent="0.2"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8"/>
      <c r="AA1449" s="68"/>
      <c r="AB1449" s="68"/>
      <c r="AC1449" s="68"/>
      <c r="AD1449" s="68"/>
    </row>
    <row r="1450" spans="16:30" x14ac:dyDescent="0.2"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8"/>
      <c r="AA1450" s="68"/>
      <c r="AB1450" s="68"/>
      <c r="AC1450" s="68"/>
      <c r="AD1450" s="68"/>
    </row>
    <row r="1451" spans="16:30" x14ac:dyDescent="0.2"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8"/>
      <c r="AA1451" s="68"/>
      <c r="AB1451" s="68"/>
      <c r="AC1451" s="68"/>
      <c r="AD1451" s="68"/>
    </row>
    <row r="1452" spans="16:30" x14ac:dyDescent="0.2"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8"/>
      <c r="AA1452" s="68"/>
      <c r="AB1452" s="68"/>
      <c r="AC1452" s="68"/>
      <c r="AD1452" s="68"/>
    </row>
    <row r="1453" spans="16:30" x14ac:dyDescent="0.2"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8"/>
      <c r="AA1453" s="68"/>
      <c r="AB1453" s="68"/>
      <c r="AC1453" s="68"/>
      <c r="AD1453" s="68"/>
    </row>
    <row r="1454" spans="16:30" x14ac:dyDescent="0.2"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8"/>
      <c r="AA1454" s="68"/>
      <c r="AB1454" s="68"/>
      <c r="AC1454" s="68"/>
      <c r="AD1454" s="68"/>
    </row>
    <row r="1455" spans="16:30" x14ac:dyDescent="0.2"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8"/>
      <c r="AA1455" s="68"/>
      <c r="AB1455" s="68"/>
      <c r="AC1455" s="68"/>
      <c r="AD1455" s="68"/>
    </row>
    <row r="1456" spans="16:30" x14ac:dyDescent="0.2"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8"/>
      <c r="AA1456" s="68"/>
      <c r="AB1456" s="68"/>
      <c r="AC1456" s="68"/>
      <c r="AD1456" s="68"/>
    </row>
    <row r="1457" spans="16:30" x14ac:dyDescent="0.2"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8"/>
      <c r="AA1457" s="68"/>
      <c r="AB1457" s="68"/>
      <c r="AC1457" s="68"/>
      <c r="AD1457" s="68"/>
    </row>
    <row r="1458" spans="16:30" x14ac:dyDescent="0.2">
      <c r="P1458" s="68"/>
      <c r="Q1458" s="68"/>
      <c r="R1458" s="68"/>
      <c r="S1458" s="68"/>
      <c r="T1458" s="68"/>
      <c r="U1458" s="68"/>
      <c r="V1458" s="68"/>
      <c r="W1458" s="68"/>
      <c r="X1458" s="68"/>
      <c r="Y1458" s="68"/>
      <c r="Z1458" s="68"/>
      <c r="AA1458" s="68"/>
      <c r="AB1458" s="68"/>
      <c r="AC1458" s="68"/>
      <c r="AD1458" s="68"/>
    </row>
    <row r="1459" spans="16:30" x14ac:dyDescent="0.2"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8"/>
      <c r="AA1459" s="68"/>
      <c r="AB1459" s="68"/>
      <c r="AC1459" s="68"/>
      <c r="AD1459" s="68"/>
    </row>
    <row r="1460" spans="16:30" x14ac:dyDescent="0.2">
      <c r="P1460" s="68"/>
      <c r="Q1460" s="68"/>
      <c r="R1460" s="68"/>
      <c r="S1460" s="68"/>
      <c r="T1460" s="68"/>
      <c r="U1460" s="68"/>
      <c r="V1460" s="68"/>
      <c r="W1460" s="68"/>
      <c r="X1460" s="68"/>
      <c r="Y1460" s="68"/>
      <c r="Z1460" s="68"/>
      <c r="AA1460" s="68"/>
      <c r="AB1460" s="68"/>
      <c r="AC1460" s="68"/>
      <c r="AD1460" s="68"/>
    </row>
    <row r="1461" spans="16:30" x14ac:dyDescent="0.2">
      <c r="P1461" s="68"/>
      <c r="Q1461" s="68"/>
      <c r="R1461" s="68"/>
      <c r="S1461" s="68"/>
      <c r="T1461" s="68"/>
      <c r="U1461" s="68"/>
      <c r="V1461" s="68"/>
      <c r="W1461" s="68"/>
      <c r="X1461" s="68"/>
      <c r="Y1461" s="68"/>
      <c r="Z1461" s="68"/>
      <c r="AA1461" s="68"/>
      <c r="AB1461" s="68"/>
      <c r="AC1461" s="68"/>
      <c r="AD1461" s="68"/>
    </row>
    <row r="1462" spans="16:30" x14ac:dyDescent="0.2"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8"/>
      <c r="AA1462" s="68"/>
      <c r="AB1462" s="68"/>
      <c r="AC1462" s="68"/>
      <c r="AD1462" s="68"/>
    </row>
    <row r="1463" spans="16:30" x14ac:dyDescent="0.2"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8"/>
      <c r="AA1463" s="68"/>
      <c r="AB1463" s="68"/>
      <c r="AC1463" s="68"/>
      <c r="AD1463" s="68"/>
    </row>
    <row r="1464" spans="16:30" x14ac:dyDescent="0.2"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8"/>
      <c r="AA1464" s="68"/>
      <c r="AB1464" s="68"/>
      <c r="AC1464" s="68"/>
      <c r="AD1464" s="68"/>
    </row>
    <row r="1465" spans="16:30" x14ac:dyDescent="0.2"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8"/>
      <c r="AA1465" s="68"/>
      <c r="AB1465" s="68"/>
      <c r="AC1465" s="68"/>
      <c r="AD1465" s="68"/>
    </row>
    <row r="1466" spans="16:30" x14ac:dyDescent="0.2"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8"/>
      <c r="AA1466" s="68"/>
      <c r="AB1466" s="68"/>
      <c r="AC1466" s="68"/>
      <c r="AD1466" s="68"/>
    </row>
    <row r="1467" spans="16:30" x14ac:dyDescent="0.2"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8"/>
      <c r="AA1467" s="68"/>
      <c r="AB1467" s="68"/>
      <c r="AC1467" s="68"/>
      <c r="AD1467" s="68"/>
    </row>
    <row r="1468" spans="16:30" x14ac:dyDescent="0.2"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8"/>
      <c r="AA1468" s="68"/>
      <c r="AB1468" s="68"/>
      <c r="AC1468" s="68"/>
      <c r="AD1468" s="68"/>
    </row>
    <row r="1469" spans="16:30" x14ac:dyDescent="0.2"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8"/>
      <c r="AA1469" s="68"/>
      <c r="AB1469" s="68"/>
      <c r="AC1469" s="68"/>
      <c r="AD1469" s="68"/>
    </row>
    <row r="1470" spans="16:30" x14ac:dyDescent="0.2"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8"/>
      <c r="AA1470" s="68"/>
      <c r="AB1470" s="68"/>
      <c r="AC1470" s="68"/>
      <c r="AD1470" s="68"/>
    </row>
    <row r="1471" spans="16:30" x14ac:dyDescent="0.2"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8"/>
      <c r="AA1471" s="68"/>
      <c r="AB1471" s="68"/>
      <c r="AC1471" s="68"/>
      <c r="AD1471" s="68"/>
    </row>
    <row r="1472" spans="16:30" x14ac:dyDescent="0.2"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8"/>
      <c r="AA1472" s="68"/>
      <c r="AB1472" s="68"/>
      <c r="AC1472" s="68"/>
      <c r="AD1472" s="68"/>
    </row>
    <row r="1473" spans="16:30" x14ac:dyDescent="0.2"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8"/>
      <c r="AA1473" s="68"/>
      <c r="AB1473" s="68"/>
      <c r="AC1473" s="68"/>
      <c r="AD1473" s="68"/>
    </row>
    <row r="1474" spans="16:30" x14ac:dyDescent="0.2"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8"/>
      <c r="AA1474" s="68"/>
      <c r="AB1474" s="68"/>
      <c r="AC1474" s="68"/>
      <c r="AD1474" s="68"/>
    </row>
    <row r="1475" spans="16:30" x14ac:dyDescent="0.2">
      <c r="P1475" s="68"/>
      <c r="Q1475" s="68"/>
      <c r="R1475" s="68"/>
      <c r="S1475" s="68"/>
      <c r="T1475" s="68"/>
      <c r="U1475" s="68"/>
      <c r="V1475" s="68"/>
      <c r="W1475" s="68"/>
      <c r="X1475" s="68"/>
      <c r="Y1475" s="68"/>
      <c r="Z1475" s="68"/>
      <c r="AA1475" s="68"/>
      <c r="AB1475" s="68"/>
      <c r="AC1475" s="68"/>
      <c r="AD1475" s="68"/>
    </row>
    <row r="1476" spans="16:30" x14ac:dyDescent="0.2">
      <c r="P1476" s="68"/>
      <c r="Q1476" s="68"/>
      <c r="R1476" s="68"/>
      <c r="S1476" s="68"/>
      <c r="T1476" s="68"/>
      <c r="U1476" s="68"/>
      <c r="V1476" s="68"/>
      <c r="W1476" s="68"/>
      <c r="X1476" s="68"/>
      <c r="Y1476" s="68"/>
      <c r="Z1476" s="68"/>
      <c r="AA1476" s="68"/>
      <c r="AB1476" s="68"/>
      <c r="AC1476" s="68"/>
      <c r="AD1476" s="68"/>
    </row>
    <row r="1477" spans="16:30" x14ac:dyDescent="0.2">
      <c r="P1477" s="68"/>
      <c r="Q1477" s="68"/>
      <c r="R1477" s="68"/>
      <c r="S1477" s="68"/>
      <c r="T1477" s="68"/>
      <c r="U1477" s="68"/>
      <c r="V1477" s="68"/>
      <c r="W1477" s="68"/>
      <c r="X1477" s="68"/>
      <c r="Y1477" s="68"/>
      <c r="Z1477" s="68"/>
      <c r="AA1477" s="68"/>
      <c r="AB1477" s="68"/>
      <c r="AC1477" s="68"/>
      <c r="AD1477" s="68"/>
    </row>
    <row r="1478" spans="16:30" x14ac:dyDescent="0.2">
      <c r="P1478" s="68"/>
      <c r="Q1478" s="68"/>
      <c r="R1478" s="68"/>
      <c r="S1478" s="68"/>
      <c r="T1478" s="68"/>
      <c r="U1478" s="68"/>
      <c r="V1478" s="68"/>
      <c r="W1478" s="68"/>
      <c r="X1478" s="68"/>
      <c r="Y1478" s="68"/>
      <c r="Z1478" s="68"/>
      <c r="AA1478" s="68"/>
      <c r="AB1478" s="68"/>
      <c r="AC1478" s="68"/>
      <c r="AD1478" s="68"/>
    </row>
    <row r="1479" spans="16:30" x14ac:dyDescent="0.2">
      <c r="P1479" s="68"/>
      <c r="Q1479" s="68"/>
      <c r="R1479" s="68"/>
      <c r="S1479" s="68"/>
      <c r="T1479" s="68"/>
      <c r="U1479" s="68"/>
      <c r="V1479" s="68"/>
      <c r="W1479" s="68"/>
      <c r="X1479" s="68"/>
      <c r="Y1479" s="68"/>
      <c r="Z1479" s="68"/>
      <c r="AA1479" s="68"/>
      <c r="AB1479" s="68"/>
      <c r="AC1479" s="68"/>
      <c r="AD1479" s="68"/>
    </row>
    <row r="1480" spans="16:30" x14ac:dyDescent="0.2">
      <c r="P1480" s="68"/>
      <c r="Q1480" s="68"/>
      <c r="R1480" s="68"/>
      <c r="S1480" s="68"/>
      <c r="T1480" s="68"/>
      <c r="U1480" s="68"/>
      <c r="V1480" s="68"/>
      <c r="W1480" s="68"/>
      <c r="X1480" s="68"/>
      <c r="Y1480" s="68"/>
      <c r="Z1480" s="68"/>
      <c r="AA1480" s="68"/>
      <c r="AB1480" s="68"/>
      <c r="AC1480" s="68"/>
      <c r="AD1480" s="68"/>
    </row>
    <row r="1481" spans="16:30" x14ac:dyDescent="0.2">
      <c r="P1481" s="68"/>
      <c r="Q1481" s="68"/>
      <c r="R1481" s="68"/>
      <c r="S1481" s="68"/>
      <c r="T1481" s="68"/>
      <c r="U1481" s="68"/>
      <c r="V1481" s="68"/>
      <c r="W1481" s="68"/>
      <c r="X1481" s="68"/>
      <c r="Y1481" s="68"/>
      <c r="Z1481" s="68"/>
      <c r="AA1481" s="68"/>
      <c r="AB1481" s="68"/>
      <c r="AC1481" s="68"/>
      <c r="AD1481" s="68"/>
    </row>
    <row r="1482" spans="16:30" x14ac:dyDescent="0.2">
      <c r="P1482" s="68"/>
      <c r="Q1482" s="68"/>
      <c r="R1482" s="68"/>
      <c r="S1482" s="68"/>
      <c r="T1482" s="68"/>
      <c r="U1482" s="68"/>
      <c r="V1482" s="68"/>
      <c r="W1482" s="68"/>
      <c r="X1482" s="68"/>
      <c r="Y1482" s="68"/>
      <c r="Z1482" s="68"/>
      <c r="AA1482" s="68"/>
      <c r="AB1482" s="68"/>
      <c r="AC1482" s="68"/>
      <c r="AD1482" s="68"/>
    </row>
    <row r="1483" spans="16:30" x14ac:dyDescent="0.2">
      <c r="P1483" s="68"/>
      <c r="Q1483" s="68"/>
      <c r="R1483" s="68"/>
      <c r="S1483" s="68"/>
      <c r="T1483" s="68"/>
      <c r="U1483" s="68"/>
      <c r="V1483" s="68"/>
      <c r="W1483" s="68"/>
      <c r="X1483" s="68"/>
      <c r="Y1483" s="68"/>
      <c r="Z1483" s="68"/>
      <c r="AA1483" s="68"/>
      <c r="AB1483" s="68"/>
      <c r="AC1483" s="68"/>
      <c r="AD1483" s="68"/>
    </row>
    <row r="1484" spans="16:30" x14ac:dyDescent="0.2">
      <c r="P1484" s="68"/>
      <c r="Q1484" s="68"/>
      <c r="R1484" s="68"/>
      <c r="S1484" s="68"/>
      <c r="T1484" s="68"/>
      <c r="U1484" s="68"/>
      <c r="V1484" s="68"/>
      <c r="W1484" s="68"/>
      <c r="X1484" s="68"/>
      <c r="Y1484" s="68"/>
      <c r="Z1484" s="68"/>
      <c r="AA1484" s="68"/>
      <c r="AB1484" s="68"/>
      <c r="AC1484" s="68"/>
      <c r="AD1484" s="68"/>
    </row>
    <row r="1485" spans="16:30" x14ac:dyDescent="0.2">
      <c r="P1485" s="68"/>
      <c r="Q1485" s="68"/>
      <c r="R1485" s="68"/>
      <c r="S1485" s="68"/>
      <c r="T1485" s="68"/>
      <c r="U1485" s="68"/>
      <c r="V1485" s="68"/>
      <c r="W1485" s="68"/>
      <c r="X1485" s="68"/>
      <c r="Y1485" s="68"/>
      <c r="Z1485" s="68"/>
      <c r="AA1485" s="68"/>
      <c r="AB1485" s="68"/>
      <c r="AC1485" s="68"/>
      <c r="AD1485" s="68"/>
    </row>
    <row r="1486" spans="16:30" x14ac:dyDescent="0.2">
      <c r="P1486" s="68"/>
      <c r="Q1486" s="68"/>
      <c r="R1486" s="68"/>
      <c r="S1486" s="68"/>
      <c r="T1486" s="68"/>
      <c r="U1486" s="68"/>
      <c r="V1486" s="68"/>
      <c r="W1486" s="68"/>
      <c r="X1486" s="68"/>
      <c r="Y1486" s="68"/>
      <c r="Z1486" s="68"/>
      <c r="AA1486" s="68"/>
      <c r="AB1486" s="68"/>
      <c r="AC1486" s="68"/>
      <c r="AD1486" s="68"/>
    </row>
    <row r="1487" spans="16:30" x14ac:dyDescent="0.2">
      <c r="P1487" s="68"/>
      <c r="Q1487" s="68"/>
      <c r="R1487" s="68"/>
      <c r="S1487" s="68"/>
      <c r="T1487" s="68"/>
      <c r="U1487" s="68"/>
      <c r="V1487" s="68"/>
      <c r="W1487" s="68"/>
      <c r="X1487" s="68"/>
      <c r="Y1487" s="68"/>
      <c r="Z1487" s="68"/>
      <c r="AA1487" s="68"/>
      <c r="AB1487" s="68"/>
      <c r="AC1487" s="68"/>
      <c r="AD1487" s="68"/>
    </row>
    <row r="1488" spans="16:30" x14ac:dyDescent="0.2">
      <c r="P1488" s="68"/>
      <c r="Q1488" s="68"/>
      <c r="R1488" s="68"/>
      <c r="S1488" s="68"/>
      <c r="T1488" s="68"/>
      <c r="U1488" s="68"/>
      <c r="V1488" s="68"/>
      <c r="W1488" s="68"/>
      <c r="X1488" s="68"/>
      <c r="Y1488" s="68"/>
      <c r="Z1488" s="68"/>
      <c r="AA1488" s="68"/>
      <c r="AB1488" s="68"/>
      <c r="AC1488" s="68"/>
      <c r="AD1488" s="68"/>
    </row>
    <row r="1489" spans="16:30" x14ac:dyDescent="0.2">
      <c r="P1489" s="68"/>
      <c r="Q1489" s="68"/>
      <c r="R1489" s="68"/>
      <c r="S1489" s="68"/>
      <c r="T1489" s="68"/>
      <c r="U1489" s="68"/>
      <c r="V1489" s="68"/>
      <c r="W1489" s="68"/>
      <c r="X1489" s="68"/>
      <c r="Y1489" s="68"/>
      <c r="Z1489" s="68"/>
      <c r="AA1489" s="68"/>
      <c r="AB1489" s="68"/>
      <c r="AC1489" s="68"/>
      <c r="AD1489" s="68"/>
    </row>
    <row r="1490" spans="16:30" x14ac:dyDescent="0.2">
      <c r="P1490" s="68"/>
      <c r="Q1490" s="68"/>
      <c r="R1490" s="68"/>
      <c r="S1490" s="68"/>
      <c r="T1490" s="68"/>
      <c r="U1490" s="68"/>
      <c r="V1490" s="68"/>
      <c r="W1490" s="68"/>
      <c r="X1490" s="68"/>
      <c r="Y1490" s="68"/>
      <c r="Z1490" s="68"/>
      <c r="AA1490" s="68"/>
      <c r="AB1490" s="68"/>
      <c r="AC1490" s="68"/>
      <c r="AD1490" s="68"/>
    </row>
    <row r="1491" spans="16:30" x14ac:dyDescent="0.2">
      <c r="P1491" s="68"/>
      <c r="Q1491" s="68"/>
      <c r="R1491" s="68"/>
      <c r="S1491" s="68"/>
      <c r="T1491" s="68"/>
      <c r="U1491" s="68"/>
      <c r="V1491" s="68"/>
      <c r="W1491" s="68"/>
      <c r="X1491" s="68"/>
      <c r="Y1491" s="68"/>
      <c r="Z1491" s="68"/>
      <c r="AA1491" s="68"/>
      <c r="AB1491" s="68"/>
      <c r="AC1491" s="68"/>
      <c r="AD1491" s="68"/>
    </row>
    <row r="1492" spans="16:30" x14ac:dyDescent="0.2">
      <c r="P1492" s="68"/>
      <c r="Q1492" s="68"/>
      <c r="R1492" s="68"/>
      <c r="S1492" s="68"/>
      <c r="T1492" s="68"/>
      <c r="U1492" s="68"/>
      <c r="V1492" s="68"/>
      <c r="W1492" s="68"/>
      <c r="X1492" s="68"/>
      <c r="Y1492" s="68"/>
      <c r="Z1492" s="68"/>
      <c r="AA1492" s="68"/>
      <c r="AB1492" s="68"/>
      <c r="AC1492" s="68"/>
      <c r="AD1492" s="68"/>
    </row>
    <row r="1493" spans="16:30" x14ac:dyDescent="0.2">
      <c r="P1493" s="68"/>
      <c r="Q1493" s="68"/>
      <c r="R1493" s="68"/>
      <c r="S1493" s="68"/>
      <c r="T1493" s="68"/>
      <c r="U1493" s="68"/>
      <c r="V1493" s="68"/>
      <c r="W1493" s="68"/>
      <c r="X1493" s="68"/>
      <c r="Y1493" s="68"/>
      <c r="Z1493" s="68"/>
      <c r="AA1493" s="68"/>
      <c r="AB1493" s="68"/>
      <c r="AC1493" s="68"/>
      <c r="AD1493" s="68"/>
    </row>
    <row r="1494" spans="16:30" x14ac:dyDescent="0.2">
      <c r="P1494" s="68"/>
      <c r="Q1494" s="68"/>
      <c r="R1494" s="68"/>
      <c r="S1494" s="68"/>
      <c r="T1494" s="68"/>
      <c r="U1494" s="68"/>
      <c r="V1494" s="68"/>
      <c r="W1494" s="68"/>
      <c r="X1494" s="68"/>
      <c r="Y1494" s="68"/>
      <c r="Z1494" s="68"/>
      <c r="AA1494" s="68"/>
      <c r="AB1494" s="68"/>
      <c r="AC1494" s="68"/>
      <c r="AD1494" s="68"/>
    </row>
    <row r="1495" spans="16:30" x14ac:dyDescent="0.2">
      <c r="P1495" s="68"/>
      <c r="Q1495" s="68"/>
      <c r="R1495" s="68"/>
      <c r="S1495" s="68"/>
      <c r="T1495" s="68"/>
      <c r="U1495" s="68"/>
      <c r="V1495" s="68"/>
      <c r="W1495" s="68"/>
      <c r="X1495" s="68"/>
      <c r="Y1495" s="68"/>
      <c r="Z1495" s="68"/>
      <c r="AA1495" s="68"/>
      <c r="AB1495" s="68"/>
      <c r="AC1495" s="68"/>
      <c r="AD1495" s="68"/>
    </row>
    <row r="1496" spans="16:30" x14ac:dyDescent="0.2">
      <c r="P1496" s="68"/>
      <c r="Q1496" s="68"/>
      <c r="R1496" s="68"/>
      <c r="S1496" s="68"/>
      <c r="T1496" s="68"/>
      <c r="U1496" s="68"/>
      <c r="V1496" s="68"/>
      <c r="W1496" s="68"/>
      <c r="X1496" s="68"/>
      <c r="Y1496" s="68"/>
      <c r="Z1496" s="68"/>
      <c r="AA1496" s="68"/>
      <c r="AB1496" s="68"/>
      <c r="AC1496" s="68"/>
      <c r="AD1496" s="68"/>
    </row>
    <row r="1497" spans="16:30" x14ac:dyDescent="0.2">
      <c r="P1497" s="68"/>
      <c r="Q1497" s="68"/>
      <c r="R1497" s="68"/>
      <c r="S1497" s="68"/>
      <c r="T1497" s="68"/>
      <c r="U1497" s="68"/>
      <c r="V1497" s="68"/>
      <c r="W1497" s="68"/>
      <c r="X1497" s="68"/>
      <c r="Y1497" s="68"/>
      <c r="Z1497" s="68"/>
      <c r="AA1497" s="68"/>
      <c r="AB1497" s="68"/>
      <c r="AC1497" s="68"/>
      <c r="AD1497" s="68"/>
    </row>
    <row r="1498" spans="16:30" x14ac:dyDescent="0.2">
      <c r="P1498" s="68"/>
      <c r="Q1498" s="68"/>
      <c r="R1498" s="68"/>
      <c r="S1498" s="68"/>
      <c r="T1498" s="68"/>
      <c r="U1498" s="68"/>
      <c r="V1498" s="68"/>
      <c r="W1498" s="68"/>
      <c r="X1498" s="68"/>
      <c r="Y1498" s="68"/>
      <c r="Z1498" s="68"/>
      <c r="AA1498" s="68"/>
      <c r="AB1498" s="68"/>
      <c r="AC1498" s="68"/>
      <c r="AD1498" s="68"/>
    </row>
    <row r="1499" spans="16:30" x14ac:dyDescent="0.2">
      <c r="P1499" s="68"/>
      <c r="Q1499" s="68"/>
      <c r="R1499" s="68"/>
      <c r="S1499" s="68"/>
      <c r="T1499" s="68"/>
      <c r="U1499" s="68"/>
      <c r="V1499" s="68"/>
      <c r="W1499" s="68"/>
      <c r="X1499" s="68"/>
      <c r="Y1499" s="68"/>
      <c r="Z1499" s="68"/>
      <c r="AA1499" s="68"/>
      <c r="AB1499" s="68"/>
      <c r="AC1499" s="68"/>
      <c r="AD1499" s="68"/>
    </row>
    <row r="1500" spans="16:30" x14ac:dyDescent="0.2">
      <c r="P1500" s="68"/>
      <c r="Q1500" s="68"/>
      <c r="R1500" s="68"/>
      <c r="S1500" s="68"/>
      <c r="T1500" s="68"/>
      <c r="U1500" s="68"/>
      <c r="V1500" s="68"/>
      <c r="W1500" s="68"/>
      <c r="X1500" s="68"/>
      <c r="Y1500" s="68"/>
      <c r="Z1500" s="68"/>
      <c r="AA1500" s="68"/>
      <c r="AB1500" s="68"/>
      <c r="AC1500" s="68"/>
      <c r="AD1500" s="68"/>
    </row>
    <row r="1501" spans="16:30" x14ac:dyDescent="0.2">
      <c r="P1501" s="68"/>
      <c r="Q1501" s="68"/>
      <c r="R1501" s="68"/>
      <c r="S1501" s="68"/>
      <c r="T1501" s="68"/>
      <c r="U1501" s="68"/>
      <c r="V1501" s="68"/>
      <c r="W1501" s="68"/>
      <c r="X1501" s="68"/>
      <c r="Y1501" s="68"/>
      <c r="Z1501" s="68"/>
      <c r="AA1501" s="68"/>
      <c r="AB1501" s="68"/>
      <c r="AC1501" s="68"/>
      <c r="AD1501" s="68"/>
    </row>
    <row r="1502" spans="16:30" x14ac:dyDescent="0.2">
      <c r="P1502" s="68"/>
      <c r="Q1502" s="68"/>
      <c r="R1502" s="68"/>
      <c r="S1502" s="68"/>
      <c r="T1502" s="68"/>
      <c r="U1502" s="68"/>
      <c r="V1502" s="68"/>
      <c r="W1502" s="68"/>
      <c r="X1502" s="68"/>
      <c r="Y1502" s="68"/>
      <c r="Z1502" s="68"/>
      <c r="AA1502" s="68"/>
      <c r="AB1502" s="68"/>
      <c r="AC1502" s="68"/>
      <c r="AD1502" s="68"/>
    </row>
    <row r="1503" spans="16:30" x14ac:dyDescent="0.2">
      <c r="P1503" s="68"/>
      <c r="Q1503" s="68"/>
      <c r="R1503" s="68"/>
      <c r="S1503" s="68"/>
      <c r="T1503" s="68"/>
      <c r="U1503" s="68"/>
      <c r="V1503" s="68"/>
      <c r="W1503" s="68"/>
      <c r="X1503" s="68"/>
      <c r="Y1503" s="68"/>
      <c r="Z1503" s="68"/>
      <c r="AA1503" s="68"/>
      <c r="AB1503" s="68"/>
      <c r="AC1503" s="68"/>
      <c r="AD1503" s="68"/>
    </row>
    <row r="1504" spans="16:30" x14ac:dyDescent="0.2">
      <c r="P1504" s="68"/>
      <c r="Q1504" s="68"/>
      <c r="R1504" s="68"/>
      <c r="S1504" s="68"/>
      <c r="T1504" s="68"/>
      <c r="U1504" s="68"/>
      <c r="V1504" s="68"/>
      <c r="W1504" s="68"/>
      <c r="X1504" s="68"/>
      <c r="Y1504" s="68"/>
      <c r="Z1504" s="68"/>
      <c r="AA1504" s="68"/>
      <c r="AB1504" s="68"/>
      <c r="AC1504" s="68"/>
      <c r="AD1504" s="68"/>
    </row>
    <row r="1505" spans="16:30" x14ac:dyDescent="0.2">
      <c r="P1505" s="68"/>
      <c r="Q1505" s="68"/>
      <c r="R1505" s="68"/>
      <c r="S1505" s="68"/>
      <c r="T1505" s="68"/>
      <c r="U1505" s="68"/>
      <c r="V1505" s="68"/>
      <c r="W1505" s="68"/>
      <c r="X1505" s="68"/>
      <c r="Y1505" s="68"/>
      <c r="Z1505" s="68"/>
      <c r="AA1505" s="68"/>
      <c r="AB1505" s="68"/>
      <c r="AC1505" s="68"/>
      <c r="AD1505" s="68"/>
    </row>
    <row r="1506" spans="16:30" x14ac:dyDescent="0.2">
      <c r="P1506" s="68"/>
      <c r="Q1506" s="68"/>
      <c r="R1506" s="68"/>
      <c r="S1506" s="68"/>
      <c r="T1506" s="68"/>
      <c r="U1506" s="68"/>
      <c r="V1506" s="68"/>
      <c r="W1506" s="68"/>
      <c r="X1506" s="68"/>
      <c r="Y1506" s="68"/>
      <c r="Z1506" s="68"/>
      <c r="AA1506" s="68"/>
      <c r="AB1506" s="68"/>
      <c r="AC1506" s="68"/>
      <c r="AD1506" s="68"/>
    </row>
    <row r="1507" spans="16:30" x14ac:dyDescent="0.2">
      <c r="P1507" s="68"/>
      <c r="Q1507" s="68"/>
      <c r="R1507" s="68"/>
      <c r="S1507" s="68"/>
      <c r="T1507" s="68"/>
      <c r="U1507" s="68"/>
      <c r="V1507" s="68"/>
      <c r="W1507" s="68"/>
      <c r="X1507" s="68"/>
      <c r="Y1507" s="68"/>
      <c r="Z1507" s="68"/>
      <c r="AA1507" s="68"/>
      <c r="AB1507" s="68"/>
      <c r="AC1507" s="68"/>
      <c r="AD1507" s="68"/>
    </row>
    <row r="1508" spans="16:30" x14ac:dyDescent="0.2">
      <c r="P1508" s="68"/>
      <c r="Q1508" s="68"/>
      <c r="R1508" s="68"/>
      <c r="S1508" s="68"/>
      <c r="T1508" s="68"/>
      <c r="U1508" s="68"/>
      <c r="V1508" s="68"/>
      <c r="W1508" s="68"/>
      <c r="X1508" s="68"/>
      <c r="Y1508" s="68"/>
      <c r="Z1508" s="68"/>
      <c r="AA1508" s="68"/>
      <c r="AB1508" s="68"/>
      <c r="AC1508" s="68"/>
      <c r="AD1508" s="68"/>
    </row>
    <row r="1509" spans="16:30" x14ac:dyDescent="0.2">
      <c r="P1509" s="68"/>
      <c r="Q1509" s="68"/>
      <c r="R1509" s="68"/>
      <c r="S1509" s="68"/>
      <c r="T1509" s="68"/>
      <c r="U1509" s="68"/>
      <c r="V1509" s="68"/>
      <c r="W1509" s="68"/>
      <c r="X1509" s="68"/>
      <c r="Y1509" s="68"/>
      <c r="Z1509" s="68"/>
      <c r="AA1509" s="68"/>
      <c r="AB1509" s="68"/>
      <c r="AC1509" s="68"/>
      <c r="AD1509" s="68"/>
    </row>
    <row r="1510" spans="16:30" x14ac:dyDescent="0.2">
      <c r="P1510" s="68"/>
      <c r="Q1510" s="68"/>
      <c r="R1510" s="68"/>
      <c r="S1510" s="68"/>
      <c r="T1510" s="68"/>
      <c r="U1510" s="68"/>
      <c r="V1510" s="68"/>
      <c r="W1510" s="68"/>
      <c r="X1510" s="68"/>
      <c r="Y1510" s="68"/>
      <c r="Z1510" s="68"/>
      <c r="AA1510" s="68"/>
      <c r="AB1510" s="68"/>
      <c r="AC1510" s="68"/>
      <c r="AD1510" s="68"/>
    </row>
    <row r="1511" spans="16:30" x14ac:dyDescent="0.2">
      <c r="P1511" s="68"/>
      <c r="Q1511" s="68"/>
      <c r="R1511" s="68"/>
      <c r="S1511" s="68"/>
      <c r="T1511" s="68"/>
      <c r="U1511" s="68"/>
      <c r="V1511" s="68"/>
      <c r="W1511" s="68"/>
      <c r="X1511" s="68"/>
      <c r="Y1511" s="68"/>
      <c r="Z1511" s="68"/>
      <c r="AA1511" s="68"/>
      <c r="AB1511" s="68"/>
      <c r="AC1511" s="68"/>
      <c r="AD1511" s="68"/>
    </row>
    <row r="1512" spans="16:30" x14ac:dyDescent="0.2">
      <c r="P1512" s="68"/>
      <c r="Q1512" s="68"/>
      <c r="R1512" s="68"/>
      <c r="S1512" s="68"/>
      <c r="T1512" s="68"/>
      <c r="U1512" s="68"/>
      <c r="V1512" s="68"/>
      <c r="W1512" s="68"/>
      <c r="X1512" s="68"/>
      <c r="Y1512" s="68"/>
      <c r="Z1512" s="68"/>
      <c r="AA1512" s="68"/>
      <c r="AB1512" s="68"/>
      <c r="AC1512" s="68"/>
      <c r="AD1512" s="68"/>
    </row>
    <row r="1513" spans="16:30" x14ac:dyDescent="0.2">
      <c r="P1513" s="68"/>
      <c r="Q1513" s="68"/>
      <c r="R1513" s="68"/>
      <c r="S1513" s="68"/>
      <c r="T1513" s="68"/>
      <c r="U1513" s="68"/>
      <c r="V1513" s="68"/>
      <c r="W1513" s="68"/>
      <c r="X1513" s="68"/>
      <c r="Y1513" s="68"/>
      <c r="Z1513" s="68"/>
      <c r="AA1513" s="68"/>
      <c r="AB1513" s="68"/>
      <c r="AC1513" s="68"/>
      <c r="AD1513" s="68"/>
    </row>
    <row r="1514" spans="16:30" x14ac:dyDescent="0.2">
      <c r="P1514" s="68"/>
      <c r="Q1514" s="68"/>
      <c r="R1514" s="68"/>
      <c r="S1514" s="68"/>
      <c r="T1514" s="68"/>
      <c r="U1514" s="68"/>
      <c r="V1514" s="68"/>
      <c r="W1514" s="68"/>
      <c r="X1514" s="68"/>
      <c r="Y1514" s="68"/>
      <c r="Z1514" s="68"/>
      <c r="AA1514" s="68"/>
      <c r="AB1514" s="68"/>
      <c r="AC1514" s="68"/>
      <c r="AD1514" s="68"/>
    </row>
    <row r="1515" spans="16:30" x14ac:dyDescent="0.2">
      <c r="P1515" s="68"/>
      <c r="Q1515" s="68"/>
      <c r="R1515" s="68"/>
      <c r="S1515" s="68"/>
      <c r="T1515" s="68"/>
      <c r="U1515" s="68"/>
      <c r="V1515" s="68"/>
      <c r="W1515" s="68"/>
      <c r="X1515" s="68"/>
      <c r="Y1515" s="68"/>
      <c r="Z1515" s="68"/>
      <c r="AA1515" s="68"/>
      <c r="AB1515" s="68"/>
      <c r="AC1515" s="68"/>
      <c r="AD1515" s="68"/>
    </row>
    <row r="1516" spans="16:30" x14ac:dyDescent="0.2">
      <c r="P1516" s="68"/>
      <c r="Q1516" s="68"/>
      <c r="R1516" s="68"/>
      <c r="S1516" s="68"/>
      <c r="T1516" s="68"/>
      <c r="U1516" s="68"/>
      <c r="V1516" s="68"/>
      <c r="W1516" s="68"/>
      <c r="X1516" s="68"/>
      <c r="Y1516" s="68"/>
      <c r="Z1516" s="68"/>
      <c r="AA1516" s="68"/>
      <c r="AB1516" s="68"/>
      <c r="AC1516" s="68"/>
      <c r="AD1516" s="68"/>
    </row>
    <row r="1517" spans="16:30" x14ac:dyDescent="0.2">
      <c r="P1517" s="68"/>
      <c r="Q1517" s="68"/>
      <c r="R1517" s="68"/>
      <c r="S1517" s="68"/>
      <c r="T1517" s="68"/>
      <c r="U1517" s="68"/>
      <c r="V1517" s="68"/>
      <c r="W1517" s="68"/>
      <c r="X1517" s="68"/>
      <c r="Y1517" s="68"/>
      <c r="Z1517" s="68"/>
      <c r="AA1517" s="68"/>
      <c r="AB1517" s="68"/>
      <c r="AC1517" s="68"/>
      <c r="AD1517" s="68"/>
    </row>
    <row r="1518" spans="16:30" x14ac:dyDescent="0.2">
      <c r="P1518" s="68"/>
      <c r="Q1518" s="68"/>
      <c r="R1518" s="68"/>
      <c r="S1518" s="68"/>
      <c r="T1518" s="68"/>
      <c r="U1518" s="68"/>
      <c r="V1518" s="68"/>
      <c r="W1518" s="68"/>
      <c r="X1518" s="68"/>
      <c r="Y1518" s="68"/>
      <c r="Z1518" s="68"/>
      <c r="AA1518" s="68"/>
      <c r="AB1518" s="68"/>
      <c r="AC1518" s="68"/>
      <c r="AD1518" s="68"/>
    </row>
    <row r="1519" spans="16:30" x14ac:dyDescent="0.2">
      <c r="P1519" s="68"/>
      <c r="Q1519" s="68"/>
      <c r="R1519" s="68"/>
      <c r="S1519" s="68"/>
      <c r="T1519" s="68"/>
      <c r="U1519" s="68"/>
      <c r="V1519" s="68"/>
      <c r="W1519" s="68"/>
      <c r="X1519" s="68"/>
      <c r="Y1519" s="68"/>
      <c r="Z1519" s="68"/>
      <c r="AA1519" s="68"/>
      <c r="AB1519" s="68"/>
      <c r="AC1519" s="68"/>
      <c r="AD1519" s="68"/>
    </row>
    <row r="1520" spans="16:30" x14ac:dyDescent="0.2">
      <c r="P1520" s="68"/>
      <c r="Q1520" s="68"/>
      <c r="R1520" s="68"/>
      <c r="S1520" s="68"/>
      <c r="T1520" s="68"/>
      <c r="U1520" s="68"/>
      <c r="V1520" s="68"/>
      <c r="W1520" s="68"/>
      <c r="X1520" s="68"/>
      <c r="Y1520" s="68"/>
      <c r="Z1520" s="68"/>
      <c r="AA1520" s="68"/>
      <c r="AB1520" s="68"/>
      <c r="AC1520" s="68"/>
      <c r="AD1520" s="68"/>
    </row>
    <row r="1521" spans="16:30" x14ac:dyDescent="0.2">
      <c r="P1521" s="68"/>
      <c r="Q1521" s="68"/>
      <c r="R1521" s="68"/>
      <c r="S1521" s="68"/>
      <c r="T1521" s="68"/>
      <c r="U1521" s="68"/>
      <c r="V1521" s="68"/>
      <c r="W1521" s="68"/>
      <c r="X1521" s="68"/>
      <c r="Y1521" s="68"/>
      <c r="Z1521" s="68"/>
      <c r="AA1521" s="68"/>
      <c r="AB1521" s="68"/>
      <c r="AC1521" s="68"/>
      <c r="AD1521" s="68"/>
    </row>
    <row r="1522" spans="16:30" x14ac:dyDescent="0.2">
      <c r="P1522" s="68"/>
      <c r="Q1522" s="68"/>
      <c r="R1522" s="68"/>
      <c r="S1522" s="68"/>
      <c r="T1522" s="68"/>
      <c r="U1522" s="68"/>
      <c r="V1522" s="68"/>
      <c r="W1522" s="68"/>
      <c r="X1522" s="68"/>
      <c r="Y1522" s="68"/>
      <c r="Z1522" s="68"/>
      <c r="AA1522" s="68"/>
      <c r="AB1522" s="68"/>
      <c r="AC1522" s="68"/>
      <c r="AD1522" s="68"/>
    </row>
    <row r="1523" spans="16:30" x14ac:dyDescent="0.2">
      <c r="P1523" s="68"/>
      <c r="Q1523" s="68"/>
      <c r="R1523" s="68"/>
      <c r="S1523" s="68"/>
      <c r="T1523" s="68"/>
      <c r="U1523" s="68"/>
      <c r="V1523" s="68"/>
      <c r="W1523" s="68"/>
      <c r="X1523" s="68"/>
      <c r="Y1523" s="68"/>
      <c r="Z1523" s="68"/>
      <c r="AA1523" s="68"/>
      <c r="AB1523" s="68"/>
      <c r="AC1523" s="68"/>
      <c r="AD1523" s="68"/>
    </row>
    <row r="1524" spans="16:30" x14ac:dyDescent="0.2">
      <c r="P1524" s="68"/>
      <c r="Q1524" s="68"/>
      <c r="R1524" s="68"/>
      <c r="S1524" s="68"/>
      <c r="T1524" s="68"/>
      <c r="U1524" s="68"/>
      <c r="V1524" s="68"/>
      <c r="W1524" s="68"/>
      <c r="X1524" s="68"/>
      <c r="Y1524" s="68"/>
      <c r="Z1524" s="68"/>
      <c r="AA1524" s="68"/>
      <c r="AB1524" s="68"/>
      <c r="AC1524" s="68"/>
      <c r="AD1524" s="68"/>
    </row>
    <row r="1525" spans="16:30" x14ac:dyDescent="0.2">
      <c r="P1525" s="68"/>
      <c r="Q1525" s="68"/>
      <c r="R1525" s="68"/>
      <c r="S1525" s="68"/>
      <c r="T1525" s="68"/>
      <c r="U1525" s="68"/>
      <c r="V1525" s="68"/>
      <c r="W1525" s="68"/>
      <c r="X1525" s="68"/>
      <c r="Y1525" s="68"/>
      <c r="Z1525" s="68"/>
      <c r="AA1525" s="68"/>
      <c r="AB1525" s="68"/>
      <c r="AC1525" s="68"/>
      <c r="AD1525" s="68"/>
    </row>
    <row r="1526" spans="16:30" x14ac:dyDescent="0.2">
      <c r="P1526" s="68"/>
      <c r="Q1526" s="68"/>
      <c r="R1526" s="68"/>
      <c r="S1526" s="68"/>
      <c r="T1526" s="68"/>
      <c r="U1526" s="68"/>
      <c r="V1526" s="68"/>
      <c r="W1526" s="68"/>
      <c r="X1526" s="68"/>
      <c r="Y1526" s="68"/>
      <c r="Z1526" s="68"/>
      <c r="AA1526" s="68"/>
      <c r="AB1526" s="68"/>
      <c r="AC1526" s="68"/>
      <c r="AD1526" s="68"/>
    </row>
    <row r="1527" spans="16:30" x14ac:dyDescent="0.2">
      <c r="P1527" s="68"/>
      <c r="Q1527" s="68"/>
      <c r="R1527" s="68"/>
      <c r="S1527" s="68"/>
      <c r="T1527" s="68"/>
      <c r="U1527" s="68"/>
      <c r="V1527" s="68"/>
      <c r="W1527" s="68"/>
      <c r="X1527" s="68"/>
      <c r="Y1527" s="68"/>
      <c r="Z1527" s="68"/>
      <c r="AA1527" s="68"/>
      <c r="AB1527" s="68"/>
      <c r="AC1527" s="68"/>
      <c r="AD1527" s="68"/>
    </row>
    <row r="1528" spans="16:30" x14ac:dyDescent="0.2">
      <c r="P1528" s="68"/>
      <c r="Q1528" s="68"/>
      <c r="R1528" s="68"/>
      <c r="S1528" s="68"/>
      <c r="T1528" s="68"/>
      <c r="U1528" s="68"/>
      <c r="V1528" s="68"/>
      <c r="W1528" s="68"/>
      <c r="X1528" s="68"/>
      <c r="Y1528" s="68"/>
      <c r="Z1528" s="68"/>
      <c r="AA1528" s="68"/>
      <c r="AB1528" s="68"/>
      <c r="AC1528" s="68"/>
      <c r="AD1528" s="68"/>
    </row>
    <row r="1529" spans="16:30" x14ac:dyDescent="0.2">
      <c r="P1529" s="68"/>
      <c r="Q1529" s="68"/>
      <c r="R1529" s="68"/>
      <c r="S1529" s="68"/>
      <c r="T1529" s="68"/>
      <c r="U1529" s="68"/>
      <c r="V1529" s="68"/>
      <c r="W1529" s="68"/>
      <c r="X1529" s="68"/>
      <c r="Y1529" s="68"/>
      <c r="Z1529" s="68"/>
      <c r="AA1529" s="68"/>
      <c r="AB1529" s="68"/>
      <c r="AC1529" s="68"/>
      <c r="AD1529" s="68"/>
    </row>
    <row r="1530" spans="16:30" x14ac:dyDescent="0.2">
      <c r="P1530" s="68"/>
      <c r="Q1530" s="68"/>
      <c r="R1530" s="68"/>
      <c r="S1530" s="68"/>
      <c r="T1530" s="68"/>
      <c r="U1530" s="68"/>
      <c r="V1530" s="68"/>
      <c r="W1530" s="68"/>
      <c r="X1530" s="68"/>
      <c r="Y1530" s="68"/>
      <c r="Z1530" s="68"/>
      <c r="AA1530" s="68"/>
      <c r="AB1530" s="68"/>
      <c r="AC1530" s="68"/>
      <c r="AD1530" s="68"/>
    </row>
    <row r="1531" spans="16:30" x14ac:dyDescent="0.2">
      <c r="P1531" s="68"/>
      <c r="Q1531" s="68"/>
      <c r="R1531" s="68"/>
      <c r="S1531" s="68"/>
      <c r="T1531" s="68"/>
      <c r="U1531" s="68"/>
      <c r="V1531" s="68"/>
      <c r="W1531" s="68"/>
      <c r="X1531" s="68"/>
      <c r="Y1531" s="68"/>
      <c r="Z1531" s="68"/>
      <c r="AA1531" s="68"/>
      <c r="AB1531" s="68"/>
      <c r="AC1531" s="68"/>
      <c r="AD1531" s="68"/>
    </row>
    <row r="1532" spans="16:30" x14ac:dyDescent="0.2">
      <c r="P1532" s="68"/>
      <c r="Q1532" s="68"/>
      <c r="R1532" s="68"/>
      <c r="S1532" s="68"/>
      <c r="T1532" s="68"/>
      <c r="U1532" s="68"/>
      <c r="V1532" s="68"/>
      <c r="W1532" s="68"/>
      <c r="X1532" s="68"/>
      <c r="Y1532" s="68"/>
      <c r="Z1532" s="68"/>
      <c r="AA1532" s="68"/>
      <c r="AB1532" s="68"/>
      <c r="AC1532" s="68"/>
      <c r="AD1532" s="68"/>
    </row>
    <row r="1533" spans="16:30" x14ac:dyDescent="0.2">
      <c r="P1533" s="68"/>
      <c r="Q1533" s="68"/>
      <c r="R1533" s="68"/>
      <c r="S1533" s="68"/>
      <c r="T1533" s="68"/>
      <c r="U1533" s="68"/>
      <c r="V1533" s="68"/>
      <c r="W1533" s="68"/>
      <c r="X1533" s="68"/>
      <c r="Y1533" s="68"/>
      <c r="Z1533" s="68"/>
      <c r="AA1533" s="68"/>
      <c r="AB1533" s="68"/>
      <c r="AC1533" s="68"/>
      <c r="AD1533" s="68"/>
    </row>
    <row r="1534" spans="16:30" x14ac:dyDescent="0.2">
      <c r="P1534" s="68"/>
      <c r="Q1534" s="68"/>
      <c r="R1534" s="68"/>
      <c r="S1534" s="68"/>
      <c r="T1534" s="68"/>
      <c r="U1534" s="68"/>
      <c r="V1534" s="68"/>
      <c r="W1534" s="68"/>
      <c r="X1534" s="68"/>
      <c r="Y1534" s="68"/>
      <c r="Z1534" s="68"/>
      <c r="AA1534" s="68"/>
      <c r="AB1534" s="68"/>
      <c r="AC1534" s="68"/>
      <c r="AD1534" s="68"/>
    </row>
    <row r="1535" spans="16:30" x14ac:dyDescent="0.2">
      <c r="P1535" s="68"/>
      <c r="Q1535" s="68"/>
      <c r="R1535" s="68"/>
      <c r="S1535" s="68"/>
      <c r="T1535" s="68"/>
      <c r="U1535" s="68"/>
      <c r="V1535" s="68"/>
      <c r="W1535" s="68"/>
      <c r="X1535" s="68"/>
      <c r="Y1535" s="68"/>
      <c r="Z1535" s="68"/>
      <c r="AA1535" s="68"/>
      <c r="AB1535" s="68"/>
      <c r="AC1535" s="68"/>
      <c r="AD1535" s="68"/>
    </row>
    <row r="1536" spans="16:30" x14ac:dyDescent="0.2">
      <c r="P1536" s="68"/>
      <c r="Q1536" s="68"/>
      <c r="R1536" s="68"/>
      <c r="S1536" s="68"/>
      <c r="T1536" s="68"/>
      <c r="U1536" s="68"/>
      <c r="V1536" s="68"/>
      <c r="W1536" s="68"/>
      <c r="X1536" s="68"/>
      <c r="Y1536" s="68"/>
      <c r="Z1536" s="68"/>
      <c r="AA1536" s="68"/>
      <c r="AB1536" s="68"/>
      <c r="AC1536" s="68"/>
      <c r="AD1536" s="68"/>
    </row>
    <row r="1537" spans="16:30" x14ac:dyDescent="0.2">
      <c r="P1537" s="68"/>
      <c r="Q1537" s="68"/>
      <c r="R1537" s="68"/>
      <c r="S1537" s="68"/>
      <c r="T1537" s="68"/>
      <c r="U1537" s="68"/>
      <c r="V1537" s="68"/>
      <c r="W1537" s="68"/>
      <c r="X1537" s="68"/>
      <c r="Y1537" s="68"/>
      <c r="Z1537" s="68"/>
      <c r="AA1537" s="68"/>
      <c r="AB1537" s="68"/>
      <c r="AC1537" s="68"/>
      <c r="AD1537" s="68"/>
    </row>
    <row r="1538" spans="16:30" x14ac:dyDescent="0.2">
      <c r="P1538" s="68"/>
      <c r="Q1538" s="68"/>
      <c r="R1538" s="68"/>
      <c r="S1538" s="68"/>
      <c r="T1538" s="68"/>
      <c r="U1538" s="68"/>
      <c r="V1538" s="68"/>
      <c r="W1538" s="68"/>
      <c r="X1538" s="68"/>
      <c r="Y1538" s="68"/>
      <c r="Z1538" s="68"/>
      <c r="AA1538" s="68"/>
      <c r="AB1538" s="68"/>
      <c r="AC1538" s="68"/>
      <c r="AD1538" s="68"/>
    </row>
    <row r="1539" spans="16:30" x14ac:dyDescent="0.2">
      <c r="P1539" s="68"/>
      <c r="Q1539" s="68"/>
      <c r="R1539" s="68"/>
      <c r="S1539" s="68"/>
      <c r="T1539" s="68"/>
      <c r="U1539" s="68"/>
      <c r="V1539" s="68"/>
      <c r="W1539" s="68"/>
      <c r="X1539" s="68"/>
      <c r="Y1539" s="68"/>
      <c r="Z1539" s="68"/>
      <c r="AA1539" s="68"/>
      <c r="AB1539" s="68"/>
      <c r="AC1539" s="68"/>
      <c r="AD1539" s="68"/>
    </row>
    <row r="1540" spans="16:30" x14ac:dyDescent="0.2">
      <c r="P1540" s="68"/>
      <c r="Q1540" s="68"/>
      <c r="R1540" s="68"/>
      <c r="S1540" s="68"/>
      <c r="T1540" s="68"/>
      <c r="U1540" s="68"/>
      <c r="V1540" s="68"/>
      <c r="W1540" s="68"/>
      <c r="X1540" s="68"/>
      <c r="Y1540" s="68"/>
      <c r="Z1540" s="68"/>
      <c r="AA1540" s="68"/>
      <c r="AB1540" s="68"/>
      <c r="AC1540" s="68"/>
      <c r="AD1540" s="68"/>
    </row>
    <row r="1541" spans="16:30" x14ac:dyDescent="0.2">
      <c r="P1541" s="68"/>
      <c r="Q1541" s="68"/>
      <c r="R1541" s="68"/>
      <c r="S1541" s="68"/>
      <c r="T1541" s="68"/>
      <c r="U1541" s="68"/>
      <c r="V1541" s="68"/>
      <c r="W1541" s="68"/>
      <c r="X1541" s="68"/>
      <c r="Y1541" s="68"/>
      <c r="Z1541" s="68"/>
      <c r="AA1541" s="68"/>
      <c r="AB1541" s="68"/>
      <c r="AC1541" s="68"/>
      <c r="AD1541" s="68"/>
    </row>
    <row r="1542" spans="16:30" x14ac:dyDescent="0.2">
      <c r="P1542" s="68"/>
      <c r="Q1542" s="68"/>
      <c r="R1542" s="68"/>
      <c r="S1542" s="68"/>
      <c r="T1542" s="68"/>
      <c r="U1542" s="68"/>
      <c r="V1542" s="68"/>
      <c r="W1542" s="68"/>
      <c r="X1542" s="68"/>
      <c r="Y1542" s="68"/>
      <c r="Z1542" s="68"/>
      <c r="AA1542" s="68"/>
      <c r="AB1542" s="68"/>
      <c r="AC1542" s="68"/>
      <c r="AD1542" s="68"/>
    </row>
    <row r="1543" spans="16:30" x14ac:dyDescent="0.2">
      <c r="P1543" s="68"/>
      <c r="Q1543" s="68"/>
      <c r="R1543" s="68"/>
      <c r="S1543" s="68"/>
      <c r="T1543" s="68"/>
      <c r="U1543" s="68"/>
      <c r="V1543" s="68"/>
      <c r="W1543" s="68"/>
      <c r="X1543" s="68"/>
      <c r="Y1543" s="68"/>
      <c r="Z1543" s="68"/>
      <c r="AA1543" s="68"/>
      <c r="AB1543" s="68"/>
      <c r="AC1543" s="68"/>
      <c r="AD1543" s="68"/>
    </row>
    <row r="1544" spans="16:30" x14ac:dyDescent="0.2">
      <c r="P1544" s="68"/>
      <c r="Q1544" s="68"/>
      <c r="R1544" s="68"/>
      <c r="S1544" s="68"/>
      <c r="T1544" s="68"/>
      <c r="U1544" s="68"/>
      <c r="V1544" s="68"/>
      <c r="W1544" s="68"/>
      <c r="X1544" s="68"/>
      <c r="Y1544" s="68"/>
      <c r="Z1544" s="68"/>
      <c r="AA1544" s="68"/>
      <c r="AB1544" s="68"/>
      <c r="AC1544" s="68"/>
      <c r="AD1544" s="68"/>
    </row>
    <row r="1545" spans="16:30" x14ac:dyDescent="0.2">
      <c r="P1545" s="68"/>
      <c r="Q1545" s="68"/>
      <c r="R1545" s="68"/>
      <c r="S1545" s="68"/>
      <c r="T1545" s="68"/>
      <c r="U1545" s="68"/>
      <c r="V1545" s="68"/>
      <c r="W1545" s="68"/>
      <c r="X1545" s="68"/>
      <c r="Y1545" s="68"/>
      <c r="Z1545" s="68"/>
      <c r="AA1545" s="68"/>
      <c r="AB1545" s="68"/>
      <c r="AC1545" s="68"/>
      <c r="AD1545" s="68"/>
    </row>
    <row r="1546" spans="16:30" x14ac:dyDescent="0.2">
      <c r="P1546" s="68"/>
      <c r="Q1546" s="68"/>
      <c r="R1546" s="68"/>
      <c r="S1546" s="68"/>
      <c r="T1546" s="68"/>
      <c r="U1546" s="68"/>
      <c r="V1546" s="68"/>
      <c r="W1546" s="68"/>
      <c r="X1546" s="68"/>
      <c r="Y1546" s="68"/>
      <c r="Z1546" s="68"/>
      <c r="AA1546" s="68"/>
      <c r="AB1546" s="68"/>
      <c r="AC1546" s="68"/>
      <c r="AD1546" s="68"/>
    </row>
    <row r="1547" spans="16:30" x14ac:dyDescent="0.2">
      <c r="P1547" s="68"/>
      <c r="Q1547" s="68"/>
      <c r="R1547" s="68"/>
      <c r="S1547" s="68"/>
      <c r="T1547" s="68"/>
      <c r="U1547" s="68"/>
      <c r="V1547" s="68"/>
      <c r="W1547" s="68"/>
      <c r="X1547" s="68"/>
      <c r="Y1547" s="68"/>
      <c r="Z1547" s="68"/>
      <c r="AA1547" s="68"/>
      <c r="AB1547" s="68"/>
      <c r="AC1547" s="68"/>
      <c r="AD1547" s="68"/>
    </row>
    <row r="1548" spans="16:30" x14ac:dyDescent="0.2">
      <c r="P1548" s="68"/>
      <c r="Q1548" s="68"/>
      <c r="R1548" s="68"/>
      <c r="S1548" s="68"/>
      <c r="T1548" s="68"/>
      <c r="U1548" s="68"/>
      <c r="V1548" s="68"/>
      <c r="W1548" s="68"/>
      <c r="X1548" s="68"/>
      <c r="Y1548" s="68"/>
      <c r="Z1548" s="68"/>
      <c r="AA1548" s="68"/>
      <c r="AB1548" s="68"/>
      <c r="AC1548" s="68"/>
      <c r="AD1548" s="68"/>
    </row>
    <row r="1549" spans="16:30" x14ac:dyDescent="0.2">
      <c r="P1549" s="68"/>
      <c r="Q1549" s="68"/>
      <c r="R1549" s="68"/>
      <c r="S1549" s="68"/>
      <c r="T1549" s="68"/>
      <c r="U1549" s="68"/>
      <c r="V1549" s="68"/>
      <c r="W1549" s="68"/>
      <c r="X1549" s="68"/>
      <c r="Y1549" s="68"/>
      <c r="Z1549" s="68"/>
      <c r="AA1549" s="68"/>
      <c r="AB1549" s="68"/>
      <c r="AC1549" s="68"/>
      <c r="AD1549" s="68"/>
    </row>
    <row r="1550" spans="16:30" x14ac:dyDescent="0.2">
      <c r="P1550" s="68"/>
      <c r="Q1550" s="68"/>
      <c r="R1550" s="68"/>
      <c r="S1550" s="68"/>
      <c r="T1550" s="68"/>
      <c r="U1550" s="68"/>
      <c r="V1550" s="68"/>
      <c r="W1550" s="68"/>
      <c r="X1550" s="68"/>
      <c r="Y1550" s="68"/>
      <c r="Z1550" s="68"/>
      <c r="AA1550" s="68"/>
      <c r="AB1550" s="68"/>
      <c r="AC1550" s="68"/>
      <c r="AD1550" s="68"/>
    </row>
    <row r="1551" spans="16:30" x14ac:dyDescent="0.2">
      <c r="P1551" s="68"/>
      <c r="Q1551" s="68"/>
      <c r="R1551" s="68"/>
      <c r="S1551" s="68"/>
      <c r="T1551" s="68"/>
      <c r="U1551" s="68"/>
      <c r="V1551" s="68"/>
      <c r="W1551" s="68"/>
      <c r="X1551" s="68"/>
      <c r="Y1551" s="68"/>
      <c r="Z1551" s="68"/>
      <c r="AA1551" s="68"/>
      <c r="AB1551" s="68"/>
      <c r="AC1551" s="68"/>
      <c r="AD1551" s="68"/>
    </row>
    <row r="1552" spans="16:30" x14ac:dyDescent="0.2">
      <c r="P1552" s="68"/>
      <c r="Q1552" s="68"/>
      <c r="R1552" s="68"/>
      <c r="S1552" s="68"/>
      <c r="T1552" s="68"/>
      <c r="U1552" s="68"/>
      <c r="V1552" s="68"/>
      <c r="W1552" s="68"/>
      <c r="X1552" s="68"/>
      <c r="Y1552" s="68"/>
      <c r="Z1552" s="68"/>
      <c r="AA1552" s="68"/>
      <c r="AB1552" s="68"/>
      <c r="AC1552" s="68"/>
      <c r="AD1552" s="68"/>
    </row>
    <row r="1553" spans="16:30" x14ac:dyDescent="0.2">
      <c r="P1553" s="68"/>
      <c r="Q1553" s="68"/>
      <c r="R1553" s="68"/>
      <c r="S1553" s="68"/>
      <c r="T1553" s="68"/>
      <c r="U1553" s="68"/>
      <c r="V1553" s="68"/>
      <c r="W1553" s="68"/>
      <c r="X1553" s="68"/>
      <c r="Y1553" s="68"/>
      <c r="Z1553" s="68"/>
      <c r="AA1553" s="68"/>
      <c r="AB1553" s="68"/>
      <c r="AC1553" s="68"/>
      <c r="AD1553" s="68"/>
    </row>
    <row r="1554" spans="16:30" x14ac:dyDescent="0.2">
      <c r="P1554" s="68"/>
      <c r="Q1554" s="68"/>
      <c r="R1554" s="68"/>
      <c r="S1554" s="68"/>
      <c r="T1554" s="68"/>
      <c r="U1554" s="68"/>
      <c r="V1554" s="68"/>
      <c r="W1554" s="68"/>
      <c r="X1554" s="68"/>
      <c r="Y1554" s="68"/>
      <c r="Z1554" s="68"/>
      <c r="AA1554" s="68"/>
      <c r="AB1554" s="68"/>
      <c r="AC1554" s="68"/>
      <c r="AD1554" s="68"/>
    </row>
    <row r="1555" spans="16:30" x14ac:dyDescent="0.2">
      <c r="P1555" s="68"/>
      <c r="Q1555" s="68"/>
      <c r="R1555" s="68"/>
      <c r="S1555" s="68"/>
      <c r="T1555" s="68"/>
      <c r="U1555" s="68"/>
      <c r="V1555" s="68"/>
      <c r="W1555" s="68"/>
      <c r="X1555" s="68"/>
      <c r="Y1555" s="68"/>
      <c r="Z1555" s="68"/>
      <c r="AA1555" s="68"/>
      <c r="AB1555" s="68"/>
      <c r="AC1555" s="68"/>
      <c r="AD1555" s="68"/>
    </row>
    <row r="1556" spans="16:30" x14ac:dyDescent="0.2">
      <c r="P1556" s="68"/>
      <c r="Q1556" s="68"/>
      <c r="R1556" s="68"/>
      <c r="S1556" s="68"/>
      <c r="T1556" s="68"/>
      <c r="U1556" s="68"/>
      <c r="V1556" s="68"/>
      <c r="W1556" s="68"/>
      <c r="X1556" s="68"/>
      <c r="Y1556" s="68"/>
      <c r="Z1556" s="68"/>
      <c r="AA1556" s="68"/>
      <c r="AB1556" s="68"/>
      <c r="AC1556" s="68"/>
      <c r="AD1556" s="68"/>
    </row>
    <row r="1557" spans="16:30" x14ac:dyDescent="0.2">
      <c r="P1557" s="68"/>
      <c r="Q1557" s="68"/>
      <c r="R1557" s="68"/>
      <c r="S1557" s="68"/>
      <c r="T1557" s="68"/>
      <c r="U1557" s="68"/>
      <c r="V1557" s="68"/>
      <c r="W1557" s="68"/>
      <c r="X1557" s="68"/>
      <c r="Y1557" s="68"/>
      <c r="Z1557" s="68"/>
      <c r="AA1557" s="68"/>
      <c r="AB1557" s="68"/>
      <c r="AC1557" s="68"/>
      <c r="AD1557" s="68"/>
    </row>
    <row r="1558" spans="16:30" x14ac:dyDescent="0.2">
      <c r="P1558" s="68"/>
      <c r="Q1558" s="68"/>
      <c r="R1558" s="68"/>
      <c r="S1558" s="68"/>
      <c r="T1558" s="68"/>
      <c r="U1558" s="68"/>
      <c r="V1558" s="68"/>
      <c r="W1558" s="68"/>
      <c r="X1558" s="68"/>
      <c r="Y1558" s="68"/>
      <c r="Z1558" s="68"/>
      <c r="AA1558" s="68"/>
      <c r="AB1558" s="68"/>
      <c r="AC1558" s="68"/>
      <c r="AD1558" s="68"/>
    </row>
    <row r="1559" spans="16:30" x14ac:dyDescent="0.2">
      <c r="P1559" s="68"/>
      <c r="Q1559" s="68"/>
      <c r="R1559" s="68"/>
      <c r="S1559" s="68"/>
      <c r="T1559" s="68"/>
      <c r="U1559" s="68"/>
      <c r="V1559" s="68"/>
      <c r="W1559" s="68"/>
      <c r="X1559" s="68"/>
      <c r="Y1559" s="68"/>
      <c r="Z1559" s="68"/>
      <c r="AA1559" s="68"/>
      <c r="AB1559" s="68"/>
      <c r="AC1559" s="68"/>
      <c r="AD1559" s="68"/>
    </row>
    <row r="1560" spans="16:30" x14ac:dyDescent="0.2">
      <c r="P1560" s="68"/>
      <c r="Q1560" s="68"/>
      <c r="R1560" s="68"/>
      <c r="S1560" s="68"/>
      <c r="T1560" s="68"/>
      <c r="U1560" s="68"/>
      <c r="V1560" s="68"/>
      <c r="W1560" s="68"/>
      <c r="X1560" s="68"/>
      <c r="Y1560" s="68"/>
      <c r="Z1560" s="68"/>
      <c r="AA1560" s="68"/>
      <c r="AB1560" s="68"/>
      <c r="AC1560" s="68"/>
      <c r="AD1560" s="68"/>
    </row>
    <row r="1561" spans="16:30" x14ac:dyDescent="0.2">
      <c r="P1561" s="68"/>
      <c r="Q1561" s="68"/>
      <c r="R1561" s="68"/>
      <c r="S1561" s="68"/>
      <c r="T1561" s="68"/>
      <c r="U1561" s="68"/>
      <c r="V1561" s="68"/>
      <c r="W1561" s="68"/>
      <c r="X1561" s="68"/>
      <c r="Y1561" s="68"/>
      <c r="Z1561" s="68"/>
      <c r="AA1561" s="68"/>
      <c r="AB1561" s="68"/>
      <c r="AC1561" s="68"/>
      <c r="AD1561" s="68"/>
    </row>
    <row r="1562" spans="16:30" x14ac:dyDescent="0.2">
      <c r="P1562" s="68"/>
      <c r="Q1562" s="68"/>
      <c r="R1562" s="68"/>
      <c r="S1562" s="68"/>
      <c r="T1562" s="68"/>
      <c r="U1562" s="68"/>
      <c r="V1562" s="68"/>
      <c r="W1562" s="68"/>
      <c r="X1562" s="68"/>
      <c r="Y1562" s="68"/>
      <c r="Z1562" s="68"/>
      <c r="AA1562" s="68"/>
      <c r="AB1562" s="68"/>
      <c r="AC1562" s="68"/>
      <c r="AD1562" s="68"/>
    </row>
    <row r="1563" spans="16:30" x14ac:dyDescent="0.2">
      <c r="P1563" s="68"/>
      <c r="Q1563" s="68"/>
      <c r="R1563" s="68"/>
      <c r="S1563" s="68"/>
      <c r="T1563" s="68"/>
      <c r="U1563" s="68"/>
      <c r="V1563" s="68"/>
      <c r="W1563" s="68"/>
      <c r="X1563" s="68"/>
      <c r="Y1563" s="68"/>
      <c r="Z1563" s="68"/>
      <c r="AA1563" s="68"/>
      <c r="AB1563" s="68"/>
      <c r="AC1563" s="68"/>
      <c r="AD1563" s="68"/>
    </row>
    <row r="1564" spans="16:30" x14ac:dyDescent="0.2">
      <c r="P1564" s="68"/>
      <c r="Q1564" s="68"/>
      <c r="R1564" s="68"/>
      <c r="S1564" s="68"/>
      <c r="T1564" s="68"/>
      <c r="U1564" s="68"/>
      <c r="V1564" s="68"/>
      <c r="W1564" s="68"/>
      <c r="X1564" s="68"/>
      <c r="Y1564" s="68"/>
      <c r="Z1564" s="68"/>
      <c r="AA1564" s="68"/>
      <c r="AB1564" s="68"/>
      <c r="AC1564" s="68"/>
      <c r="AD1564" s="68"/>
    </row>
    <row r="1565" spans="16:30" x14ac:dyDescent="0.2">
      <c r="P1565" s="68"/>
      <c r="Q1565" s="68"/>
      <c r="R1565" s="68"/>
      <c r="S1565" s="68"/>
      <c r="T1565" s="68"/>
      <c r="U1565" s="68"/>
      <c r="V1565" s="68"/>
      <c r="W1565" s="68"/>
      <c r="X1565" s="68"/>
      <c r="Y1565" s="68"/>
      <c r="Z1565" s="68"/>
      <c r="AA1565" s="68"/>
      <c r="AB1565" s="68"/>
      <c r="AC1565" s="68"/>
      <c r="AD1565" s="68"/>
    </row>
    <row r="1566" spans="16:30" x14ac:dyDescent="0.2">
      <c r="P1566" s="68"/>
      <c r="Q1566" s="68"/>
      <c r="R1566" s="68"/>
      <c r="S1566" s="68"/>
      <c r="T1566" s="68"/>
      <c r="U1566" s="68"/>
      <c r="V1566" s="68"/>
      <c r="W1566" s="68"/>
      <c r="X1566" s="68"/>
      <c r="Y1566" s="68"/>
      <c r="Z1566" s="68"/>
      <c r="AA1566" s="68"/>
      <c r="AB1566" s="68"/>
      <c r="AC1566" s="68"/>
      <c r="AD1566" s="68"/>
    </row>
    <row r="1567" spans="16:30" x14ac:dyDescent="0.2">
      <c r="P1567" s="68"/>
      <c r="Q1567" s="68"/>
      <c r="R1567" s="68"/>
      <c r="S1567" s="68"/>
      <c r="T1567" s="68"/>
      <c r="U1567" s="68"/>
      <c r="V1567" s="68"/>
      <c r="W1567" s="68"/>
      <c r="X1567" s="68"/>
      <c r="Y1567" s="68"/>
      <c r="Z1567" s="68"/>
      <c r="AA1567" s="68"/>
      <c r="AB1567" s="68"/>
      <c r="AC1567" s="68"/>
      <c r="AD1567" s="68"/>
    </row>
    <row r="1568" spans="16:30" x14ac:dyDescent="0.2">
      <c r="P1568" s="68"/>
      <c r="Q1568" s="68"/>
      <c r="R1568" s="68"/>
      <c r="S1568" s="68"/>
      <c r="T1568" s="68"/>
      <c r="U1568" s="68"/>
      <c r="V1568" s="68"/>
      <c r="W1568" s="68"/>
      <c r="X1568" s="68"/>
      <c r="Y1568" s="68"/>
      <c r="Z1568" s="68"/>
      <c r="AA1568" s="68"/>
      <c r="AB1568" s="68"/>
      <c r="AC1568" s="68"/>
      <c r="AD1568" s="68"/>
    </row>
    <row r="1569" spans="16:30" x14ac:dyDescent="0.2">
      <c r="P1569" s="68"/>
      <c r="Q1569" s="68"/>
      <c r="R1569" s="68"/>
      <c r="S1569" s="68"/>
      <c r="T1569" s="68"/>
      <c r="U1569" s="68"/>
      <c r="V1569" s="68"/>
      <c r="W1569" s="68"/>
      <c r="X1569" s="68"/>
      <c r="Y1569" s="68"/>
      <c r="Z1569" s="68"/>
      <c r="AA1569" s="68"/>
      <c r="AB1569" s="68"/>
      <c r="AC1569" s="68"/>
      <c r="AD1569" s="68"/>
    </row>
    <row r="1570" spans="16:30" x14ac:dyDescent="0.2">
      <c r="P1570" s="68"/>
      <c r="Q1570" s="68"/>
      <c r="R1570" s="68"/>
      <c r="S1570" s="68"/>
      <c r="T1570" s="68"/>
      <c r="U1570" s="68"/>
      <c r="V1570" s="68"/>
      <c r="W1570" s="68"/>
      <c r="X1570" s="68"/>
      <c r="Y1570" s="68"/>
      <c r="Z1570" s="68"/>
      <c r="AA1570" s="68"/>
      <c r="AB1570" s="68"/>
      <c r="AC1570" s="68"/>
      <c r="AD1570" s="68"/>
    </row>
    <row r="1571" spans="16:30" x14ac:dyDescent="0.2">
      <c r="P1571" s="68"/>
      <c r="Q1571" s="68"/>
      <c r="R1571" s="68"/>
      <c r="S1571" s="68"/>
      <c r="T1571" s="68"/>
      <c r="U1571" s="68"/>
      <c r="V1571" s="68"/>
      <c r="W1571" s="68"/>
      <c r="X1571" s="68"/>
      <c r="Y1571" s="68"/>
      <c r="Z1571" s="68"/>
      <c r="AA1571" s="68"/>
      <c r="AB1571" s="68"/>
      <c r="AC1571" s="68"/>
      <c r="AD1571" s="68"/>
    </row>
    <row r="1572" spans="16:30" x14ac:dyDescent="0.2">
      <c r="P1572" s="68"/>
      <c r="Q1572" s="68"/>
      <c r="R1572" s="68"/>
      <c r="S1572" s="68"/>
      <c r="T1572" s="68"/>
      <c r="U1572" s="68"/>
      <c r="V1572" s="68"/>
      <c r="W1572" s="68"/>
      <c r="X1572" s="68"/>
      <c r="Y1572" s="68"/>
      <c r="Z1572" s="68"/>
      <c r="AA1572" s="68"/>
      <c r="AB1572" s="68"/>
      <c r="AC1572" s="68"/>
      <c r="AD1572" s="68"/>
    </row>
    <row r="1573" spans="16:30" x14ac:dyDescent="0.2">
      <c r="P1573" s="68"/>
      <c r="Q1573" s="68"/>
      <c r="R1573" s="68"/>
      <c r="S1573" s="68"/>
      <c r="T1573" s="68"/>
      <c r="U1573" s="68"/>
      <c r="V1573" s="68"/>
      <c r="W1573" s="68"/>
      <c r="X1573" s="68"/>
      <c r="Y1573" s="68"/>
      <c r="Z1573" s="68"/>
      <c r="AA1573" s="68"/>
      <c r="AB1573" s="68"/>
      <c r="AC1573" s="68"/>
      <c r="AD1573" s="68"/>
    </row>
    <row r="1574" spans="16:30" x14ac:dyDescent="0.2">
      <c r="P1574" s="68"/>
      <c r="Q1574" s="68"/>
      <c r="R1574" s="68"/>
      <c r="S1574" s="68"/>
      <c r="T1574" s="68"/>
      <c r="U1574" s="68"/>
      <c r="V1574" s="68"/>
      <c r="W1574" s="68"/>
      <c r="X1574" s="68"/>
      <c r="Y1574" s="68"/>
      <c r="Z1574" s="68"/>
      <c r="AA1574" s="68"/>
      <c r="AB1574" s="68"/>
      <c r="AC1574" s="68"/>
      <c r="AD1574" s="68"/>
    </row>
    <row r="1575" spans="16:30" x14ac:dyDescent="0.2">
      <c r="P1575" s="68"/>
      <c r="Q1575" s="68"/>
      <c r="R1575" s="68"/>
      <c r="S1575" s="68"/>
      <c r="T1575" s="68"/>
      <c r="U1575" s="68"/>
      <c r="V1575" s="68"/>
      <c r="W1575" s="68"/>
      <c r="X1575" s="68"/>
      <c r="Y1575" s="68"/>
      <c r="Z1575" s="68"/>
      <c r="AA1575" s="68"/>
      <c r="AB1575" s="68"/>
      <c r="AC1575" s="68"/>
      <c r="AD1575" s="68"/>
    </row>
    <row r="1576" spans="16:30" x14ac:dyDescent="0.2">
      <c r="P1576" s="68"/>
      <c r="Q1576" s="68"/>
      <c r="R1576" s="68"/>
      <c r="S1576" s="68"/>
      <c r="T1576" s="68"/>
      <c r="U1576" s="68"/>
      <c r="V1576" s="68"/>
      <c r="W1576" s="68"/>
      <c r="X1576" s="68"/>
      <c r="Y1576" s="68"/>
      <c r="Z1576" s="68"/>
      <c r="AA1576" s="68"/>
      <c r="AB1576" s="68"/>
      <c r="AC1576" s="68"/>
      <c r="AD1576" s="68"/>
    </row>
    <row r="1577" spans="16:30" x14ac:dyDescent="0.2">
      <c r="P1577" s="68"/>
      <c r="Q1577" s="68"/>
      <c r="R1577" s="68"/>
      <c r="S1577" s="68"/>
      <c r="T1577" s="68"/>
      <c r="U1577" s="68"/>
      <c r="V1577" s="68"/>
      <c r="W1577" s="68"/>
      <c r="X1577" s="68"/>
      <c r="Y1577" s="68"/>
      <c r="Z1577" s="68"/>
      <c r="AA1577" s="68"/>
      <c r="AB1577" s="68"/>
      <c r="AC1577" s="68"/>
      <c r="AD1577" s="68"/>
    </row>
    <row r="1578" spans="16:30" x14ac:dyDescent="0.2">
      <c r="P1578" s="68"/>
      <c r="Q1578" s="68"/>
      <c r="R1578" s="68"/>
      <c r="S1578" s="68"/>
      <c r="T1578" s="68"/>
      <c r="U1578" s="68"/>
      <c r="V1578" s="68"/>
      <c r="W1578" s="68"/>
      <c r="X1578" s="68"/>
      <c r="Y1578" s="68"/>
      <c r="Z1578" s="68"/>
      <c r="AA1578" s="68"/>
      <c r="AB1578" s="68"/>
      <c r="AC1578" s="68"/>
      <c r="AD1578" s="68"/>
    </row>
    <row r="1579" spans="16:30" x14ac:dyDescent="0.2">
      <c r="P1579" s="68"/>
      <c r="Q1579" s="68"/>
      <c r="R1579" s="68"/>
      <c r="S1579" s="68"/>
      <c r="T1579" s="68"/>
      <c r="U1579" s="68"/>
      <c r="V1579" s="68"/>
      <c r="W1579" s="68"/>
      <c r="X1579" s="68"/>
      <c r="Y1579" s="68"/>
      <c r="Z1579" s="68"/>
      <c r="AA1579" s="68"/>
      <c r="AB1579" s="68"/>
      <c r="AC1579" s="68"/>
      <c r="AD1579" s="68"/>
    </row>
    <row r="1580" spans="16:30" x14ac:dyDescent="0.2">
      <c r="P1580" s="68"/>
      <c r="Q1580" s="68"/>
      <c r="R1580" s="68"/>
      <c r="S1580" s="68"/>
      <c r="T1580" s="68"/>
      <c r="U1580" s="68"/>
      <c r="V1580" s="68"/>
      <c r="W1580" s="68"/>
      <c r="X1580" s="68"/>
      <c r="Y1580" s="68"/>
      <c r="Z1580" s="68"/>
      <c r="AA1580" s="68"/>
      <c r="AB1580" s="68"/>
      <c r="AC1580" s="68"/>
      <c r="AD1580" s="68"/>
    </row>
    <row r="1581" spans="16:30" x14ac:dyDescent="0.2">
      <c r="P1581" s="68"/>
      <c r="Q1581" s="68"/>
      <c r="R1581" s="68"/>
      <c r="S1581" s="68"/>
      <c r="T1581" s="68"/>
      <c r="U1581" s="68"/>
      <c r="V1581" s="68"/>
      <c r="W1581" s="68"/>
      <c r="X1581" s="68"/>
      <c r="Y1581" s="68"/>
      <c r="Z1581" s="68"/>
      <c r="AA1581" s="68"/>
      <c r="AB1581" s="68"/>
      <c r="AC1581" s="68"/>
      <c r="AD1581" s="68"/>
    </row>
    <row r="1582" spans="16:30" x14ac:dyDescent="0.2">
      <c r="P1582" s="68"/>
      <c r="Q1582" s="68"/>
      <c r="R1582" s="68"/>
      <c r="S1582" s="68"/>
      <c r="T1582" s="68"/>
      <c r="U1582" s="68"/>
      <c r="V1582" s="68"/>
      <c r="W1582" s="68"/>
      <c r="X1582" s="68"/>
      <c r="Y1582" s="68"/>
      <c r="Z1582" s="68"/>
      <c r="AA1582" s="68"/>
      <c r="AB1582" s="68"/>
      <c r="AC1582" s="68"/>
      <c r="AD1582" s="68"/>
    </row>
    <row r="1583" spans="16:30" x14ac:dyDescent="0.2">
      <c r="P1583" s="68"/>
      <c r="Q1583" s="68"/>
      <c r="R1583" s="68"/>
      <c r="S1583" s="68"/>
      <c r="T1583" s="68"/>
      <c r="U1583" s="68"/>
      <c r="V1583" s="68"/>
      <c r="W1583" s="68"/>
      <c r="X1583" s="68"/>
      <c r="Y1583" s="68"/>
      <c r="Z1583" s="68"/>
      <c r="AA1583" s="68"/>
      <c r="AB1583" s="68"/>
      <c r="AC1583" s="68"/>
      <c r="AD1583" s="68"/>
    </row>
    <row r="1584" spans="16:30" x14ac:dyDescent="0.2">
      <c r="P1584" s="68"/>
      <c r="Q1584" s="68"/>
      <c r="R1584" s="68"/>
      <c r="S1584" s="68"/>
      <c r="T1584" s="68"/>
      <c r="U1584" s="68"/>
      <c r="V1584" s="68"/>
      <c r="W1584" s="68"/>
      <c r="X1584" s="68"/>
      <c r="Y1584" s="68"/>
      <c r="Z1584" s="68"/>
      <c r="AA1584" s="68"/>
      <c r="AB1584" s="68"/>
      <c r="AC1584" s="68"/>
      <c r="AD1584" s="68"/>
    </row>
    <row r="1585" spans="16:30" x14ac:dyDescent="0.2">
      <c r="P1585" s="68"/>
      <c r="Q1585" s="68"/>
      <c r="R1585" s="68"/>
      <c r="S1585" s="68"/>
      <c r="T1585" s="68"/>
      <c r="U1585" s="68"/>
      <c r="V1585" s="68"/>
      <c r="W1585" s="68"/>
      <c r="X1585" s="68"/>
      <c r="Y1585" s="68"/>
      <c r="Z1585" s="68"/>
      <c r="AA1585" s="68"/>
      <c r="AB1585" s="68"/>
      <c r="AC1585" s="68"/>
      <c r="AD1585" s="68"/>
    </row>
    <row r="1586" spans="16:30" x14ac:dyDescent="0.2">
      <c r="P1586" s="68"/>
      <c r="Q1586" s="68"/>
      <c r="R1586" s="68"/>
      <c r="S1586" s="68"/>
      <c r="T1586" s="68"/>
      <c r="U1586" s="68"/>
      <c r="V1586" s="68"/>
      <c r="W1586" s="68"/>
      <c r="X1586" s="68"/>
      <c r="Y1586" s="68"/>
      <c r="Z1586" s="68"/>
      <c r="AA1586" s="68"/>
      <c r="AB1586" s="68"/>
      <c r="AC1586" s="68"/>
      <c r="AD1586" s="68"/>
    </row>
    <row r="1587" spans="16:30" x14ac:dyDescent="0.2">
      <c r="P1587" s="68"/>
      <c r="Q1587" s="68"/>
      <c r="R1587" s="68"/>
      <c r="S1587" s="68"/>
      <c r="T1587" s="68"/>
      <c r="U1587" s="68"/>
      <c r="V1587" s="68"/>
      <c r="W1587" s="68"/>
      <c r="X1587" s="68"/>
      <c r="Y1587" s="68"/>
      <c r="Z1587" s="68"/>
      <c r="AA1587" s="68"/>
      <c r="AB1587" s="68"/>
      <c r="AC1587" s="68"/>
      <c r="AD1587" s="68"/>
    </row>
    <row r="1588" spans="16:30" x14ac:dyDescent="0.2">
      <c r="P1588" s="68"/>
      <c r="Q1588" s="68"/>
      <c r="R1588" s="68"/>
      <c r="S1588" s="68"/>
      <c r="T1588" s="68"/>
      <c r="U1588" s="68"/>
      <c r="V1588" s="68"/>
      <c r="W1588" s="68"/>
      <c r="X1588" s="68"/>
      <c r="Y1588" s="68"/>
      <c r="Z1588" s="68"/>
      <c r="AA1588" s="68"/>
      <c r="AB1588" s="68"/>
      <c r="AC1588" s="68"/>
      <c r="AD1588" s="68"/>
    </row>
    <row r="1589" spans="16:30" x14ac:dyDescent="0.2">
      <c r="P1589" s="68"/>
      <c r="Q1589" s="68"/>
      <c r="R1589" s="68"/>
      <c r="S1589" s="68"/>
      <c r="T1589" s="68"/>
      <c r="U1589" s="68"/>
      <c r="V1589" s="68"/>
      <c r="W1589" s="68"/>
      <c r="X1589" s="68"/>
      <c r="Y1589" s="68"/>
      <c r="Z1589" s="68"/>
      <c r="AA1589" s="68"/>
      <c r="AB1589" s="68"/>
      <c r="AC1589" s="68"/>
      <c r="AD1589" s="68"/>
    </row>
    <row r="1590" spans="16:30" x14ac:dyDescent="0.2">
      <c r="P1590" s="68"/>
      <c r="Q1590" s="68"/>
      <c r="R1590" s="68"/>
      <c r="S1590" s="68"/>
      <c r="T1590" s="68"/>
      <c r="U1590" s="68"/>
      <c r="V1590" s="68"/>
      <c r="W1590" s="68"/>
      <c r="X1590" s="68"/>
      <c r="Y1590" s="68"/>
      <c r="Z1590" s="68"/>
      <c r="AA1590" s="68"/>
      <c r="AB1590" s="68"/>
      <c r="AC1590" s="68"/>
      <c r="AD1590" s="68"/>
    </row>
    <row r="1591" spans="16:30" x14ac:dyDescent="0.2">
      <c r="P1591" s="68"/>
      <c r="Q1591" s="68"/>
      <c r="R1591" s="68"/>
      <c r="S1591" s="68"/>
      <c r="T1591" s="68"/>
      <c r="U1591" s="68"/>
      <c r="V1591" s="68"/>
      <c r="W1591" s="68"/>
      <c r="X1591" s="68"/>
      <c r="Y1591" s="68"/>
      <c r="Z1591" s="68"/>
      <c r="AA1591" s="68"/>
      <c r="AB1591" s="68"/>
      <c r="AC1591" s="68"/>
      <c r="AD1591" s="68"/>
    </row>
    <row r="1592" spans="16:30" x14ac:dyDescent="0.2">
      <c r="P1592" s="68"/>
      <c r="Q1592" s="68"/>
      <c r="R1592" s="68"/>
      <c r="S1592" s="68"/>
      <c r="T1592" s="68"/>
      <c r="U1592" s="68"/>
      <c r="V1592" s="68"/>
      <c r="W1592" s="68"/>
      <c r="X1592" s="68"/>
      <c r="Y1592" s="68"/>
      <c r="Z1592" s="68"/>
      <c r="AA1592" s="68"/>
      <c r="AB1592" s="68"/>
      <c r="AC1592" s="68"/>
      <c r="AD1592" s="68"/>
    </row>
    <row r="1593" spans="16:30" x14ac:dyDescent="0.2">
      <c r="P1593" s="68"/>
      <c r="Q1593" s="68"/>
      <c r="R1593" s="68"/>
      <c r="S1593" s="68"/>
      <c r="T1593" s="68"/>
      <c r="U1593" s="68"/>
      <c r="V1593" s="68"/>
      <c r="W1593" s="68"/>
      <c r="X1593" s="68"/>
      <c r="Y1593" s="68"/>
      <c r="Z1593" s="68"/>
      <c r="AA1593" s="68"/>
      <c r="AB1593" s="68"/>
      <c r="AC1593" s="68"/>
      <c r="AD1593" s="68"/>
    </row>
    <row r="1594" spans="16:30" x14ac:dyDescent="0.2">
      <c r="P1594" s="68"/>
      <c r="Q1594" s="68"/>
      <c r="R1594" s="68"/>
      <c r="S1594" s="68"/>
      <c r="T1594" s="68"/>
      <c r="U1594" s="68"/>
      <c r="V1594" s="68"/>
      <c r="W1594" s="68"/>
      <c r="X1594" s="68"/>
      <c r="Y1594" s="68"/>
      <c r="Z1594" s="68"/>
      <c r="AA1594" s="68"/>
      <c r="AB1594" s="68"/>
      <c r="AC1594" s="68"/>
      <c r="AD1594" s="68"/>
    </row>
    <row r="1595" spans="16:30" x14ac:dyDescent="0.2">
      <c r="P1595" s="68"/>
      <c r="Q1595" s="68"/>
      <c r="R1595" s="68"/>
      <c r="S1595" s="68"/>
      <c r="T1595" s="68"/>
      <c r="U1595" s="68"/>
      <c r="V1595" s="68"/>
      <c r="W1595" s="68"/>
      <c r="X1595" s="68"/>
      <c r="Y1595" s="68"/>
      <c r="Z1595" s="68"/>
      <c r="AA1595" s="68"/>
      <c r="AB1595" s="68"/>
      <c r="AC1595" s="68"/>
      <c r="AD1595" s="68"/>
    </row>
    <row r="1596" spans="16:30" x14ac:dyDescent="0.2">
      <c r="P1596" s="68"/>
      <c r="Q1596" s="68"/>
      <c r="R1596" s="68"/>
      <c r="S1596" s="68"/>
      <c r="T1596" s="68"/>
      <c r="U1596" s="68"/>
      <c r="V1596" s="68"/>
      <c r="W1596" s="68"/>
      <c r="X1596" s="68"/>
      <c r="Y1596" s="68"/>
      <c r="Z1596" s="68"/>
      <c r="AA1596" s="68"/>
      <c r="AB1596" s="68"/>
      <c r="AC1596" s="68"/>
      <c r="AD1596" s="68"/>
    </row>
    <row r="1597" spans="16:30" x14ac:dyDescent="0.2">
      <c r="P1597" s="68"/>
      <c r="Q1597" s="68"/>
      <c r="R1597" s="68"/>
      <c r="S1597" s="68"/>
      <c r="T1597" s="68"/>
      <c r="U1597" s="68"/>
      <c r="V1597" s="68"/>
      <c r="W1597" s="68"/>
      <c r="X1597" s="68"/>
      <c r="Y1597" s="68"/>
      <c r="Z1597" s="68"/>
      <c r="AA1597" s="68"/>
      <c r="AB1597" s="68"/>
      <c r="AC1597" s="68"/>
      <c r="AD1597" s="68"/>
    </row>
    <row r="1598" spans="16:30" x14ac:dyDescent="0.2">
      <c r="P1598" s="68"/>
      <c r="Q1598" s="68"/>
      <c r="R1598" s="68"/>
      <c r="S1598" s="68"/>
      <c r="T1598" s="68"/>
      <c r="U1598" s="68"/>
      <c r="V1598" s="68"/>
      <c r="W1598" s="68"/>
      <c r="X1598" s="68"/>
      <c r="Y1598" s="68"/>
      <c r="Z1598" s="68"/>
      <c r="AA1598" s="68"/>
      <c r="AB1598" s="68"/>
      <c r="AC1598" s="68"/>
      <c r="AD1598" s="68"/>
    </row>
    <row r="1599" spans="16:30" x14ac:dyDescent="0.2">
      <c r="P1599" s="68"/>
      <c r="Q1599" s="68"/>
      <c r="R1599" s="68"/>
      <c r="S1599" s="68"/>
      <c r="T1599" s="68"/>
      <c r="U1599" s="68"/>
      <c r="V1599" s="68"/>
      <c r="W1599" s="68"/>
      <c r="X1599" s="68"/>
      <c r="Y1599" s="68"/>
      <c r="Z1599" s="68"/>
      <c r="AA1599" s="68"/>
      <c r="AB1599" s="68"/>
      <c r="AC1599" s="68"/>
      <c r="AD1599" s="68"/>
    </row>
    <row r="1600" spans="16:30" x14ac:dyDescent="0.2">
      <c r="P1600" s="68"/>
      <c r="Q1600" s="68"/>
      <c r="R1600" s="68"/>
      <c r="S1600" s="68"/>
      <c r="T1600" s="68"/>
      <c r="U1600" s="68"/>
      <c r="V1600" s="68"/>
      <c r="W1600" s="68"/>
      <c r="X1600" s="68"/>
      <c r="Y1600" s="68"/>
      <c r="Z1600" s="68"/>
      <c r="AA1600" s="68"/>
      <c r="AB1600" s="68"/>
      <c r="AC1600" s="68"/>
      <c r="AD1600" s="68"/>
    </row>
    <row r="1601" spans="16:30" x14ac:dyDescent="0.2">
      <c r="P1601" s="68"/>
      <c r="Q1601" s="68"/>
      <c r="R1601" s="68"/>
      <c r="S1601" s="68"/>
      <c r="T1601" s="68"/>
      <c r="U1601" s="68"/>
      <c r="V1601" s="68"/>
      <c r="W1601" s="68"/>
      <c r="X1601" s="68"/>
      <c r="Y1601" s="68"/>
      <c r="Z1601" s="68"/>
      <c r="AA1601" s="68"/>
      <c r="AB1601" s="68"/>
      <c r="AC1601" s="68"/>
      <c r="AD1601" s="68"/>
    </row>
    <row r="1602" spans="16:30" x14ac:dyDescent="0.2">
      <c r="P1602" s="68"/>
      <c r="Q1602" s="68"/>
      <c r="R1602" s="68"/>
      <c r="S1602" s="68"/>
      <c r="T1602" s="68"/>
      <c r="U1602" s="68"/>
      <c r="V1602" s="68"/>
      <c r="W1602" s="68"/>
      <c r="X1602" s="68"/>
      <c r="Y1602" s="68"/>
      <c r="Z1602" s="68"/>
      <c r="AA1602" s="68"/>
      <c r="AB1602" s="68"/>
      <c r="AC1602" s="68"/>
      <c r="AD1602" s="68"/>
    </row>
    <row r="1603" spans="16:30" x14ac:dyDescent="0.2">
      <c r="P1603" s="68"/>
      <c r="Q1603" s="68"/>
      <c r="R1603" s="68"/>
      <c r="S1603" s="68"/>
      <c r="T1603" s="68"/>
      <c r="U1603" s="68"/>
      <c r="V1603" s="68"/>
      <c r="W1603" s="68"/>
      <c r="X1603" s="68"/>
      <c r="Y1603" s="68"/>
      <c r="Z1603" s="68"/>
      <c r="AA1603" s="68"/>
      <c r="AB1603" s="68"/>
      <c r="AC1603" s="68"/>
      <c r="AD1603" s="68"/>
    </row>
    <row r="1604" spans="16:30" x14ac:dyDescent="0.2">
      <c r="P1604" s="68"/>
      <c r="Q1604" s="68"/>
      <c r="R1604" s="68"/>
      <c r="S1604" s="68"/>
      <c r="T1604" s="68"/>
      <c r="U1604" s="68"/>
      <c r="V1604" s="68"/>
      <c r="W1604" s="68"/>
      <c r="X1604" s="68"/>
      <c r="Y1604" s="68"/>
      <c r="Z1604" s="68"/>
      <c r="AA1604" s="68"/>
      <c r="AB1604" s="68"/>
      <c r="AC1604" s="68"/>
      <c r="AD1604" s="68"/>
    </row>
    <row r="1605" spans="16:30" x14ac:dyDescent="0.2">
      <c r="P1605" s="68"/>
      <c r="Q1605" s="68"/>
      <c r="R1605" s="68"/>
      <c r="S1605" s="68"/>
      <c r="T1605" s="68"/>
      <c r="U1605" s="68"/>
      <c r="V1605" s="68"/>
      <c r="W1605" s="68"/>
      <c r="X1605" s="68"/>
      <c r="Y1605" s="68"/>
      <c r="Z1605" s="68"/>
      <c r="AA1605" s="68"/>
      <c r="AB1605" s="68"/>
      <c r="AC1605" s="68"/>
      <c r="AD1605" s="68"/>
    </row>
    <row r="1606" spans="16:30" x14ac:dyDescent="0.2">
      <c r="P1606" s="68"/>
      <c r="Q1606" s="68"/>
      <c r="R1606" s="68"/>
      <c r="S1606" s="68"/>
      <c r="T1606" s="68"/>
      <c r="U1606" s="68"/>
      <c r="V1606" s="68"/>
      <c r="W1606" s="68"/>
      <c r="X1606" s="68"/>
      <c r="Y1606" s="68"/>
      <c r="Z1606" s="68"/>
      <c r="AA1606" s="68"/>
      <c r="AB1606" s="68"/>
      <c r="AC1606" s="68"/>
      <c r="AD1606" s="68"/>
    </row>
    <row r="1607" spans="16:30" x14ac:dyDescent="0.2">
      <c r="P1607" s="68"/>
      <c r="Q1607" s="68"/>
      <c r="R1607" s="68"/>
      <c r="S1607" s="68"/>
      <c r="T1607" s="68"/>
      <c r="U1607" s="68"/>
      <c r="V1607" s="68"/>
      <c r="W1607" s="68"/>
      <c r="X1607" s="68"/>
      <c r="Y1607" s="68"/>
      <c r="Z1607" s="68"/>
      <c r="AA1607" s="68"/>
      <c r="AB1607" s="68"/>
      <c r="AC1607" s="68"/>
      <c r="AD1607" s="68"/>
    </row>
    <row r="1608" spans="16:30" x14ac:dyDescent="0.2">
      <c r="P1608" s="68"/>
      <c r="Q1608" s="68"/>
      <c r="R1608" s="68"/>
      <c r="S1608" s="68"/>
      <c r="T1608" s="68"/>
      <c r="U1608" s="68"/>
      <c r="V1608" s="68"/>
      <c r="W1608" s="68"/>
      <c r="X1608" s="68"/>
      <c r="Y1608" s="68"/>
      <c r="Z1608" s="68"/>
      <c r="AA1608" s="68"/>
      <c r="AB1608" s="68"/>
      <c r="AC1608" s="68"/>
      <c r="AD1608" s="68"/>
    </row>
    <row r="1609" spans="16:30" x14ac:dyDescent="0.2">
      <c r="P1609" s="68"/>
      <c r="Q1609" s="68"/>
      <c r="R1609" s="68"/>
      <c r="S1609" s="68"/>
      <c r="T1609" s="68"/>
      <c r="U1609" s="68"/>
      <c r="V1609" s="68"/>
      <c r="W1609" s="68"/>
      <c r="X1609" s="68"/>
      <c r="Y1609" s="68"/>
      <c r="Z1609" s="68"/>
      <c r="AA1609" s="68"/>
      <c r="AB1609" s="68"/>
      <c r="AC1609" s="68"/>
      <c r="AD1609" s="68"/>
    </row>
    <row r="1610" spans="16:30" x14ac:dyDescent="0.2">
      <c r="P1610" s="68"/>
      <c r="Q1610" s="68"/>
      <c r="R1610" s="68"/>
      <c r="S1610" s="68"/>
      <c r="T1610" s="68"/>
      <c r="U1610" s="68"/>
      <c r="V1610" s="68"/>
      <c r="W1610" s="68"/>
      <c r="X1610" s="68"/>
      <c r="Y1610" s="68"/>
      <c r="Z1610" s="68"/>
      <c r="AA1610" s="68"/>
      <c r="AB1610" s="68"/>
      <c r="AC1610" s="68"/>
      <c r="AD1610" s="68"/>
    </row>
    <row r="1611" spans="16:30" x14ac:dyDescent="0.2">
      <c r="P1611" s="68"/>
      <c r="Q1611" s="68"/>
      <c r="R1611" s="68"/>
      <c r="S1611" s="68"/>
      <c r="T1611" s="68"/>
      <c r="U1611" s="68"/>
      <c r="V1611" s="68"/>
      <c r="W1611" s="68"/>
      <c r="X1611" s="68"/>
      <c r="Y1611" s="68"/>
      <c r="Z1611" s="68"/>
      <c r="AA1611" s="68"/>
      <c r="AB1611" s="68"/>
      <c r="AC1611" s="68"/>
      <c r="AD1611" s="68"/>
    </row>
    <row r="1612" spans="16:30" x14ac:dyDescent="0.2">
      <c r="P1612" s="68"/>
      <c r="Q1612" s="68"/>
      <c r="R1612" s="68"/>
      <c r="S1612" s="68"/>
      <c r="T1612" s="68"/>
      <c r="U1612" s="68"/>
      <c r="V1612" s="68"/>
      <c r="W1612" s="68"/>
      <c r="X1612" s="68"/>
      <c r="Y1612" s="68"/>
      <c r="Z1612" s="68"/>
      <c r="AA1612" s="68"/>
      <c r="AB1612" s="68"/>
      <c r="AC1612" s="68"/>
      <c r="AD1612" s="68"/>
    </row>
    <row r="1613" spans="16:30" x14ac:dyDescent="0.2">
      <c r="P1613" s="68"/>
      <c r="Q1613" s="68"/>
      <c r="R1613" s="68"/>
      <c r="S1613" s="68"/>
      <c r="T1613" s="68"/>
      <c r="U1613" s="68"/>
      <c r="V1613" s="68"/>
      <c r="W1613" s="68"/>
      <c r="X1613" s="68"/>
      <c r="Y1613" s="68"/>
      <c r="Z1613" s="68"/>
      <c r="AA1613" s="68"/>
      <c r="AB1613" s="68"/>
      <c r="AC1613" s="68"/>
      <c r="AD1613" s="68"/>
    </row>
    <row r="1614" spans="16:30" x14ac:dyDescent="0.2">
      <c r="P1614" s="68"/>
      <c r="Q1614" s="68"/>
      <c r="R1614" s="68"/>
      <c r="S1614" s="68"/>
      <c r="T1614" s="68"/>
      <c r="U1614" s="68"/>
      <c r="V1614" s="68"/>
      <c r="W1614" s="68"/>
      <c r="X1614" s="68"/>
      <c r="Y1614" s="68"/>
      <c r="Z1614" s="68"/>
      <c r="AA1614" s="68"/>
      <c r="AB1614" s="68"/>
      <c r="AC1614" s="68"/>
      <c r="AD1614" s="68"/>
    </row>
    <row r="1615" spans="16:30" x14ac:dyDescent="0.2">
      <c r="P1615" s="68"/>
      <c r="Q1615" s="68"/>
      <c r="R1615" s="68"/>
      <c r="S1615" s="68"/>
      <c r="T1615" s="68"/>
      <c r="U1615" s="68"/>
      <c r="V1615" s="68"/>
      <c r="W1615" s="68"/>
      <c r="X1615" s="68"/>
      <c r="Y1615" s="68"/>
      <c r="Z1615" s="68"/>
      <c r="AA1615" s="68"/>
      <c r="AB1615" s="68"/>
      <c r="AC1615" s="68"/>
      <c r="AD1615" s="68"/>
    </row>
    <row r="1616" spans="16:30" x14ac:dyDescent="0.2">
      <c r="P1616" s="68"/>
      <c r="Q1616" s="68"/>
      <c r="R1616" s="68"/>
      <c r="S1616" s="68"/>
      <c r="T1616" s="68"/>
      <c r="U1616" s="68"/>
      <c r="V1616" s="68"/>
      <c r="W1616" s="68"/>
      <c r="X1616" s="68"/>
      <c r="Y1616" s="68"/>
      <c r="Z1616" s="68"/>
      <c r="AA1616" s="68"/>
      <c r="AB1616" s="68"/>
      <c r="AC1616" s="68"/>
      <c r="AD1616" s="68"/>
    </row>
    <row r="1617" spans="16:30" x14ac:dyDescent="0.2">
      <c r="P1617" s="68"/>
      <c r="Q1617" s="68"/>
      <c r="R1617" s="68"/>
      <c r="S1617" s="68"/>
      <c r="T1617" s="68"/>
      <c r="U1617" s="68"/>
      <c r="V1617" s="68"/>
      <c r="W1617" s="68"/>
      <c r="X1617" s="68"/>
      <c r="Y1617" s="68"/>
      <c r="Z1617" s="68"/>
      <c r="AA1617" s="68"/>
      <c r="AB1617" s="68"/>
      <c r="AC1617" s="68"/>
      <c r="AD1617" s="68"/>
    </row>
    <row r="1618" spans="16:30" x14ac:dyDescent="0.2">
      <c r="P1618" s="68"/>
      <c r="Q1618" s="68"/>
      <c r="R1618" s="68"/>
      <c r="S1618" s="68"/>
      <c r="T1618" s="68"/>
      <c r="U1618" s="68"/>
      <c r="V1618" s="68"/>
      <c r="W1618" s="68"/>
      <c r="X1618" s="68"/>
      <c r="Y1618" s="68"/>
      <c r="Z1618" s="68"/>
      <c r="AA1618" s="68"/>
      <c r="AB1618" s="68"/>
      <c r="AC1618" s="68"/>
      <c r="AD1618" s="6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Length4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9</xdr:row>
                    <xdr:rowOff>123825</xdr:rowOff>
                  </from>
                  <to>
                    <xdr:col>32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Length1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1</xdr:row>
                    <xdr:rowOff>276225</xdr:rowOff>
                  </from>
                  <to>
                    <xdr:col>32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Length7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18</xdr:row>
                    <xdr:rowOff>0</xdr:rowOff>
                  </from>
                  <to>
                    <xdr:col>32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Length2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4</xdr:row>
                    <xdr:rowOff>38100</xdr:rowOff>
                  </from>
                  <to>
                    <xdr:col>32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Length3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7</xdr:row>
                    <xdr:rowOff>0</xdr:rowOff>
                  </from>
                  <to>
                    <xdr:col>32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Length5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12</xdr:row>
                    <xdr:rowOff>66675</xdr:rowOff>
                  </from>
                  <to>
                    <xdr:col>32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Length6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15</xdr:row>
                    <xdr:rowOff>19050</xdr:rowOff>
                  </from>
                  <to>
                    <xdr:col>32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General Settings</vt:lpstr>
      <vt:lpstr>3M Delta</vt:lpstr>
      <vt:lpstr>6M Delta</vt:lpstr>
      <vt:lpstr>AllTriggers</vt:lpstr>
      <vt:lpstr>Calendar</vt:lpstr>
      <vt:lpstr>Currency</vt:lpstr>
      <vt:lpstr>'3M Delta'!DataTable</vt:lpstr>
      <vt:lpstr>'6M Delta'!DataTable</vt:lpstr>
      <vt:lpstr>DayCounter</vt:lpstr>
      <vt:lpstr>EvaluationDate</vt:lpstr>
      <vt:lpstr>IborType</vt:lpstr>
      <vt:lpstr>'3M Delta'!Index</vt:lpstr>
      <vt:lpstr>'6M Delta'!Index</vt:lpstr>
      <vt:lpstr>OisCurve</vt:lpstr>
      <vt:lpstr>SettlementDate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2014-12-24T10:07:57Z</dcterms:created>
  <dcterms:modified xsi:type="dcterms:W3CDTF">2015-04-27T13:08:34Z</dcterms:modified>
</cp:coreProperties>
</file>