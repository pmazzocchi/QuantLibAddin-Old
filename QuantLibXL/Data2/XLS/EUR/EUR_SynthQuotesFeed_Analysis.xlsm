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8120" windowHeight="13380" activeTab="2"/>
  </bookViews>
  <sheets>
    <sheet name="General Settings" sheetId="29" r:id="rId1"/>
    <sheet name="6MSynthDepo_used" sheetId="40" r:id="rId2"/>
    <sheet name="6MSynthDepo_allScenario" sheetId="39" r:id="rId3"/>
    <sheet name="3MSynthDepo" sheetId="51" r:id="rId4"/>
    <sheet name="Delta 3M" sheetId="42" r:id="rId5"/>
    <sheet name="3MSynthDepo (2)" sheetId="50" r:id="rId6"/>
    <sheet name="3MSynthDepo (1)" sheetId="43" r:id="rId7"/>
    <sheet name="1MSynthDepo" sheetId="48" r:id="rId8"/>
    <sheet name="1YSynthDepo" sheetId="49" r:id="rId9"/>
    <sheet name="SynthFra" sheetId="35" r:id="rId10"/>
    <sheet name="Delta 1M" sheetId="45" r:id="rId11"/>
    <sheet name="1Y Delta" sheetId="47" r:id="rId12"/>
  </sheets>
  <externalReferences>
    <externalReference r:id="rId13"/>
    <externalReference r:id="rId14"/>
  </externalReferences>
  <definedNames>
    <definedName name="Accuracy">'General Settings'!$D$30</definedName>
    <definedName name="AllTriggers">'General Settings'!$I$17:$I$21</definedName>
    <definedName name="B3Minterpolation">'Delta 3M'!$O$1</definedName>
    <definedName name="B6Minterpolation" localSheetId="3">'3MSynthDepo'!$T$22</definedName>
    <definedName name="B6Minterpolation">'6MSynthDepo_used'!#REF!</definedName>
    <definedName name="Basis_coef" localSheetId="3">'3MSynthDepo'!$T$12:$T$16</definedName>
    <definedName name="Basis_coef" localSheetId="1">'6MSynthDepo_used'!$P$6:$P$10</definedName>
    <definedName name="BasisInterpolation">'General Settings'!$D$40</definedName>
    <definedName name="BasisInterpolator">'General Settings'!$D$41</definedName>
    <definedName name="Calendar">'General Settings'!$D$5</definedName>
    <definedName name="Conventions" localSheetId="11">'1Y Delta'!$S$3:$S$4</definedName>
    <definedName name="Conventions" localSheetId="10">'Delta 1M'!$S$3:$S$4</definedName>
    <definedName name="Currency">'General Settings'!$D$4</definedName>
    <definedName name="DayCounter">'General Settings'!$D$9</definedName>
    <definedName name="Delta1M">'Delta 1M'!$W$26:$W$29</definedName>
    <definedName name="Delta1Y">'1Y Delta'!$W$31:$W$36</definedName>
    <definedName name="Discounting">'General Settings'!$D$8</definedName>
    <definedName name="Error_Basis_coef" localSheetId="3">'3MSynthDepo'!$T$7</definedName>
    <definedName name="Error_Basis_coef" localSheetId="1">'6MSynthDepo_used'!#REF!</definedName>
    <definedName name="Error_Linear_with" localSheetId="5">'3MSynthDepo (2)'!$AL$29</definedName>
    <definedName name="Error_Linear_with" localSheetId="2">'6MSynthDepo_allScenario'!$L$21</definedName>
    <definedName name="Error_Linear_without" localSheetId="5">'3MSynthDepo (2)'!$AP$29</definedName>
    <definedName name="Error_linear_without" localSheetId="2">'6MSynthDepo_allScenario'!$T$21</definedName>
    <definedName name="Error_Quadratic_with" localSheetId="5">'3MSynthDepo (2)'!$AL$37</definedName>
    <definedName name="Error_Quadratic_with" localSheetId="2">'6MSynthDepo_allScenario'!$P$21</definedName>
    <definedName name="Error_Quadratic_without" localSheetId="5">'3MSynthDepo (2)'!$AP$37</definedName>
    <definedName name="Error_Quadratic_without" localSheetId="2">'6MSynthDepo_allScenario'!$X$21</definedName>
    <definedName name="EvaluationDate">'General Settings'!$I$18</definedName>
    <definedName name="FileOverwrite">'General Settings'!$I$8</definedName>
    <definedName name="GENERAL_SETTINGS">'General Settings'!$B$2</definedName>
    <definedName name="iborindex1M">'General Settings'!$I$28</definedName>
    <definedName name="IborIndex1Y">'General Settings'!$D$28</definedName>
    <definedName name="IborTenor">'General Settings'!$D$26</definedName>
    <definedName name="IborTenor1M">'General Settings'!$I$26</definedName>
    <definedName name="IborType">'General Settings'!$D$6</definedName>
    <definedName name="InterestRatesTrigger">'General Settings'!$I$19</definedName>
    <definedName name="interpolatedbasis3M">'Delta 3M'!$O$4</definedName>
    <definedName name="interpolatedbasis6M" localSheetId="3">'3MSynthDepo'!#REF!</definedName>
    <definedName name="interpolatedbasis6M">'6MSynthDepo_used'!#REF!</definedName>
    <definedName name="interpolator3M" localSheetId="7">'1MSynthDepo'!$D$11</definedName>
    <definedName name="interpolator3M" localSheetId="8">'1YSynthDepo'!$D$11</definedName>
    <definedName name="interpolator3M">'3MSynthDepo (1)'!$D$11</definedName>
    <definedName name="InterpolatorID">'General Settings'!$D$32</definedName>
    <definedName name="IsSimple" localSheetId="2">'6MSynthDepo_allScenario'!$G$22</definedName>
    <definedName name="LastFixingsTrigger">'General Settings'!$I$20</definedName>
    <definedName name="LastUpdate">'General Settings'!$D$11</definedName>
    <definedName name="Linear_with" localSheetId="5">'3MSynthDepo (2)'!$AL$27:$AL$28</definedName>
    <definedName name="Linear_with" localSheetId="2">'6MSynthDepo_allScenario'!$O$25:$O$26</definedName>
    <definedName name="Linear_without" localSheetId="5">'3MSynthDepo (2)'!$AP$27:$AP$28</definedName>
    <definedName name="Linear_without" localSheetId="2">'6MSynthDepo_allScenario'!$Q$25:$Q$26</definedName>
    <definedName name="LiveDataFeed">'General Settings'!$D$12</definedName>
    <definedName name="NDays">'General Settings'!$D$27</definedName>
    <definedName name="ObjectOverwrite">'General Settings'!$I$5</definedName>
    <definedName name="OisCurve">'General Settings'!$D$8</definedName>
    <definedName name="OisEngine">'General Settings'!$D$18</definedName>
    <definedName name="ON_3M_index">'3MSynthDepo'!$T$18</definedName>
    <definedName name="ON_6M_index">'6MSynthDepo_allScenario'!$D$25</definedName>
    <definedName name="OvernightIndex">'General Settings'!$D$7</definedName>
    <definedName name="Permanent">'General Settings'!$I$4</definedName>
    <definedName name="PriceTickValue">'General Settings'!$I$12</definedName>
    <definedName name="Quadratic_with" localSheetId="5">'3MSynthDepo (2)'!$AL$34:$AL$36</definedName>
    <definedName name="Quadratic_with" localSheetId="2">'6MSynthDepo_allScenario'!$P$25:$P$27</definedName>
    <definedName name="Quadratic_without" localSheetId="5">'3MSynthDepo (2)'!$AP$34:$AP$36</definedName>
    <definedName name="Quadratic_without" localSheetId="2">'6MSynthDepo_allScenario'!$R$25:$R$27</definedName>
    <definedName name="QuoteSuffix">'General Settings'!$I$10</definedName>
    <definedName name="RateTickValue">'General Settings'!$I$11</definedName>
    <definedName name="SerializationPath">'General Settings'!$I$7</definedName>
    <definedName name="Serialize">'General Settings'!$I$6</definedName>
    <definedName name="SettlementDate">'General Settings'!$D$17</definedName>
    <definedName name="solver_adj" localSheetId="3" hidden="1">'3MSynthDepo'!$AA$3:$AA$7</definedName>
    <definedName name="solver_adj" localSheetId="5" hidden="1">'3MSynthDepo (2)'!$AP$34:$AP$36</definedName>
    <definedName name="solver_adj" localSheetId="2" hidden="1">'6MSynthDepo_allScenario'!$R$25:$R$27</definedName>
    <definedName name="solver_adj" localSheetId="1" hidden="1">'6MSynthDepo_used'!$W$4:$W$8</definedName>
    <definedName name="solver_cvg" localSheetId="3" hidden="1">0.0000000000001</definedName>
    <definedName name="solver_cvg" localSheetId="5" hidden="1">0.0000000000001</definedName>
    <definedName name="solver_cvg" localSheetId="2" hidden="1">0.0000000000001</definedName>
    <definedName name="solver_cvg" localSheetId="1" hidden="1">0.0000000000001</definedName>
    <definedName name="solver_drv" localSheetId="3" hidden="1">1</definedName>
    <definedName name="solver_drv" localSheetId="5" hidden="1">1</definedName>
    <definedName name="solver_drv" localSheetId="2" hidden="1">1</definedName>
    <definedName name="solver_drv" localSheetId="1" hidden="1">1</definedName>
    <definedName name="solver_eng" localSheetId="3" hidden="1">1</definedName>
    <definedName name="solver_eng" localSheetId="5" hidden="1">1</definedName>
    <definedName name="solver_eng" localSheetId="2" hidden="1">1</definedName>
    <definedName name="solver_eng" localSheetId="1" hidden="1">1</definedName>
    <definedName name="solver_est" localSheetId="3" hidden="1">1</definedName>
    <definedName name="solver_est" localSheetId="5" hidden="1">1</definedName>
    <definedName name="solver_est" localSheetId="2" hidden="1">1</definedName>
    <definedName name="solver_est" localSheetId="1" hidden="1">1</definedName>
    <definedName name="solver_itr" localSheetId="3" hidden="1">2147483647</definedName>
    <definedName name="solver_itr" localSheetId="5" hidden="1">2147483647</definedName>
    <definedName name="solver_itr" localSheetId="2" hidden="1">2147483647</definedName>
    <definedName name="solver_itr" localSheetId="1" hidden="1">2147483647</definedName>
    <definedName name="solver_mip" localSheetId="3" hidden="1">2147483647</definedName>
    <definedName name="solver_mip" localSheetId="5" hidden="1">2147483647</definedName>
    <definedName name="solver_mip" localSheetId="2" hidden="1">2147483647</definedName>
    <definedName name="solver_mip" localSheetId="1" hidden="1">2147483647</definedName>
    <definedName name="solver_mni" localSheetId="3" hidden="1">30</definedName>
    <definedName name="solver_mni" localSheetId="5" hidden="1">30</definedName>
    <definedName name="solver_mni" localSheetId="2" hidden="1">30</definedName>
    <definedName name="solver_mni" localSheetId="1" hidden="1">30</definedName>
    <definedName name="solver_mrt" localSheetId="3" hidden="1">0.075</definedName>
    <definedName name="solver_mrt" localSheetId="5" hidden="1">0.075</definedName>
    <definedName name="solver_mrt" localSheetId="2" hidden="1">0.075</definedName>
    <definedName name="solver_mrt" localSheetId="1" hidden="1">0.075</definedName>
    <definedName name="solver_msl" localSheetId="3" hidden="1">2</definedName>
    <definedName name="solver_msl" localSheetId="5" hidden="1">2</definedName>
    <definedName name="solver_msl" localSheetId="2" hidden="1">2</definedName>
    <definedName name="solver_msl" localSheetId="1" hidden="1">2</definedName>
    <definedName name="solver_neg" localSheetId="3" hidden="1">2</definedName>
    <definedName name="solver_neg" localSheetId="5" hidden="1">2</definedName>
    <definedName name="solver_neg" localSheetId="2" hidden="1">2</definedName>
    <definedName name="solver_neg" localSheetId="1" hidden="1">2</definedName>
    <definedName name="solver_nod" localSheetId="3" hidden="1">2147483647</definedName>
    <definedName name="solver_nod" localSheetId="5" hidden="1">2147483647</definedName>
    <definedName name="solver_nod" localSheetId="2" hidden="1">2147483647</definedName>
    <definedName name="solver_nod" localSheetId="1" hidden="1">2147483647</definedName>
    <definedName name="solver_num" localSheetId="3" hidden="1">0</definedName>
    <definedName name="solver_num" localSheetId="5" hidden="1">0</definedName>
    <definedName name="solver_num" localSheetId="2" hidden="1">0</definedName>
    <definedName name="solver_num" localSheetId="1" hidden="1">0</definedName>
    <definedName name="solver_nwt" localSheetId="3" hidden="1">1</definedName>
    <definedName name="solver_nwt" localSheetId="5" hidden="1">1</definedName>
    <definedName name="solver_nwt" localSheetId="2" hidden="1">1</definedName>
    <definedName name="solver_nwt" localSheetId="1" hidden="1">1</definedName>
    <definedName name="solver_opt" localSheetId="3" hidden="1">'3MSynthDepo'!$T$7</definedName>
    <definedName name="solver_opt" localSheetId="5" hidden="1">'3MSynthDepo (2)'!$AP$37</definedName>
    <definedName name="solver_opt" localSheetId="2" hidden="1">'6MSynthDepo_allScenario'!$X$21</definedName>
    <definedName name="solver_opt" localSheetId="1" hidden="1">'6MSynthDepo_used'!#REF!</definedName>
    <definedName name="solver_pre" localSheetId="3" hidden="1">0.000001</definedName>
    <definedName name="solver_pre" localSheetId="5" hidden="1">0.000001</definedName>
    <definedName name="solver_pre" localSheetId="2" hidden="1">0.000001</definedName>
    <definedName name="solver_pre" localSheetId="1" hidden="1">0.000001</definedName>
    <definedName name="solver_rbv" localSheetId="3" hidden="1">1</definedName>
    <definedName name="solver_rbv" localSheetId="5" hidden="1">1</definedName>
    <definedName name="solver_rbv" localSheetId="2" hidden="1">1</definedName>
    <definedName name="solver_rbv" localSheetId="1" hidden="1">1</definedName>
    <definedName name="solver_rlx" localSheetId="3" hidden="1">2</definedName>
    <definedName name="solver_rlx" localSheetId="5" hidden="1">2</definedName>
    <definedName name="solver_rlx" localSheetId="2" hidden="1">2</definedName>
    <definedName name="solver_rlx" localSheetId="1" hidden="1">2</definedName>
    <definedName name="solver_rsd" localSheetId="3" hidden="1">0</definedName>
    <definedName name="solver_rsd" localSheetId="5" hidden="1">0</definedName>
    <definedName name="solver_rsd" localSheetId="2" hidden="1">0</definedName>
    <definedName name="solver_rsd" localSheetId="1" hidden="1">0</definedName>
    <definedName name="solver_scl" localSheetId="3" hidden="1">1</definedName>
    <definedName name="solver_scl" localSheetId="5" hidden="1">1</definedName>
    <definedName name="solver_scl" localSheetId="2" hidden="1">1</definedName>
    <definedName name="solver_scl" localSheetId="1" hidden="1">1</definedName>
    <definedName name="solver_sho" localSheetId="3" hidden="1">2</definedName>
    <definedName name="solver_sho" localSheetId="5" hidden="1">2</definedName>
    <definedName name="solver_sho" localSheetId="2" hidden="1">2</definedName>
    <definedName name="solver_sho" localSheetId="1" hidden="1">2</definedName>
    <definedName name="solver_ssz" localSheetId="3" hidden="1">100</definedName>
    <definedName name="solver_ssz" localSheetId="5" hidden="1">100</definedName>
    <definedName name="solver_ssz" localSheetId="2" hidden="1">100</definedName>
    <definedName name="solver_ssz" localSheetId="1" hidden="1">100</definedName>
    <definedName name="solver_tim" localSheetId="3" hidden="1">2147483647</definedName>
    <definedName name="solver_tim" localSheetId="5" hidden="1">2147483647</definedName>
    <definedName name="solver_tim" localSheetId="2" hidden="1">2147483647</definedName>
    <definedName name="solver_tim" localSheetId="1" hidden="1">2147483647</definedName>
    <definedName name="solver_tol" localSheetId="3" hidden="1">0.01</definedName>
    <definedName name="solver_tol" localSheetId="5" hidden="1">0.01</definedName>
    <definedName name="solver_tol" localSheetId="2" hidden="1">0.01</definedName>
    <definedName name="solver_tol" localSheetId="1" hidden="1">0.01</definedName>
    <definedName name="solver_typ" localSheetId="3" hidden="1">2</definedName>
    <definedName name="solver_typ" localSheetId="5" hidden="1">2</definedName>
    <definedName name="solver_typ" localSheetId="2" hidden="1">2</definedName>
    <definedName name="solver_typ" localSheetId="1" hidden="1">2</definedName>
    <definedName name="solver_val" localSheetId="3" hidden="1">0</definedName>
    <definedName name="solver_val" localSheetId="5" hidden="1">0</definedName>
    <definedName name="solver_val" localSheetId="2" hidden="1">0</definedName>
    <definedName name="solver_val" localSheetId="1" hidden="1">0</definedName>
    <definedName name="solver_ver" localSheetId="3" hidden="1">3</definedName>
    <definedName name="solver_ver" localSheetId="5" hidden="1">3</definedName>
    <definedName name="solver_ver" localSheetId="2" hidden="1">3</definedName>
    <definedName name="solver_ver" localSheetId="1" hidden="1">3</definedName>
    <definedName name="TenorBasis3M" localSheetId="3">'3MSynthDepo'!$T$17</definedName>
    <definedName name="TenorBasis6M">'6MSynthDepo_used'!$P$3</definedName>
    <definedName name="TraitsID">'General Settings'!$D$31</definedName>
    <definedName name="Trigger">'General Settings'!$I$17</definedName>
    <definedName name="TriggerCounter">'General Settings'!$I$21</definedName>
    <definedName name="YieldCurve">'General Settings'!$D$34</definedName>
  </definedNames>
  <calcPr calcId="145621"/>
</workbook>
</file>

<file path=xl/calcChain.xml><?xml version="1.0" encoding="utf-8"?>
<calcChain xmlns="http://schemas.openxmlformats.org/spreadsheetml/2006/main">
  <c r="M31" i="39" l="1"/>
  <c r="K31" i="39"/>
  <c r="I2" i="40"/>
  <c r="P24" i="39"/>
  <c r="Q24" i="39"/>
  <c r="R24" i="39"/>
  <c r="O24" i="39"/>
  <c r="R37" i="51" l="1"/>
  <c r="R36" i="51"/>
  <c r="R35" i="51"/>
  <c r="A7" i="51"/>
  <c r="AB7" i="51"/>
  <c r="A6" i="51"/>
  <c r="C6" i="51" s="1"/>
  <c r="AB6" i="51"/>
  <c r="C5" i="51"/>
  <c r="AB5" i="51"/>
  <c r="D5" i="51"/>
  <c r="C4" i="51"/>
  <c r="AB4" i="51"/>
  <c r="AB3" i="51"/>
  <c r="C3" i="51"/>
  <c r="D2" i="51" s="1"/>
  <c r="C2" i="51"/>
  <c r="J1" i="51"/>
  <c r="D1" i="51"/>
  <c r="T18" i="51"/>
  <c r="E3" i="51"/>
  <c r="E2" i="51"/>
  <c r="E6" i="51"/>
  <c r="E4" i="51"/>
  <c r="E5" i="51"/>
  <c r="A8" i="51" l="1"/>
  <c r="C7" i="51"/>
  <c r="D7" i="51" s="1"/>
  <c r="D6" i="51"/>
  <c r="D4" i="51"/>
  <c r="AA30" i="40"/>
  <c r="AA29" i="40"/>
  <c r="AA28" i="40"/>
  <c r="AA27" i="40"/>
  <c r="AA26" i="40"/>
  <c r="AA25" i="40"/>
  <c r="E7" i="51"/>
  <c r="C8" i="51" l="1"/>
  <c r="D8" i="51" s="1"/>
  <c r="A9" i="51"/>
  <c r="J9" i="39"/>
  <c r="J8" i="39"/>
  <c r="J7" i="39"/>
  <c r="J6" i="39"/>
  <c r="J5" i="39"/>
  <c r="J4" i="39"/>
  <c r="J3" i="39"/>
  <c r="E8" i="51"/>
  <c r="E4" i="40"/>
  <c r="C9" i="51" l="1"/>
  <c r="D9" i="51" s="1"/>
  <c r="C3" i="40"/>
  <c r="E9" i="51"/>
  <c r="E3" i="40"/>
  <c r="D9" i="50" l="1"/>
  <c r="D8" i="50"/>
  <c r="D19" i="50" s="1"/>
  <c r="D7" i="50"/>
  <c r="D6" i="50"/>
  <c r="D5" i="50"/>
  <c r="D20" i="50"/>
  <c r="C20" i="50"/>
  <c r="A20" i="50"/>
  <c r="C19" i="50"/>
  <c r="D18" i="50"/>
  <c r="C18" i="50"/>
  <c r="D17" i="50"/>
  <c r="C17" i="50"/>
  <c r="A17" i="50"/>
  <c r="D16" i="50"/>
  <c r="C16" i="50"/>
  <c r="A16" i="50"/>
  <c r="C15" i="50"/>
  <c r="A15" i="50"/>
  <c r="C14" i="50"/>
  <c r="A8" i="50"/>
  <c r="A19" i="50" s="1"/>
  <c r="L45" i="50"/>
  <c r="L44" i="50"/>
  <c r="L43" i="50"/>
  <c r="A3" i="39"/>
  <c r="A4" i="39"/>
  <c r="A5" i="39"/>
  <c r="A7" i="50"/>
  <c r="A18" i="50" s="1"/>
  <c r="H13" i="39"/>
  <c r="G13" i="39"/>
  <c r="H2" i="39"/>
  <c r="G2" i="39"/>
  <c r="M13" i="50"/>
  <c r="L13" i="50"/>
  <c r="M2" i="50"/>
  <c r="L2" i="50"/>
  <c r="D25" i="39"/>
  <c r="A16" i="39" l="1"/>
  <c r="A15" i="39"/>
  <c r="A14" i="39"/>
  <c r="L46" i="50"/>
  <c r="E40" i="50"/>
  <c r="E39" i="50"/>
  <c r="E38" i="50"/>
  <c r="E37" i="50"/>
  <c r="E36" i="50"/>
  <c r="E35" i="50"/>
  <c r="S26" i="50"/>
  <c r="Q26" i="50"/>
  <c r="O26" i="50"/>
  <c r="M26" i="50"/>
  <c r="T24" i="50"/>
  <c r="S24" i="50"/>
  <c r="R24" i="50"/>
  <c r="Q24" i="50"/>
  <c r="T23" i="50"/>
  <c r="S23" i="50"/>
  <c r="R23" i="50"/>
  <c r="Q23" i="50"/>
  <c r="T22" i="50"/>
  <c r="R22" i="50"/>
  <c r="Z11" i="50"/>
  <c r="R11" i="50"/>
  <c r="D4" i="50"/>
  <c r="D15" i="50" s="1"/>
  <c r="BE3" i="50"/>
  <c r="BD3" i="50"/>
  <c r="BC3" i="50"/>
  <c r="BB3" i="50"/>
  <c r="BA3" i="50"/>
  <c r="AZ3" i="50"/>
  <c r="AY3" i="50"/>
  <c r="AX3" i="50"/>
  <c r="D3" i="50"/>
  <c r="D14" i="50" s="1"/>
  <c r="V1" i="50"/>
  <c r="T1" i="50"/>
  <c r="E3" i="50" l="1"/>
  <c r="E14" i="50" s="1"/>
  <c r="D3" i="42"/>
  <c r="E3" i="42" s="1"/>
  <c r="D10" i="42"/>
  <c r="E10" i="42" s="1"/>
  <c r="D9" i="42"/>
  <c r="E9" i="42" s="1"/>
  <c r="D8" i="42"/>
  <c r="E8" i="42" s="1"/>
  <c r="D7" i="42"/>
  <c r="E7" i="42" s="1"/>
  <c r="F57" i="39" l="1"/>
  <c r="D48" i="39"/>
  <c r="Q31" i="39"/>
  <c r="BM2" i="39" s="1"/>
  <c r="I31" i="39"/>
  <c r="BI2" i="39" s="1"/>
  <c r="O31" i="39"/>
  <c r="BK2" i="39" s="1"/>
  <c r="G31" i="39" l="1"/>
  <c r="BG2" i="39" s="1"/>
  <c r="R11" i="39"/>
  <c r="J11" i="39"/>
  <c r="U1" i="39"/>
  <c r="S1" i="39"/>
  <c r="F56" i="39"/>
  <c r="F55" i="39"/>
  <c r="F54" i="39"/>
  <c r="F53" i="39"/>
  <c r="F52" i="39"/>
  <c r="D47" i="39"/>
  <c r="D46" i="39"/>
  <c r="D45" i="39"/>
  <c r="D44" i="39"/>
  <c r="D43" i="39"/>
  <c r="B16" i="39"/>
  <c r="C16" i="39" s="1"/>
  <c r="B15" i="39"/>
  <c r="C15" i="39" s="1"/>
  <c r="B14" i="39"/>
  <c r="C14" i="39" s="1"/>
  <c r="Q32" i="39" l="1"/>
  <c r="BM3" i="39" s="1"/>
  <c r="O32" i="39"/>
  <c r="BK3" i="39" s="1"/>
  <c r="R32" i="39"/>
  <c r="BN3" i="39" s="1"/>
  <c r="P32" i="39"/>
  <c r="BL3" i="39" s="1"/>
  <c r="D3" i="40"/>
  <c r="D6" i="42" l="1"/>
  <c r="E6" i="42" s="1"/>
  <c r="D5" i="42"/>
  <c r="E5" i="42" s="1"/>
  <c r="J13" i="49" l="1"/>
  <c r="B4" i="39"/>
  <c r="C4" i="39" s="1"/>
  <c r="B5" i="39"/>
  <c r="C5" i="39" s="1"/>
  <c r="B3" i="39"/>
  <c r="C3" i="39" s="1"/>
  <c r="N13" i="43"/>
  <c r="B5" i="48"/>
  <c r="B6" i="48"/>
  <c r="B7" i="48"/>
  <c r="B4" i="48"/>
  <c r="J13" i="48"/>
  <c r="O30" i="47"/>
  <c r="N31" i="47"/>
  <c r="O31" i="47" s="1"/>
  <c r="S30" i="47"/>
  <c r="O29" i="47"/>
  <c r="D2" i="40"/>
  <c r="C6" i="40"/>
  <c r="C5" i="40"/>
  <c r="I2" i="42"/>
  <c r="E2" i="42"/>
  <c r="N27" i="45"/>
  <c r="O27" i="45" s="1"/>
  <c r="N28" i="45"/>
  <c r="O28" i="45" s="1"/>
  <c r="N29" i="45"/>
  <c r="O29" i="45" s="1"/>
  <c r="N26" i="45"/>
  <c r="O26" i="45" s="1"/>
  <c r="S25" i="45"/>
  <c r="O25" i="45"/>
  <c r="O24" i="45"/>
  <c r="G24" i="29"/>
  <c r="B24" i="29"/>
  <c r="E5" i="40"/>
  <c r="K1" i="45"/>
  <c r="E6" i="40"/>
  <c r="B5" i="49" l="1"/>
  <c r="C5" i="49" s="1"/>
  <c r="B6" i="49"/>
  <c r="C6" i="49" s="1"/>
  <c r="B7" i="49"/>
  <c r="C7" i="49" s="1"/>
  <c r="B4" i="49"/>
  <c r="C4" i="49" s="1"/>
  <c r="L4" i="49"/>
  <c r="L3" i="49"/>
  <c r="M32" i="47"/>
  <c r="C5" i="48"/>
  <c r="C6" i="48"/>
  <c r="C7" i="48"/>
  <c r="C4" i="48"/>
  <c r="L4" i="48"/>
  <c r="L3" i="48"/>
  <c r="P4" i="43"/>
  <c r="P3" i="43"/>
  <c r="M33" i="47" l="1"/>
  <c r="N32" i="47"/>
  <c r="O32" i="47" s="1"/>
  <c r="Q3" i="45"/>
  <c r="M34" i="47" l="1"/>
  <c r="N33" i="47"/>
  <c r="O33" i="47"/>
  <c r="Q4" i="47"/>
  <c r="Q3" i="47"/>
  <c r="J6" i="47"/>
  <c r="J7" i="47"/>
  <c r="J8" i="47"/>
  <c r="J9" i="47"/>
  <c r="J10" i="47"/>
  <c r="J5" i="47"/>
  <c r="J4" i="47"/>
  <c r="K1" i="47"/>
  <c r="K4" i="47"/>
  <c r="L4" i="47"/>
  <c r="L1" i="47"/>
  <c r="M35" i="47" l="1"/>
  <c r="N34" i="47"/>
  <c r="O34" i="47" s="1"/>
  <c r="J5" i="45"/>
  <c r="J6" i="45"/>
  <c r="J7" i="45"/>
  <c r="J8" i="45"/>
  <c r="J9" i="45"/>
  <c r="J4" i="45"/>
  <c r="K6" i="45"/>
  <c r="K5" i="47"/>
  <c r="K8" i="47"/>
  <c r="T8" i="47"/>
  <c r="K4" i="45"/>
  <c r="K7" i="47"/>
  <c r="S8" i="47"/>
  <c r="L1" i="45"/>
  <c r="T4" i="47"/>
  <c r="K7" i="45"/>
  <c r="O4" i="47"/>
  <c r="K8" i="45"/>
  <c r="K10" i="47"/>
  <c r="K9" i="45"/>
  <c r="K6" i="47"/>
  <c r="S4" i="47"/>
  <c r="K5" i="45"/>
  <c r="K9" i="47"/>
  <c r="O8" i="47"/>
  <c r="L5" i="47"/>
  <c r="L8" i="47"/>
  <c r="L5" i="45"/>
  <c r="M36" i="47" l="1"/>
  <c r="N35" i="47"/>
  <c r="O35" i="47"/>
  <c r="S8" i="45"/>
  <c r="S7" i="47"/>
  <c r="O4" i="45"/>
  <c r="S5" i="47"/>
  <c r="S5" i="45"/>
  <c r="O8" i="45"/>
  <c r="T7" i="47"/>
  <c r="O6" i="47"/>
  <c r="O5" i="47"/>
  <c r="T6" i="47"/>
  <c r="O6" i="45"/>
  <c r="S9" i="45"/>
  <c r="T5" i="47"/>
  <c r="T10" i="47"/>
  <c r="O7" i="45"/>
  <c r="O10" i="47"/>
  <c r="O5" i="45"/>
  <c r="S9" i="47"/>
  <c r="T4" i="45"/>
  <c r="T5" i="45"/>
  <c r="O7" i="47"/>
  <c r="S7" i="45"/>
  <c r="T9" i="47"/>
  <c r="O9" i="45"/>
  <c r="S4" i="45"/>
  <c r="S6" i="45"/>
  <c r="T8" i="45"/>
  <c r="T6" i="45"/>
  <c r="T9" i="45"/>
  <c r="S6" i="47"/>
  <c r="T7" i="45"/>
  <c r="S10" i="47"/>
  <c r="O9" i="47"/>
  <c r="L7" i="47"/>
  <c r="L8" i="45"/>
  <c r="L10" i="47"/>
  <c r="L7" i="45"/>
  <c r="L9" i="47"/>
  <c r="L6" i="47"/>
  <c r="L6" i="45"/>
  <c r="L9" i="45"/>
  <c r="L4" i="45"/>
  <c r="N36" i="47" l="1"/>
  <c r="O36" i="47" s="1"/>
  <c r="D6" i="40"/>
  <c r="D5" i="40"/>
  <c r="A7" i="40"/>
  <c r="A6" i="39" l="1"/>
  <c r="A17" i="39" s="1"/>
  <c r="A8" i="40"/>
  <c r="C7" i="40"/>
  <c r="E7" i="40"/>
  <c r="B6" i="39" l="1"/>
  <c r="C6" i="39" s="1"/>
  <c r="D7" i="40"/>
  <c r="A7" i="39"/>
  <c r="B17" i="39"/>
  <c r="C17" i="39" s="1"/>
  <c r="A18" i="39"/>
  <c r="B7" i="39"/>
  <c r="C7" i="39" s="1"/>
  <c r="A9" i="40"/>
  <c r="C8" i="40"/>
  <c r="E8" i="40"/>
  <c r="D8" i="40" l="1"/>
  <c r="A8" i="39"/>
  <c r="A19" i="39" s="1"/>
  <c r="B18" i="39"/>
  <c r="C18" i="39" s="1"/>
  <c r="B8" i="39"/>
  <c r="C8" i="39" s="1"/>
  <c r="C9" i="40"/>
  <c r="A10" i="40"/>
  <c r="E9" i="40"/>
  <c r="A9" i="39" l="1"/>
  <c r="A20" i="39" s="1"/>
  <c r="D9" i="40"/>
  <c r="B19" i="39"/>
  <c r="C19" i="39" s="1"/>
  <c r="C10" i="40"/>
  <c r="A11" i="40"/>
  <c r="E10" i="40"/>
  <c r="B9" i="39" l="1"/>
  <c r="C9" i="39" s="1"/>
  <c r="D10" i="40"/>
  <c r="B20" i="39"/>
  <c r="C20" i="39" s="1"/>
  <c r="C11" i="40"/>
  <c r="A12" i="40"/>
  <c r="E11" i="40"/>
  <c r="D11" i="40" l="1"/>
  <c r="C12" i="40"/>
  <c r="A13" i="40"/>
  <c r="E12" i="40"/>
  <c r="D12" i="40" l="1"/>
  <c r="C13" i="40"/>
  <c r="A14" i="40"/>
  <c r="E13" i="40"/>
  <c r="I18" i="29"/>
  <c r="D13" i="40" l="1"/>
  <c r="C14" i="40"/>
  <c r="A15" i="40"/>
  <c r="E14" i="40"/>
  <c r="D17" i="29"/>
  <c r="AB28" i="40"/>
  <c r="AC15" i="40"/>
  <c r="T37" i="51"/>
  <c r="AC18" i="40"/>
  <c r="S28" i="51"/>
  <c r="S27" i="51"/>
  <c r="H5" i="51"/>
  <c r="S35" i="51"/>
  <c r="T27" i="51"/>
  <c r="T30" i="51"/>
  <c r="AC25" i="40"/>
  <c r="H8" i="51"/>
  <c r="C10" i="51"/>
  <c r="S33" i="51"/>
  <c r="S32" i="51"/>
  <c r="T29" i="51"/>
  <c r="AC16" i="40"/>
  <c r="AB18" i="40"/>
  <c r="AB29" i="40"/>
  <c r="AC20" i="40"/>
  <c r="S30" i="51"/>
  <c r="H7" i="51"/>
  <c r="I7" i="51" s="1"/>
  <c r="AC26" i="40"/>
  <c r="AC19" i="40"/>
  <c r="T32" i="51"/>
  <c r="S26" i="51"/>
  <c r="T35" i="51"/>
  <c r="S29" i="51"/>
  <c r="AC29" i="40"/>
  <c r="H6" i="51"/>
  <c r="AC22" i="40"/>
  <c r="S37" i="51"/>
  <c r="AB22" i="40"/>
  <c r="T34" i="51"/>
  <c r="AB20" i="40"/>
  <c r="T31" i="51"/>
  <c r="AC21" i="40"/>
  <c r="AC23" i="40"/>
  <c r="G5" i="51"/>
  <c r="AB21" i="40"/>
  <c r="T33" i="51"/>
  <c r="AB26" i="40"/>
  <c r="AC28" i="40"/>
  <c r="AC24" i="40"/>
  <c r="AB23" i="40"/>
  <c r="AB30" i="40"/>
  <c r="T36" i="51"/>
  <c r="AB24" i="40"/>
  <c r="AB27" i="40"/>
  <c r="T25" i="51"/>
  <c r="G7" i="51"/>
  <c r="H9" i="51"/>
  <c r="AC17" i="40"/>
  <c r="AB25" i="40"/>
  <c r="AB19" i="40"/>
  <c r="S34" i="51"/>
  <c r="AB15" i="40"/>
  <c r="H4" i="51"/>
  <c r="S25" i="51"/>
  <c r="S36" i="51"/>
  <c r="AC30" i="40"/>
  <c r="AB16" i="40"/>
  <c r="T28" i="51"/>
  <c r="AC27" i="40"/>
  <c r="AB17" i="40"/>
  <c r="S31" i="51"/>
  <c r="T26" i="51"/>
  <c r="G8" i="51"/>
  <c r="I8" i="51"/>
  <c r="H10" i="51"/>
  <c r="C11" i="51"/>
  <c r="G6" i="51"/>
  <c r="I6" i="51"/>
  <c r="G9" i="51"/>
  <c r="I9" i="51"/>
  <c r="G4" i="51"/>
  <c r="I4" i="51"/>
  <c r="G10" i="51"/>
  <c r="I10" i="51"/>
  <c r="H11" i="51"/>
  <c r="C12" i="51"/>
  <c r="G11" i="51"/>
  <c r="I11" i="51"/>
  <c r="C13" i="51"/>
  <c r="H12" i="51"/>
  <c r="H13" i="51"/>
  <c r="C14" i="51"/>
  <c r="G12" i="51"/>
  <c r="I12" i="51"/>
  <c r="G13" i="51"/>
  <c r="I13" i="51"/>
  <c r="C15" i="51"/>
  <c r="H14" i="51"/>
  <c r="H15" i="51"/>
  <c r="C16" i="51"/>
  <c r="G14" i="51"/>
  <c r="I14" i="51"/>
  <c r="G15" i="51"/>
  <c r="I15" i="51"/>
  <c r="C17" i="51"/>
  <c r="H16" i="51"/>
  <c r="H17" i="51"/>
  <c r="C18" i="51"/>
  <c r="G16" i="51"/>
  <c r="I16" i="51"/>
  <c r="G17" i="51"/>
  <c r="I17" i="51"/>
  <c r="C19" i="51"/>
  <c r="H18" i="51"/>
  <c r="C20" i="51"/>
  <c r="H19" i="51"/>
  <c r="G18" i="51"/>
  <c r="I18" i="51"/>
  <c r="C21" i="51"/>
  <c r="H21" i="51" s="1"/>
  <c r="H20" i="51"/>
  <c r="G19" i="51"/>
  <c r="I19" i="51"/>
  <c r="G21" i="51"/>
  <c r="I21" i="51"/>
  <c r="G20" i="51"/>
  <c r="I20" i="51"/>
  <c r="D21" i="51" l="1"/>
  <c r="D20" i="51"/>
  <c r="D19" i="51"/>
  <c r="D18" i="51"/>
  <c r="D17" i="51"/>
  <c r="D16" i="51"/>
  <c r="D15" i="51"/>
  <c r="D14" i="51"/>
  <c r="D13" i="51"/>
  <c r="D12" i="51"/>
  <c r="D11" i="51"/>
  <c r="D10" i="51"/>
  <c r="W2" i="51"/>
  <c r="H3" i="51"/>
  <c r="H2" i="51"/>
  <c r="D14" i="40"/>
  <c r="G4" i="40"/>
  <c r="C15" i="40"/>
  <c r="A16" i="40"/>
  <c r="I5" i="51"/>
  <c r="E20" i="51"/>
  <c r="G2" i="51"/>
  <c r="E16" i="51"/>
  <c r="I2" i="51"/>
  <c r="E14" i="51"/>
  <c r="I3" i="51"/>
  <c r="E17" i="51"/>
  <c r="E15" i="40"/>
  <c r="E15" i="51"/>
  <c r="E11" i="51"/>
  <c r="W3" i="51"/>
  <c r="E12" i="51"/>
  <c r="E18" i="51"/>
  <c r="G3" i="51"/>
  <c r="E21" i="51"/>
  <c r="E10" i="51"/>
  <c r="E19" i="51"/>
  <c r="E13" i="51"/>
  <c r="D15" i="40" l="1"/>
  <c r="C16" i="40"/>
  <c r="A17" i="40"/>
  <c r="W4" i="51"/>
  <c r="E16" i="40"/>
  <c r="D16" i="40" l="1"/>
  <c r="C17" i="40"/>
  <c r="A18" i="40"/>
  <c r="W5" i="51"/>
  <c r="E17" i="40"/>
  <c r="D17" i="40" l="1"/>
  <c r="C18" i="40"/>
  <c r="A19" i="40"/>
  <c r="W6" i="51"/>
  <c r="E18" i="40"/>
  <c r="D18" i="40" l="1"/>
  <c r="C19" i="40"/>
  <c r="A20" i="40"/>
  <c r="D6" i="29"/>
  <c r="W7" i="51"/>
  <c r="E19" i="40"/>
  <c r="D3" i="51" l="1"/>
  <c r="D19" i="40"/>
  <c r="F23" i="50"/>
  <c r="C20" i="40"/>
  <c r="A21" i="40"/>
  <c r="D4" i="40"/>
  <c r="O11" i="45"/>
  <c r="E4" i="42"/>
  <c r="D10" i="49"/>
  <c r="C3" i="49" s="1"/>
  <c r="D24" i="39"/>
  <c r="D10" i="43"/>
  <c r="C3" i="43" s="1"/>
  <c r="D10" i="48"/>
  <c r="C3" i="48" s="1"/>
  <c r="O12" i="47"/>
  <c r="J3" i="45"/>
  <c r="J3" i="47"/>
  <c r="W8" i="51"/>
  <c r="E20" i="40"/>
  <c r="D20" i="40" l="1"/>
  <c r="D21" i="49"/>
  <c r="AB3" i="49"/>
  <c r="D16" i="48"/>
  <c r="D20" i="43"/>
  <c r="AV4" i="50"/>
  <c r="D22" i="49"/>
  <c r="D16" i="49"/>
  <c r="D18" i="48"/>
  <c r="F3" i="50"/>
  <c r="D26" i="49"/>
  <c r="P26" i="45"/>
  <c r="D15" i="43"/>
  <c r="F3" i="42"/>
  <c r="D19" i="49"/>
  <c r="D17" i="49"/>
  <c r="D18" i="43"/>
  <c r="D24" i="49"/>
  <c r="D17" i="43"/>
  <c r="D20" i="49"/>
  <c r="D18" i="49"/>
  <c r="AF3" i="43"/>
  <c r="D29" i="49"/>
  <c r="D15" i="49"/>
  <c r="D4" i="48"/>
  <c r="D21" i="43"/>
  <c r="D25" i="49"/>
  <c r="D19" i="43"/>
  <c r="D30" i="49"/>
  <c r="AB3" i="48"/>
  <c r="D23" i="49"/>
  <c r="D14" i="39"/>
  <c r="D19" i="48"/>
  <c r="G3" i="40"/>
  <c r="D15" i="48"/>
  <c r="D3" i="39"/>
  <c r="D27" i="49"/>
  <c r="R3" i="40"/>
  <c r="D16" i="43"/>
  <c r="BE4" i="39"/>
  <c r="D28" i="49"/>
  <c r="D4" i="49"/>
  <c r="D17" i="48"/>
  <c r="C21" i="40"/>
  <c r="A22" i="40"/>
  <c r="N3" i="39"/>
  <c r="T3" i="40"/>
  <c r="W9" i="51"/>
  <c r="E21" i="40"/>
  <c r="D21" i="40" l="1"/>
  <c r="F14" i="50"/>
  <c r="C22" i="40"/>
  <c r="AD19" i="39" a="1"/>
  <c r="AD9" i="39" a="1"/>
  <c r="AD14" i="39" a="1"/>
  <c r="W10" i="51"/>
  <c r="E22" i="40"/>
  <c r="D22" i="40" l="1"/>
  <c r="AD16" i="39"/>
  <c r="AD15" i="39"/>
  <c r="AD14" i="39"/>
  <c r="AD9" i="39"/>
  <c r="AD10" i="39"/>
  <c r="AD21" i="39"/>
  <c r="AD19" i="39"/>
  <c r="AD20" i="39"/>
  <c r="AD5" i="39" a="1"/>
  <c r="AD6" i="39" l="1"/>
  <c r="AD5" i="39"/>
  <c r="E4" i="49"/>
  <c r="F44" i="39"/>
  <c r="S41" i="39"/>
  <c r="G3" i="42"/>
  <c r="D5" i="49"/>
  <c r="F39" i="39"/>
  <c r="F29" i="50"/>
  <c r="D18" i="35"/>
  <c r="F38" i="50"/>
  <c r="E44" i="39"/>
  <c r="D46" i="35"/>
  <c r="F33" i="39"/>
  <c r="E3" i="39"/>
  <c r="E19" i="49"/>
  <c r="E37" i="39"/>
  <c r="F45" i="39"/>
  <c r="E35" i="39"/>
  <c r="E14" i="39"/>
  <c r="E23" i="49"/>
  <c r="G32" i="50"/>
  <c r="E47" i="39"/>
  <c r="G12" i="40"/>
  <c r="G7" i="40"/>
  <c r="G39" i="50"/>
  <c r="AG3" i="43"/>
  <c r="E17" i="43"/>
  <c r="D43" i="35"/>
  <c r="F23" i="49"/>
  <c r="E5" i="49"/>
  <c r="E15" i="49"/>
  <c r="D4" i="43"/>
  <c r="D34" i="35"/>
  <c r="F36" i="50"/>
  <c r="J36" i="50" s="1"/>
  <c r="E25" i="49"/>
  <c r="K3" i="47"/>
  <c r="R4" i="40"/>
  <c r="E48" i="39"/>
  <c r="D36" i="35"/>
  <c r="F42" i="39"/>
  <c r="G8" i="40"/>
  <c r="F9" i="42"/>
  <c r="D39" i="35"/>
  <c r="H3" i="40"/>
  <c r="E30" i="49"/>
  <c r="F8" i="42"/>
  <c r="D5" i="35"/>
  <c r="D14" i="35"/>
  <c r="F33" i="50"/>
  <c r="D19" i="35"/>
  <c r="F48" i="39"/>
  <c r="D11" i="35"/>
  <c r="G20" i="40"/>
  <c r="E41" i="39"/>
  <c r="T3" i="50"/>
  <c r="F34" i="39"/>
  <c r="K32" i="50"/>
  <c r="J33" i="50"/>
  <c r="J29" i="50"/>
  <c r="W11" i="51"/>
  <c r="D20" i="35"/>
  <c r="AF4" i="43"/>
  <c r="D7" i="49"/>
  <c r="F36" i="39"/>
  <c r="P33" i="47"/>
  <c r="G29" i="50"/>
  <c r="E17" i="49"/>
  <c r="E16" i="49"/>
  <c r="D38" i="35"/>
  <c r="D11" i="42"/>
  <c r="O14" i="50"/>
  <c r="F35" i="50"/>
  <c r="D8" i="39"/>
  <c r="F5" i="42"/>
  <c r="D37" i="35"/>
  <c r="D7" i="48"/>
  <c r="F28" i="50"/>
  <c r="D24" i="35"/>
  <c r="D20" i="39"/>
  <c r="D40" i="35"/>
  <c r="E34" i="39"/>
  <c r="E19" i="48"/>
  <c r="F19" i="48" s="1"/>
  <c r="Y14" i="50"/>
  <c r="D7" i="35"/>
  <c r="E18" i="49"/>
  <c r="D26" i="35"/>
  <c r="BF4" i="39"/>
  <c r="BM4" i="39" s="1"/>
  <c r="E21" i="49"/>
  <c r="F21" i="49" s="1"/>
  <c r="G31" i="50"/>
  <c r="D28" i="35"/>
  <c r="E15" i="48"/>
  <c r="D16" i="35"/>
  <c r="D18" i="39"/>
  <c r="E18" i="39" s="1"/>
  <c r="E27" i="49"/>
  <c r="G38" i="50"/>
  <c r="U3" i="50"/>
  <c r="D16" i="39"/>
  <c r="G34" i="50"/>
  <c r="D4" i="35"/>
  <c r="G5" i="40"/>
  <c r="H5" i="40" s="1"/>
  <c r="BN4" i="39"/>
  <c r="D44" i="35"/>
  <c r="F31" i="50"/>
  <c r="G33" i="50"/>
  <c r="E43" i="39"/>
  <c r="G4" i="49"/>
  <c r="G21" i="40"/>
  <c r="U14" i="50"/>
  <c r="D15" i="35"/>
  <c r="D29" i="35"/>
  <c r="E45" i="39"/>
  <c r="D12" i="35"/>
  <c r="D18" i="29"/>
  <c r="D13" i="35"/>
  <c r="F32" i="50"/>
  <c r="E21" i="43"/>
  <c r="AV5" i="50"/>
  <c r="G28" i="50"/>
  <c r="G16" i="40"/>
  <c r="H4" i="40"/>
  <c r="G36" i="50"/>
  <c r="BL4" i="39"/>
  <c r="F30" i="50"/>
  <c r="G30" i="50"/>
  <c r="E18" i="43"/>
  <c r="F6" i="42"/>
  <c r="AF5" i="43"/>
  <c r="F34" i="50"/>
  <c r="J34" i="50" s="1"/>
  <c r="AB4" i="49"/>
  <c r="E17" i="48"/>
  <c r="G10" i="40"/>
  <c r="D17" i="39"/>
  <c r="E17" i="39" s="1"/>
  <c r="F7" i="42"/>
  <c r="D50" i="35"/>
  <c r="F10" i="42"/>
  <c r="E38" i="39"/>
  <c r="E24" i="49"/>
  <c r="F24" i="49" s="1"/>
  <c r="G3" i="50"/>
  <c r="D9" i="35"/>
  <c r="O3" i="50"/>
  <c r="D6" i="39"/>
  <c r="D7" i="39"/>
  <c r="E16" i="48"/>
  <c r="D33" i="35"/>
  <c r="B1" i="29"/>
  <c r="F38" i="39"/>
  <c r="E33" i="39"/>
  <c r="F39" i="50"/>
  <c r="G37" i="50"/>
  <c r="K37" i="50" s="1"/>
  <c r="E7" i="39"/>
  <c r="F16" i="48"/>
  <c r="K36" i="50"/>
  <c r="F25" i="49"/>
  <c r="E7" i="48"/>
  <c r="J35" i="50"/>
  <c r="J39" i="50"/>
  <c r="F15" i="48"/>
  <c r="H20" i="40"/>
  <c r="F16" i="49"/>
  <c r="H12" i="40"/>
  <c r="D48" i="35"/>
  <c r="G7" i="49"/>
  <c r="H5" i="49"/>
  <c r="B4" i="50"/>
  <c r="D15" i="39"/>
  <c r="BE5" i="39"/>
  <c r="G35" i="50"/>
  <c r="K35" i="50" s="1"/>
  <c r="D2" i="35"/>
  <c r="F40" i="50"/>
  <c r="J40" i="50" s="1"/>
  <c r="U33" i="50"/>
  <c r="E46" i="39"/>
  <c r="E20" i="43"/>
  <c r="E40" i="39"/>
  <c r="D6" i="35"/>
  <c r="O3" i="47"/>
  <c r="O14" i="47" s="1" a="1"/>
  <c r="D35" i="35"/>
  <c r="F30" i="49"/>
  <c r="F18" i="49"/>
  <c r="E6" i="39"/>
  <c r="F27" i="49"/>
  <c r="E15" i="39"/>
  <c r="J32" i="50"/>
  <c r="K38" i="50"/>
  <c r="E16" i="39"/>
  <c r="G11" i="40"/>
  <c r="D5" i="48"/>
  <c r="F37" i="39"/>
  <c r="F43" i="39"/>
  <c r="I3" i="39"/>
  <c r="P34" i="47"/>
  <c r="AC3" i="48"/>
  <c r="G18" i="40"/>
  <c r="F47" i="39"/>
  <c r="G6" i="40"/>
  <c r="H6" i="40" s="1"/>
  <c r="H8" i="40"/>
  <c r="D47" i="35"/>
  <c r="H10" i="40"/>
  <c r="D25" i="35"/>
  <c r="D49" i="35"/>
  <c r="G5" i="49"/>
  <c r="J21" i="43"/>
  <c r="J38" i="50"/>
  <c r="E5" i="48"/>
  <c r="H5" i="48" s="1"/>
  <c r="H3" i="42"/>
  <c r="G10" i="42"/>
  <c r="I8" i="39"/>
  <c r="D5" i="43"/>
  <c r="T3" i="47"/>
  <c r="D6" i="43"/>
  <c r="E7" i="49"/>
  <c r="G8" i="42"/>
  <c r="H8" i="42" s="1"/>
  <c r="H10" i="42"/>
  <c r="L14" i="47" a="1"/>
  <c r="G13" i="40"/>
  <c r="H13" i="40" s="1"/>
  <c r="E36" i="39"/>
  <c r="D6" i="48"/>
  <c r="G6" i="48" s="1"/>
  <c r="BK4" i="39"/>
  <c r="D22" i="35"/>
  <c r="D45" i="35"/>
  <c r="H18" i="40"/>
  <c r="G15" i="40"/>
  <c r="H15" i="40" s="1"/>
  <c r="D41" i="35"/>
  <c r="D8" i="35"/>
  <c r="G19" i="40"/>
  <c r="P35" i="47"/>
  <c r="D4" i="39"/>
  <c r="AB5" i="49"/>
  <c r="H16" i="40"/>
  <c r="J30" i="50"/>
  <c r="E20" i="39"/>
  <c r="K30" i="50"/>
  <c r="E28" i="49"/>
  <c r="K3" i="45"/>
  <c r="D5" i="39"/>
  <c r="AW4" i="50"/>
  <c r="E22" i="49"/>
  <c r="F22" i="49" s="1"/>
  <c r="D9" i="39"/>
  <c r="F37" i="50"/>
  <c r="J37" i="50" s="1"/>
  <c r="D6" i="49"/>
  <c r="D10" i="35"/>
  <c r="G9" i="40"/>
  <c r="G6" i="49"/>
  <c r="J17" i="43"/>
  <c r="E9" i="39"/>
  <c r="F17" i="48"/>
  <c r="AG4" i="43"/>
  <c r="E5" i="39"/>
  <c r="I9" i="39"/>
  <c r="K28" i="50"/>
  <c r="H21" i="40"/>
  <c r="D3" i="35"/>
  <c r="K29" i="50"/>
  <c r="D7" i="43"/>
  <c r="D31" i="35"/>
  <c r="G14" i="40"/>
  <c r="H14" i="40" s="1"/>
  <c r="G40" i="50"/>
  <c r="D19" i="39"/>
  <c r="E19" i="39" s="1"/>
  <c r="D30" i="35"/>
  <c r="AV6" i="50"/>
  <c r="E4" i="48"/>
  <c r="E15" i="43"/>
  <c r="J15" i="43" s="1"/>
  <c r="AC3" i="49"/>
  <c r="AF6" i="43"/>
  <c r="K39" i="50"/>
  <c r="K33" i="50"/>
  <c r="AG5" i="43"/>
  <c r="H4" i="49"/>
  <c r="J20" i="43"/>
  <c r="K40" i="50"/>
  <c r="D27" i="35"/>
  <c r="E20" i="49"/>
  <c r="F20" i="49" s="1"/>
  <c r="G4" i="48"/>
  <c r="L3" i="47"/>
  <c r="BE6" i="39"/>
  <c r="BF6" i="39" s="1"/>
  <c r="AW5" i="50"/>
  <c r="E6" i="43"/>
  <c r="F40" i="39"/>
  <c r="E39" i="39"/>
  <c r="AB4" i="48"/>
  <c r="D21" i="35"/>
  <c r="K31" i="50"/>
  <c r="J18" i="43"/>
  <c r="K6" i="43"/>
  <c r="P36" i="47"/>
  <c r="E19" i="43"/>
  <c r="J19" i="43" s="1"/>
  <c r="D32" i="35"/>
  <c r="G7" i="48"/>
  <c r="J31" i="50"/>
  <c r="D23" i="35"/>
  <c r="G9" i="42"/>
  <c r="H9" i="42" s="1"/>
  <c r="D42" i="35"/>
  <c r="H11" i="40"/>
  <c r="G5" i="48"/>
  <c r="E6" i="48"/>
  <c r="H6" i="48" s="1"/>
  <c r="P32" i="47"/>
  <c r="S3" i="47"/>
  <c r="H4" i="48"/>
  <c r="H9" i="40"/>
  <c r="G17" i="40"/>
  <c r="H17" i="40" s="1"/>
  <c r="K34" i="50"/>
  <c r="E26" i="49"/>
  <c r="E18" i="48"/>
  <c r="F18" i="48" s="1"/>
  <c r="F15" i="49"/>
  <c r="E6" i="49"/>
  <c r="E29" i="49"/>
  <c r="F29" i="49" s="1"/>
  <c r="F46" i="39"/>
  <c r="R5" i="40"/>
  <c r="R14" i="47" a="1"/>
  <c r="BL6" i="39"/>
  <c r="H7" i="40"/>
  <c r="F35" i="39"/>
  <c r="P31" i="47"/>
  <c r="BE7" i="39"/>
  <c r="H19" i="40"/>
  <c r="E16" i="43"/>
  <c r="J16" i="43" s="1"/>
  <c r="F41" i="39"/>
  <c r="E4" i="43"/>
  <c r="L4" i="43" s="1"/>
  <c r="D17" i="35"/>
  <c r="J28" i="50"/>
  <c r="G22" i="40"/>
  <c r="H22" i="40" s="1"/>
  <c r="F17" i="49"/>
  <c r="F19" i="49"/>
  <c r="H7" i="49"/>
  <c r="H6" i="49"/>
  <c r="F28" i="49"/>
  <c r="P3" i="50"/>
  <c r="W12" i="51"/>
  <c r="G6" i="42"/>
  <c r="F26" i="49"/>
  <c r="A4" i="43"/>
  <c r="H7" i="48"/>
  <c r="H4" i="43"/>
  <c r="K4" i="43"/>
  <c r="F11" i="42"/>
  <c r="E8" i="39"/>
  <c r="G5" i="42"/>
  <c r="H5" i="42" s="1"/>
  <c r="G7" i="42"/>
  <c r="J3" i="50"/>
  <c r="I6" i="39"/>
  <c r="I7" i="39"/>
  <c r="F4" i="50"/>
  <c r="E5" i="43"/>
  <c r="K5" i="43"/>
  <c r="H6" i="43"/>
  <c r="E4" i="39"/>
  <c r="I4" i="39"/>
  <c r="AB6" i="49"/>
  <c r="L13" i="45" a="1"/>
  <c r="L3" i="45"/>
  <c r="S3" i="45"/>
  <c r="R13" i="45" s="1" a="1"/>
  <c r="O3" i="45"/>
  <c r="O13" i="45" s="1" a="1"/>
  <c r="I5" i="39"/>
  <c r="E7" i="43"/>
  <c r="K7" i="43"/>
  <c r="H7" i="43"/>
  <c r="AV7" i="50"/>
  <c r="AG6" i="43"/>
  <c r="AF7" i="43"/>
  <c r="BK6" i="39"/>
  <c r="BN6" i="39"/>
  <c r="BM6" i="39"/>
  <c r="L6" i="43"/>
  <c r="AB5" i="48"/>
  <c r="AC4" i="48"/>
  <c r="R6" i="40"/>
  <c r="BF7" i="39"/>
  <c r="BE8" i="39"/>
  <c r="G11" i="42"/>
  <c r="D12" i="42"/>
  <c r="B5" i="50"/>
  <c r="G4" i="50"/>
  <c r="O4" i="50"/>
  <c r="E4" i="50"/>
  <c r="J4" i="50"/>
  <c r="H5" i="43"/>
  <c r="L5" i="43"/>
  <c r="AC6" i="49"/>
  <c r="AB7" i="49"/>
  <c r="L7" i="43"/>
  <c r="AV8" i="50"/>
  <c r="AW7" i="50"/>
  <c r="AG7" i="43"/>
  <c r="AF8" i="43"/>
  <c r="AB6" i="48"/>
  <c r="AC5" i="48"/>
  <c r="R7" i="40"/>
  <c r="BN7" i="39"/>
  <c r="BL7" i="39"/>
  <c r="BK7" i="39"/>
  <c r="BM7" i="39"/>
  <c r="BF8" i="39"/>
  <c r="BE9" i="39"/>
  <c r="F12" i="42"/>
  <c r="F5" i="50"/>
  <c r="P4" i="50"/>
  <c r="AC7" i="49"/>
  <c r="AB8" i="49"/>
  <c r="AV9" i="50"/>
  <c r="AW8" i="50"/>
  <c r="AG8" i="43"/>
  <c r="AF9" i="43"/>
  <c r="AC6" i="48"/>
  <c r="AB7" i="48"/>
  <c r="R8" i="40"/>
  <c r="BN8" i="39"/>
  <c r="BM8" i="39"/>
  <c r="BK8" i="39"/>
  <c r="BL8" i="39"/>
  <c r="BF9" i="39"/>
  <c r="BE10" i="39"/>
  <c r="D13" i="42"/>
  <c r="F13" i="42" s="1"/>
  <c r="G12" i="42"/>
  <c r="G5" i="50"/>
  <c r="E5" i="50"/>
  <c r="O5" i="50"/>
  <c r="J5" i="50"/>
  <c r="B6" i="50"/>
  <c r="AB9" i="49"/>
  <c r="AC8" i="49"/>
  <c r="AW9" i="50"/>
  <c r="AG9" i="43"/>
  <c r="AF10" i="43"/>
  <c r="AC7" i="48"/>
  <c r="AB8" i="48"/>
  <c r="R9" i="40"/>
  <c r="BL9" i="39"/>
  <c r="BN9" i="39"/>
  <c r="BK9" i="39"/>
  <c r="BM9" i="39"/>
  <c r="BE11" i="39"/>
  <c r="BF10" i="39"/>
  <c r="G13" i="42"/>
  <c r="D14" i="42"/>
  <c r="F14" i="42" s="1"/>
  <c r="P5" i="50"/>
  <c r="F6" i="50"/>
  <c r="AB10" i="49"/>
  <c r="AC9" i="49"/>
  <c r="AG10" i="43"/>
  <c r="AF11" i="43"/>
  <c r="AC8" i="48"/>
  <c r="AB9" i="48"/>
  <c r="R10" i="40"/>
  <c r="BF11" i="39"/>
  <c r="BE12" i="39"/>
  <c r="BN10" i="39"/>
  <c r="BL10" i="39"/>
  <c r="BK10" i="39"/>
  <c r="BM10" i="39"/>
  <c r="D15" i="42"/>
  <c r="F15" i="42" s="1"/>
  <c r="G14" i="42"/>
  <c r="B7" i="50"/>
  <c r="E6" i="50"/>
  <c r="G6" i="50"/>
  <c r="O6" i="50"/>
  <c r="AB11" i="49"/>
  <c r="AC10" i="49"/>
  <c r="AF12" i="43"/>
  <c r="AG11" i="43"/>
  <c r="AC9" i="48"/>
  <c r="AB10" i="48"/>
  <c r="R11" i="40"/>
  <c r="BM11" i="39"/>
  <c r="BK11" i="39"/>
  <c r="BN11" i="39"/>
  <c r="BL11" i="39"/>
  <c r="BF12" i="39"/>
  <c r="BE13" i="39"/>
  <c r="D16" i="42"/>
  <c r="F16" i="42" s="1"/>
  <c r="G15" i="42"/>
  <c r="F7" i="50"/>
  <c r="J6" i="50"/>
  <c r="P6" i="50"/>
  <c r="AC11" i="49"/>
  <c r="AB12" i="49"/>
  <c r="AF13" i="43"/>
  <c r="AG12" i="43"/>
  <c r="AC10" i="48"/>
  <c r="AB11" i="48"/>
  <c r="BL12" i="39"/>
  <c r="BM12" i="39"/>
  <c r="BN12" i="39"/>
  <c r="BK12" i="39"/>
  <c r="G16" i="42"/>
  <c r="D17" i="42"/>
  <c r="F17" i="42" s="1"/>
  <c r="O7" i="50"/>
  <c r="B8" i="50"/>
  <c r="E7" i="50"/>
  <c r="G7" i="50"/>
  <c r="AB13" i="49"/>
  <c r="AC12" i="49"/>
  <c r="AG13" i="43"/>
  <c r="AF14" i="43"/>
  <c r="AB12" i="48"/>
  <c r="AC11" i="48"/>
  <c r="G17" i="42"/>
  <c r="H17" i="42"/>
  <c r="F8" i="50"/>
  <c r="J7" i="50"/>
  <c r="P7" i="50"/>
  <c r="AB14" i="49"/>
  <c r="AC13" i="49"/>
  <c r="AG14" i="43"/>
  <c r="AF15" i="43"/>
  <c r="AB13" i="48"/>
  <c r="AC12" i="48"/>
  <c r="O8" i="50"/>
  <c r="B9" i="50"/>
  <c r="G8" i="50"/>
  <c r="E8" i="50"/>
  <c r="AB15" i="49"/>
  <c r="AC14" i="49"/>
  <c r="AF16" i="43"/>
  <c r="AG15" i="43"/>
  <c r="AB14" i="48"/>
  <c r="AC13" i="48"/>
  <c r="F9" i="50"/>
  <c r="J8" i="50"/>
  <c r="AC15" i="49"/>
  <c r="AB16" i="49"/>
  <c r="AF17" i="43"/>
  <c r="AG16" i="43"/>
  <c r="AC14" i="48"/>
  <c r="AB15" i="48"/>
  <c r="O9" i="50"/>
  <c r="E9" i="50"/>
  <c r="G9" i="50"/>
  <c r="AC16" i="49"/>
  <c r="AB17" i="49"/>
  <c r="AF18" i="43"/>
  <c r="AG17" i="43"/>
  <c r="AB16" i="48"/>
  <c r="AC15" i="48"/>
  <c r="J9" i="50"/>
  <c r="P9" i="50"/>
  <c r="AC17" i="49"/>
  <c r="AB18" i="49"/>
  <c r="AF19" i="43"/>
  <c r="AG18" i="43"/>
  <c r="AB17" i="48"/>
  <c r="AC16" i="48"/>
  <c r="AC18" i="49"/>
  <c r="AB19" i="49"/>
  <c r="AG19" i="43"/>
  <c r="AF20" i="43"/>
  <c r="AC17" i="48"/>
  <c r="AB18" i="48"/>
  <c r="AB20" i="49"/>
  <c r="AC19" i="49"/>
  <c r="AF21" i="43"/>
  <c r="AG20" i="43"/>
  <c r="AB19" i="48"/>
  <c r="AC18" i="48"/>
  <c r="AB21" i="49"/>
  <c r="AC20" i="49"/>
  <c r="AG21" i="43"/>
  <c r="AF22" i="43"/>
  <c r="AB20" i="48"/>
  <c r="AC19" i="48"/>
  <c r="AB22" i="49"/>
  <c r="AC21" i="49"/>
  <c r="AF23" i="43"/>
  <c r="AG22" i="43"/>
  <c r="AB21" i="48"/>
  <c r="AC20" i="48"/>
  <c r="AC22" i="49"/>
  <c r="AB23" i="49"/>
  <c r="AF24" i="43"/>
  <c r="AG23" i="43"/>
  <c r="AB22" i="48"/>
  <c r="AC21" i="48"/>
  <c r="AC23" i="49"/>
  <c r="AB24" i="49"/>
  <c r="AG24" i="43"/>
  <c r="AC22" i="48"/>
  <c r="AB23" i="48"/>
  <c r="AC24" i="49"/>
  <c r="AB25" i="49"/>
  <c r="AB24" i="48"/>
  <c r="AC23" i="48"/>
  <c r="AC25" i="49"/>
  <c r="AB26" i="49"/>
  <c r="AB25" i="48"/>
  <c r="AC24" i="48"/>
  <c r="AC26" i="49"/>
  <c r="AB27" i="49"/>
  <c r="AB26" i="48"/>
  <c r="AC25" i="48"/>
  <c r="AB28" i="49"/>
  <c r="AC27" i="49"/>
  <c r="AB29" i="49"/>
  <c r="AC28" i="49"/>
  <c r="AB30" i="49"/>
  <c r="AC29" i="49"/>
  <c r="AC30" i="49"/>
  <c r="AB31" i="49"/>
  <c r="AC31" i="49"/>
  <c r="AB32" i="49"/>
  <c r="AC32" i="49"/>
  <c r="AB33" i="49"/>
  <c r="AC33" i="49"/>
  <c r="AB34" i="49"/>
  <c r="AB35" i="49"/>
  <c r="AC34" i="49"/>
  <c r="AB36" i="49"/>
  <c r="AC35" i="49"/>
  <c r="AB37" i="49"/>
  <c r="AC36" i="49"/>
  <c r="AC37" i="49"/>
  <c r="AB38" i="49"/>
  <c r="AB39" i="49"/>
  <c r="AC38" i="49"/>
  <c r="AC39" i="49"/>
  <c r="AB40" i="49"/>
  <c r="AB41" i="49"/>
  <c r="AC40" i="49"/>
  <c r="AC41" i="49"/>
  <c r="AB42" i="49"/>
  <c r="AC42" i="49"/>
  <c r="AB43" i="49"/>
  <c r="AB44" i="49"/>
  <c r="AC43" i="49"/>
  <c r="AB45" i="49"/>
  <c r="AC44" i="49"/>
  <c r="AC45" i="49"/>
  <c r="AB46" i="49"/>
  <c r="AC46" i="49"/>
  <c r="AB47" i="49"/>
  <c r="AC47" i="49"/>
  <c r="AB48" i="49"/>
  <c r="AB49" i="49"/>
  <c r="AC48" i="49"/>
  <c r="AB50" i="49"/>
  <c r="AC49" i="49"/>
  <c r="AB51" i="49"/>
  <c r="AC50" i="49"/>
  <c r="AC51" i="49"/>
  <c r="AB52" i="49"/>
  <c r="AB53" i="49"/>
  <c r="AC52" i="49"/>
  <c r="AB54" i="49"/>
  <c r="AC53" i="49"/>
  <c r="AB55" i="49"/>
  <c r="AC54" i="49"/>
  <c r="AB56" i="49"/>
  <c r="AC55" i="49"/>
  <c r="AB57" i="49"/>
  <c r="AC56" i="49"/>
  <c r="AC57" i="49"/>
  <c r="AB58" i="49"/>
  <c r="AC58" i="49"/>
  <c r="AB59" i="49"/>
  <c r="AC59" i="49"/>
  <c r="AB60" i="49"/>
  <c r="AC60" i="49"/>
  <c r="AB61" i="49"/>
  <c r="AC61" i="49"/>
  <c r="AB62" i="49"/>
  <c r="AC62" i="49"/>
  <c r="AB63" i="49"/>
  <c r="AC63" i="49"/>
  <c r="AB64" i="49"/>
  <c r="AC64" i="49"/>
  <c r="AB65" i="49"/>
  <c r="AB66" i="49"/>
  <c r="AC65" i="49"/>
  <c r="AB67" i="49"/>
  <c r="AC66" i="49"/>
  <c r="AB68" i="49"/>
  <c r="AC67" i="49"/>
  <c r="AC68" i="49"/>
  <c r="AB69" i="49"/>
  <c r="AB70" i="49"/>
  <c r="AC69" i="49"/>
  <c r="AB71" i="49"/>
  <c r="AC70" i="49"/>
  <c r="AC71" i="49"/>
  <c r="AB72" i="49"/>
  <c r="AB73" i="49"/>
  <c r="AC72" i="49"/>
  <c r="AB74" i="49"/>
  <c r="AC73" i="49"/>
  <c r="AC74" i="49"/>
  <c r="AB75" i="49"/>
  <c r="AC75" i="49"/>
  <c r="AB76" i="49"/>
  <c r="AC76" i="49"/>
  <c r="AB77" i="49"/>
  <c r="AC77" i="49"/>
  <c r="AB78" i="49"/>
  <c r="AC78" i="49"/>
  <c r="AB79" i="49"/>
  <c r="AC79" i="49"/>
  <c r="AB80" i="49"/>
  <c r="AB81" i="49"/>
  <c r="AC80" i="49"/>
  <c r="AB82" i="49"/>
  <c r="AC81" i="49"/>
  <c r="AB83" i="49"/>
  <c r="AC82" i="49"/>
  <c r="AB84" i="49"/>
  <c r="AC83" i="49"/>
  <c r="AC84" i="49"/>
  <c r="AB85" i="49"/>
  <c r="AB86" i="49"/>
  <c r="AC85" i="49"/>
  <c r="AB87" i="49"/>
  <c r="AC86" i="49"/>
  <c r="AB88" i="49"/>
  <c r="AC87" i="49"/>
  <c r="AB89" i="49"/>
  <c r="AC88" i="49"/>
  <c r="AC89" i="49"/>
  <c r="AB90" i="49"/>
  <c r="AC90" i="49"/>
  <c r="AB91" i="49"/>
  <c r="AB92" i="49"/>
  <c r="AC91" i="49"/>
  <c r="AC92" i="49"/>
  <c r="AB93" i="49"/>
  <c r="AC93" i="49"/>
  <c r="AB94" i="49"/>
  <c r="AB95" i="49"/>
  <c r="AC94" i="49"/>
  <c r="AB96" i="49"/>
  <c r="AC95" i="49"/>
  <c r="AB97" i="49"/>
  <c r="AC96" i="49"/>
  <c r="AB98" i="49"/>
  <c r="AC97" i="49"/>
  <c r="AB99" i="49"/>
  <c r="AC98" i="49"/>
  <c r="AB100" i="49"/>
  <c r="AC99" i="49"/>
  <c r="AB101" i="49"/>
  <c r="AC100" i="49"/>
  <c r="AC101" i="49"/>
  <c r="AB102" i="49"/>
  <c r="AB103" i="49"/>
  <c r="AC102" i="49"/>
  <c r="AB104" i="49"/>
  <c r="AC103" i="49"/>
  <c r="AC104" i="49"/>
  <c r="AB105" i="49"/>
  <c r="AB106" i="49"/>
  <c r="AC105" i="49"/>
  <c r="AB107" i="49"/>
  <c r="AC106" i="49"/>
  <c r="AC107" i="49"/>
  <c r="AB108" i="49"/>
  <c r="AC108" i="49"/>
  <c r="AB109" i="49"/>
  <c r="AB110" i="49"/>
  <c r="AC109" i="49"/>
  <c r="AC110" i="49"/>
  <c r="AB111" i="49"/>
  <c r="AB112" i="49"/>
  <c r="AC111" i="49"/>
  <c r="AC112" i="49"/>
  <c r="AB113" i="49"/>
  <c r="AC113" i="49"/>
  <c r="AB114" i="49"/>
  <c r="AC114" i="49"/>
  <c r="AB115" i="49"/>
  <c r="AC115" i="49"/>
  <c r="AB116" i="49"/>
  <c r="AB117" i="49"/>
  <c r="AC116" i="49"/>
  <c r="AC117" i="49"/>
  <c r="AB118" i="49"/>
  <c r="AC118" i="49"/>
  <c r="AB119" i="49"/>
  <c r="AB120" i="49"/>
  <c r="AC119" i="49"/>
  <c r="AB121" i="49"/>
  <c r="AC120" i="49"/>
  <c r="AC121" i="49"/>
  <c r="AB122" i="49"/>
  <c r="AC122" i="49"/>
  <c r="AB123" i="49"/>
  <c r="AC123" i="49"/>
  <c r="AB124" i="49"/>
  <c r="AC124" i="49"/>
  <c r="AB125" i="49"/>
  <c r="AC125" i="49"/>
  <c r="AB126" i="49"/>
  <c r="AB127" i="49"/>
  <c r="AC126" i="49"/>
  <c r="AB128" i="49"/>
  <c r="AC127" i="49"/>
  <c r="AB129" i="49"/>
  <c r="AC128" i="49"/>
  <c r="AC129" i="49"/>
  <c r="AB130" i="49"/>
  <c r="AC130" i="49"/>
  <c r="AB131" i="49"/>
  <c r="AC131" i="49"/>
  <c r="AB132" i="49"/>
  <c r="AB133" i="49"/>
  <c r="AC132" i="49"/>
  <c r="AC133" i="49"/>
  <c r="AB134" i="49"/>
  <c r="AC134" i="49"/>
  <c r="AB135" i="49"/>
  <c r="AC135" i="49"/>
  <c r="AB136" i="49"/>
  <c r="AB137" i="49"/>
  <c r="AC136" i="49"/>
  <c r="AB138" i="49"/>
  <c r="AC137" i="49"/>
  <c r="AB139" i="49"/>
  <c r="AC138" i="49"/>
  <c r="AB140" i="49"/>
  <c r="AC139" i="49"/>
  <c r="AC140" i="49"/>
  <c r="AB141" i="49"/>
  <c r="AC141" i="49"/>
  <c r="AB142" i="49"/>
  <c r="AC142" i="49"/>
  <c r="AB143" i="49"/>
  <c r="AC143" i="49"/>
  <c r="AB144" i="49"/>
  <c r="AB145" i="49"/>
  <c r="AC144" i="49"/>
  <c r="AB146" i="49"/>
  <c r="AC145" i="49"/>
  <c r="AC146" i="49"/>
  <c r="AB147" i="49"/>
  <c r="AC147" i="49"/>
  <c r="AB148" i="49"/>
  <c r="AC148" i="49"/>
  <c r="AB149" i="49"/>
  <c r="AB150" i="49"/>
  <c r="AC149" i="49"/>
  <c r="AB151" i="49"/>
  <c r="AC150" i="49"/>
  <c r="AC151" i="49"/>
  <c r="AB152" i="49"/>
  <c r="AC152" i="49"/>
  <c r="AB153" i="49"/>
  <c r="AB154" i="49"/>
  <c r="AC153" i="49"/>
  <c r="AC154" i="49"/>
  <c r="AB155" i="49"/>
  <c r="AB156" i="49"/>
  <c r="AC155" i="49"/>
  <c r="AB157" i="49"/>
  <c r="AC156" i="49"/>
  <c r="AC157" i="49"/>
  <c r="AB158" i="49"/>
  <c r="AC158" i="49"/>
  <c r="AB159" i="49"/>
  <c r="AC159" i="49"/>
  <c r="AB160" i="49"/>
  <c r="AB161" i="49"/>
  <c r="AC160" i="49"/>
  <c r="AB162" i="49"/>
  <c r="AC161" i="49"/>
  <c r="AB163" i="49"/>
  <c r="AC162" i="49"/>
  <c r="AB164" i="49"/>
  <c r="AC163" i="49"/>
  <c r="AB165" i="49"/>
  <c r="AC164" i="49"/>
  <c r="AB166" i="49"/>
  <c r="AC165" i="49"/>
  <c r="AC166" i="49"/>
  <c r="AB167" i="49"/>
  <c r="AB168" i="49"/>
  <c r="AC167" i="49"/>
  <c r="AC168" i="49"/>
  <c r="AB169" i="49"/>
  <c r="AB170" i="49"/>
  <c r="AC169" i="49"/>
  <c r="AC170" i="49"/>
  <c r="AB171" i="49"/>
  <c r="AB172" i="49"/>
  <c r="AC171" i="49"/>
  <c r="AB173" i="49"/>
  <c r="AC172" i="49"/>
  <c r="AC173" i="49"/>
  <c r="AB174" i="49"/>
  <c r="AC174" i="49"/>
  <c r="AB175" i="49"/>
  <c r="AB176" i="49"/>
  <c r="AC175" i="49"/>
  <c r="AC176" i="49"/>
  <c r="AB177" i="49"/>
  <c r="AC177" i="49"/>
  <c r="AB178" i="49"/>
  <c r="AC178" i="49"/>
  <c r="AB179" i="49"/>
  <c r="AC179" i="49"/>
  <c r="AB180" i="49"/>
  <c r="AB181" i="49"/>
  <c r="AC180" i="49"/>
  <c r="AB182" i="49"/>
  <c r="AC181" i="49"/>
  <c r="AC182" i="49"/>
  <c r="AB183" i="49"/>
  <c r="AB184" i="49"/>
  <c r="AC183" i="49"/>
  <c r="AB185" i="49"/>
  <c r="AC184" i="49"/>
  <c r="AC185" i="49"/>
  <c r="AB186" i="49"/>
  <c r="AC186" i="49"/>
  <c r="AB187" i="49"/>
  <c r="AC187" i="49"/>
  <c r="AB188" i="49"/>
  <c r="AC188" i="49"/>
  <c r="AB189" i="49"/>
  <c r="AB190" i="49"/>
  <c r="AC189" i="49"/>
  <c r="AC190" i="49"/>
  <c r="AB191" i="49"/>
  <c r="AC191" i="49"/>
  <c r="AB192" i="49"/>
  <c r="AC192" i="49"/>
  <c r="AB193" i="49"/>
  <c r="AC193" i="49"/>
  <c r="AB194" i="49"/>
  <c r="AB195" i="49"/>
  <c r="AC194" i="49"/>
  <c r="AC195" i="49"/>
  <c r="AB196" i="49"/>
  <c r="AC196" i="49"/>
  <c r="AB197" i="49"/>
  <c r="AC197" i="49"/>
  <c r="AB198" i="49"/>
  <c r="AB199" i="49"/>
  <c r="AC198" i="49"/>
  <c r="AB200" i="49"/>
  <c r="AC199" i="49"/>
  <c r="AB201" i="49"/>
  <c r="AC200" i="49"/>
  <c r="AC201" i="49"/>
  <c r="AB202" i="49"/>
  <c r="AB203" i="49"/>
  <c r="AC202" i="49"/>
  <c r="AB204" i="49"/>
  <c r="AC203" i="49"/>
  <c r="AC204" i="49"/>
  <c r="AB205" i="49"/>
  <c r="AC205" i="49"/>
  <c r="AB206" i="49"/>
  <c r="AC206" i="49"/>
  <c r="AB207" i="49"/>
  <c r="AB208" i="49"/>
  <c r="AC207" i="49"/>
  <c r="AC208" i="49"/>
  <c r="AB209" i="49"/>
  <c r="AC209" i="49"/>
  <c r="AB210" i="49"/>
  <c r="AC210" i="49"/>
  <c r="AB211" i="49"/>
  <c r="AB212" i="49"/>
  <c r="AC211" i="49"/>
  <c r="AC212" i="49"/>
  <c r="AB213" i="49"/>
  <c r="AC213" i="49"/>
  <c r="AB214" i="49"/>
  <c r="AC214" i="49"/>
  <c r="AB215" i="49"/>
  <c r="AB216" i="49"/>
  <c r="AC215" i="49"/>
  <c r="AC216" i="49"/>
  <c r="AB217" i="49"/>
  <c r="AB218" i="49"/>
  <c r="AC217" i="49"/>
  <c r="AC218" i="49"/>
  <c r="AB219" i="49"/>
  <c r="AC219" i="49"/>
  <c r="AB220" i="49"/>
  <c r="AB221" i="49"/>
  <c r="AC220" i="49"/>
  <c r="AC221" i="49"/>
  <c r="AB222" i="49"/>
  <c r="AC222" i="49"/>
  <c r="AB223" i="49"/>
  <c r="AB224" i="49"/>
  <c r="AC223" i="49"/>
  <c r="AB225" i="49"/>
  <c r="AC224" i="49"/>
  <c r="AC225" i="49"/>
  <c r="AB226" i="49"/>
  <c r="AC226" i="49"/>
  <c r="AB227" i="49"/>
  <c r="AB228" i="49"/>
  <c r="AC227" i="49"/>
  <c r="AC228" i="49"/>
  <c r="AB229" i="49"/>
  <c r="AB230" i="49"/>
  <c r="AC229" i="49"/>
  <c r="AB231" i="49"/>
  <c r="AC230" i="49"/>
  <c r="AB232" i="49"/>
  <c r="AC231" i="49"/>
  <c r="AB233" i="49"/>
  <c r="AC232" i="49"/>
  <c r="AC233" i="49"/>
  <c r="AB234" i="49"/>
  <c r="AB235" i="49"/>
  <c r="AC234" i="49"/>
  <c r="AC235" i="49"/>
  <c r="AB236" i="49"/>
  <c r="AB237" i="49"/>
  <c r="AC236" i="49"/>
  <c r="AC237" i="49"/>
  <c r="AB238" i="49"/>
  <c r="AB239" i="49"/>
  <c r="AC238" i="49"/>
  <c r="AC239" i="49"/>
  <c r="AB240" i="49"/>
  <c r="AC240" i="49"/>
  <c r="AB241" i="49"/>
  <c r="AC241" i="49"/>
  <c r="AB242" i="49"/>
  <c r="AC242" i="49"/>
  <c r="AB243" i="49"/>
  <c r="AB244" i="49"/>
  <c r="AC243" i="49"/>
  <c r="AB245" i="49"/>
  <c r="AC244" i="49"/>
  <c r="AC245" i="49"/>
  <c r="AB246" i="49"/>
  <c r="AB247" i="49"/>
  <c r="AC246" i="49"/>
  <c r="AC247" i="49"/>
  <c r="AB248" i="49"/>
  <c r="AC248" i="49"/>
  <c r="AB249" i="49"/>
  <c r="AC249" i="49"/>
  <c r="AB250" i="49"/>
  <c r="AC250" i="49"/>
  <c r="AB251" i="49"/>
  <c r="AB252" i="49"/>
  <c r="AC251" i="49"/>
  <c r="AB253" i="49"/>
  <c r="AC252" i="49"/>
  <c r="AB254" i="49"/>
  <c r="AC253" i="49"/>
  <c r="AC254" i="49"/>
  <c r="AB255" i="49"/>
  <c r="AB256" i="49"/>
  <c r="AC255" i="49"/>
  <c r="AB257" i="49"/>
  <c r="AC256" i="49"/>
  <c r="J20" i="50" l="1"/>
  <c r="G20" i="50"/>
  <c r="E20" i="50"/>
  <c r="F20" i="50"/>
  <c r="E19" i="50"/>
  <c r="G19" i="50"/>
  <c r="B20" i="50"/>
  <c r="Q7" i="50"/>
  <c r="S7" i="50"/>
  <c r="R7" i="50"/>
  <c r="J18" i="50"/>
  <c r="F19" i="50"/>
  <c r="G18" i="50"/>
  <c r="E18" i="50"/>
  <c r="B19" i="50"/>
  <c r="S6" i="50"/>
  <c r="R6" i="50"/>
  <c r="Q6" i="50"/>
  <c r="J17" i="50"/>
  <c r="F18" i="50"/>
  <c r="G17" i="50"/>
  <c r="E17" i="50"/>
  <c r="B18" i="50"/>
  <c r="F17" i="50"/>
  <c r="BC9" i="50"/>
  <c r="BE9" i="50"/>
  <c r="BD9" i="50"/>
  <c r="BB9" i="50"/>
  <c r="B17" i="50"/>
  <c r="J16" i="50"/>
  <c r="E16" i="50"/>
  <c r="G16" i="50"/>
  <c r="BC8" i="50"/>
  <c r="BD8" i="50"/>
  <c r="BB8" i="50"/>
  <c r="BE8" i="50"/>
  <c r="S4" i="50"/>
  <c r="R4" i="50"/>
  <c r="Q4" i="50"/>
  <c r="F16" i="50"/>
  <c r="BE7" i="50"/>
  <c r="BD7" i="50"/>
  <c r="BC7" i="50"/>
  <c r="BB7" i="50"/>
  <c r="N7" i="43"/>
  <c r="O7" i="43"/>
  <c r="M7" i="43"/>
  <c r="N5" i="43"/>
  <c r="M5" i="43"/>
  <c r="O5" i="43"/>
  <c r="J15" i="50"/>
  <c r="E15" i="50"/>
  <c r="G15" i="50"/>
  <c r="B16" i="50"/>
  <c r="E12" i="42"/>
  <c r="O6" i="43"/>
  <c r="N6" i="43"/>
  <c r="M6" i="43"/>
  <c r="B7" i="43"/>
  <c r="L5" i="39"/>
  <c r="K5" i="39"/>
  <c r="O21" i="45"/>
  <c r="O18" i="45"/>
  <c r="O14" i="45"/>
  <c r="O15" i="45"/>
  <c r="O19" i="45"/>
  <c r="O20" i="45"/>
  <c r="O16" i="45"/>
  <c r="O13" i="45"/>
  <c r="O17" i="45"/>
  <c r="R13" i="45"/>
  <c r="R15" i="45"/>
  <c r="R17" i="45"/>
  <c r="R20" i="45"/>
  <c r="R14" i="45"/>
  <c r="R18" i="45"/>
  <c r="R19" i="45"/>
  <c r="R16" i="45"/>
  <c r="R21" i="45"/>
  <c r="L21" i="45"/>
  <c r="L19" i="45"/>
  <c r="L13" i="45"/>
  <c r="L20" i="45"/>
  <c r="L18" i="45"/>
  <c r="L15" i="45"/>
  <c r="L16" i="45"/>
  <c r="L17" i="45"/>
  <c r="L14" i="45"/>
  <c r="K4" i="39"/>
  <c r="L4" i="39"/>
  <c r="B5" i="43"/>
  <c r="F15" i="50"/>
  <c r="L7" i="39"/>
  <c r="K7" i="39"/>
  <c r="K6" i="39"/>
  <c r="L6" i="39"/>
  <c r="J14" i="50"/>
  <c r="M4" i="43"/>
  <c r="N4" i="43"/>
  <c r="O4" i="43"/>
  <c r="R14" i="47"/>
  <c r="R23" i="47"/>
  <c r="R27" i="47"/>
  <c r="R25" i="47"/>
  <c r="R17" i="47"/>
  <c r="R26" i="47"/>
  <c r="R24" i="47"/>
  <c r="R21" i="47"/>
  <c r="R19" i="47"/>
  <c r="R18" i="47"/>
  <c r="R15" i="47"/>
  <c r="R20" i="47"/>
  <c r="R22" i="47"/>
  <c r="R16" i="47"/>
  <c r="I4" i="48"/>
  <c r="K4" i="48"/>
  <c r="J4" i="48"/>
  <c r="I6" i="48"/>
  <c r="J6" i="48"/>
  <c r="K6" i="48"/>
  <c r="B6" i="43"/>
  <c r="BB5" i="50"/>
  <c r="BC5" i="50"/>
  <c r="BE5" i="50"/>
  <c r="BD5" i="50"/>
  <c r="K4" i="49"/>
  <c r="J4" i="49"/>
  <c r="I4" i="49"/>
  <c r="A7" i="43"/>
  <c r="K9" i="39"/>
  <c r="L9" i="39"/>
  <c r="BC4" i="50"/>
  <c r="BE4" i="50"/>
  <c r="BD4" i="50"/>
  <c r="BB4" i="50"/>
  <c r="L15" i="47"/>
  <c r="L26" i="47"/>
  <c r="L14" i="47"/>
  <c r="L21" i="47"/>
  <c r="L25" i="47"/>
  <c r="L22" i="47"/>
  <c r="L16" i="47"/>
  <c r="L17" i="47"/>
  <c r="L18" i="47"/>
  <c r="L27" i="47"/>
  <c r="L23" i="47"/>
  <c r="L20" i="47"/>
  <c r="L19" i="47"/>
  <c r="L24" i="47"/>
  <c r="A6" i="43"/>
  <c r="A5" i="43"/>
  <c r="C5" i="43" s="1"/>
  <c r="L8" i="39"/>
  <c r="K8" i="39"/>
  <c r="K5" i="48"/>
  <c r="J5" i="48"/>
  <c r="I5" i="48"/>
  <c r="K3" i="39"/>
  <c r="L3" i="39"/>
  <c r="O22" i="47"/>
  <c r="O15" i="47"/>
  <c r="O26" i="47"/>
  <c r="O25" i="47"/>
  <c r="O20" i="47"/>
  <c r="O24" i="47"/>
  <c r="O14" i="47"/>
  <c r="O19" i="47"/>
  <c r="O27" i="47"/>
  <c r="O16" i="47"/>
  <c r="O18" i="47"/>
  <c r="O21" i="47"/>
  <c r="O17" i="47"/>
  <c r="O23" i="47"/>
  <c r="B15" i="50"/>
  <c r="I5" i="49"/>
  <c r="J5" i="49"/>
  <c r="K5" i="49"/>
  <c r="G14" i="50"/>
  <c r="E11" i="42"/>
  <c r="I15" i="39"/>
  <c r="I17" i="39"/>
  <c r="I18" i="39"/>
  <c r="I20" i="39"/>
  <c r="I14" i="39"/>
  <c r="I19" i="39"/>
  <c r="I16" i="39"/>
  <c r="C6" i="43"/>
  <c r="C7" i="43"/>
  <c r="E17" i="42"/>
  <c r="E16" i="42"/>
  <c r="E15" i="42"/>
  <c r="E14" i="42"/>
  <c r="E13" i="42"/>
  <c r="S5" i="50"/>
  <c r="Q5" i="50"/>
  <c r="R5" i="50"/>
  <c r="S3" i="50"/>
  <c r="R3" i="50"/>
  <c r="Q3" i="50"/>
  <c r="K6" i="49"/>
  <c r="J6" i="49"/>
  <c r="I6" i="49"/>
  <c r="J7" i="49"/>
  <c r="K7" i="49"/>
  <c r="I7" i="49"/>
  <c r="K7" i="48"/>
  <c r="I7" i="48"/>
  <c r="J7" i="48"/>
  <c r="B4" i="43"/>
  <c r="C4" i="43" s="1"/>
  <c r="Q14" i="50"/>
  <c r="Q15" i="50"/>
  <c r="Q16" i="50"/>
  <c r="J19" i="50"/>
  <c r="S9" i="50"/>
  <c r="Q9" i="50"/>
  <c r="R9" i="50"/>
  <c r="Q20" i="50"/>
  <c r="AC257" i="49"/>
  <c r="P8" i="50"/>
  <c r="P18" i="50"/>
  <c r="H15" i="42"/>
  <c r="H13" i="42"/>
  <c r="AV10" i="50"/>
  <c r="N5" i="39"/>
  <c r="O7" i="39"/>
  <c r="N5" i="42"/>
  <c r="R12" i="40"/>
  <c r="I34" i="29"/>
  <c r="AC26" i="48"/>
  <c r="P19" i="50"/>
  <c r="BE14" i="39"/>
  <c r="T9" i="40"/>
  <c r="P16" i="50"/>
  <c r="O5" i="39"/>
  <c r="T3" i="45"/>
  <c r="S13" i="45" s="1" a="1"/>
  <c r="N7" i="39"/>
  <c r="N8" i="39"/>
  <c r="BF13" i="39"/>
  <c r="D18" i="42"/>
  <c r="F18" i="42" s="1"/>
  <c r="G18" i="42" s="1"/>
  <c r="AC19" i="39" a="1"/>
  <c r="AF25" i="43"/>
  <c r="T11" i="40"/>
  <c r="H12" i="42"/>
  <c r="P15" i="50"/>
  <c r="O4" i="39"/>
  <c r="H7" i="42"/>
  <c r="O9" i="39"/>
  <c r="N6" i="39"/>
  <c r="AB19" i="39" a="1"/>
  <c r="AC14" i="39" a="1"/>
  <c r="P17" i="50"/>
  <c r="T8" i="40"/>
  <c r="N9" i="39"/>
  <c r="S14" i="47" a="1"/>
  <c r="BF5" i="39"/>
  <c r="AB14" i="39" a="1"/>
  <c r="BL13" i="39"/>
  <c r="P20" i="50"/>
  <c r="O15" i="50"/>
  <c r="H6" i="42"/>
  <c r="N9" i="42"/>
  <c r="AW6" i="50"/>
  <c r="T4" i="40"/>
  <c r="H14" i="42"/>
  <c r="H37" i="29"/>
  <c r="T6" i="40"/>
  <c r="AC4" i="49"/>
  <c r="AC5" i="49"/>
  <c r="O8" i="39"/>
  <c r="N4" i="39"/>
  <c r="P14" i="50"/>
  <c r="N8" i="42"/>
  <c r="BM13" i="39"/>
  <c r="O16" i="50"/>
  <c r="O6" i="39"/>
  <c r="N10" i="42"/>
  <c r="BN13" i="39"/>
  <c r="T7" i="40"/>
  <c r="H11" i="42"/>
  <c r="N7" i="42"/>
  <c r="O3" i="39"/>
  <c r="AC9" i="39" a="1"/>
  <c r="O20" i="50"/>
  <c r="T10" i="40"/>
  <c r="T5" i="40"/>
  <c r="BK13" i="39"/>
  <c r="N6" i="42"/>
  <c r="D34" i="29"/>
  <c r="O19" i="50"/>
  <c r="O18" i="50"/>
  <c r="I28" i="29"/>
  <c r="D19" i="42"/>
  <c r="F19" i="42" s="1"/>
  <c r="O17" i="50"/>
  <c r="H16" i="42"/>
  <c r="W13" i="51"/>
  <c r="Q7" i="45"/>
  <c r="Q4" i="45"/>
  <c r="Q6" i="45"/>
  <c r="Q5" i="47"/>
  <c r="Q10" i="47"/>
  <c r="Q6" i="47"/>
  <c r="Q9" i="47"/>
  <c r="Q5" i="45"/>
  <c r="Q8" i="45"/>
  <c r="Q9" i="45"/>
  <c r="Q7" i="47"/>
  <c r="Q8" i="47"/>
  <c r="AW10" i="50"/>
  <c r="AV11" i="50"/>
  <c r="BF14" i="39"/>
  <c r="BE15" i="39"/>
  <c r="AG25" i="43"/>
  <c r="AF26" i="43"/>
  <c r="BL5" i="39"/>
  <c r="BN5" i="39"/>
  <c r="BK5" i="39"/>
  <c r="BM5" i="39"/>
  <c r="C37" i="29"/>
  <c r="C38" i="29"/>
  <c r="D35" i="29"/>
  <c r="D33" i="29"/>
  <c r="AV12" i="50"/>
  <c r="AW11" i="50"/>
  <c r="BL14" i="39"/>
  <c r="BK14" i="39"/>
  <c r="BN14" i="39"/>
  <c r="BM14" i="39"/>
  <c r="BE16" i="39"/>
  <c r="BF15" i="39"/>
  <c r="AG26" i="43"/>
  <c r="AF27" i="43"/>
  <c r="AW12" i="50"/>
  <c r="AV13" i="50"/>
  <c r="BE17" i="39"/>
  <c r="BF16" i="39"/>
  <c r="BL15" i="39"/>
  <c r="BM15" i="39"/>
  <c r="BK15" i="39"/>
  <c r="BN15" i="39"/>
  <c r="AG27" i="43"/>
  <c r="AF28" i="43"/>
  <c r="AV14" i="50"/>
  <c r="AW13" i="50"/>
  <c r="BF17" i="39"/>
  <c r="BE18" i="39"/>
  <c r="BL16" i="39"/>
  <c r="BN16" i="39"/>
  <c r="BK16" i="39"/>
  <c r="BM16" i="39"/>
  <c r="AF29" i="43"/>
  <c r="AG28" i="43"/>
  <c r="AW14" i="50"/>
  <c r="AV15" i="50"/>
  <c r="BN17" i="39"/>
  <c r="BL17" i="39"/>
  <c r="BK17" i="39"/>
  <c r="BM17" i="39"/>
  <c r="BF18" i="39"/>
  <c r="BE19" i="39"/>
  <c r="AF30" i="43"/>
  <c r="AV16" i="50"/>
  <c r="AW15" i="50"/>
  <c r="BM18" i="39"/>
  <c r="BN18" i="39"/>
  <c r="BL18" i="39"/>
  <c r="BK18" i="39"/>
  <c r="BF19" i="39"/>
  <c r="BE20" i="39"/>
  <c r="AG30" i="43"/>
  <c r="AV17" i="50"/>
  <c r="AW16" i="50"/>
  <c r="BL19" i="39"/>
  <c r="BM19" i="39"/>
  <c r="BN19" i="39"/>
  <c r="BK19" i="39"/>
  <c r="BF20" i="39"/>
  <c r="BE21" i="39"/>
  <c r="AV18" i="50"/>
  <c r="AW17" i="50"/>
  <c r="BK20" i="39"/>
  <c r="BL20" i="39"/>
  <c r="BN20" i="39"/>
  <c r="BM20" i="39"/>
  <c r="BF21" i="39"/>
  <c r="BE22" i="39"/>
  <c r="AV19" i="50"/>
  <c r="AW18" i="50"/>
  <c r="BM21" i="39"/>
  <c r="BK21" i="39"/>
  <c r="BL21" i="39"/>
  <c r="BN21" i="39"/>
  <c r="BE23" i="39"/>
  <c r="BF22" i="39"/>
  <c r="AW19" i="50"/>
  <c r="AV20" i="50"/>
  <c r="BE24" i="39"/>
  <c r="BF23" i="39"/>
  <c r="BK22" i="39"/>
  <c r="BN22" i="39"/>
  <c r="BL22" i="39"/>
  <c r="BM22" i="39"/>
  <c r="AV21" i="50"/>
  <c r="AW20" i="50"/>
  <c r="BF24" i="39"/>
  <c r="BE25" i="39"/>
  <c r="BL23" i="39"/>
  <c r="BM23" i="39"/>
  <c r="BN23" i="39"/>
  <c r="BK23" i="39"/>
  <c r="AV22" i="50"/>
  <c r="AW21" i="50"/>
  <c r="BN24" i="39"/>
  <c r="BL24" i="39"/>
  <c r="BM24" i="39"/>
  <c r="BK24" i="39"/>
  <c r="BE26" i="39"/>
  <c r="BF25" i="39"/>
  <c r="AV23" i="50"/>
  <c r="AW22" i="50"/>
  <c r="BF26" i="39"/>
  <c r="BE27" i="39"/>
  <c r="BK25" i="39"/>
  <c r="BL25" i="39"/>
  <c r="BM25" i="39"/>
  <c r="BN25" i="39"/>
  <c r="AW23" i="50"/>
  <c r="AV24" i="50"/>
  <c r="BM26" i="39"/>
  <c r="BL26" i="39"/>
  <c r="BN26" i="39"/>
  <c r="BK26" i="39"/>
  <c r="BF27" i="39"/>
  <c r="BE28" i="39"/>
  <c r="AW24" i="50"/>
  <c r="AV25" i="50"/>
  <c r="BN27" i="39"/>
  <c r="BK27" i="39"/>
  <c r="BM27" i="39"/>
  <c r="BL27" i="39"/>
  <c r="BF28" i="39"/>
  <c r="BE29" i="39"/>
  <c r="AV26" i="50"/>
  <c r="AW25" i="50"/>
  <c r="BK28" i="39"/>
  <c r="BN28" i="39"/>
  <c r="BL28" i="39"/>
  <c r="BM28" i="39"/>
  <c r="BE30" i="39"/>
  <c r="BF29" i="39"/>
  <c r="AV27" i="50"/>
  <c r="AW26" i="50"/>
  <c r="BF30" i="39"/>
  <c r="BE31" i="39"/>
  <c r="BN29" i="39"/>
  <c r="BL29" i="39"/>
  <c r="BM29" i="39"/>
  <c r="BK29" i="39"/>
  <c r="AW27" i="50"/>
  <c r="AV28" i="50"/>
  <c r="BK30" i="39"/>
  <c r="BL30" i="39"/>
  <c r="BN30" i="39"/>
  <c r="BM30" i="39"/>
  <c r="BF31" i="39"/>
  <c r="BE32" i="39"/>
  <c r="AW28" i="50"/>
  <c r="AV29" i="50"/>
  <c r="BK31" i="39"/>
  <c r="BM31" i="39"/>
  <c r="BN31" i="39"/>
  <c r="BL31" i="39"/>
  <c r="BE33" i="39"/>
  <c r="BF32" i="39"/>
  <c r="AW29" i="50"/>
  <c r="AV30" i="50"/>
  <c r="BF33" i="39"/>
  <c r="BE34" i="39"/>
  <c r="BK32" i="39"/>
  <c r="BL32" i="39"/>
  <c r="BM32" i="39"/>
  <c r="BN32" i="39"/>
  <c r="AV31" i="50"/>
  <c r="AW30" i="50"/>
  <c r="BK33" i="39"/>
  <c r="BN33" i="39"/>
  <c r="BM33" i="39"/>
  <c r="BL33" i="39"/>
  <c r="BE35" i="39"/>
  <c r="BF34" i="39"/>
  <c r="AV32" i="50"/>
  <c r="AW31" i="50"/>
  <c r="BE36" i="39"/>
  <c r="BF35" i="39"/>
  <c r="BL34" i="39"/>
  <c r="BK34" i="39"/>
  <c r="BM34" i="39"/>
  <c r="BN34" i="39"/>
  <c r="AW32" i="50"/>
  <c r="AV33" i="50"/>
  <c r="BF36" i="39"/>
  <c r="BE37" i="39"/>
  <c r="BL35" i="39"/>
  <c r="BN35" i="39"/>
  <c r="BK35" i="39"/>
  <c r="BM35" i="39"/>
  <c r="AV34" i="50"/>
  <c r="AW33" i="50"/>
  <c r="BM36" i="39"/>
  <c r="BL36" i="39"/>
  <c r="BK36" i="39"/>
  <c r="BN36" i="39"/>
  <c r="BE38" i="39"/>
  <c r="BF37" i="39"/>
  <c r="AW34" i="50"/>
  <c r="AV35" i="50"/>
  <c r="BF38" i="39"/>
  <c r="BE39" i="39"/>
  <c r="BM37" i="39"/>
  <c r="BL37" i="39"/>
  <c r="BN37" i="39"/>
  <c r="BK37" i="39"/>
  <c r="AV36" i="50"/>
  <c r="AW35" i="50"/>
  <c r="BL38" i="39"/>
  <c r="BM38" i="39"/>
  <c r="BN38" i="39"/>
  <c r="BK38" i="39"/>
  <c r="BE40" i="39"/>
  <c r="BF39" i="39"/>
  <c r="AW36" i="50"/>
  <c r="AV37" i="50"/>
  <c r="BF40" i="39"/>
  <c r="BE41" i="39"/>
  <c r="BL39" i="39"/>
  <c r="BM39" i="39"/>
  <c r="BK39" i="39"/>
  <c r="BN39" i="39"/>
  <c r="AW37" i="50"/>
  <c r="AV38" i="50"/>
  <c r="BL40" i="39"/>
  <c r="BN40" i="39"/>
  <c r="BK40" i="39"/>
  <c r="BM40" i="39"/>
  <c r="BF41" i="39"/>
  <c r="BE42" i="39"/>
  <c r="AW38" i="50"/>
  <c r="AV39" i="50"/>
  <c r="BN41" i="39"/>
  <c r="BL41" i="39"/>
  <c r="BM41" i="39"/>
  <c r="BK41" i="39"/>
  <c r="BF42" i="39"/>
  <c r="BE43" i="39"/>
  <c r="AV40" i="50"/>
  <c r="AW39" i="50"/>
  <c r="BM42" i="39"/>
  <c r="BL42" i="39"/>
  <c r="BK42" i="39"/>
  <c r="BN42" i="39"/>
  <c r="BE44" i="39"/>
  <c r="BF43" i="39"/>
  <c r="AV41" i="50"/>
  <c r="AW40" i="50"/>
  <c r="BE45" i="39"/>
  <c r="BF44" i="39"/>
  <c r="BK43" i="39"/>
  <c r="BL43" i="39"/>
  <c r="BM43" i="39"/>
  <c r="BN43" i="39"/>
  <c r="AV42" i="50"/>
  <c r="AW41" i="50"/>
  <c r="BF45" i="39"/>
  <c r="BE46" i="39"/>
  <c r="BK44" i="39"/>
  <c r="BN44" i="39"/>
  <c r="BL44" i="39"/>
  <c r="BM44" i="39"/>
  <c r="AW42" i="50"/>
  <c r="AV43" i="50"/>
  <c r="BL45" i="39"/>
  <c r="BK45" i="39"/>
  <c r="BM45" i="39"/>
  <c r="BN45" i="39"/>
  <c r="BF46" i="39"/>
  <c r="BE47" i="39"/>
  <c r="AW43" i="50"/>
  <c r="AV44" i="50"/>
  <c r="BK46" i="39"/>
  <c r="BL46" i="39"/>
  <c r="BN46" i="39"/>
  <c r="BM46" i="39"/>
  <c r="BF47" i="39"/>
  <c r="BE48" i="39"/>
  <c r="AW44" i="50"/>
  <c r="AV45" i="50"/>
  <c r="BK47" i="39"/>
  <c r="BL47" i="39"/>
  <c r="BN47" i="39"/>
  <c r="BM47" i="39"/>
  <c r="BE49" i="39"/>
  <c r="BF48" i="39"/>
  <c r="AV46" i="50"/>
  <c r="AW45" i="50"/>
  <c r="BF49" i="39"/>
  <c r="BE50" i="39"/>
  <c r="BK48" i="39"/>
  <c r="BM48" i="39"/>
  <c r="BN48" i="39"/>
  <c r="BL48" i="39"/>
  <c r="AW46" i="50"/>
  <c r="AV47" i="50"/>
  <c r="BN49" i="39"/>
  <c r="BK49" i="39"/>
  <c r="BL49" i="39"/>
  <c r="BM49" i="39"/>
  <c r="BF50" i="39"/>
  <c r="BE51" i="39"/>
  <c r="AW47" i="50"/>
  <c r="AV48" i="50"/>
  <c r="BN50" i="39"/>
  <c r="BK50" i="39"/>
  <c r="BM50" i="39"/>
  <c r="BL50" i="39"/>
  <c r="BF51" i="39"/>
  <c r="BE52" i="39"/>
  <c r="AV49" i="50"/>
  <c r="AW48" i="50"/>
  <c r="BL51" i="39"/>
  <c r="BM51" i="39"/>
  <c r="BN51" i="39"/>
  <c r="BK51" i="39"/>
  <c r="BF52" i="39"/>
  <c r="BE53" i="39"/>
  <c r="AW49" i="50"/>
  <c r="AV50" i="50"/>
  <c r="BL52" i="39"/>
  <c r="BM52" i="39"/>
  <c r="BN52" i="39"/>
  <c r="BK52" i="39"/>
  <c r="BF53" i="39"/>
  <c r="BE54" i="39"/>
  <c r="AW50" i="50"/>
  <c r="AV51" i="50"/>
  <c r="BN53" i="39"/>
  <c r="BK53" i="39"/>
  <c r="BM53" i="39"/>
  <c r="BL53" i="39"/>
  <c r="BF54" i="39"/>
  <c r="BE55" i="39"/>
  <c r="AW51" i="50"/>
  <c r="AV52" i="50"/>
  <c r="BM54" i="39"/>
  <c r="BK54" i="39"/>
  <c r="BN54" i="39"/>
  <c r="BL54" i="39"/>
  <c r="BF55" i="39"/>
  <c r="BE56" i="39"/>
  <c r="AW52" i="50"/>
  <c r="AV53" i="50"/>
  <c r="BM55" i="39"/>
  <c r="BK55" i="39"/>
  <c r="BN55" i="39"/>
  <c r="BL55" i="39"/>
  <c r="BE57" i="39"/>
  <c r="BF56" i="39"/>
  <c r="AW53" i="50"/>
  <c r="AV54" i="50"/>
  <c r="BF57" i="39"/>
  <c r="BE58" i="39"/>
  <c r="BK56" i="39"/>
  <c r="BN56" i="39"/>
  <c r="BL56" i="39"/>
  <c r="BM56" i="39"/>
  <c r="AV55" i="50"/>
  <c r="AW54" i="50"/>
  <c r="BN57" i="39"/>
  <c r="BL57" i="39"/>
  <c r="BM57" i="39"/>
  <c r="BK57" i="39"/>
  <c r="BF58" i="39"/>
  <c r="BE59" i="39"/>
  <c r="AV56" i="50"/>
  <c r="AW55" i="50"/>
  <c r="BK58" i="39"/>
  <c r="BM58" i="39"/>
  <c r="BN58" i="39"/>
  <c r="BL58" i="39"/>
  <c r="BF59" i="39"/>
  <c r="BE60" i="39"/>
  <c r="AV57" i="50"/>
  <c r="AW56" i="50"/>
  <c r="BK59" i="39"/>
  <c r="BL59" i="39"/>
  <c r="BN59" i="39"/>
  <c r="BM59" i="39"/>
  <c r="BF60" i="39"/>
  <c r="BE61" i="39"/>
  <c r="AV58" i="50"/>
  <c r="AW57" i="50"/>
  <c r="BL60" i="39"/>
  <c r="BK60" i="39"/>
  <c r="BM60" i="39"/>
  <c r="BN60" i="39"/>
  <c r="BF61" i="39"/>
  <c r="BE62" i="39"/>
  <c r="AV59" i="50"/>
  <c r="AW58" i="50"/>
  <c r="BM61" i="39"/>
  <c r="BN61" i="39"/>
  <c r="BK61" i="39"/>
  <c r="BL61" i="39"/>
  <c r="BE63" i="39"/>
  <c r="BF62" i="39"/>
  <c r="AW59" i="50"/>
  <c r="AV60" i="50"/>
  <c r="BE64" i="39"/>
  <c r="BF63" i="39"/>
  <c r="BM62" i="39"/>
  <c r="BK62" i="39"/>
  <c r="BN62" i="39"/>
  <c r="BL62" i="39"/>
  <c r="AV61" i="50"/>
  <c r="AW60" i="50"/>
  <c r="BF64" i="39"/>
  <c r="BE65" i="39"/>
  <c r="BN63" i="39"/>
  <c r="BM63" i="39"/>
  <c r="BK63" i="39"/>
  <c r="BL63" i="39"/>
  <c r="AW61" i="50"/>
  <c r="AV62" i="50"/>
  <c r="BN64" i="39"/>
  <c r="BK64" i="39"/>
  <c r="BM64" i="39"/>
  <c r="BL64" i="39"/>
  <c r="BE66" i="39"/>
  <c r="BF65" i="39"/>
  <c r="AW62" i="50"/>
  <c r="AV63" i="50"/>
  <c r="BE67" i="39"/>
  <c r="BF66" i="39"/>
  <c r="BN65" i="39"/>
  <c r="BM65" i="39"/>
  <c r="BK65" i="39"/>
  <c r="BL65" i="39"/>
  <c r="AW63" i="50"/>
  <c r="AV64" i="50"/>
  <c r="BE68" i="39"/>
  <c r="BF67" i="39"/>
  <c r="BK66" i="39"/>
  <c r="BL66" i="39"/>
  <c r="BM66" i="39"/>
  <c r="BN66" i="39"/>
  <c r="AV65" i="50"/>
  <c r="AW64" i="50"/>
  <c r="BE69" i="39"/>
  <c r="BF68" i="39"/>
  <c r="BL67" i="39"/>
  <c r="BN67" i="39"/>
  <c r="BM67" i="39"/>
  <c r="BK67" i="39"/>
  <c r="AW65" i="50"/>
  <c r="AV66" i="50"/>
  <c r="BF69" i="39"/>
  <c r="BE70" i="39"/>
  <c r="BM68" i="39"/>
  <c r="BK68" i="39"/>
  <c r="BL68" i="39"/>
  <c r="BN68" i="39"/>
  <c r="AV67" i="50"/>
  <c r="AW66" i="50"/>
  <c r="BL69" i="39"/>
  <c r="BK69" i="39"/>
  <c r="BM69" i="39"/>
  <c r="BN69" i="39"/>
  <c r="BF70" i="39"/>
  <c r="BE71" i="39"/>
  <c r="AV68" i="50"/>
  <c r="AW67" i="50"/>
  <c r="BK70" i="39"/>
  <c r="BN70" i="39"/>
  <c r="BM70" i="39"/>
  <c r="BL70" i="39"/>
  <c r="BF71" i="39"/>
  <c r="BE72" i="39"/>
  <c r="AW68" i="50"/>
  <c r="AV69" i="50"/>
  <c r="BL71" i="39"/>
  <c r="BN71" i="39"/>
  <c r="BK71" i="39"/>
  <c r="BM71" i="39"/>
  <c r="BF72" i="39"/>
  <c r="BE73" i="39"/>
  <c r="AV70" i="50"/>
  <c r="AW69" i="50"/>
  <c r="BN72" i="39"/>
  <c r="BM72" i="39"/>
  <c r="BL72" i="39"/>
  <c r="BK72" i="39"/>
  <c r="BE74" i="39"/>
  <c r="BF73" i="39"/>
  <c r="AW70" i="50"/>
  <c r="AV71" i="50"/>
  <c r="BF74" i="39"/>
  <c r="BE75" i="39"/>
  <c r="BM73" i="39"/>
  <c r="BN73" i="39"/>
  <c r="BK73" i="39"/>
  <c r="BL73" i="39"/>
  <c r="AV72" i="50"/>
  <c r="AW71" i="50"/>
  <c r="BN74" i="39"/>
  <c r="BL74" i="39"/>
  <c r="BM74" i="39"/>
  <c r="BK74" i="39"/>
  <c r="BE76" i="39"/>
  <c r="BF75" i="39"/>
  <c r="AW72" i="50"/>
  <c r="AV73" i="50"/>
  <c r="BE77" i="39"/>
  <c r="BF76" i="39"/>
  <c r="BN75" i="39"/>
  <c r="BK75" i="39"/>
  <c r="BL75" i="39"/>
  <c r="BM75" i="39"/>
  <c r="AV74" i="50"/>
  <c r="AW73" i="50"/>
  <c r="BF77" i="39"/>
  <c r="BE78" i="39"/>
  <c r="BK76" i="39"/>
  <c r="BL76" i="39"/>
  <c r="BM76" i="39"/>
  <c r="BN76" i="39"/>
  <c r="AV75" i="50"/>
  <c r="AW74" i="50"/>
  <c r="BL77" i="39"/>
  <c r="BM77" i="39"/>
  <c r="BN77" i="39"/>
  <c r="BK77" i="39"/>
  <c r="BF78" i="39"/>
  <c r="BE79" i="39"/>
  <c r="AW75" i="50"/>
  <c r="AV76" i="50"/>
  <c r="BN78" i="39"/>
  <c r="BK78" i="39"/>
  <c r="BM78" i="39"/>
  <c r="BL78" i="39"/>
  <c r="BF79" i="39"/>
  <c r="BE80" i="39"/>
  <c r="AV77" i="50"/>
  <c r="AW76" i="50"/>
  <c r="BL79" i="39"/>
  <c r="BM79" i="39"/>
  <c r="BK79" i="39"/>
  <c r="BN79" i="39"/>
  <c r="BF80" i="39"/>
  <c r="BE81" i="39"/>
  <c r="AV78" i="50"/>
  <c r="AW77" i="50"/>
  <c r="BL80" i="39"/>
  <c r="BK80" i="39"/>
  <c r="BM80" i="39"/>
  <c r="BN80" i="39"/>
  <c r="BF81" i="39"/>
  <c r="BE82" i="39"/>
  <c r="AW78" i="50"/>
  <c r="AV79" i="50"/>
  <c r="BK81" i="39"/>
  <c r="BM81" i="39"/>
  <c r="BL81" i="39"/>
  <c r="BN81" i="39"/>
  <c r="BE83" i="39"/>
  <c r="BF82" i="39"/>
  <c r="AV80" i="50"/>
  <c r="AW79" i="50"/>
  <c r="BE84" i="39"/>
  <c r="BF83" i="39"/>
  <c r="BL82" i="39"/>
  <c r="BN82" i="39"/>
  <c r="BK82" i="39"/>
  <c r="BM82" i="39"/>
  <c r="AW80" i="50"/>
  <c r="AV81" i="50"/>
  <c r="BF84" i="39"/>
  <c r="BE85" i="39"/>
  <c r="BL83" i="39"/>
  <c r="BK83" i="39"/>
  <c r="BM83" i="39"/>
  <c r="BN83" i="39"/>
  <c r="AW81" i="50"/>
  <c r="AV82" i="50"/>
  <c r="BM84" i="39"/>
  <c r="BK84" i="39"/>
  <c r="BL84" i="39"/>
  <c r="BN84" i="39"/>
  <c r="BF85" i="39"/>
  <c r="BE86" i="39"/>
  <c r="AV83" i="50"/>
  <c r="AW82" i="50"/>
  <c r="BL85" i="39"/>
  <c r="BN85" i="39"/>
  <c r="BK85" i="39"/>
  <c r="BM85" i="39"/>
  <c r="BF86" i="39"/>
  <c r="BE87" i="39"/>
  <c r="AW83" i="50"/>
  <c r="AV84" i="50"/>
  <c r="BM86" i="39"/>
  <c r="BL86" i="39"/>
  <c r="BN86" i="39"/>
  <c r="BK86" i="39"/>
  <c r="BE88" i="39"/>
  <c r="BF87" i="39"/>
  <c r="AV85" i="50"/>
  <c r="AW84" i="50"/>
  <c r="BF88" i="39"/>
  <c r="BE89" i="39"/>
  <c r="BL87" i="39"/>
  <c r="BK87" i="39"/>
  <c r="BM87" i="39"/>
  <c r="BN87" i="39"/>
  <c r="AW85" i="50"/>
  <c r="AV86" i="50"/>
  <c r="BL88" i="39"/>
  <c r="BN88" i="39"/>
  <c r="BM88" i="39"/>
  <c r="BK88" i="39"/>
  <c r="BF89" i="39"/>
  <c r="BE90" i="39"/>
  <c r="AV87" i="50"/>
  <c r="AW86" i="50"/>
  <c r="BK89" i="39"/>
  <c r="BM89" i="39"/>
  <c r="BN89" i="39"/>
  <c r="BL89" i="39"/>
  <c r="BF90" i="39"/>
  <c r="BE91" i="39"/>
  <c r="AW87" i="50"/>
  <c r="AV88" i="50"/>
  <c r="BN90" i="39"/>
  <c r="BL90" i="39"/>
  <c r="BK90" i="39"/>
  <c r="BM90" i="39"/>
  <c r="BF91" i="39"/>
  <c r="BE92" i="39"/>
  <c r="AV89" i="50"/>
  <c r="AW88" i="50"/>
  <c r="BL91" i="39"/>
  <c r="BM91" i="39"/>
  <c r="BK91" i="39"/>
  <c r="BN91" i="39"/>
  <c r="BF92" i="39"/>
  <c r="BE93" i="39"/>
  <c r="AW89" i="50"/>
  <c r="AV90" i="50"/>
  <c r="BL92" i="39"/>
  <c r="BM92" i="39"/>
  <c r="BN92" i="39"/>
  <c r="BK92" i="39"/>
  <c r="BE94" i="39"/>
  <c r="BF93" i="39"/>
  <c r="AV91" i="50"/>
  <c r="AW90" i="50"/>
  <c r="BE95" i="39"/>
  <c r="BF94" i="39"/>
  <c r="BL93" i="39"/>
  <c r="BM93" i="39"/>
  <c r="BK93" i="39"/>
  <c r="BN93" i="39"/>
  <c r="AV92" i="50"/>
  <c r="AW91" i="50"/>
  <c r="BF95" i="39"/>
  <c r="BE96" i="39"/>
  <c r="BM94" i="39"/>
  <c r="BN94" i="39"/>
  <c r="BL94" i="39"/>
  <c r="BK94" i="39"/>
  <c r="AV93" i="50"/>
  <c r="AW92" i="50"/>
  <c r="BM95" i="39"/>
  <c r="BN95" i="39"/>
  <c r="BK95" i="39"/>
  <c r="BL95" i="39"/>
  <c r="BE97" i="39"/>
  <c r="BF96" i="39"/>
  <c r="AV94" i="50"/>
  <c r="AW93" i="50"/>
  <c r="BF97" i="39"/>
  <c r="BE98" i="39"/>
  <c r="BM96" i="39"/>
  <c r="BK96" i="39"/>
  <c r="BN96" i="39"/>
  <c r="BL96" i="39"/>
  <c r="AV95" i="50"/>
  <c r="AW94" i="50"/>
  <c r="BK97" i="39"/>
  <c r="BL97" i="39"/>
  <c r="BM97" i="39"/>
  <c r="BN97" i="39"/>
  <c r="BF98" i="39"/>
  <c r="BE99" i="39"/>
  <c r="AV96" i="50"/>
  <c r="AW95" i="50"/>
  <c r="BL98" i="39"/>
  <c r="BK98" i="39"/>
  <c r="BM98" i="39"/>
  <c r="BN98" i="39"/>
  <c r="BE100" i="39"/>
  <c r="BF99" i="39"/>
  <c r="AW96" i="50"/>
  <c r="AV97" i="50"/>
  <c r="BE101" i="39"/>
  <c r="BF100" i="39"/>
  <c r="BK99" i="39"/>
  <c r="BN99" i="39"/>
  <c r="BM99" i="39"/>
  <c r="BL99" i="39"/>
  <c r="AV98" i="50"/>
  <c r="AW97" i="50"/>
  <c r="BF101" i="39"/>
  <c r="BE102" i="39"/>
  <c r="BM100" i="39"/>
  <c r="BK100" i="39"/>
  <c r="BL100" i="39"/>
  <c r="BN100" i="39"/>
  <c r="AW98" i="50"/>
  <c r="AV99" i="50"/>
  <c r="BK101" i="39"/>
  <c r="BN101" i="39"/>
  <c r="BL101" i="39"/>
  <c r="BM101" i="39"/>
  <c r="BE103" i="39"/>
  <c r="BF102" i="39"/>
  <c r="AV100" i="50"/>
  <c r="AW99" i="50"/>
  <c r="BF103" i="39"/>
  <c r="BE104" i="39"/>
  <c r="BM102" i="39"/>
  <c r="BK102" i="39"/>
  <c r="BN102" i="39"/>
  <c r="BL102" i="39"/>
  <c r="AV101" i="50"/>
  <c r="AW100" i="50"/>
  <c r="BK103" i="39"/>
  <c r="BM103" i="39"/>
  <c r="BL103" i="39"/>
  <c r="BN103" i="39"/>
  <c r="BF104" i="39"/>
  <c r="BE105" i="39"/>
  <c r="AW101" i="50"/>
  <c r="AV102" i="50"/>
  <c r="BM104" i="39"/>
  <c r="BK104" i="39"/>
  <c r="BN104" i="39"/>
  <c r="BL104" i="39"/>
  <c r="BE106" i="39"/>
  <c r="BF105" i="39"/>
  <c r="AW102" i="50"/>
  <c r="AV103" i="50"/>
  <c r="BF106" i="39"/>
  <c r="BE107" i="39"/>
  <c r="BK105" i="39"/>
  <c r="BM105" i="39"/>
  <c r="BL105" i="39"/>
  <c r="BN105" i="39"/>
  <c r="AW103" i="50"/>
  <c r="AV104" i="50"/>
  <c r="BM106" i="39"/>
  <c r="BL106" i="39"/>
  <c r="BN106" i="39"/>
  <c r="BK106" i="39"/>
  <c r="BE108" i="39"/>
  <c r="BF107" i="39"/>
  <c r="AV105" i="50"/>
  <c r="AW104" i="50"/>
  <c r="BF108" i="39"/>
  <c r="BE109" i="39"/>
  <c r="BL107" i="39"/>
  <c r="BK107" i="39"/>
  <c r="BM107" i="39"/>
  <c r="BN107" i="39"/>
  <c r="AW105" i="50"/>
  <c r="AV106" i="50"/>
  <c r="BN108" i="39"/>
  <c r="BM108" i="39"/>
  <c r="BL108" i="39"/>
  <c r="BK108" i="39"/>
  <c r="BE110" i="39"/>
  <c r="BF109" i="39"/>
  <c r="AW106" i="50"/>
  <c r="AV107" i="50"/>
  <c r="BE111" i="39"/>
  <c r="BF110" i="39"/>
  <c r="BL109" i="39"/>
  <c r="BN109" i="39"/>
  <c r="BM109" i="39"/>
  <c r="BK109" i="39"/>
  <c r="AV108" i="50"/>
  <c r="AW107" i="50"/>
  <c r="BF111" i="39"/>
  <c r="BE112" i="39"/>
  <c r="BL110" i="39"/>
  <c r="BK110" i="39"/>
  <c r="BM110" i="39"/>
  <c r="BN110" i="39"/>
  <c r="AW108" i="50"/>
  <c r="AV109" i="50"/>
  <c r="BK111" i="39"/>
  <c r="BM111" i="39"/>
  <c r="BN111" i="39"/>
  <c r="BL111" i="39"/>
  <c r="BF112" i="39"/>
  <c r="BE113" i="39"/>
  <c r="AV110" i="50"/>
  <c r="AW109" i="50"/>
  <c r="BL112" i="39"/>
  <c r="BN112" i="39"/>
  <c r="BM112" i="39"/>
  <c r="BK112" i="39"/>
  <c r="BE114" i="39"/>
  <c r="BF113" i="39"/>
  <c r="AV111" i="50"/>
  <c r="AW110" i="50"/>
  <c r="BF114" i="39"/>
  <c r="BE115" i="39"/>
  <c r="BK113" i="39"/>
  <c r="BN113" i="39"/>
  <c r="BM113" i="39"/>
  <c r="BL113" i="39"/>
  <c r="AW111" i="50"/>
  <c r="AV112" i="50"/>
  <c r="BK114" i="39"/>
  <c r="BM114" i="39"/>
  <c r="BL114" i="39"/>
  <c r="BN114" i="39"/>
  <c r="BF115" i="39"/>
  <c r="BE116" i="39"/>
  <c r="AV113" i="50"/>
  <c r="AW112" i="50"/>
  <c r="BM115" i="39"/>
  <c r="BK115" i="39"/>
  <c r="BN115" i="39"/>
  <c r="BL115" i="39"/>
  <c r="BE117" i="39"/>
  <c r="BF116" i="39"/>
  <c r="AV114" i="50"/>
  <c r="AW113" i="50"/>
  <c r="BF117" i="39"/>
  <c r="BE118" i="39"/>
  <c r="BN116" i="39"/>
  <c r="BM116" i="39"/>
  <c r="BL116" i="39"/>
  <c r="BK116" i="39"/>
  <c r="AV115" i="50"/>
  <c r="AW114" i="50"/>
  <c r="BK117" i="39"/>
  <c r="BM117" i="39"/>
  <c r="BN117" i="39"/>
  <c r="BL117" i="39"/>
  <c r="BE119" i="39"/>
  <c r="BF118" i="39"/>
  <c r="AV116" i="50"/>
  <c r="AW115" i="50"/>
  <c r="BF119" i="39"/>
  <c r="BE120" i="39"/>
  <c r="BL118" i="39"/>
  <c r="BN118" i="39"/>
  <c r="BK118" i="39"/>
  <c r="BM118" i="39"/>
  <c r="AW116" i="50"/>
  <c r="AV117" i="50"/>
  <c r="BK119" i="39"/>
  <c r="BM119" i="39"/>
  <c r="BL119" i="39"/>
  <c r="BN119" i="39"/>
  <c r="BF120" i="39"/>
  <c r="BE121" i="39"/>
  <c r="AV118" i="50"/>
  <c r="AW117" i="50"/>
  <c r="BK120" i="39"/>
  <c r="BM120" i="39"/>
  <c r="BN120" i="39"/>
  <c r="BL120" i="39"/>
  <c r="BF121" i="39"/>
  <c r="BE122" i="39"/>
  <c r="AV119" i="50"/>
  <c r="AW118" i="50"/>
  <c r="BL121" i="39"/>
  <c r="BK121" i="39"/>
  <c r="BM121" i="39"/>
  <c r="BN121" i="39"/>
  <c r="BF122" i="39"/>
  <c r="BE123" i="39"/>
  <c r="AV120" i="50"/>
  <c r="AW119" i="50"/>
  <c r="BL122" i="39"/>
  <c r="BN122" i="39"/>
  <c r="BM122" i="39"/>
  <c r="BK122" i="39"/>
  <c r="BF123" i="39"/>
  <c r="BE124" i="39"/>
  <c r="AV121" i="50"/>
  <c r="AW120" i="50"/>
  <c r="BM123" i="39"/>
  <c r="BN123" i="39"/>
  <c r="BK123" i="39"/>
  <c r="BL123" i="39"/>
  <c r="BE125" i="39"/>
  <c r="BF124" i="39"/>
  <c r="AW121" i="50"/>
  <c r="AV122" i="50"/>
  <c r="BF125" i="39"/>
  <c r="BE126" i="39"/>
  <c r="BM124" i="39"/>
  <c r="BK124" i="39"/>
  <c r="BL124" i="39"/>
  <c r="BN124" i="39"/>
  <c r="AV123" i="50"/>
  <c r="AW122" i="50"/>
  <c r="BM125" i="39"/>
  <c r="BK125" i="39"/>
  <c r="BN125" i="39"/>
  <c r="BL125" i="39"/>
  <c r="BF126" i="39"/>
  <c r="BE127" i="39"/>
  <c r="AV124" i="50"/>
  <c r="AW123" i="50"/>
  <c r="BN126" i="39"/>
  <c r="BK126" i="39"/>
  <c r="BL126" i="39"/>
  <c r="BM126" i="39"/>
  <c r="BF127" i="39"/>
  <c r="BE128" i="39"/>
  <c r="AV125" i="50"/>
  <c r="AW124" i="50"/>
  <c r="BL127" i="39"/>
  <c r="BM127" i="39"/>
  <c r="BK127" i="39"/>
  <c r="BN127" i="39"/>
  <c r="BE129" i="39"/>
  <c r="BF128" i="39"/>
  <c r="AW125" i="50"/>
  <c r="AV126" i="50"/>
  <c r="BF129" i="39"/>
  <c r="BE130" i="39"/>
  <c r="BM128" i="39"/>
  <c r="BL128" i="39"/>
  <c r="BK128" i="39"/>
  <c r="BN128" i="39"/>
  <c r="AV127" i="50"/>
  <c r="AW126" i="50"/>
  <c r="BK129" i="39"/>
  <c r="BN129" i="39"/>
  <c r="BM129" i="39"/>
  <c r="BL129" i="39"/>
  <c r="BF130" i="39"/>
  <c r="BE131" i="39"/>
  <c r="AV128" i="50"/>
  <c r="AW127" i="50"/>
  <c r="BM130" i="39"/>
  <c r="BK130" i="39"/>
  <c r="BN130" i="39"/>
  <c r="BL130" i="39"/>
  <c r="BF131" i="39"/>
  <c r="BE132" i="39"/>
  <c r="AV129" i="50"/>
  <c r="AW128" i="50"/>
  <c r="BK131" i="39"/>
  <c r="BL131" i="39"/>
  <c r="BN131" i="39"/>
  <c r="BM131" i="39"/>
  <c r="BF132" i="39"/>
  <c r="BE133" i="39"/>
  <c r="BF133" i="39" s="1"/>
  <c r="AV130" i="50"/>
  <c r="AW129" i="50"/>
  <c r="BL132" i="39"/>
  <c r="BM132" i="39"/>
  <c r="BK132" i="39"/>
  <c r="BN132" i="39"/>
  <c r="BK133" i="39"/>
  <c r="BN133" i="39"/>
  <c r="BL133" i="39"/>
  <c r="BM133" i="39"/>
  <c r="AV131" i="50"/>
  <c r="AW130" i="50"/>
  <c r="AW131" i="50"/>
  <c r="AV132" i="50"/>
  <c r="AW132" i="50"/>
  <c r="AV133" i="50"/>
  <c r="BC132" i="50" l="1"/>
  <c r="BD132" i="50"/>
  <c r="BE132" i="50"/>
  <c r="BB132" i="50"/>
  <c r="BB131" i="50"/>
  <c r="BC131" i="50"/>
  <c r="BE131" i="50"/>
  <c r="BD131" i="50"/>
  <c r="BB130" i="50"/>
  <c r="BC130" i="50"/>
  <c r="BD130" i="50"/>
  <c r="BE130" i="50"/>
  <c r="BE129" i="50"/>
  <c r="BC129" i="50"/>
  <c r="BB129" i="50"/>
  <c r="BD129" i="50"/>
  <c r="BC128" i="50"/>
  <c r="BD128" i="50"/>
  <c r="BE128" i="50"/>
  <c r="BB128" i="50"/>
  <c r="BB127" i="50"/>
  <c r="BD127" i="50"/>
  <c r="BC127" i="50"/>
  <c r="BE127" i="50"/>
  <c r="BD126" i="50"/>
  <c r="BE126" i="50"/>
  <c r="BB126" i="50"/>
  <c r="BC126" i="50"/>
  <c r="BC125" i="50"/>
  <c r="BB125" i="50"/>
  <c r="BE125" i="50"/>
  <c r="BD125" i="50"/>
  <c r="BD124" i="50"/>
  <c r="BE124" i="50"/>
  <c r="BB124" i="50"/>
  <c r="BC124" i="50"/>
  <c r="BB123" i="50"/>
  <c r="BE123" i="50"/>
  <c r="BC123" i="50"/>
  <c r="BD123" i="50"/>
  <c r="BB122" i="50"/>
  <c r="BE122" i="50"/>
  <c r="BD122" i="50"/>
  <c r="BC122" i="50"/>
  <c r="BC121" i="50"/>
  <c r="BB121" i="50"/>
  <c r="BD121" i="50"/>
  <c r="BE121" i="50"/>
  <c r="BE120" i="50"/>
  <c r="BD120" i="50"/>
  <c r="BC120" i="50"/>
  <c r="BB120" i="50"/>
  <c r="BB119" i="50"/>
  <c r="BE119" i="50"/>
  <c r="BD119" i="50"/>
  <c r="BC119" i="50"/>
  <c r="BD118" i="50"/>
  <c r="BE118" i="50"/>
  <c r="BC118" i="50"/>
  <c r="BB118" i="50"/>
  <c r="BB117" i="50"/>
  <c r="BC117" i="50"/>
  <c r="BD117" i="50"/>
  <c r="BE117" i="50"/>
  <c r="BB116" i="50"/>
  <c r="BE116" i="50"/>
  <c r="BC116" i="50"/>
  <c r="BD116" i="50"/>
  <c r="BD115" i="50"/>
  <c r="BB115" i="50"/>
  <c r="BC115" i="50"/>
  <c r="BE115" i="50"/>
  <c r="BE114" i="50"/>
  <c r="BC114" i="50"/>
  <c r="BD114" i="50"/>
  <c r="BB114" i="50"/>
  <c r="BD113" i="50"/>
  <c r="BB113" i="50"/>
  <c r="BE113" i="50"/>
  <c r="BC113" i="50"/>
  <c r="BE112" i="50"/>
  <c r="BD112" i="50"/>
  <c r="BB112" i="50"/>
  <c r="BC112" i="50"/>
  <c r="BC111" i="50"/>
  <c r="BB111" i="50"/>
  <c r="BD111" i="50"/>
  <c r="BE111" i="50"/>
  <c r="BD110" i="50"/>
  <c r="BE110" i="50"/>
  <c r="BC110" i="50"/>
  <c r="BB110" i="50"/>
  <c r="BB109" i="50"/>
  <c r="BC109" i="50"/>
  <c r="BE109" i="50"/>
  <c r="BD109" i="50"/>
  <c r="BE108" i="50"/>
  <c r="BD108" i="50"/>
  <c r="BC108" i="50"/>
  <c r="BB108" i="50"/>
  <c r="BB107" i="50"/>
  <c r="BC107" i="50"/>
  <c r="BD107" i="50"/>
  <c r="BE107" i="50"/>
  <c r="BC106" i="50"/>
  <c r="BB106" i="50"/>
  <c r="BD106" i="50"/>
  <c r="BE106" i="50"/>
  <c r="BC105" i="50"/>
  <c r="BB105" i="50"/>
  <c r="BE105" i="50"/>
  <c r="BD105" i="50"/>
  <c r="BB104" i="50"/>
  <c r="BE104" i="50"/>
  <c r="BD104" i="50"/>
  <c r="BC104" i="50"/>
  <c r="BC103" i="50"/>
  <c r="BD103" i="50"/>
  <c r="BB103" i="50"/>
  <c r="BE103" i="50"/>
  <c r="BC102" i="50"/>
  <c r="BE102" i="50"/>
  <c r="BD102" i="50"/>
  <c r="BB102" i="50"/>
  <c r="BB101" i="50"/>
  <c r="BC101" i="50"/>
  <c r="BD101" i="50"/>
  <c r="BE101" i="50"/>
  <c r="BE100" i="50"/>
  <c r="BD100" i="50"/>
  <c r="BC100" i="50"/>
  <c r="BB100" i="50"/>
  <c r="BD99" i="50"/>
  <c r="BB99" i="50"/>
  <c r="BC99" i="50"/>
  <c r="BE99" i="50"/>
  <c r="BE98" i="50"/>
  <c r="BC98" i="50"/>
  <c r="BB98" i="50"/>
  <c r="BD98" i="50"/>
  <c r="BB97" i="50"/>
  <c r="BD97" i="50"/>
  <c r="BC97" i="50"/>
  <c r="BE97" i="50"/>
  <c r="BC96" i="50"/>
  <c r="BE96" i="50"/>
  <c r="BD96" i="50"/>
  <c r="BB96" i="50"/>
  <c r="BE95" i="50"/>
  <c r="BC95" i="50"/>
  <c r="BD95" i="50"/>
  <c r="BB95" i="50"/>
  <c r="BC94" i="50"/>
  <c r="BE94" i="50"/>
  <c r="BD94" i="50"/>
  <c r="BB94" i="50"/>
  <c r="BC93" i="50"/>
  <c r="BE93" i="50"/>
  <c r="BD93" i="50"/>
  <c r="BB93" i="50"/>
  <c r="BB92" i="50"/>
  <c r="BD92" i="50"/>
  <c r="BE92" i="50"/>
  <c r="BC92" i="50"/>
  <c r="BD91" i="50"/>
  <c r="BB91" i="50"/>
  <c r="BE91" i="50"/>
  <c r="BC91" i="50"/>
  <c r="BD90" i="50"/>
  <c r="BE90" i="50"/>
  <c r="BC90" i="50"/>
  <c r="BB90" i="50"/>
  <c r="BE89" i="50"/>
  <c r="BB89" i="50"/>
  <c r="BC89" i="50"/>
  <c r="BD89" i="50"/>
  <c r="BC88" i="50"/>
  <c r="BB88" i="50"/>
  <c r="BD88" i="50"/>
  <c r="BE88" i="50"/>
  <c r="BD87" i="50"/>
  <c r="BB87" i="50"/>
  <c r="BC87" i="50"/>
  <c r="BE87" i="50"/>
  <c r="BD86" i="50"/>
  <c r="BC86" i="50"/>
  <c r="BE86" i="50"/>
  <c r="BB86" i="50"/>
  <c r="BE85" i="50"/>
  <c r="BB85" i="50"/>
  <c r="BD85" i="50"/>
  <c r="BC85" i="50"/>
  <c r="BB84" i="50"/>
  <c r="BC84" i="50"/>
  <c r="BE84" i="50"/>
  <c r="BD84" i="50"/>
  <c r="BD83" i="50"/>
  <c r="BC83" i="50"/>
  <c r="BE83" i="50"/>
  <c r="BB83" i="50"/>
  <c r="BB82" i="50"/>
  <c r="BD82" i="50"/>
  <c r="BC82" i="50"/>
  <c r="BE82" i="50"/>
  <c r="BD81" i="50"/>
  <c r="BB81" i="50"/>
  <c r="BE81" i="50"/>
  <c r="BC81" i="50"/>
  <c r="BC80" i="50"/>
  <c r="BB80" i="50"/>
  <c r="BE80" i="50"/>
  <c r="BD80" i="50"/>
  <c r="BB79" i="50"/>
  <c r="BE79" i="50"/>
  <c r="BD79" i="50"/>
  <c r="BC79" i="50"/>
  <c r="BC78" i="50"/>
  <c r="BB78" i="50"/>
  <c r="BD78" i="50"/>
  <c r="BE78" i="50"/>
  <c r="BD77" i="50"/>
  <c r="BB77" i="50"/>
  <c r="BE77" i="50"/>
  <c r="BC77" i="50"/>
  <c r="BE76" i="50"/>
  <c r="BC76" i="50"/>
  <c r="BB76" i="50"/>
  <c r="BD76" i="50"/>
  <c r="BB75" i="50"/>
  <c r="BE75" i="50"/>
  <c r="BD75" i="50"/>
  <c r="BC75" i="50"/>
  <c r="BB74" i="50"/>
  <c r="BE74" i="50"/>
  <c r="BC74" i="50"/>
  <c r="BD74" i="50"/>
  <c r="BD73" i="50"/>
  <c r="BC73" i="50"/>
  <c r="BB73" i="50"/>
  <c r="BE73" i="50"/>
  <c r="BB72" i="50"/>
  <c r="BC72" i="50"/>
  <c r="BD72" i="50"/>
  <c r="BE72" i="50"/>
  <c r="BB71" i="50"/>
  <c r="BD71" i="50"/>
  <c r="BE71" i="50"/>
  <c r="BC71" i="50"/>
  <c r="BB70" i="50"/>
  <c r="BD70" i="50"/>
  <c r="BC70" i="50"/>
  <c r="BE70" i="50"/>
  <c r="BC69" i="50"/>
  <c r="BE69" i="50"/>
  <c r="BD69" i="50"/>
  <c r="BB69" i="50"/>
  <c r="BC68" i="50"/>
  <c r="BE68" i="50"/>
  <c r="BD68" i="50"/>
  <c r="BB68" i="50"/>
  <c r="BD67" i="50"/>
  <c r="BE67" i="50"/>
  <c r="BC67" i="50"/>
  <c r="BB67" i="50"/>
  <c r="BD66" i="50"/>
  <c r="BB66" i="50"/>
  <c r="BE66" i="50"/>
  <c r="BC66" i="50"/>
  <c r="BE65" i="50"/>
  <c r="BD65" i="50"/>
  <c r="BC65" i="50"/>
  <c r="BB65" i="50"/>
  <c r="BB64" i="50"/>
  <c r="BD64" i="50"/>
  <c r="BE64" i="50"/>
  <c r="BC64" i="50"/>
  <c r="BE63" i="50"/>
  <c r="BB63" i="50"/>
  <c r="BD63" i="50"/>
  <c r="BC63" i="50"/>
  <c r="BC62" i="50"/>
  <c r="BB62" i="50"/>
  <c r="BE62" i="50"/>
  <c r="BD62" i="50"/>
  <c r="BC61" i="50"/>
  <c r="BB61" i="50"/>
  <c r="BE61" i="50"/>
  <c r="BD61" i="50"/>
  <c r="BD60" i="50"/>
  <c r="BB60" i="50"/>
  <c r="BC60" i="50"/>
  <c r="BE60" i="50"/>
  <c r="BC59" i="50"/>
  <c r="BD59" i="50"/>
  <c r="BE59" i="50"/>
  <c r="BB59" i="50"/>
  <c r="BB58" i="50"/>
  <c r="BE58" i="50"/>
  <c r="BD58" i="50"/>
  <c r="BC58" i="50"/>
  <c r="BC57" i="50"/>
  <c r="BB57" i="50"/>
  <c r="BE57" i="50"/>
  <c r="BD57" i="50"/>
  <c r="BE56" i="50"/>
  <c r="BC56" i="50"/>
  <c r="BD56" i="50"/>
  <c r="BB56" i="50"/>
  <c r="BD55" i="50"/>
  <c r="BC55" i="50"/>
  <c r="BE55" i="50"/>
  <c r="BB55" i="50"/>
  <c r="BE54" i="50"/>
  <c r="BB54" i="50"/>
  <c r="BD54" i="50"/>
  <c r="BC54" i="50"/>
  <c r="BE53" i="50"/>
  <c r="BB53" i="50"/>
  <c r="BC53" i="50"/>
  <c r="BD53" i="50"/>
  <c r="BC52" i="50"/>
  <c r="BD52" i="50"/>
  <c r="BB52" i="50"/>
  <c r="BE52" i="50"/>
  <c r="BC51" i="50"/>
  <c r="BD51" i="50"/>
  <c r="BB51" i="50"/>
  <c r="BE51" i="50"/>
  <c r="BB50" i="50"/>
  <c r="BE50" i="50"/>
  <c r="BC50" i="50"/>
  <c r="BD50" i="50"/>
  <c r="BB49" i="50"/>
  <c r="BC49" i="50"/>
  <c r="BD49" i="50"/>
  <c r="BE49" i="50"/>
  <c r="BB48" i="50"/>
  <c r="BE48" i="50"/>
  <c r="BD48" i="50"/>
  <c r="BC48" i="50"/>
  <c r="BD47" i="50"/>
  <c r="BC47" i="50"/>
  <c r="BE47" i="50"/>
  <c r="BB47" i="50"/>
  <c r="BC46" i="50"/>
  <c r="BE46" i="50"/>
  <c r="BB46" i="50"/>
  <c r="BD46" i="50"/>
  <c r="BB45" i="50"/>
  <c r="BD45" i="50"/>
  <c r="BE45" i="50"/>
  <c r="BC45" i="50"/>
  <c r="BD44" i="50"/>
  <c r="BC44" i="50"/>
  <c r="BB44" i="50"/>
  <c r="BE44" i="50"/>
  <c r="BD43" i="50"/>
  <c r="BE43" i="50"/>
  <c r="BB43" i="50"/>
  <c r="BC43" i="50"/>
  <c r="BE42" i="50"/>
  <c r="BC42" i="50"/>
  <c r="BD42" i="50"/>
  <c r="BB42" i="50"/>
  <c r="BC41" i="50"/>
  <c r="BE41" i="50"/>
  <c r="BD41" i="50"/>
  <c r="BB41" i="50"/>
  <c r="BC40" i="50"/>
  <c r="BB40" i="50"/>
  <c r="BD40" i="50"/>
  <c r="BE40" i="50"/>
  <c r="BC39" i="50"/>
  <c r="BB39" i="50"/>
  <c r="BD39" i="50"/>
  <c r="BE39" i="50"/>
  <c r="BD38" i="50"/>
  <c r="BB38" i="50"/>
  <c r="BE38" i="50"/>
  <c r="BC38" i="50"/>
  <c r="BD37" i="50"/>
  <c r="BC37" i="50"/>
  <c r="BE37" i="50"/>
  <c r="BB37" i="50"/>
  <c r="BD36" i="50"/>
  <c r="BE36" i="50"/>
  <c r="BB36" i="50"/>
  <c r="BC36" i="50"/>
  <c r="BE35" i="50"/>
  <c r="BB35" i="50"/>
  <c r="BD35" i="50"/>
  <c r="BC35" i="50"/>
  <c r="BD34" i="50"/>
  <c r="BE34" i="50"/>
  <c r="BB34" i="50"/>
  <c r="BC34" i="50"/>
  <c r="BD33" i="50"/>
  <c r="BC33" i="50"/>
  <c r="BE33" i="50"/>
  <c r="BB33" i="50"/>
  <c r="BE32" i="50"/>
  <c r="BC32" i="50"/>
  <c r="BD32" i="50"/>
  <c r="BB32" i="50"/>
  <c r="BD31" i="50"/>
  <c r="BB31" i="50"/>
  <c r="BE31" i="50"/>
  <c r="BC31" i="50"/>
  <c r="BE30" i="50"/>
  <c r="BB30" i="50"/>
  <c r="BC30" i="50"/>
  <c r="BD30" i="50"/>
  <c r="BC29" i="50"/>
  <c r="BE29" i="50"/>
  <c r="BB29" i="50"/>
  <c r="BD29" i="50"/>
  <c r="BC28" i="50"/>
  <c r="BD28" i="50"/>
  <c r="BB28" i="50"/>
  <c r="BE28" i="50"/>
  <c r="BE27" i="50"/>
  <c r="BB27" i="50"/>
  <c r="BC27" i="50"/>
  <c r="BD27" i="50"/>
  <c r="BE26" i="50"/>
  <c r="BC26" i="50"/>
  <c r="BB26" i="50"/>
  <c r="BD26" i="50"/>
  <c r="BE25" i="50"/>
  <c r="BD25" i="50"/>
  <c r="BC25" i="50"/>
  <c r="BB25" i="50"/>
  <c r="BB24" i="50"/>
  <c r="BE24" i="50"/>
  <c r="BC24" i="50"/>
  <c r="BD24" i="50"/>
  <c r="BC23" i="50"/>
  <c r="BD23" i="50"/>
  <c r="BB23" i="50"/>
  <c r="BE23" i="50"/>
  <c r="BD22" i="50"/>
  <c r="BC22" i="50"/>
  <c r="BB22" i="50"/>
  <c r="BE22" i="50"/>
  <c r="BE21" i="50"/>
  <c r="BC21" i="50"/>
  <c r="BD21" i="50"/>
  <c r="BB21" i="50"/>
  <c r="BD20" i="50"/>
  <c r="BC20" i="50"/>
  <c r="BB20" i="50"/>
  <c r="BE20" i="50"/>
  <c r="BE19" i="50"/>
  <c r="BD19" i="50"/>
  <c r="BC19" i="50"/>
  <c r="BB19" i="50"/>
  <c r="BE18" i="50"/>
  <c r="BC18" i="50"/>
  <c r="BD18" i="50"/>
  <c r="BB18" i="50"/>
  <c r="BC17" i="50"/>
  <c r="BB17" i="50"/>
  <c r="BD17" i="50"/>
  <c r="BE17" i="50"/>
  <c r="BC16" i="50"/>
  <c r="BE16" i="50"/>
  <c r="BD16" i="50"/>
  <c r="BB16" i="50"/>
  <c r="BD15" i="50"/>
  <c r="BC15" i="50"/>
  <c r="BB15" i="50"/>
  <c r="BE15" i="50"/>
  <c r="BD14" i="50"/>
  <c r="BC14" i="50"/>
  <c r="BE14" i="50"/>
  <c r="BB14" i="50"/>
  <c r="BB13" i="50"/>
  <c r="BD13" i="50"/>
  <c r="BE13" i="50"/>
  <c r="BC13" i="50"/>
  <c r="BE11" i="50"/>
  <c r="BB11" i="50"/>
  <c r="BD11" i="50"/>
  <c r="BC11" i="50"/>
  <c r="BC10" i="50"/>
  <c r="BB10" i="50"/>
  <c r="BE10" i="50"/>
  <c r="BD10" i="50"/>
  <c r="Q3" i="39"/>
  <c r="P3" i="39"/>
  <c r="R3" i="39"/>
  <c r="Q6" i="39"/>
  <c r="P6" i="39"/>
  <c r="R6" i="39"/>
  <c r="V14" i="50"/>
  <c r="Z14" i="50"/>
  <c r="R14" i="50"/>
  <c r="AD14" i="50"/>
  <c r="Q8" i="39"/>
  <c r="R8" i="39"/>
  <c r="P8" i="39"/>
  <c r="BC6" i="50"/>
  <c r="BD6" i="50"/>
  <c r="BB6" i="50"/>
  <c r="BE6" i="50"/>
  <c r="R20" i="50"/>
  <c r="V20" i="50"/>
  <c r="Z20" i="50"/>
  <c r="AD20" i="50"/>
  <c r="S24" i="47"/>
  <c r="S14" i="47"/>
  <c r="S27" i="47"/>
  <c r="S22" i="47"/>
  <c r="S26" i="47"/>
  <c r="S23" i="47"/>
  <c r="S20" i="47"/>
  <c r="S18" i="47"/>
  <c r="S25" i="47"/>
  <c r="S19" i="47"/>
  <c r="S21" i="47"/>
  <c r="S16" i="47"/>
  <c r="S15" i="47"/>
  <c r="S17" i="47"/>
  <c r="V17" i="50"/>
  <c r="AD17" i="50"/>
  <c r="R17" i="50"/>
  <c r="Z17" i="50"/>
  <c r="Q9" i="39"/>
  <c r="R9" i="39"/>
  <c r="P9" i="39"/>
  <c r="Q4" i="39"/>
  <c r="P4" i="39"/>
  <c r="R4" i="39"/>
  <c r="V15" i="50"/>
  <c r="R15" i="50"/>
  <c r="AD15" i="50"/>
  <c r="Z15" i="50"/>
  <c r="S17" i="45"/>
  <c r="S19" i="45"/>
  <c r="S21" i="45"/>
  <c r="S14" i="45"/>
  <c r="S18" i="45"/>
  <c r="S20" i="45"/>
  <c r="S15" i="45"/>
  <c r="S13" i="45"/>
  <c r="S16" i="45"/>
  <c r="Q5" i="39"/>
  <c r="P5" i="39"/>
  <c r="R5" i="39"/>
  <c r="Z16" i="50"/>
  <c r="V16" i="50"/>
  <c r="AD16" i="50"/>
  <c r="R16" i="50"/>
  <c r="Z19" i="50"/>
  <c r="AD19" i="50"/>
  <c r="R19" i="50"/>
  <c r="V19" i="50"/>
  <c r="Q7" i="39"/>
  <c r="P7" i="39"/>
  <c r="R7" i="39"/>
  <c r="V18" i="50"/>
  <c r="AD18" i="50"/>
  <c r="Z18" i="50"/>
  <c r="R18" i="50"/>
  <c r="Q8" i="50"/>
  <c r="R8" i="50"/>
  <c r="S8" i="50"/>
  <c r="Q19" i="50"/>
  <c r="Q18" i="50"/>
  <c r="Q17" i="50"/>
  <c r="E19" i="42"/>
  <c r="BC12" i="50"/>
  <c r="BD12" i="50"/>
  <c r="BE12" i="50"/>
  <c r="BB12" i="50"/>
  <c r="E18" i="42"/>
  <c r="AC21" i="39"/>
  <c r="AC19" i="39"/>
  <c r="AC20" i="39"/>
  <c r="AB19" i="39"/>
  <c r="AB21" i="39"/>
  <c r="AB20" i="39"/>
  <c r="AB14" i="39"/>
  <c r="AB15" i="39"/>
  <c r="AB16" i="39"/>
  <c r="AC9" i="39"/>
  <c r="AC10" i="39"/>
  <c r="AC16" i="39"/>
  <c r="AC14" i="39"/>
  <c r="AC15" i="39"/>
  <c r="AW133" i="50"/>
  <c r="H38" i="29"/>
  <c r="AF31" i="43"/>
  <c r="D28" i="29"/>
  <c r="B46" i="35"/>
  <c r="Q26" i="45"/>
  <c r="B25" i="35"/>
  <c r="E26" i="35"/>
  <c r="E2" i="35"/>
  <c r="B7" i="35"/>
  <c r="B48" i="35"/>
  <c r="B24" i="35"/>
  <c r="E34" i="35"/>
  <c r="B5" i="35"/>
  <c r="B34" i="35"/>
  <c r="E32" i="35"/>
  <c r="E49" i="35"/>
  <c r="I38" i="29"/>
  <c r="B15" i="35"/>
  <c r="B17" i="35"/>
  <c r="B19" i="35"/>
  <c r="B37" i="35"/>
  <c r="B50" i="35"/>
  <c r="G19" i="42"/>
  <c r="H19" i="42" s="1"/>
  <c r="H18" i="42"/>
  <c r="E44" i="35"/>
  <c r="B2" i="35"/>
  <c r="E20" i="35"/>
  <c r="E46" i="35"/>
  <c r="B11" i="35"/>
  <c r="B18" i="35"/>
  <c r="B20" i="35"/>
  <c r="E29" i="35"/>
  <c r="B29" i="35"/>
  <c r="E15" i="35"/>
  <c r="B36" i="35"/>
  <c r="Q35" i="47"/>
  <c r="E28" i="35"/>
  <c r="B26" i="35"/>
  <c r="D37" i="29"/>
  <c r="E21" i="35"/>
  <c r="B31" i="35"/>
  <c r="B16" i="35"/>
  <c r="E18" i="35"/>
  <c r="E38" i="35"/>
  <c r="B28" i="35"/>
  <c r="E50" i="35"/>
  <c r="B45" i="35"/>
  <c r="T12" i="40"/>
  <c r="E42" i="35"/>
  <c r="E12" i="35"/>
  <c r="Q34" i="47"/>
  <c r="B42" i="35"/>
  <c r="E14" i="35"/>
  <c r="B38" i="35"/>
  <c r="B27" i="35"/>
  <c r="B35" i="35"/>
  <c r="E37" i="35"/>
  <c r="Q32" i="47"/>
  <c r="E39" i="35"/>
  <c r="E47" i="35"/>
  <c r="E13" i="35"/>
  <c r="B22" i="35"/>
  <c r="I35" i="29"/>
  <c r="E17" i="35"/>
  <c r="E11" i="35"/>
  <c r="E9" i="35"/>
  <c r="W14" i="51"/>
  <c r="Q36" i="47"/>
  <c r="B10" i="35"/>
  <c r="E27" i="35"/>
  <c r="E5" i="35"/>
  <c r="B21" i="35"/>
  <c r="B9" i="35"/>
  <c r="E25" i="35"/>
  <c r="B4" i="35"/>
  <c r="E45" i="35"/>
  <c r="B33" i="35"/>
  <c r="B39" i="35"/>
  <c r="E35" i="35"/>
  <c r="AG29" i="43"/>
  <c r="R13" i="40"/>
  <c r="E4" i="35"/>
  <c r="B12" i="35"/>
  <c r="B49" i="35"/>
  <c r="E6" i="35"/>
  <c r="E33" i="35"/>
  <c r="E31" i="35"/>
  <c r="E23" i="35"/>
  <c r="D38" i="29"/>
  <c r="Q31" i="47"/>
  <c r="B23" i="35"/>
  <c r="I37" i="29"/>
  <c r="B47" i="35"/>
  <c r="E30" i="35"/>
  <c r="E7" i="35"/>
  <c r="E19" i="35"/>
  <c r="B13" i="35"/>
  <c r="Q33" i="47"/>
  <c r="B3" i="35"/>
  <c r="E3" i="35"/>
  <c r="B40" i="35"/>
  <c r="E48" i="35"/>
  <c r="B44" i="35"/>
  <c r="E8" i="35"/>
  <c r="B6" i="35"/>
  <c r="E16" i="35"/>
  <c r="E40" i="35"/>
  <c r="Q13" i="45" a="1"/>
  <c r="Q14" i="47" a="1"/>
  <c r="AF32" i="43"/>
  <c r="AG31" i="43"/>
  <c r="E24" i="35"/>
  <c r="B32" i="35"/>
  <c r="E36" i="35"/>
  <c r="B30" i="35"/>
  <c r="B14" i="35"/>
  <c r="E43" i="35"/>
  <c r="B8" i="35"/>
  <c r="B43" i="35"/>
  <c r="E22" i="35"/>
  <c r="B41" i="35"/>
  <c r="E10" i="35"/>
  <c r="E41" i="35"/>
  <c r="AF33" i="43"/>
  <c r="AG33" i="43"/>
  <c r="BD133" i="50" l="1"/>
  <c r="BE133" i="50"/>
  <c r="BB133" i="50"/>
  <c r="BC133" i="50"/>
  <c r="P27" i="45"/>
  <c r="Q19" i="47"/>
  <c r="Q21" i="47"/>
  <c r="Q14" i="47"/>
  <c r="Q18" i="47"/>
  <c r="Q25" i="47"/>
  <c r="Q20" i="47"/>
  <c r="Q17" i="47"/>
  <c r="Q16" i="47"/>
  <c r="Q15" i="47"/>
  <c r="Q22" i="47"/>
  <c r="Q23" i="47"/>
  <c r="Q26" i="47"/>
  <c r="Q24" i="47"/>
  <c r="Q27" i="47"/>
  <c r="Q13" i="45"/>
  <c r="Q15" i="45"/>
  <c r="Q18" i="45"/>
  <c r="Q14" i="45"/>
  <c r="Q17" i="45"/>
  <c r="Q16" i="45"/>
  <c r="Q20" i="45"/>
  <c r="Q19" i="45"/>
  <c r="Q21" i="45"/>
  <c r="AI14" i="39" a="1"/>
  <c r="AI9" i="39" a="1"/>
  <c r="AI19" i="39" a="1"/>
  <c r="AF34" i="43"/>
  <c r="C35" i="35"/>
  <c r="C6" i="35"/>
  <c r="R33" i="47"/>
  <c r="C5" i="35"/>
  <c r="C48" i="35"/>
  <c r="C23" i="35"/>
  <c r="C45" i="35"/>
  <c r="AG32" i="43"/>
  <c r="C31" i="35"/>
  <c r="C26" i="35"/>
  <c r="C24" i="35"/>
  <c r="C30" i="35"/>
  <c r="C46" i="35"/>
  <c r="C11" i="35"/>
  <c r="W15" i="51"/>
  <c r="T13" i="40"/>
  <c r="C21" i="35"/>
  <c r="C16" i="35"/>
  <c r="C42" i="35"/>
  <c r="R36" i="47"/>
  <c r="C9" i="35"/>
  <c r="C8" i="35"/>
  <c r="R32" i="47"/>
  <c r="C40" i="35"/>
  <c r="C39" i="35"/>
  <c r="C15" i="35"/>
  <c r="C41" i="35"/>
  <c r="C22" i="35"/>
  <c r="C14" i="35"/>
  <c r="R34" i="47"/>
  <c r="C33" i="35"/>
  <c r="R31" i="47"/>
  <c r="R14" i="40"/>
  <c r="C3" i="35"/>
  <c r="C7" i="35"/>
  <c r="C38" i="35"/>
  <c r="C32" i="35"/>
  <c r="C2" i="35"/>
  <c r="C4" i="35"/>
  <c r="C44" i="35"/>
  <c r="C29" i="35"/>
  <c r="C49" i="35"/>
  <c r="C20" i="35"/>
  <c r="C17" i="35"/>
  <c r="C37" i="35"/>
  <c r="C43" i="35"/>
  <c r="C50" i="35"/>
  <c r="C34" i="35"/>
  <c r="R26" i="45"/>
  <c r="C27" i="35"/>
  <c r="C28" i="35"/>
  <c r="R35" i="47"/>
  <c r="C47" i="35"/>
  <c r="C10" i="35"/>
  <c r="C13" i="35"/>
  <c r="C25" i="35"/>
  <c r="C19" i="35"/>
  <c r="C12" i="35"/>
  <c r="Q27" i="45"/>
  <c r="C36" i="35"/>
  <c r="C18" i="35"/>
  <c r="AG34" i="43"/>
  <c r="P28" i="45" l="1"/>
  <c r="AJ10" i="39"/>
  <c r="AI9" i="39"/>
  <c r="AI10" i="39"/>
  <c r="AJ9" i="39"/>
  <c r="AK14" i="39"/>
  <c r="AJ14" i="39"/>
  <c r="AJ15" i="39"/>
  <c r="AI16" i="39"/>
  <c r="AK16" i="39"/>
  <c r="AI14" i="39"/>
  <c r="AK15" i="39"/>
  <c r="AI15" i="39"/>
  <c r="AJ16" i="39"/>
  <c r="AI21" i="39"/>
  <c r="AI20" i="39"/>
  <c r="AK20" i="39"/>
  <c r="AK21" i="39"/>
  <c r="AJ20" i="39"/>
  <c r="AJ21" i="39"/>
  <c r="AK19" i="39"/>
  <c r="AJ19" i="39"/>
  <c r="AI19" i="39"/>
  <c r="R27" i="45"/>
  <c r="AL19" i="50" a="1"/>
  <c r="T14" i="40"/>
  <c r="AL8" i="50" a="1"/>
  <c r="AF35" i="43"/>
  <c r="Q28" i="45"/>
  <c r="AK19" i="50" a="1"/>
  <c r="AL4" i="50" a="1"/>
  <c r="AK8" i="50" a="1"/>
  <c r="AJ19" i="50" a="1"/>
  <c r="W16" i="51"/>
  <c r="AK14" i="50" a="1"/>
  <c r="R15" i="40"/>
  <c r="AL14" i="50" a="1"/>
  <c r="AJ14" i="50" a="1"/>
  <c r="AK4" i="50" a="1"/>
  <c r="AF36" i="43"/>
  <c r="AF37" i="43"/>
  <c r="AG37" i="43"/>
  <c r="P29" i="45" l="1"/>
  <c r="AL21" i="50"/>
  <c r="AL19" i="50"/>
  <c r="AL20" i="50"/>
  <c r="AL9" i="50"/>
  <c r="AL8" i="50"/>
  <c r="AK8" i="50"/>
  <c r="AK9" i="50"/>
  <c r="AL16" i="50"/>
  <c r="AL14" i="50"/>
  <c r="AL15" i="50"/>
  <c r="AJ16" i="50"/>
  <c r="AJ15" i="50"/>
  <c r="AJ14" i="50"/>
  <c r="AK15" i="50"/>
  <c r="AK14" i="50"/>
  <c r="AK16" i="50"/>
  <c r="AK4" i="50"/>
  <c r="AK5" i="50"/>
  <c r="AK21" i="50"/>
  <c r="AK20" i="50"/>
  <c r="AK19" i="50"/>
  <c r="AL5" i="50"/>
  <c r="AL4" i="50"/>
  <c r="AJ20" i="50"/>
  <c r="AJ21" i="50"/>
  <c r="AJ19" i="50"/>
  <c r="AF38" i="43"/>
  <c r="R16" i="40"/>
  <c r="AG36" i="43"/>
  <c r="R28" i="45"/>
  <c r="T15" i="40"/>
  <c r="Q29" i="45"/>
  <c r="AG35" i="43"/>
  <c r="W17" i="51"/>
  <c r="AG38" i="43"/>
  <c r="AQ8" i="50" l="1" a="1"/>
  <c r="AQ14" i="50" a="1"/>
  <c r="AQ19" i="50" a="1"/>
  <c r="AQ4" i="50" a="1"/>
  <c r="T16" i="40"/>
  <c r="R29" i="45"/>
  <c r="AF39" i="43"/>
  <c r="W18" i="51"/>
  <c r="R17" i="40"/>
  <c r="AG39" i="43"/>
  <c r="AR4" i="50" l="1"/>
  <c r="AR5" i="50"/>
  <c r="AQ4" i="50"/>
  <c r="AQ5" i="50"/>
  <c r="AS21" i="50"/>
  <c r="AS20" i="50"/>
  <c r="AR19" i="50"/>
  <c r="AR21" i="50"/>
  <c r="AQ21" i="50"/>
  <c r="AQ19" i="50"/>
  <c r="AS19" i="50"/>
  <c r="AQ20" i="50"/>
  <c r="AR20" i="50"/>
  <c r="AQ15" i="50"/>
  <c r="AR16" i="50"/>
  <c r="AS15" i="50"/>
  <c r="AS14" i="50"/>
  <c r="AR15" i="50"/>
  <c r="AQ16" i="50"/>
  <c r="AR14" i="50"/>
  <c r="AS16" i="50"/>
  <c r="AQ14" i="50"/>
  <c r="AQ8" i="50"/>
  <c r="AQ9" i="50"/>
  <c r="AR8" i="50"/>
  <c r="AR9" i="50"/>
  <c r="T17" i="40"/>
  <c r="AF40" i="43"/>
  <c r="W19" i="51"/>
  <c r="R18" i="40"/>
  <c r="AF41" i="43"/>
  <c r="AF42" i="43"/>
  <c r="AF43" i="43"/>
  <c r="AF44" i="43"/>
  <c r="AF45" i="43"/>
  <c r="AF46" i="43"/>
  <c r="AF47" i="43"/>
  <c r="AF48" i="43"/>
  <c r="AF49" i="43"/>
  <c r="AF50" i="43"/>
  <c r="AF51" i="43"/>
  <c r="AG51" i="43"/>
  <c r="F51" i="39" l="1"/>
  <c r="AF52" i="43"/>
  <c r="AG43" i="43"/>
  <c r="R19" i="40"/>
  <c r="AG50" i="43"/>
  <c r="AG42" i="43"/>
  <c r="AG49" i="43"/>
  <c r="AG41" i="43"/>
  <c r="R20" i="40"/>
  <c r="AG48" i="43"/>
  <c r="T18" i="40"/>
  <c r="AG47" i="43"/>
  <c r="AG40" i="43"/>
  <c r="AG46" i="43"/>
  <c r="AG45" i="43"/>
  <c r="W20" i="51"/>
  <c r="W21" i="51" s="1"/>
  <c r="AG44" i="43"/>
  <c r="E42" i="39"/>
  <c r="AG52" i="43"/>
  <c r="F4" i="48" l="1" a="1"/>
  <c r="F4" i="49" a="1"/>
  <c r="T20" i="40"/>
  <c r="T19" i="40"/>
  <c r="AF53" i="43"/>
  <c r="R21" i="40"/>
  <c r="W22" i="51"/>
  <c r="W23" i="51"/>
  <c r="W24" i="51" s="1"/>
  <c r="W25" i="51" s="1"/>
  <c r="W26" i="51" s="1"/>
  <c r="W27" i="51" s="1"/>
  <c r="W28" i="51" s="1"/>
  <c r="W29" i="51" s="1"/>
  <c r="W30" i="51" s="1"/>
  <c r="W31" i="51" s="1"/>
  <c r="W32" i="51" s="1"/>
  <c r="W33" i="51" s="1"/>
  <c r="W34" i="51" s="1"/>
  <c r="W35" i="51" s="1"/>
  <c r="W36" i="51" s="1"/>
  <c r="W37" i="51" s="1"/>
  <c r="W38" i="51" s="1"/>
  <c r="W39" i="51" s="1"/>
  <c r="W40" i="51" s="1"/>
  <c r="W41" i="51" s="1"/>
  <c r="W42" i="51" s="1"/>
  <c r="W43" i="51" s="1"/>
  <c r="W44" i="51" s="1"/>
  <c r="W45" i="51" s="1"/>
  <c r="W46" i="51" s="1"/>
  <c r="W47" i="51" s="1"/>
  <c r="W48" i="51" s="1"/>
  <c r="W49" i="51" s="1"/>
  <c r="W50" i="51" s="1"/>
  <c r="W51" i="51" s="1"/>
  <c r="W52" i="51" s="1"/>
  <c r="W53" i="51" s="1"/>
  <c r="W54" i="51"/>
  <c r="W55" i="51" s="1"/>
  <c r="W56" i="51" s="1"/>
  <c r="W57" i="51" s="1"/>
  <c r="W58" i="51" s="1"/>
  <c r="W59" i="51" s="1"/>
  <c r="W60" i="51" s="1"/>
  <c r="W61" i="51" s="1"/>
  <c r="W62" i="51" s="1"/>
  <c r="W63" i="51" s="1"/>
  <c r="W64" i="51" s="1"/>
  <c r="W65" i="51" s="1"/>
  <c r="W66" i="51" s="1"/>
  <c r="W67" i="51" s="1"/>
  <c r="W68" i="51" s="1"/>
  <c r="W69" i="51" s="1"/>
  <c r="W70" i="51" s="1"/>
  <c r="W71" i="51" s="1"/>
  <c r="W72" i="51" s="1"/>
  <c r="W73" i="51" s="1"/>
  <c r="W74" i="51" s="1"/>
  <c r="W75" i="51" s="1"/>
  <c r="W76" i="51" s="1"/>
  <c r="W77" i="51" s="1"/>
  <c r="W78" i="51" s="1"/>
  <c r="W79" i="51" s="1"/>
  <c r="W80" i="51" s="1"/>
  <c r="W81" i="51" s="1"/>
  <c r="W82" i="51" s="1"/>
  <c r="W83" i="51" s="1"/>
  <c r="W84" i="51" s="1"/>
  <c r="W85" i="51" s="1"/>
  <c r="W86" i="51"/>
  <c r="W87" i="51" s="1"/>
  <c r="W88" i="51" s="1"/>
  <c r="W89" i="51" s="1"/>
  <c r="W90" i="51" s="1"/>
  <c r="W91" i="51" s="1"/>
  <c r="W92" i="51" s="1"/>
  <c r="W93" i="51" s="1"/>
  <c r="W94" i="51" s="1"/>
  <c r="W95" i="51" s="1"/>
  <c r="W96" i="51" s="1"/>
  <c r="W97" i="51" s="1"/>
  <c r="W98" i="51" s="1"/>
  <c r="W99" i="51" s="1"/>
  <c r="W100" i="51" s="1"/>
  <c r="W101" i="51" s="1"/>
  <c r="W102" i="51" s="1"/>
  <c r="W103" i="51" s="1"/>
  <c r="W104" i="51" s="1"/>
  <c r="W105" i="51" s="1"/>
  <c r="W106" i="51" s="1"/>
  <c r="W107" i="51" s="1"/>
  <c r="W108" i="51" s="1"/>
  <c r="W109" i="51" s="1"/>
  <c r="W110" i="51" s="1"/>
  <c r="W111" i="51" s="1"/>
  <c r="W112" i="51" s="1"/>
  <c r="W113" i="51" s="1"/>
  <c r="AG53" i="43"/>
  <c r="R22" i="40"/>
  <c r="R23" i="40"/>
  <c r="T22" i="40"/>
  <c r="R24" i="40"/>
  <c r="T23" i="40"/>
  <c r="T24" i="40"/>
  <c r="R25" i="40"/>
  <c r="R26" i="40"/>
  <c r="T25" i="40"/>
  <c r="R27" i="40"/>
  <c r="T26" i="40"/>
  <c r="T27" i="40"/>
  <c r="R28" i="40"/>
  <c r="R29" i="40"/>
  <c r="T28" i="40"/>
  <c r="T29" i="40"/>
  <c r="R30" i="40"/>
  <c r="T30" i="40"/>
  <c r="R31" i="40"/>
  <c r="T31" i="40"/>
  <c r="R32" i="40"/>
  <c r="R33" i="40"/>
  <c r="T32" i="40"/>
  <c r="T33" i="40"/>
  <c r="R34" i="40"/>
  <c r="T34" i="40"/>
  <c r="R35" i="40"/>
  <c r="R36" i="40"/>
  <c r="T35" i="40"/>
  <c r="R37" i="40"/>
  <c r="T36" i="40"/>
  <c r="T37" i="40"/>
  <c r="R38" i="40"/>
  <c r="T38" i="40"/>
  <c r="R39" i="40"/>
  <c r="T39" i="40"/>
  <c r="R40" i="40"/>
  <c r="R41" i="40"/>
  <c r="T40" i="40"/>
  <c r="T41" i="40"/>
  <c r="R42" i="40"/>
  <c r="T42" i="40"/>
  <c r="R43" i="40"/>
  <c r="T43" i="40"/>
  <c r="R44" i="40"/>
  <c r="R45" i="40"/>
  <c r="T44" i="40"/>
  <c r="T45" i="40"/>
  <c r="R46" i="40"/>
  <c r="T46" i="40"/>
  <c r="R47" i="40"/>
  <c r="T47" i="40"/>
  <c r="R48" i="40"/>
  <c r="R49" i="40"/>
  <c r="T48" i="40"/>
  <c r="T49" i="40"/>
  <c r="R50" i="40"/>
  <c r="T50" i="40"/>
  <c r="R51" i="40"/>
  <c r="T51" i="40"/>
  <c r="R52" i="40"/>
  <c r="R53" i="40"/>
  <c r="T52" i="40"/>
  <c r="T53" i="40"/>
  <c r="R54" i="40"/>
  <c r="T54" i="40"/>
  <c r="R55" i="40"/>
  <c r="T55" i="40"/>
  <c r="R56" i="40"/>
  <c r="R57" i="40"/>
  <c r="T56" i="40"/>
  <c r="T57" i="40"/>
  <c r="R58" i="40"/>
  <c r="T58" i="40"/>
  <c r="R59" i="40"/>
  <c r="T59" i="40"/>
  <c r="R60" i="40"/>
  <c r="R61" i="40"/>
  <c r="T60" i="40"/>
  <c r="T61" i="40"/>
  <c r="R62" i="40"/>
  <c r="T62" i="40"/>
  <c r="R63" i="40"/>
  <c r="T63" i="40"/>
  <c r="R64" i="40"/>
  <c r="R65" i="40"/>
  <c r="T64" i="40"/>
  <c r="T65" i="40"/>
  <c r="R66" i="40"/>
  <c r="T66" i="40"/>
  <c r="R67" i="40"/>
  <c r="T67" i="40"/>
  <c r="R68" i="40"/>
  <c r="R69" i="40"/>
  <c r="T68" i="40"/>
  <c r="T69" i="40"/>
  <c r="R70" i="40"/>
  <c r="T70" i="40"/>
  <c r="R71" i="40"/>
  <c r="R72" i="40"/>
  <c r="T71" i="40"/>
  <c r="R73" i="40"/>
  <c r="T72" i="40"/>
  <c r="T73" i="40"/>
  <c r="R74" i="40"/>
  <c r="R75" i="40"/>
  <c r="T74" i="40"/>
  <c r="T75" i="40"/>
  <c r="R76" i="40"/>
  <c r="R77" i="40"/>
  <c r="T76" i="40"/>
  <c r="T77" i="40"/>
  <c r="R78" i="40"/>
  <c r="T78" i="40"/>
  <c r="R79" i="40"/>
  <c r="R80" i="40"/>
  <c r="T79" i="40"/>
  <c r="R81" i="40"/>
  <c r="T80" i="40"/>
  <c r="T81" i="40"/>
  <c r="R82" i="40"/>
  <c r="T82" i="40"/>
  <c r="R83" i="40"/>
  <c r="T83" i="40"/>
  <c r="R84" i="40"/>
  <c r="R85" i="40"/>
  <c r="T84" i="40"/>
  <c r="T85" i="40"/>
  <c r="R86" i="40"/>
  <c r="T86" i="40"/>
  <c r="R87" i="40"/>
  <c r="T87" i="40"/>
  <c r="R88" i="40"/>
  <c r="R89" i="40"/>
  <c r="T88" i="40"/>
  <c r="T89" i="40"/>
  <c r="R90" i="40"/>
  <c r="T90" i="40"/>
  <c r="R91" i="40"/>
  <c r="R92" i="40"/>
  <c r="T91" i="40"/>
  <c r="R93" i="40"/>
  <c r="T92" i="40"/>
  <c r="T93" i="40"/>
  <c r="R94" i="40"/>
  <c r="T94" i="40"/>
  <c r="R95" i="40"/>
  <c r="T95" i="40"/>
  <c r="R96" i="40"/>
  <c r="R97" i="40"/>
  <c r="T96" i="40"/>
  <c r="T97" i="40"/>
  <c r="R98" i="40"/>
  <c r="T98" i="40"/>
  <c r="R99" i="40"/>
  <c r="T99" i="40"/>
  <c r="R100" i="40"/>
  <c r="R101" i="40"/>
  <c r="T100" i="40"/>
  <c r="T101" i="40"/>
  <c r="R102" i="40"/>
  <c r="T102" i="40"/>
  <c r="R103" i="40"/>
  <c r="R104" i="40"/>
  <c r="T103" i="40"/>
  <c r="R105" i="40"/>
  <c r="T104" i="40"/>
  <c r="T105" i="40"/>
  <c r="R106" i="40"/>
  <c r="T106" i="40"/>
  <c r="R107" i="40"/>
  <c r="T107" i="40"/>
  <c r="R108" i="40"/>
  <c r="R109" i="40"/>
  <c r="T108" i="40"/>
  <c r="T109" i="40"/>
  <c r="R110" i="40"/>
  <c r="T110" i="40"/>
  <c r="R111" i="40"/>
  <c r="T111" i="40"/>
  <c r="R112" i="40"/>
  <c r="R113" i="40"/>
  <c r="T112" i="40"/>
  <c r="T113" i="40"/>
  <c r="R114" i="40"/>
  <c r="T114" i="40"/>
  <c r="R115" i="40"/>
  <c r="R116" i="40"/>
  <c r="T115" i="40"/>
  <c r="I20" i="29" l="1"/>
  <c r="T116" i="40"/>
  <c r="T21" i="40"/>
  <c r="AF54" i="43"/>
  <c r="W114" i="51"/>
  <c r="R117" i="40"/>
  <c r="W115" i="51"/>
  <c r="R118" i="40"/>
  <c r="W116" i="51"/>
  <c r="R119" i="40"/>
  <c r="R120" i="40"/>
  <c r="W117" i="51"/>
  <c r="R121" i="40"/>
  <c r="W118" i="51"/>
  <c r="W119" i="51"/>
  <c r="R122" i="40"/>
  <c r="R123" i="40"/>
  <c r="W120" i="51"/>
  <c r="W121" i="51"/>
  <c r="R124" i="40"/>
  <c r="R125" i="40"/>
  <c r="W122" i="51"/>
  <c r="W123" i="51"/>
  <c r="R126" i="40"/>
  <c r="R127" i="40"/>
  <c r="W124" i="51"/>
  <c r="W125" i="51"/>
  <c r="R128" i="40"/>
  <c r="R129" i="40"/>
  <c r="W126" i="51"/>
  <c r="W127" i="51"/>
  <c r="R130" i="40"/>
  <c r="R131" i="40"/>
  <c r="W128" i="51"/>
  <c r="W129" i="51"/>
  <c r="R132" i="40"/>
  <c r="R133" i="40"/>
  <c r="W130" i="51"/>
  <c r="W131" i="51"/>
  <c r="R134" i="40"/>
  <c r="R135" i="40"/>
  <c r="W132" i="51"/>
  <c r="W133" i="51"/>
  <c r="R136" i="40"/>
  <c r="W134" i="51"/>
  <c r="R137" i="40"/>
  <c r="W135" i="51"/>
  <c r="R138" i="40"/>
  <c r="R139" i="40"/>
  <c r="W136" i="51"/>
  <c r="W137" i="51"/>
  <c r="R140" i="40"/>
  <c r="R141" i="40"/>
  <c r="W138" i="51"/>
  <c r="W139" i="51"/>
  <c r="R142" i="40"/>
  <c r="R143" i="40"/>
  <c r="W140" i="51"/>
  <c r="W141" i="51"/>
  <c r="R144" i="40"/>
  <c r="R145" i="40"/>
  <c r="W142" i="51"/>
  <c r="R146" i="40"/>
  <c r="W143" i="51"/>
  <c r="W144" i="51"/>
  <c r="R147" i="40"/>
  <c r="R148" i="40"/>
  <c r="W145" i="51"/>
  <c r="W146" i="51"/>
  <c r="R149" i="40"/>
  <c r="R150" i="40"/>
  <c r="W147" i="51"/>
  <c r="W148" i="51"/>
  <c r="R151" i="40"/>
  <c r="R152" i="40"/>
  <c r="W149" i="51"/>
  <c r="W150" i="51"/>
  <c r="R153" i="40"/>
  <c r="R154" i="40"/>
  <c r="W151" i="51"/>
  <c r="W152" i="51"/>
  <c r="R155" i="40"/>
  <c r="R156" i="40"/>
  <c r="W153" i="51"/>
  <c r="W154" i="51"/>
  <c r="R157" i="40"/>
  <c r="R158" i="40"/>
  <c r="W155" i="51"/>
  <c r="W156" i="51"/>
  <c r="R159" i="40"/>
  <c r="W157" i="51"/>
  <c r="R160" i="40"/>
  <c r="W158" i="51"/>
  <c r="R161" i="40"/>
  <c r="W159" i="51"/>
  <c r="R162" i="40"/>
  <c r="R163" i="40"/>
  <c r="W160" i="51"/>
  <c r="W161" i="51"/>
  <c r="R164" i="40"/>
  <c r="R165" i="40"/>
  <c r="W162" i="51"/>
  <c r="R166" i="40"/>
  <c r="W163" i="51"/>
  <c r="R167" i="40"/>
  <c r="W164" i="51"/>
  <c r="W165" i="51"/>
  <c r="R168" i="40"/>
  <c r="R169" i="40"/>
  <c r="W166" i="51"/>
  <c r="W167" i="51"/>
  <c r="R170" i="40"/>
  <c r="R171" i="40"/>
  <c r="W168" i="51"/>
  <c r="W169" i="51"/>
  <c r="R172" i="40"/>
  <c r="R173" i="40"/>
  <c r="W170" i="51"/>
  <c r="W171" i="51"/>
  <c r="R174" i="40"/>
  <c r="W172" i="51"/>
  <c r="R175" i="40"/>
  <c r="R176" i="40"/>
  <c r="W173" i="51"/>
  <c r="W174" i="51"/>
  <c r="R177" i="40"/>
  <c r="R178" i="40"/>
  <c r="W175" i="51"/>
  <c r="W176" i="51"/>
  <c r="R179" i="40"/>
  <c r="W177" i="51"/>
  <c r="R180" i="40"/>
  <c r="R181" i="40"/>
  <c r="W178" i="51"/>
  <c r="W179" i="51"/>
  <c r="R182" i="40"/>
  <c r="R183" i="40"/>
  <c r="W180" i="51"/>
  <c r="W181" i="51"/>
  <c r="R184" i="40"/>
  <c r="R185" i="40"/>
  <c r="W182" i="51"/>
  <c r="W183" i="51"/>
  <c r="R186" i="40"/>
  <c r="R187" i="40"/>
  <c r="W184" i="51"/>
  <c r="W185" i="51"/>
  <c r="R188" i="40"/>
  <c r="R189" i="40"/>
  <c r="W186" i="51"/>
  <c r="W187" i="51"/>
  <c r="R190" i="40"/>
  <c r="R191" i="40"/>
  <c r="W188" i="51"/>
  <c r="W189" i="51"/>
  <c r="R192" i="40"/>
  <c r="R193" i="40"/>
  <c r="W190" i="51"/>
  <c r="W191" i="51"/>
  <c r="R194" i="40"/>
  <c r="R195" i="40"/>
  <c r="W192" i="51"/>
  <c r="W193" i="51"/>
  <c r="R196" i="40"/>
  <c r="R197" i="40"/>
  <c r="W194" i="51"/>
  <c r="W195" i="51"/>
  <c r="R198" i="40"/>
  <c r="R199" i="40"/>
  <c r="W196" i="51"/>
  <c r="R200" i="40"/>
  <c r="W197" i="51"/>
  <c r="W198" i="51"/>
  <c r="R201" i="40"/>
  <c r="R202" i="40"/>
  <c r="W199" i="51"/>
  <c r="W200" i="51"/>
  <c r="R203" i="40"/>
  <c r="R204" i="40"/>
  <c r="W201" i="51"/>
  <c r="W202" i="51"/>
  <c r="R205" i="40"/>
  <c r="R206" i="40"/>
  <c r="W203" i="51"/>
  <c r="W204" i="51"/>
  <c r="R207" i="40"/>
  <c r="R208" i="40"/>
  <c r="W205" i="51"/>
  <c r="W206" i="51"/>
  <c r="R209" i="40"/>
  <c r="R210" i="40"/>
  <c r="W207" i="51"/>
  <c r="W208" i="51"/>
  <c r="R211" i="40"/>
  <c r="R212" i="40"/>
  <c r="W209" i="51"/>
  <c r="W210" i="51"/>
  <c r="R213" i="40"/>
  <c r="R214" i="40"/>
  <c r="W211" i="51"/>
  <c r="W212" i="51"/>
  <c r="R215" i="40"/>
  <c r="W213" i="51"/>
  <c r="R216" i="40"/>
  <c r="R217" i="40"/>
  <c r="W214" i="51"/>
  <c r="W215" i="51"/>
  <c r="R218" i="40"/>
  <c r="W216" i="51"/>
  <c r="R219" i="40"/>
  <c r="R220" i="40"/>
  <c r="W217" i="51"/>
  <c r="W218" i="51"/>
  <c r="R221" i="40"/>
  <c r="R222" i="40"/>
  <c r="W219" i="51"/>
  <c r="W220" i="51"/>
  <c r="R223" i="40"/>
  <c r="R224" i="40"/>
  <c r="W221" i="51"/>
  <c r="W222" i="51"/>
  <c r="R225" i="40"/>
  <c r="R226" i="40"/>
  <c r="W223" i="51"/>
  <c r="W224" i="51"/>
  <c r="R227" i="40"/>
  <c r="R228" i="40"/>
  <c r="W225" i="51"/>
  <c r="W226" i="51"/>
  <c r="R229" i="40"/>
  <c r="R230" i="40"/>
  <c r="W227" i="51"/>
  <c r="W228" i="51"/>
  <c r="R231" i="40"/>
  <c r="R232" i="40"/>
  <c r="W229" i="51"/>
  <c r="W230" i="51"/>
  <c r="R233" i="40"/>
  <c r="R234" i="40"/>
  <c r="W231" i="51"/>
  <c r="W232" i="51"/>
  <c r="R235" i="40"/>
  <c r="R236" i="40"/>
  <c r="W233" i="51"/>
  <c r="W234" i="51"/>
  <c r="R237" i="40"/>
  <c r="R238" i="40"/>
  <c r="W235" i="51"/>
  <c r="W236" i="51"/>
  <c r="R239" i="40"/>
  <c r="R240" i="40"/>
  <c r="W237" i="51"/>
  <c r="W238" i="51"/>
  <c r="R241" i="40"/>
  <c r="R242" i="40"/>
  <c r="W239" i="51"/>
  <c r="W240" i="51"/>
  <c r="R243" i="40"/>
  <c r="R244" i="40"/>
  <c r="W241" i="51"/>
  <c r="W242" i="51"/>
  <c r="R245" i="40"/>
  <c r="W243" i="51"/>
  <c r="R246" i="40"/>
  <c r="R247" i="40"/>
  <c r="W244" i="51"/>
  <c r="W245" i="51"/>
  <c r="R248" i="40"/>
  <c r="R249" i="40"/>
  <c r="W246" i="51"/>
  <c r="W247" i="51"/>
  <c r="R250" i="40"/>
  <c r="R251" i="40"/>
  <c r="W248" i="51"/>
  <c r="W249" i="51"/>
  <c r="R252" i="40"/>
  <c r="R253" i="40"/>
  <c r="W250" i="51"/>
  <c r="W251" i="51"/>
  <c r="R254" i="40"/>
  <c r="R255" i="40"/>
  <c r="W252" i="51"/>
  <c r="W253" i="51"/>
  <c r="R256" i="40"/>
  <c r="R257" i="40"/>
  <c r="W254" i="51"/>
  <c r="W255" i="51"/>
  <c r="R258" i="40"/>
  <c r="R259" i="40"/>
  <c r="W256" i="51"/>
  <c r="W257" i="51"/>
  <c r="R260" i="40"/>
  <c r="R261" i="40"/>
  <c r="W258" i="51"/>
  <c r="W259" i="51"/>
  <c r="R262" i="40"/>
  <c r="W260" i="51"/>
  <c r="W261" i="51"/>
  <c r="F4" i="42"/>
  <c r="I4" i="42"/>
  <c r="D3" i="48"/>
  <c r="G4" i="42"/>
  <c r="H4" i="42" s="1"/>
  <c r="I4" i="40"/>
  <c r="J3" i="51"/>
  <c r="D3" i="43"/>
  <c r="D3" i="49"/>
  <c r="G3" i="48"/>
  <c r="E3" i="48"/>
  <c r="E3" i="43"/>
  <c r="K3" i="43"/>
  <c r="G3" i="49"/>
  <c r="E3" i="49"/>
  <c r="H3" i="43"/>
  <c r="L3" i="43"/>
  <c r="AG54" i="43"/>
  <c r="AF55" i="43"/>
  <c r="AG55" i="43"/>
  <c r="AF56" i="43"/>
  <c r="AG56" i="43"/>
  <c r="AF57" i="43"/>
  <c r="AF58" i="43"/>
  <c r="AG57" i="43"/>
  <c r="AG58" i="43"/>
  <c r="AF59" i="43"/>
  <c r="AG59" i="43"/>
  <c r="AF60" i="43"/>
  <c r="AG60" i="43"/>
  <c r="AF61" i="43"/>
  <c r="AG61" i="43"/>
  <c r="AF62" i="43"/>
  <c r="AF63" i="43"/>
  <c r="AG62" i="43"/>
  <c r="AG63" i="43"/>
  <c r="AF64" i="43"/>
  <c r="AF65" i="43"/>
  <c r="AG65" i="43" s="1"/>
  <c r="AG64" i="43"/>
  <c r="M3" i="43" l="1"/>
  <c r="N3" i="43"/>
  <c r="O3" i="43"/>
  <c r="S42" i="39"/>
  <c r="U34" i="50"/>
  <c r="S3" i="42"/>
  <c r="T262" i="40"/>
  <c r="T254" i="40"/>
  <c r="T246" i="40"/>
  <c r="T238" i="40"/>
  <c r="T230" i="40"/>
  <c r="T222" i="40"/>
  <c r="T214" i="40"/>
  <c r="T206" i="40"/>
  <c r="T198" i="40"/>
  <c r="T190" i="40"/>
  <c r="T182" i="40"/>
  <c r="T174" i="40"/>
  <c r="T166" i="40"/>
  <c r="T158" i="40"/>
  <c r="T150" i="40"/>
  <c r="T142" i="40"/>
  <c r="T134" i="40"/>
  <c r="T126" i="40"/>
  <c r="T118" i="40"/>
  <c r="T261" i="40"/>
  <c r="T253" i="40"/>
  <c r="T245" i="40"/>
  <c r="T237" i="40"/>
  <c r="T229" i="40"/>
  <c r="T221" i="40"/>
  <c r="T213" i="40"/>
  <c r="T205" i="40"/>
  <c r="T197" i="40"/>
  <c r="T189" i="40"/>
  <c r="T181" i="40"/>
  <c r="T173" i="40"/>
  <c r="T165" i="40"/>
  <c r="T157" i="40"/>
  <c r="T149" i="40"/>
  <c r="T141" i="40"/>
  <c r="T133" i="40"/>
  <c r="T125" i="40"/>
  <c r="T117" i="40"/>
  <c r="T260" i="40"/>
  <c r="T252" i="40"/>
  <c r="T244" i="40"/>
  <c r="T236" i="40"/>
  <c r="T228" i="40"/>
  <c r="T220" i="40"/>
  <c r="T212" i="40"/>
  <c r="T204" i="40"/>
  <c r="T196" i="40"/>
  <c r="T188" i="40"/>
  <c r="T180" i="40"/>
  <c r="T172" i="40"/>
  <c r="T164" i="40"/>
  <c r="T156" i="40"/>
  <c r="T148" i="40"/>
  <c r="T140" i="40"/>
  <c r="T132" i="40"/>
  <c r="T124" i="40"/>
  <c r="T259" i="40"/>
  <c r="T251" i="40"/>
  <c r="T243" i="40"/>
  <c r="T235" i="40"/>
  <c r="T227" i="40"/>
  <c r="T219" i="40"/>
  <c r="T211" i="40"/>
  <c r="T203" i="40"/>
  <c r="T195" i="40"/>
  <c r="T187" i="40"/>
  <c r="T171" i="40"/>
  <c r="T163" i="40"/>
  <c r="T155" i="40"/>
  <c r="T147" i="40"/>
  <c r="T139" i="40"/>
  <c r="T131" i="40"/>
  <c r="T258" i="40"/>
  <c r="T242" i="40"/>
  <c r="T226" i="40"/>
  <c r="T210" i="40"/>
  <c r="T194" i="40"/>
  <c r="T178" i="40"/>
  <c r="T170" i="40"/>
  <c r="T154" i="40"/>
  <c r="T138" i="40"/>
  <c r="T122" i="40"/>
  <c r="T257" i="40"/>
  <c r="T249" i="40"/>
  <c r="T233" i="40"/>
  <c r="T225" i="40"/>
  <c r="T209" i="40"/>
  <c r="T193" i="40"/>
  <c r="T177" i="40"/>
  <c r="T161" i="40"/>
  <c r="T145" i="40"/>
  <c r="T129" i="40"/>
  <c r="T256" i="40"/>
  <c r="T240" i="40"/>
  <c r="T224" i="40"/>
  <c r="T208" i="40"/>
  <c r="T192" i="40"/>
  <c r="T176" i="40"/>
  <c r="T160" i="40"/>
  <c r="T144" i="40"/>
  <c r="T128" i="40"/>
  <c r="T255" i="40"/>
  <c r="T239" i="40"/>
  <c r="T223" i="40"/>
  <c r="T207" i="40"/>
  <c r="T191" i="40"/>
  <c r="T175" i="40"/>
  <c r="T159" i="40"/>
  <c r="T143" i="40"/>
  <c r="T127" i="40"/>
  <c r="T179" i="40"/>
  <c r="T123" i="40"/>
  <c r="T250" i="40"/>
  <c r="T234" i="40"/>
  <c r="T218" i="40"/>
  <c r="T202" i="40"/>
  <c r="T186" i="40"/>
  <c r="T162" i="40"/>
  <c r="T146" i="40"/>
  <c r="T130" i="40"/>
  <c r="T241" i="40"/>
  <c r="T217" i="40"/>
  <c r="T201" i="40"/>
  <c r="T185" i="40"/>
  <c r="T169" i="40"/>
  <c r="T153" i="40"/>
  <c r="T137" i="40"/>
  <c r="T121" i="40"/>
  <c r="T248" i="40"/>
  <c r="T232" i="40"/>
  <c r="T216" i="40"/>
  <c r="T200" i="40"/>
  <c r="T184" i="40"/>
  <c r="T168" i="40"/>
  <c r="T152" i="40"/>
  <c r="T136" i="40"/>
  <c r="T120" i="40"/>
  <c r="T247" i="40"/>
  <c r="T231" i="40"/>
  <c r="T215" i="40"/>
  <c r="T199" i="40"/>
  <c r="T183" i="40"/>
  <c r="T167" i="40"/>
  <c r="T151" i="40"/>
  <c r="T135" i="40"/>
  <c r="T119" i="40"/>
  <c r="H3" i="49"/>
  <c r="T3" i="43" a="1"/>
  <c r="H3" i="48"/>
  <c r="T9" i="43" a="1"/>
  <c r="T3" i="42"/>
  <c r="U9" i="43" a="1"/>
  <c r="U3" i="43" a="1"/>
  <c r="S3" i="43" a="1"/>
  <c r="S4" i="42"/>
  <c r="S5" i="42" s="1"/>
  <c r="U3" i="42"/>
  <c r="T4" i="42"/>
  <c r="U4" i="42"/>
  <c r="U13" i="43" a="1"/>
  <c r="T5" i="42"/>
  <c r="S6" i="42"/>
  <c r="U5" i="42"/>
  <c r="T6" i="42"/>
  <c r="U6" i="42"/>
  <c r="S7" i="42"/>
  <c r="S8" i="42"/>
  <c r="T7" i="42"/>
  <c r="T8" i="42"/>
  <c r="S9" i="42"/>
  <c r="U8" i="42"/>
  <c r="U7" i="42"/>
  <c r="T9" i="42"/>
  <c r="S10" i="42"/>
  <c r="U9" i="42"/>
  <c r="T10" i="42"/>
  <c r="S11" i="42"/>
  <c r="U10" i="42"/>
  <c r="T11" i="42"/>
  <c r="S12" i="42"/>
  <c r="U11" i="42"/>
  <c r="S13" i="42"/>
  <c r="T12" i="42"/>
  <c r="S14" i="42"/>
  <c r="T13" i="42"/>
  <c r="U12" i="42"/>
  <c r="S15" i="42"/>
  <c r="T14" i="42"/>
  <c r="U13" i="42"/>
  <c r="T15" i="42"/>
  <c r="S16" i="42"/>
  <c r="U14" i="42"/>
  <c r="U15" i="42"/>
  <c r="T16" i="42"/>
  <c r="U16" i="42"/>
  <c r="S17" i="42"/>
  <c r="T17" i="42"/>
  <c r="U17" i="42"/>
  <c r="S18" i="42"/>
  <c r="T18" i="42"/>
  <c r="S19" i="42"/>
  <c r="U18" i="42"/>
  <c r="T19" i="42"/>
  <c r="S20" i="42"/>
  <c r="U19" i="42"/>
  <c r="S21" i="42"/>
  <c r="T20" i="42"/>
  <c r="S22" i="42"/>
  <c r="T21" i="42"/>
  <c r="U20" i="42"/>
  <c r="S23" i="42"/>
  <c r="T22" i="42"/>
  <c r="U21" i="42"/>
  <c r="S24" i="42"/>
  <c r="T23" i="42"/>
  <c r="U22" i="42"/>
  <c r="S25" i="42"/>
  <c r="T24" i="42"/>
  <c r="U24" i="42"/>
  <c r="U23" i="42"/>
  <c r="S26" i="42"/>
  <c r="T25" i="42"/>
  <c r="U25" i="42"/>
  <c r="T26" i="42"/>
  <c r="U26" i="42"/>
  <c r="S27" i="42"/>
  <c r="S28" i="42"/>
  <c r="T27" i="42"/>
  <c r="U27" i="42"/>
  <c r="S29" i="42"/>
  <c r="T28" i="42"/>
  <c r="S30" i="42"/>
  <c r="T29" i="42"/>
  <c r="U28" i="42"/>
  <c r="S31" i="42"/>
  <c r="T30" i="42"/>
  <c r="U29" i="42"/>
  <c r="T31" i="42"/>
  <c r="S32" i="42"/>
  <c r="U30" i="42"/>
  <c r="U31" i="42"/>
  <c r="T32" i="42"/>
  <c r="S33" i="42"/>
  <c r="U32" i="42"/>
  <c r="T33" i="42"/>
  <c r="S34" i="42"/>
  <c r="U33" i="42"/>
  <c r="T34" i="42"/>
  <c r="S35" i="42"/>
  <c r="U34" i="42"/>
  <c r="S36" i="42"/>
  <c r="T35" i="42"/>
  <c r="S37" i="42"/>
  <c r="T36" i="42"/>
  <c r="U35" i="42"/>
  <c r="S38" i="42"/>
  <c r="T37" i="42"/>
  <c r="U36" i="42"/>
  <c r="S39" i="42"/>
  <c r="T38" i="42"/>
  <c r="U37" i="42"/>
  <c r="T39" i="42"/>
  <c r="S40" i="42"/>
  <c r="U38" i="42"/>
  <c r="U39" i="42"/>
  <c r="S41" i="42"/>
  <c r="T40" i="42"/>
  <c r="U40" i="42"/>
  <c r="S42" i="42"/>
  <c r="T41" i="42"/>
  <c r="U41" i="42"/>
  <c r="S43" i="42"/>
  <c r="T42" i="42"/>
  <c r="U42" i="42"/>
  <c r="T43" i="42"/>
  <c r="S44" i="42"/>
  <c r="U43" i="42"/>
  <c r="T44" i="42"/>
  <c r="S45" i="42"/>
  <c r="U44" i="42"/>
  <c r="S46" i="42"/>
  <c r="T45" i="42"/>
  <c r="S47" i="42"/>
  <c r="T46" i="42"/>
  <c r="U45" i="42"/>
  <c r="T47" i="42"/>
  <c r="U47" i="42"/>
  <c r="S48" i="42"/>
  <c r="U46" i="42"/>
  <c r="T48" i="42"/>
  <c r="S49" i="42"/>
  <c r="U48" i="42"/>
  <c r="S50" i="42"/>
  <c r="T49" i="42"/>
  <c r="S51" i="42"/>
  <c r="T50" i="42"/>
  <c r="U49" i="42"/>
  <c r="S52" i="42"/>
  <c r="T51" i="42"/>
  <c r="U50" i="42"/>
  <c r="S53" i="42"/>
  <c r="T52" i="42"/>
  <c r="U52" i="42"/>
  <c r="U51" i="42"/>
  <c r="S54" i="42"/>
  <c r="T53" i="42"/>
  <c r="S55" i="42"/>
  <c r="T54" i="42"/>
  <c r="U54" i="42"/>
  <c r="U53" i="42"/>
  <c r="S56" i="42"/>
  <c r="T55" i="42"/>
  <c r="T56" i="42"/>
  <c r="S57" i="42"/>
  <c r="U56" i="42"/>
  <c r="U55" i="42"/>
  <c r="T57" i="42"/>
  <c r="S58" i="42"/>
  <c r="U57" i="42"/>
  <c r="S59" i="42"/>
  <c r="T58" i="42"/>
  <c r="U58" i="42"/>
  <c r="T59" i="42"/>
  <c r="S60" i="42"/>
  <c r="U59" i="42"/>
  <c r="S61" i="42"/>
  <c r="T60" i="42"/>
  <c r="S62" i="42"/>
  <c r="T61" i="42"/>
  <c r="U60" i="42"/>
  <c r="S63" i="42"/>
  <c r="T62" i="42"/>
  <c r="U61" i="42"/>
  <c r="T63" i="42"/>
  <c r="S64" i="42"/>
  <c r="U62" i="42"/>
  <c r="U63" i="42"/>
  <c r="S65" i="42"/>
  <c r="T64" i="42"/>
  <c r="U64" i="42"/>
  <c r="T65" i="42"/>
  <c r="S66" i="42"/>
  <c r="U65" i="42"/>
  <c r="S67" i="42"/>
  <c r="T66" i="42"/>
  <c r="T67" i="42"/>
  <c r="U67" i="42"/>
  <c r="S68" i="42"/>
  <c r="U66" i="42"/>
  <c r="S69" i="42"/>
  <c r="T68" i="42"/>
  <c r="S70" i="42"/>
  <c r="T69" i="42"/>
  <c r="U68" i="42"/>
  <c r="S71" i="42"/>
  <c r="T70" i="42"/>
  <c r="U69" i="42"/>
  <c r="T71" i="42"/>
  <c r="S72" i="42"/>
  <c r="U70" i="42"/>
  <c r="U71" i="42"/>
  <c r="S73" i="42"/>
  <c r="T72" i="42"/>
  <c r="U72" i="42"/>
  <c r="T73" i="42"/>
  <c r="S74" i="42"/>
  <c r="U73" i="42"/>
  <c r="S75" i="42"/>
  <c r="T74" i="42"/>
  <c r="U74" i="42"/>
  <c r="S76" i="42"/>
  <c r="T75" i="42"/>
  <c r="S77" i="42"/>
  <c r="T76" i="42"/>
  <c r="U75" i="42"/>
  <c r="T77" i="42"/>
  <c r="S78" i="42"/>
  <c r="U76" i="42"/>
  <c r="U77" i="42"/>
  <c r="S79" i="42"/>
  <c r="T78" i="42"/>
  <c r="T79" i="42"/>
  <c r="S80" i="42"/>
  <c r="U78" i="42"/>
  <c r="U79" i="42"/>
  <c r="T80" i="42"/>
  <c r="S81" i="42"/>
  <c r="U80" i="42"/>
  <c r="S82" i="42"/>
  <c r="T81" i="42"/>
  <c r="S83" i="42"/>
  <c r="T82" i="42"/>
  <c r="U81" i="42"/>
  <c r="S84" i="42"/>
  <c r="T83" i="42"/>
  <c r="U83" i="42"/>
  <c r="U82" i="42"/>
  <c r="T84" i="42"/>
  <c r="S85" i="42"/>
  <c r="U84" i="42"/>
  <c r="T85" i="42"/>
  <c r="S86" i="42"/>
  <c r="U85" i="42"/>
  <c r="T86" i="42"/>
  <c r="U86" i="42"/>
  <c r="S87" i="42"/>
  <c r="T87" i="42"/>
  <c r="S88" i="42"/>
  <c r="U87" i="42"/>
  <c r="T88" i="42"/>
  <c r="U88" i="42"/>
  <c r="S89" i="42"/>
  <c r="T89" i="42"/>
  <c r="U89" i="42"/>
  <c r="S90" i="42"/>
  <c r="T90" i="42"/>
  <c r="S91" i="42"/>
  <c r="U90" i="42"/>
  <c r="T91" i="42"/>
  <c r="S92" i="42"/>
  <c r="U91" i="42"/>
  <c r="T92" i="42"/>
  <c r="U92" i="42"/>
  <c r="S93" i="42"/>
  <c r="S94" i="42"/>
  <c r="T93" i="42"/>
  <c r="T94" i="42"/>
  <c r="S95" i="42"/>
  <c r="U94" i="42"/>
  <c r="U93" i="42"/>
  <c r="T95" i="42"/>
  <c r="S96" i="42"/>
  <c r="U95" i="42"/>
  <c r="T96" i="42"/>
  <c r="S97" i="42"/>
  <c r="U96" i="42"/>
  <c r="S98" i="42"/>
  <c r="T97" i="42"/>
  <c r="S99" i="42"/>
  <c r="T98" i="42"/>
  <c r="U97" i="42"/>
  <c r="T99" i="42"/>
  <c r="S100" i="42"/>
  <c r="U98" i="42"/>
  <c r="U99" i="42"/>
  <c r="S101" i="42"/>
  <c r="T100" i="42"/>
  <c r="T101" i="42"/>
  <c r="S102" i="42"/>
  <c r="U101" i="42"/>
  <c r="U100" i="42"/>
  <c r="S103" i="42"/>
  <c r="T102" i="42"/>
  <c r="S104" i="42"/>
  <c r="T103" i="42"/>
  <c r="U103" i="42"/>
  <c r="U102" i="42"/>
  <c r="T104" i="42"/>
  <c r="S105" i="42"/>
  <c r="U104" i="42"/>
  <c r="S106" i="42"/>
  <c r="T105" i="42"/>
  <c r="S107" i="42"/>
  <c r="T106" i="42"/>
  <c r="U105" i="42"/>
  <c r="S108" i="42"/>
  <c r="T107" i="42"/>
  <c r="U107" i="42"/>
  <c r="U106" i="42"/>
  <c r="S109" i="42"/>
  <c r="T108" i="42"/>
  <c r="S110" i="42"/>
  <c r="T109" i="42"/>
  <c r="U108" i="42"/>
  <c r="T110" i="42"/>
  <c r="S111" i="42"/>
  <c r="U109" i="42"/>
  <c r="U110" i="42"/>
  <c r="T111" i="42"/>
  <c r="U111" i="42"/>
  <c r="S112" i="42"/>
  <c r="S113" i="42"/>
  <c r="T112" i="42"/>
  <c r="U112" i="42"/>
  <c r="T113" i="42"/>
  <c r="S114" i="42"/>
  <c r="U113" i="42"/>
  <c r="T114" i="42"/>
  <c r="S115" i="42"/>
  <c r="U114" i="42"/>
  <c r="S116" i="42"/>
  <c r="T115" i="42"/>
  <c r="S117" i="42"/>
  <c r="T116" i="42"/>
  <c r="U115" i="42"/>
  <c r="S118" i="42"/>
  <c r="T117" i="42"/>
  <c r="U116" i="42"/>
  <c r="S119" i="42"/>
  <c r="T118" i="42"/>
  <c r="U117" i="42"/>
  <c r="T119" i="42"/>
  <c r="S120" i="42"/>
  <c r="U118" i="42"/>
  <c r="U119" i="42"/>
  <c r="T120" i="42"/>
  <c r="U120" i="42"/>
  <c r="S121" i="42"/>
  <c r="S122" i="42"/>
  <c r="T121" i="42"/>
  <c r="T122" i="42"/>
  <c r="U122" i="42"/>
  <c r="S123" i="42"/>
  <c r="U121" i="42"/>
  <c r="T123" i="42"/>
  <c r="S124" i="42"/>
  <c r="U123" i="42"/>
  <c r="S125" i="42"/>
  <c r="T124" i="42"/>
  <c r="T125" i="42"/>
  <c r="S126" i="42"/>
  <c r="U124" i="42"/>
  <c r="U125" i="42"/>
  <c r="T126" i="42"/>
  <c r="S127" i="42"/>
  <c r="U126" i="42"/>
  <c r="T127" i="42"/>
  <c r="U127" i="42"/>
  <c r="S128" i="42"/>
  <c r="T128" i="42"/>
  <c r="U128" i="42"/>
  <c r="S129" i="42"/>
  <c r="S130" i="42"/>
  <c r="T129" i="42"/>
  <c r="U129" i="42"/>
  <c r="S131" i="42"/>
  <c r="T130" i="42"/>
  <c r="S132" i="42"/>
  <c r="T131" i="42"/>
  <c r="U131" i="42"/>
  <c r="U130" i="42"/>
  <c r="S133" i="42"/>
  <c r="T132" i="42"/>
  <c r="S134" i="42"/>
  <c r="T133" i="42"/>
  <c r="U132" i="42"/>
  <c r="T134" i="42"/>
  <c r="S135" i="42"/>
  <c r="U133" i="42"/>
  <c r="U134" i="42"/>
  <c r="T135" i="42"/>
  <c r="S136" i="42"/>
  <c r="U135" i="42"/>
  <c r="S137" i="42"/>
  <c r="T136" i="42"/>
  <c r="T137" i="42"/>
  <c r="S138" i="42"/>
  <c r="U137" i="42"/>
  <c r="U136" i="42"/>
  <c r="T138" i="42"/>
  <c r="U138" i="42"/>
  <c r="S139" i="42"/>
  <c r="S140" i="42"/>
  <c r="T139" i="42"/>
  <c r="U139" i="42"/>
  <c r="T140" i="42"/>
  <c r="S141" i="42"/>
  <c r="U140" i="42"/>
  <c r="T141" i="42"/>
  <c r="S142" i="42"/>
  <c r="U141" i="42"/>
  <c r="S143" i="42"/>
  <c r="T142" i="42"/>
  <c r="U142" i="42"/>
  <c r="T143" i="42"/>
  <c r="S144" i="42"/>
  <c r="U143" i="42"/>
  <c r="S145" i="42"/>
  <c r="T144" i="42"/>
  <c r="U144" i="42"/>
  <c r="T145" i="42"/>
  <c r="S146" i="42"/>
  <c r="U145" i="42"/>
  <c r="T146" i="42"/>
  <c r="U146" i="42"/>
  <c r="S147" i="42"/>
  <c r="S148" i="42"/>
  <c r="T147" i="42"/>
  <c r="S149" i="42"/>
  <c r="T148" i="42"/>
  <c r="U147" i="42"/>
  <c r="S150" i="42"/>
  <c r="T149" i="42"/>
  <c r="U148" i="42"/>
  <c r="T150" i="42"/>
  <c r="S151" i="42"/>
  <c r="U150" i="42"/>
  <c r="U149" i="42"/>
  <c r="S152" i="42"/>
  <c r="T151" i="42"/>
  <c r="S153" i="42"/>
  <c r="T152" i="42"/>
  <c r="U152" i="42"/>
  <c r="U151" i="42"/>
  <c r="T153" i="42"/>
  <c r="U153" i="42"/>
  <c r="S154" i="42"/>
  <c r="T154" i="42"/>
  <c r="U154" i="42"/>
  <c r="S155" i="42"/>
  <c r="S156" i="42"/>
  <c r="T155" i="42"/>
  <c r="S157" i="42"/>
  <c r="T156" i="42"/>
  <c r="U155" i="42"/>
  <c r="T157" i="42"/>
  <c r="S158" i="42"/>
  <c r="U156" i="42"/>
  <c r="U157" i="42"/>
  <c r="T158" i="42"/>
  <c r="S159" i="42"/>
  <c r="U158" i="42"/>
  <c r="S160" i="42"/>
  <c r="T159" i="42"/>
  <c r="T160" i="42"/>
  <c r="S161" i="42"/>
  <c r="U159" i="42"/>
  <c r="U160" i="42"/>
  <c r="S162" i="42"/>
  <c r="T161" i="42"/>
  <c r="S163" i="42"/>
  <c r="T162" i="42"/>
  <c r="U161" i="42"/>
  <c r="T163" i="42"/>
  <c r="S164" i="42"/>
  <c r="U163" i="42"/>
  <c r="U162" i="42"/>
  <c r="T164" i="42"/>
  <c r="S165" i="42"/>
  <c r="U164" i="42"/>
  <c r="S166" i="42"/>
  <c r="T165" i="42"/>
  <c r="T166" i="42"/>
  <c r="S167" i="42"/>
  <c r="U166" i="42"/>
  <c r="U165" i="42"/>
  <c r="S168" i="42"/>
  <c r="T167" i="42"/>
  <c r="S169" i="42"/>
  <c r="T168" i="42"/>
  <c r="U167" i="42"/>
  <c r="T169" i="42"/>
  <c r="U169" i="42"/>
  <c r="S170" i="42"/>
  <c r="U168" i="42"/>
  <c r="T170" i="42"/>
  <c r="S171" i="42"/>
  <c r="U170" i="42"/>
  <c r="T171" i="42"/>
  <c r="S172" i="42"/>
  <c r="U171" i="42"/>
  <c r="S173" i="42"/>
  <c r="T172" i="42"/>
  <c r="U172" i="42"/>
  <c r="S174" i="42"/>
  <c r="T173" i="42"/>
  <c r="S175" i="42"/>
  <c r="T174" i="42"/>
  <c r="U173" i="42"/>
  <c r="T175" i="42"/>
  <c r="S176" i="42"/>
  <c r="U174" i="42"/>
  <c r="U175" i="42"/>
  <c r="T176" i="42"/>
  <c r="U176" i="42"/>
  <c r="S177" i="42"/>
  <c r="T177" i="42"/>
  <c r="S178" i="42"/>
  <c r="U177" i="42"/>
  <c r="T178" i="42"/>
  <c r="S179" i="42"/>
  <c r="U178" i="42"/>
  <c r="T179" i="42"/>
  <c r="S180" i="42"/>
  <c r="U179" i="42"/>
  <c r="T180" i="42"/>
  <c r="U180" i="42"/>
  <c r="S181" i="42"/>
  <c r="S182" i="42"/>
  <c r="T181" i="42"/>
  <c r="T182" i="42"/>
  <c r="S183" i="42"/>
  <c r="U181" i="42"/>
  <c r="U182" i="42"/>
  <c r="T183" i="42"/>
  <c r="U183" i="42"/>
  <c r="S184" i="42"/>
  <c r="S185" i="42"/>
  <c r="T184" i="42"/>
  <c r="S186" i="42"/>
  <c r="T185" i="42"/>
  <c r="U185" i="42"/>
  <c r="U184" i="42"/>
  <c r="T186" i="42"/>
  <c r="S187" i="42"/>
  <c r="U186" i="42"/>
  <c r="T187" i="42"/>
  <c r="S188" i="42"/>
  <c r="U187" i="42"/>
  <c r="T188" i="42"/>
  <c r="S189" i="42"/>
  <c r="U188" i="42"/>
  <c r="S190" i="42"/>
  <c r="T189" i="42"/>
  <c r="S191" i="42"/>
  <c r="T190" i="42"/>
  <c r="U189" i="42"/>
  <c r="T191" i="42"/>
  <c r="U191" i="42"/>
  <c r="S192" i="42"/>
  <c r="U190" i="42"/>
  <c r="T192" i="42"/>
  <c r="U192" i="42"/>
  <c r="S193" i="42"/>
  <c r="S194" i="42"/>
  <c r="T193" i="42"/>
  <c r="T194" i="42"/>
  <c r="S195" i="42"/>
  <c r="U194" i="42"/>
  <c r="U193" i="42"/>
  <c r="S196" i="42"/>
  <c r="T195" i="42"/>
  <c r="U195" i="42"/>
  <c r="S197" i="42"/>
  <c r="T196" i="42"/>
  <c r="U196" i="42"/>
  <c r="T197" i="42"/>
  <c r="S198" i="42"/>
  <c r="U197" i="42"/>
  <c r="S199" i="42"/>
  <c r="T198" i="42"/>
  <c r="T199" i="42"/>
  <c r="S200" i="42"/>
  <c r="U198" i="42"/>
  <c r="U199" i="42"/>
  <c r="T200" i="42"/>
  <c r="U200" i="42"/>
  <c r="S201" i="42"/>
  <c r="T201" i="42"/>
  <c r="S202" i="42"/>
  <c r="U201" i="42"/>
  <c r="S203" i="42"/>
  <c r="T202" i="42"/>
  <c r="S204" i="42"/>
  <c r="T203" i="42"/>
  <c r="U203" i="42"/>
  <c r="U202" i="42"/>
  <c r="T204" i="42"/>
  <c r="S205" i="42"/>
  <c r="U204" i="42"/>
  <c r="T205" i="42"/>
  <c r="U205" i="42"/>
  <c r="S206" i="42"/>
  <c r="S207" i="42"/>
  <c r="T206" i="42"/>
  <c r="S208" i="42"/>
  <c r="T207" i="42"/>
  <c r="U206" i="42"/>
  <c r="T208" i="42"/>
  <c r="S209" i="42"/>
  <c r="U208" i="42"/>
  <c r="U207" i="42"/>
  <c r="T209" i="42"/>
  <c r="S210" i="42"/>
  <c r="U209" i="42"/>
  <c r="T210" i="42"/>
  <c r="U210" i="42"/>
  <c r="S211" i="42"/>
  <c r="T211" i="42"/>
  <c r="S212" i="42"/>
  <c r="U211" i="42"/>
  <c r="S213" i="42"/>
  <c r="T212" i="42"/>
  <c r="S214" i="42"/>
  <c r="T213" i="42"/>
  <c r="U212" i="42"/>
  <c r="T214" i="42"/>
  <c r="S215" i="42"/>
  <c r="U213" i="42"/>
  <c r="U214" i="42"/>
  <c r="S216" i="42"/>
  <c r="T215" i="42"/>
  <c r="S217" i="42"/>
  <c r="T216" i="42"/>
  <c r="U215" i="42"/>
  <c r="T217" i="42"/>
  <c r="S218" i="42"/>
  <c r="U217" i="42"/>
  <c r="U216" i="42"/>
  <c r="S219" i="42"/>
  <c r="T218" i="42"/>
  <c r="S220" i="42"/>
  <c r="T219" i="42"/>
  <c r="U218" i="42"/>
  <c r="S221" i="42"/>
  <c r="T220" i="42"/>
  <c r="U219" i="42"/>
  <c r="T221" i="42"/>
  <c r="U221" i="42"/>
  <c r="S222" i="42"/>
  <c r="U220" i="42"/>
  <c r="T222" i="42"/>
  <c r="U222" i="42"/>
  <c r="S223" i="42"/>
  <c r="T223" i="42"/>
  <c r="U223" i="42"/>
  <c r="S224" i="42"/>
  <c r="S225" i="42"/>
  <c r="T224" i="42"/>
  <c r="T225" i="42"/>
  <c r="S226" i="42"/>
  <c r="U224" i="42"/>
  <c r="U225" i="42"/>
  <c r="T226" i="42"/>
  <c r="S227" i="42"/>
  <c r="U226" i="42"/>
  <c r="S228" i="42"/>
  <c r="T227" i="42"/>
  <c r="T228" i="42"/>
  <c r="U228" i="42"/>
  <c r="S229" i="42"/>
  <c r="U227" i="42"/>
  <c r="S230" i="42"/>
  <c r="T229" i="42"/>
  <c r="S231" i="42"/>
  <c r="T230" i="42"/>
  <c r="U229" i="42"/>
  <c r="T231" i="42"/>
  <c r="S232" i="42"/>
  <c r="U230" i="42"/>
  <c r="U231" i="42"/>
  <c r="S233" i="42"/>
  <c r="T232" i="42"/>
  <c r="S234" i="42"/>
  <c r="T233" i="42"/>
  <c r="U232" i="42"/>
  <c r="T234" i="42"/>
  <c r="S235" i="42"/>
  <c r="U234" i="42"/>
  <c r="U233" i="42"/>
  <c r="T235" i="42"/>
  <c r="U235" i="42"/>
  <c r="S236" i="42"/>
  <c r="T236" i="42"/>
  <c r="U236" i="42"/>
  <c r="S237" i="42"/>
  <c r="T237" i="42"/>
  <c r="S238" i="42"/>
  <c r="U237" i="42"/>
  <c r="T238" i="42"/>
  <c r="S239" i="42"/>
  <c r="U238" i="42"/>
  <c r="T239" i="42"/>
  <c r="S240" i="42"/>
  <c r="U239" i="42"/>
  <c r="S241" i="42"/>
  <c r="T240" i="42"/>
  <c r="T241" i="42"/>
  <c r="U241" i="42"/>
  <c r="S242" i="42"/>
  <c r="U240" i="42"/>
  <c r="T242" i="42"/>
  <c r="S243" i="42"/>
  <c r="U242" i="42"/>
  <c r="T243" i="42"/>
  <c r="S244" i="42"/>
  <c r="U243" i="42"/>
  <c r="S245" i="42"/>
  <c r="T244" i="42"/>
  <c r="U244" i="42"/>
  <c r="S246" i="42"/>
  <c r="T245" i="42"/>
  <c r="U245" i="42"/>
  <c r="T246" i="42"/>
  <c r="S247" i="42"/>
  <c r="U246" i="42"/>
  <c r="T247" i="42"/>
  <c r="S248" i="42"/>
  <c r="U247" i="42"/>
  <c r="T248" i="42"/>
  <c r="S249" i="42"/>
  <c r="U248" i="42"/>
  <c r="S250" i="42"/>
  <c r="T249" i="42"/>
  <c r="S251" i="42"/>
  <c r="T250" i="42"/>
  <c r="U249" i="42"/>
  <c r="T251" i="42"/>
  <c r="S252" i="42"/>
  <c r="U250" i="42"/>
  <c r="U251" i="42"/>
  <c r="S253" i="42"/>
  <c r="T252" i="42"/>
  <c r="U252" i="42"/>
  <c r="S254" i="42"/>
  <c r="T253" i="42"/>
  <c r="S255" i="42"/>
  <c r="T254" i="42"/>
  <c r="U253" i="42"/>
  <c r="T255" i="42"/>
  <c r="S256" i="42"/>
  <c r="U255" i="42"/>
  <c r="U254" i="42"/>
  <c r="S257" i="42"/>
  <c r="T256" i="42"/>
  <c r="S258" i="42"/>
  <c r="T257" i="42"/>
  <c r="U256" i="42"/>
  <c r="S259" i="42"/>
  <c r="T258" i="42"/>
  <c r="U257" i="42"/>
  <c r="T259" i="42"/>
  <c r="S260" i="42"/>
  <c r="U258" i="42"/>
  <c r="U259" i="42"/>
  <c r="S261" i="42"/>
  <c r="T260" i="42"/>
  <c r="U260" i="42"/>
  <c r="T261" i="42"/>
  <c r="U261" i="42"/>
  <c r="K3" i="48" l="1"/>
  <c r="I3" i="48"/>
  <c r="J3" i="48"/>
  <c r="J3" i="49"/>
  <c r="K3" i="49"/>
  <c r="I3" i="49"/>
  <c r="U5" i="43"/>
  <c r="U3" i="43"/>
  <c r="U4" i="43"/>
  <c r="U13" i="43"/>
  <c r="AA13" i="43" s="1"/>
  <c r="U9" i="43"/>
  <c r="U10" i="43"/>
  <c r="S3" i="43"/>
  <c r="S5" i="43"/>
  <c r="S4" i="43"/>
  <c r="T10" i="43"/>
  <c r="T9" i="43"/>
  <c r="T5" i="43"/>
  <c r="T4" i="43"/>
  <c r="T3" i="43"/>
  <c r="O3" i="48" a="1"/>
  <c r="Q9" i="48" a="1"/>
  <c r="Q3" i="48" a="1"/>
  <c r="Q13" i="48" a="1"/>
  <c r="P3" i="48" a="1"/>
  <c r="P9" i="48" a="1"/>
  <c r="P9" i="49" a="1"/>
  <c r="P3" i="49" a="1"/>
  <c r="O3" i="49" a="1"/>
  <c r="Q13" i="49" a="1"/>
  <c r="Q3" i="49" a="1"/>
  <c r="Q9" i="49" a="1"/>
  <c r="Q10" i="49" l="1"/>
  <c r="Q9" i="49"/>
  <c r="Q3" i="49"/>
  <c r="Q4" i="49"/>
  <c r="Q5" i="49"/>
  <c r="Q13" i="49"/>
  <c r="W13" i="49" s="1"/>
  <c r="O5" i="49"/>
  <c r="O4" i="49"/>
  <c r="W3" i="49" s="1" a="1"/>
  <c r="O3" i="49"/>
  <c r="P3" i="49"/>
  <c r="P4" i="49"/>
  <c r="P5" i="49"/>
  <c r="P9" i="49"/>
  <c r="P10" i="49"/>
  <c r="P10" i="48"/>
  <c r="P9" i="48"/>
  <c r="P4" i="48"/>
  <c r="P5" i="48"/>
  <c r="P3" i="48"/>
  <c r="Q13" i="48"/>
  <c r="W13" i="48" s="1"/>
  <c r="Q4" i="48"/>
  <c r="Q3" i="48"/>
  <c r="W3" i="48" s="1" a="1"/>
  <c r="Q5" i="48"/>
  <c r="Q9" i="48"/>
  <c r="Q10" i="48"/>
  <c r="O4" i="48"/>
  <c r="O3" i="48"/>
  <c r="O5" i="48"/>
  <c r="AA9" i="43" a="1"/>
  <c r="AA3" i="43" a="1"/>
  <c r="W9" i="48" l="1" a="1"/>
  <c r="W9" i="48" s="1"/>
  <c r="W9" i="49" a="1"/>
  <c r="W10" i="49" s="1"/>
  <c r="W10" i="48"/>
  <c r="X10" i="48"/>
  <c r="X9" i="48"/>
  <c r="X9" i="49"/>
  <c r="W9" i="49"/>
  <c r="X10" i="49"/>
  <c r="X4" i="49"/>
  <c r="W5" i="49"/>
  <c r="X5" i="49"/>
  <c r="Y3" i="49"/>
  <c r="W3" i="49"/>
  <c r="Y5" i="49"/>
  <c r="W4" i="49"/>
  <c r="X3" i="49"/>
  <c r="Y4" i="49"/>
  <c r="X5" i="48"/>
  <c r="W5" i="48"/>
  <c r="Y5" i="48"/>
  <c r="W3" i="48"/>
  <c r="Y4" i="48"/>
  <c r="Y3" i="48"/>
  <c r="X3" i="48"/>
  <c r="X4" i="48"/>
  <c r="W4" i="48"/>
  <c r="AA3" i="43"/>
  <c r="AB3" i="43"/>
  <c r="AC3" i="43"/>
  <c r="AC4" i="43"/>
  <c r="AC5" i="43"/>
  <c r="AB4" i="43"/>
  <c r="AA5" i="43"/>
  <c r="AB5" i="43"/>
  <c r="AA4" i="43"/>
  <c r="AB10" i="43"/>
  <c r="AB9" i="43"/>
  <c r="AA10" i="43"/>
  <c r="AA9" i="43"/>
  <c r="AC5" i="39" l="1" a="1"/>
  <c r="BI49" i="39"/>
  <c r="BI68" i="39"/>
  <c r="BI126" i="39"/>
  <c r="BI20" i="39"/>
  <c r="BI108" i="39"/>
  <c r="BI51" i="39"/>
  <c r="BI7" i="39"/>
  <c r="BI110" i="39"/>
  <c r="BI70" i="39"/>
  <c r="BI40" i="39"/>
  <c r="BI75" i="39"/>
  <c r="BI58" i="39"/>
  <c r="BI71" i="39"/>
  <c r="BI123" i="39"/>
  <c r="BI66" i="39"/>
  <c r="BI73" i="39"/>
  <c r="BI94" i="39"/>
  <c r="BI128" i="39"/>
  <c r="BI23" i="39"/>
  <c r="BI117" i="39"/>
  <c r="BI104" i="39"/>
  <c r="BI25" i="39"/>
  <c r="BI46" i="39"/>
  <c r="BI125" i="39"/>
  <c r="BI120" i="39"/>
  <c r="BI45" i="39"/>
  <c r="BI8" i="39"/>
  <c r="BI47" i="39"/>
  <c r="BI67" i="39"/>
  <c r="BI64" i="39"/>
  <c r="BI81" i="39"/>
  <c r="BI102" i="39"/>
  <c r="BI44" i="39"/>
  <c r="BI63" i="39"/>
  <c r="BI60" i="39"/>
  <c r="BI41" i="39"/>
  <c r="BI22" i="39"/>
  <c r="BI16" i="39"/>
  <c r="BI33" i="39"/>
  <c r="BI113" i="39"/>
  <c r="BI119" i="39"/>
  <c r="BI5" i="39"/>
  <c r="BI103" i="39"/>
  <c r="BI17" i="39"/>
  <c r="BI76" i="39"/>
  <c r="BI72" i="39"/>
  <c r="BI36" i="39"/>
  <c r="BI28" i="39"/>
  <c r="BI95" i="39"/>
  <c r="BI6" i="39"/>
  <c r="BI109" i="39"/>
  <c r="BI42" i="39"/>
  <c r="BI48" i="39"/>
  <c r="BI107" i="39"/>
  <c r="BI97" i="39"/>
  <c r="BI19" i="39"/>
  <c r="BI15" i="39"/>
  <c r="BI27" i="39"/>
  <c r="BI132" i="39"/>
  <c r="BI38" i="39"/>
  <c r="BI59" i="39"/>
  <c r="BI69" i="39"/>
  <c r="BI50" i="39"/>
  <c r="BI83" i="39"/>
  <c r="BI74" i="39"/>
  <c r="BI86" i="39"/>
  <c r="BI52" i="39"/>
  <c r="BI122" i="39"/>
  <c r="BI14" i="39"/>
  <c r="BI99" i="39"/>
  <c r="BI124" i="39"/>
  <c r="BI82" i="39"/>
  <c r="BI31" i="39"/>
  <c r="BI53" i="39"/>
  <c r="BI80" i="39"/>
  <c r="BI78" i="39"/>
  <c r="BI57" i="39"/>
  <c r="BI116" i="39"/>
  <c r="BI13" i="39"/>
  <c r="BI43" i="39"/>
  <c r="BI37" i="39"/>
  <c r="BI111" i="39"/>
  <c r="BI98" i="39"/>
  <c r="BI127" i="39"/>
  <c r="BI32" i="39"/>
  <c r="BI34" i="39"/>
  <c r="BI35" i="39"/>
  <c r="BI112" i="39"/>
  <c r="BI87" i="39"/>
  <c r="BI11" i="39"/>
  <c r="BI100" i="39"/>
  <c r="BI65" i="39"/>
  <c r="BI130" i="39"/>
  <c r="BI24" i="39"/>
  <c r="BI79" i="39"/>
  <c r="BI77" i="39"/>
  <c r="BI9" i="39"/>
  <c r="BI56" i="39"/>
  <c r="BI85" i="39"/>
  <c r="BI133" i="39"/>
  <c r="BI55" i="39"/>
  <c r="BI114" i="39"/>
  <c r="BI106" i="39"/>
  <c r="BI88" i="39"/>
  <c r="BI18" i="39"/>
  <c r="BI118" i="39"/>
  <c r="BI91" i="39"/>
  <c r="BI26" i="39"/>
  <c r="BI84" i="39"/>
  <c r="BI4" i="39"/>
  <c r="BI54" i="39"/>
  <c r="BI90" i="39"/>
  <c r="BI96" i="39"/>
  <c r="BI93" i="39"/>
  <c r="BI39" i="39"/>
  <c r="BI115" i="39"/>
  <c r="BI129" i="39"/>
  <c r="BI101" i="39"/>
  <c r="BI10" i="39"/>
  <c r="BI29" i="39"/>
  <c r="BI30" i="39"/>
  <c r="BI105" i="39"/>
  <c r="BI131" i="39"/>
  <c r="BI62" i="39"/>
  <c r="BI21" i="39"/>
  <c r="BI12" i="39"/>
  <c r="BI121" i="39"/>
  <c r="BI61" i="39"/>
  <c r="BI89" i="39"/>
  <c r="BI92" i="39"/>
  <c r="BH63" i="39"/>
  <c r="BH27" i="39"/>
  <c r="BH115" i="39"/>
  <c r="BH96" i="39"/>
  <c r="BH99" i="39"/>
  <c r="BH36" i="39"/>
  <c r="BH18" i="39"/>
  <c r="BH44" i="39"/>
  <c r="BH43" i="39"/>
  <c r="BH70" i="39"/>
  <c r="BH55" i="39"/>
  <c r="BH29" i="39"/>
  <c r="BH69" i="39"/>
  <c r="BH131" i="39"/>
  <c r="BH25" i="39"/>
  <c r="BH78" i="39"/>
  <c r="BH102" i="39"/>
  <c r="BJ9" i="39"/>
  <c r="BJ79" i="39"/>
  <c r="BJ41" i="39"/>
  <c r="BJ109" i="39"/>
  <c r="BJ129" i="39"/>
  <c r="BJ35" i="39"/>
  <c r="BJ115" i="39"/>
  <c r="BJ95" i="39"/>
  <c r="BJ28" i="39"/>
  <c r="BJ37" i="39"/>
  <c r="BJ20" i="39"/>
  <c r="BJ104" i="39"/>
  <c r="BJ10" i="39"/>
  <c r="BJ44" i="39"/>
  <c r="BJ23" i="39"/>
  <c r="BJ105" i="39"/>
  <c r="BH17" i="39"/>
  <c r="BH117" i="39"/>
  <c r="BH107" i="39"/>
  <c r="BH129" i="39"/>
  <c r="BH87" i="39"/>
  <c r="BH95" i="39"/>
  <c r="BJ64" i="39"/>
  <c r="BJ53" i="39"/>
  <c r="BJ101" i="39"/>
  <c r="BJ80" i="39"/>
  <c r="BJ45" i="39"/>
  <c r="BJ127" i="39"/>
  <c r="BH4" i="39"/>
  <c r="BH28" i="39"/>
  <c r="BH34" i="39"/>
  <c r="BH45" i="39"/>
  <c r="BH90" i="39"/>
  <c r="BJ17" i="39"/>
  <c r="BJ58" i="39"/>
  <c r="BJ19" i="39"/>
  <c r="BJ119" i="39"/>
  <c r="BJ76" i="39"/>
  <c r="BJ47" i="39"/>
  <c r="BH109" i="39"/>
  <c r="BH21" i="39"/>
  <c r="BH105" i="39"/>
  <c r="BH7" i="39"/>
  <c r="BH58" i="39"/>
  <c r="BJ98" i="39"/>
  <c r="BJ75" i="39"/>
  <c r="BJ90" i="39"/>
  <c r="BJ59" i="39"/>
  <c r="BJ116" i="39"/>
  <c r="BJ26" i="39"/>
  <c r="BH30" i="39"/>
  <c r="BH40" i="39"/>
  <c r="BH50" i="39"/>
  <c r="BH15" i="39"/>
  <c r="BH26" i="39"/>
  <c r="BH112" i="39"/>
  <c r="BJ103" i="39"/>
  <c r="BJ78" i="39"/>
  <c r="BJ92" i="39"/>
  <c r="BJ124" i="39"/>
  <c r="BJ25" i="39"/>
  <c r="BH133" i="39"/>
  <c r="BH97" i="39"/>
  <c r="BH19" i="39"/>
  <c r="BH53" i="39"/>
  <c r="BH86" i="39"/>
  <c r="BH106" i="39"/>
  <c r="BJ43" i="39"/>
  <c r="BJ74" i="39"/>
  <c r="BJ31" i="39"/>
  <c r="BJ24" i="39"/>
  <c r="BJ7" i="39"/>
  <c r="BH66" i="39"/>
  <c r="BH93" i="39"/>
  <c r="BH31" i="39"/>
  <c r="BH120" i="39"/>
  <c r="BH75" i="39"/>
  <c r="BH48" i="39"/>
  <c r="BH9" i="39"/>
  <c r="BH39" i="39"/>
  <c r="BH118" i="39"/>
  <c r="BH72" i="39"/>
  <c r="BH85" i="39"/>
  <c r="BH122" i="39"/>
  <c r="BH38" i="39"/>
  <c r="BH83" i="39"/>
  <c r="BH127" i="39"/>
  <c r="BH114" i="39"/>
  <c r="BH128" i="39"/>
  <c r="BJ123" i="39"/>
  <c r="BJ48" i="39"/>
  <c r="BJ133" i="39"/>
  <c r="BJ27" i="39"/>
  <c r="BJ102" i="39"/>
  <c r="BJ81" i="39"/>
  <c r="BJ99" i="39"/>
  <c r="BJ89" i="39"/>
  <c r="BJ130" i="39"/>
  <c r="BJ32" i="39"/>
  <c r="BJ4" i="39"/>
  <c r="BJ118" i="39"/>
  <c r="BJ15" i="39"/>
  <c r="BJ72" i="39"/>
  <c r="BJ85" i="39"/>
  <c r="BJ71" i="39"/>
  <c r="BH81" i="39"/>
  <c r="BH10" i="39"/>
  <c r="BH56" i="39"/>
  <c r="BH92" i="39"/>
  <c r="BH59" i="39"/>
  <c r="BJ96" i="39"/>
  <c r="BJ113" i="39"/>
  <c r="BJ67" i="39"/>
  <c r="BJ33" i="39"/>
  <c r="BJ126" i="39"/>
  <c r="BH64" i="39"/>
  <c r="BH98" i="39"/>
  <c r="BH73" i="39"/>
  <c r="BH124" i="39"/>
  <c r="BH80" i="39"/>
  <c r="BJ21" i="39"/>
  <c r="BJ60" i="39"/>
  <c r="BJ63" i="39"/>
  <c r="BJ91" i="39"/>
  <c r="BJ39" i="39"/>
  <c r="BH74" i="39"/>
  <c r="BH37" i="39"/>
  <c r="BH119" i="39"/>
  <c r="BH8" i="39"/>
  <c r="BH126" i="39"/>
  <c r="BJ70" i="39"/>
  <c r="BJ36" i="39"/>
  <c r="BJ5" i="39"/>
  <c r="BJ30" i="39"/>
  <c r="BH5" i="39"/>
  <c r="BH103" i="39"/>
  <c r="BH67" i="39"/>
  <c r="BH41" i="39"/>
  <c r="BH49" i="39"/>
  <c r="BJ69" i="39"/>
  <c r="BJ107" i="39"/>
  <c r="BJ55" i="39"/>
  <c r="BJ100" i="39"/>
  <c r="BJ52" i="39"/>
  <c r="BH110" i="39"/>
  <c r="BH54" i="39"/>
  <c r="BH33" i="39"/>
  <c r="BH57" i="39"/>
  <c r="BH130" i="39"/>
  <c r="BJ93" i="39"/>
  <c r="BJ114" i="39"/>
  <c r="BJ57" i="39"/>
  <c r="BJ29" i="39"/>
  <c r="BJ22" i="39"/>
  <c r="BH24" i="39"/>
  <c r="BH68" i="39"/>
  <c r="BH108" i="39"/>
  <c r="BH6" i="39"/>
  <c r="BH82" i="39"/>
  <c r="BH121" i="39"/>
  <c r="BH123" i="39"/>
  <c r="BH11" i="39"/>
  <c r="BH71" i="39"/>
  <c r="BH91" i="39"/>
  <c r="BH116" i="39"/>
  <c r="BH132" i="39"/>
  <c r="BH101" i="39"/>
  <c r="BH104" i="39"/>
  <c r="BH100" i="39"/>
  <c r="BH14" i="39"/>
  <c r="BJ88" i="39"/>
  <c r="BJ16" i="39"/>
  <c r="BJ38" i="39"/>
  <c r="BJ122" i="39"/>
  <c r="BJ106" i="39"/>
  <c r="BJ12" i="39"/>
  <c r="BJ77" i="39"/>
  <c r="BJ46" i="39"/>
  <c r="BJ42" i="39"/>
  <c r="BJ117" i="39"/>
  <c r="BJ56" i="39"/>
  <c r="BJ87" i="39"/>
  <c r="BJ50" i="39"/>
  <c r="BJ8" i="39"/>
  <c r="BJ125" i="39"/>
  <c r="BJ108" i="39"/>
  <c r="BJ11" i="39"/>
  <c r="BH61" i="39"/>
  <c r="BH60" i="39"/>
  <c r="BH89" i="39"/>
  <c r="BH20" i="39"/>
  <c r="BH76" i="39"/>
  <c r="BJ51" i="39"/>
  <c r="BJ49" i="39"/>
  <c r="BJ128" i="39"/>
  <c r="BJ73" i="39"/>
  <c r="BJ84" i="39"/>
  <c r="BJ6" i="39"/>
  <c r="BH62" i="39"/>
  <c r="BH88" i="39"/>
  <c r="BH22" i="39"/>
  <c r="BH51" i="39"/>
  <c r="BH65" i="39"/>
  <c r="BH113" i="39"/>
  <c r="BJ121" i="39"/>
  <c r="BJ40" i="39"/>
  <c r="BJ68" i="39"/>
  <c r="BJ18" i="39"/>
  <c r="BJ82" i="39"/>
  <c r="BH94" i="39"/>
  <c r="BH13" i="39"/>
  <c r="BH32" i="39"/>
  <c r="BH79" i="39"/>
  <c r="BH111" i="39"/>
  <c r="BH16" i="39"/>
  <c r="BJ94" i="39"/>
  <c r="BJ34" i="39"/>
  <c r="BJ54" i="39"/>
  <c r="BJ112" i="39"/>
  <c r="BJ61" i="39"/>
  <c r="BJ110" i="39"/>
  <c r="BH125" i="39"/>
  <c r="BH84" i="39"/>
  <c r="BH77" i="39"/>
  <c r="BH42" i="39"/>
  <c r="BH23" i="39"/>
  <c r="BJ62" i="39"/>
  <c r="BJ111" i="39"/>
  <c r="BJ131" i="39"/>
  <c r="BJ65" i="39"/>
  <c r="BJ14" i="39"/>
  <c r="BJ120" i="39"/>
  <c r="BH46" i="39"/>
  <c r="BH47" i="39"/>
  <c r="BH35" i="39"/>
  <c r="BH52" i="39"/>
  <c r="BH12" i="39"/>
  <c r="BJ97" i="39"/>
  <c r="BJ13" i="39"/>
  <c r="BJ83" i="39"/>
  <c r="BJ66" i="39"/>
  <c r="BJ86" i="39"/>
  <c r="BJ132" i="39"/>
  <c r="BG80" i="39"/>
  <c r="BG111" i="39"/>
  <c r="BG119" i="39"/>
  <c r="BG125" i="39"/>
  <c r="BG99" i="39"/>
  <c r="BG24" i="39"/>
  <c r="BG121" i="39"/>
  <c r="BG7" i="39"/>
  <c r="BG107" i="39"/>
  <c r="BG9" i="39"/>
  <c r="BG25" i="39"/>
  <c r="BG67" i="39"/>
  <c r="BG84" i="39"/>
  <c r="BG94" i="39"/>
  <c r="BG8" i="39"/>
  <c r="BG82" i="39"/>
  <c r="BG65" i="39"/>
  <c r="BG85" i="39"/>
  <c r="BG100" i="39"/>
  <c r="BG28" i="39"/>
  <c r="BG91" i="39"/>
  <c r="BG103" i="39"/>
  <c r="BG96" i="39"/>
  <c r="BG74" i="39"/>
  <c r="BG79" i="39"/>
  <c r="BG18" i="39"/>
  <c r="BG33" i="39"/>
  <c r="BG55" i="39"/>
  <c r="BG75" i="39"/>
  <c r="BG133" i="39"/>
  <c r="BG123" i="39"/>
  <c r="BG22" i="39"/>
  <c r="BG23" i="39"/>
  <c r="BG104" i="39"/>
  <c r="BG20" i="39"/>
  <c r="BG115" i="39"/>
  <c r="BG122" i="39"/>
  <c r="BG58" i="39"/>
  <c r="BG87" i="39"/>
  <c r="BG27" i="39"/>
  <c r="BG68" i="39"/>
  <c r="BG101" i="39"/>
  <c r="BG16" i="39"/>
  <c r="BG61" i="39"/>
  <c r="BG53" i="39"/>
  <c r="BG124" i="39"/>
  <c r="BG102" i="39"/>
  <c r="BG30" i="39"/>
  <c r="BG63" i="39"/>
  <c r="BG36" i="39"/>
  <c r="BG45" i="39"/>
  <c r="BG42" i="39"/>
  <c r="BG11" i="39"/>
  <c r="BG114" i="39"/>
  <c r="BG131" i="39"/>
  <c r="BG93" i="39"/>
  <c r="BG109" i="39"/>
  <c r="BG10" i="39"/>
  <c r="BG5" i="39"/>
  <c r="BG88" i="39"/>
  <c r="BG13" i="39"/>
  <c r="BG64" i="39"/>
  <c r="BG106" i="39"/>
  <c r="BG21" i="39"/>
  <c r="BG37" i="39"/>
  <c r="BG105" i="39"/>
  <c r="BG127" i="39"/>
  <c r="BG95" i="39"/>
  <c r="BG34" i="39"/>
  <c r="BG71" i="39"/>
  <c r="BG12" i="39"/>
  <c r="BG110" i="39"/>
  <c r="BG48" i="39"/>
  <c r="BG98" i="39"/>
  <c r="BG32" i="39"/>
  <c r="BG130" i="39"/>
  <c r="BG78" i="39"/>
  <c r="BG89" i="39"/>
  <c r="BG126" i="39"/>
  <c r="BG117" i="39"/>
  <c r="BG41" i="39"/>
  <c r="BG46" i="39"/>
  <c r="BG44" i="39"/>
  <c r="BG90" i="39"/>
  <c r="BG47" i="39"/>
  <c r="BG116" i="39"/>
  <c r="BG51" i="39"/>
  <c r="BG14" i="39"/>
  <c r="BG39" i="39"/>
  <c r="BG128" i="39"/>
  <c r="BG92" i="39"/>
  <c r="BG120" i="39"/>
  <c r="BG69" i="39"/>
  <c r="BG40" i="39"/>
  <c r="BG52" i="39"/>
  <c r="BG118" i="39"/>
  <c r="BG132" i="39"/>
  <c r="BG66" i="39"/>
  <c r="BG6" i="39"/>
  <c r="BG76" i="39"/>
  <c r="BG4" i="39"/>
  <c r="BG59" i="39"/>
  <c r="BG60" i="39"/>
  <c r="BG35" i="39"/>
  <c r="BG49" i="39"/>
  <c r="BG86" i="39"/>
  <c r="BG19" i="39"/>
  <c r="BG72" i="39"/>
  <c r="BG97" i="39"/>
  <c r="BG43" i="39"/>
  <c r="BG57" i="39"/>
  <c r="BG15" i="39"/>
  <c r="BG31" i="39"/>
  <c r="BG26" i="39"/>
  <c r="BG70" i="39"/>
  <c r="BG113" i="39"/>
  <c r="BG129" i="39"/>
  <c r="BG29" i="39"/>
  <c r="BG62" i="39"/>
  <c r="BG73" i="39"/>
  <c r="BG83" i="39"/>
  <c r="BG112" i="39"/>
  <c r="BG17" i="39"/>
  <c r="BG54" i="39"/>
  <c r="BG81" i="39"/>
  <c r="BG77" i="39"/>
  <c r="BG108" i="39"/>
  <c r="BG38" i="39"/>
  <c r="BG56" i="39"/>
  <c r="BG50" i="39"/>
  <c r="AP5" i="39" a="1"/>
  <c r="AO5" i="39" a="1"/>
  <c r="AO9" i="39" a="1"/>
  <c r="AO14" i="39" a="1"/>
  <c r="AP19" i="39" a="1"/>
  <c r="AN19" i="39" a="1"/>
  <c r="AP14" i="39" a="1"/>
  <c r="AN14" i="39" a="1"/>
  <c r="AO19" i="39" a="1"/>
  <c r="AP9" i="39" a="1"/>
  <c r="AP9" i="39" l="1"/>
  <c r="AP10" i="39"/>
  <c r="AO21" i="39"/>
  <c r="AO19" i="39"/>
  <c r="AO20" i="39"/>
  <c r="AN16" i="39"/>
  <c r="AN14" i="39"/>
  <c r="AN15" i="39"/>
  <c r="AP15" i="39"/>
  <c r="AP16" i="39"/>
  <c r="AP14" i="39"/>
  <c r="AN21" i="39"/>
  <c r="AN19" i="39"/>
  <c r="AN20" i="39"/>
  <c r="AP21" i="39"/>
  <c r="AP20" i="39"/>
  <c r="AP19" i="39"/>
  <c r="AO14" i="39"/>
  <c r="AO16" i="39"/>
  <c r="AO15" i="39"/>
  <c r="AO9" i="39"/>
  <c r="AO10" i="39"/>
  <c r="AO5" i="39"/>
  <c r="AO6" i="39"/>
  <c r="AP6" i="39"/>
  <c r="AP5" i="39"/>
  <c r="AC6" i="39"/>
  <c r="AC5" i="39"/>
  <c r="AI5" i="39" s="1" a="1"/>
  <c r="AU5" i="39" l="1" a="1"/>
  <c r="AI5" i="39"/>
  <c r="AJ6" i="39"/>
  <c r="AI6" i="39"/>
  <c r="AJ5" i="39"/>
  <c r="AU14" i="39" a="1"/>
  <c r="AU9" i="39" a="1"/>
  <c r="AU19" i="39" a="1"/>
  <c r="AV21" i="39" l="1"/>
  <c r="AV19" i="39"/>
  <c r="AW21" i="39"/>
  <c r="AW20" i="39"/>
  <c r="AU20" i="39"/>
  <c r="AV20" i="39"/>
  <c r="AW19" i="39"/>
  <c r="AU19" i="39"/>
  <c r="AU21" i="39"/>
  <c r="AU9" i="39"/>
  <c r="AV10" i="39"/>
  <c r="AU10" i="39"/>
  <c r="AV9" i="39"/>
  <c r="AW14" i="39"/>
  <c r="AW16" i="39"/>
  <c r="AV15" i="39"/>
  <c r="AU16" i="39"/>
  <c r="AU15" i="39"/>
  <c r="AV16" i="39"/>
  <c r="AW15" i="39"/>
  <c r="AU14" i="39"/>
  <c r="AV14" i="39"/>
  <c r="AU5" i="39"/>
  <c r="AV6" i="39"/>
  <c r="AV5" i="39"/>
  <c r="AU6" i="39"/>
  <c r="I19" i="29" l="1"/>
  <c r="X261" i="42"/>
  <c r="W261" i="42"/>
  <c r="W260" i="42"/>
  <c r="X260" i="42"/>
  <c r="X259" i="42"/>
  <c r="X258" i="42"/>
  <c r="W259" i="42"/>
  <c r="X257" i="42"/>
  <c r="W258" i="42"/>
  <c r="X256" i="42"/>
  <c r="W257" i="42"/>
  <c r="W256" i="42"/>
  <c r="X254" i="42"/>
  <c r="W255" i="42"/>
  <c r="X255" i="42"/>
  <c r="X253" i="42"/>
  <c r="W254" i="42"/>
  <c r="W253" i="42"/>
  <c r="X252" i="42"/>
  <c r="W252" i="42"/>
  <c r="X251" i="42"/>
  <c r="X250" i="42"/>
  <c r="W251" i="42"/>
  <c r="X249" i="42"/>
  <c r="W250" i="42"/>
  <c r="W249" i="42"/>
  <c r="X248" i="42"/>
  <c r="W248" i="42"/>
  <c r="X247" i="42"/>
  <c r="W247" i="42"/>
  <c r="X246" i="42"/>
  <c r="W246" i="42"/>
  <c r="W245" i="42"/>
  <c r="X245" i="42"/>
  <c r="W244" i="42"/>
  <c r="X244" i="42"/>
  <c r="X243" i="42"/>
  <c r="W243" i="42"/>
  <c r="W242" i="42"/>
  <c r="X242" i="42"/>
  <c r="X240" i="42"/>
  <c r="W241" i="42"/>
  <c r="X241" i="42"/>
  <c r="W240" i="42"/>
  <c r="W239" i="42"/>
  <c r="X239" i="42"/>
  <c r="X238" i="42"/>
  <c r="W238" i="42"/>
  <c r="X237" i="42"/>
  <c r="W237" i="42"/>
  <c r="W236" i="42"/>
  <c r="X236" i="42"/>
  <c r="W235" i="42"/>
  <c r="X235" i="42"/>
  <c r="X233" i="42"/>
  <c r="W234" i="42"/>
  <c r="X234" i="42"/>
  <c r="X232" i="42"/>
  <c r="W233" i="42"/>
  <c r="W232" i="42"/>
  <c r="X231" i="42"/>
  <c r="X230" i="42"/>
  <c r="W231" i="42"/>
  <c r="X229" i="42"/>
  <c r="W230" i="42"/>
  <c r="W229" i="42"/>
  <c r="X227" i="42"/>
  <c r="W228" i="42"/>
  <c r="X228" i="42"/>
  <c r="W227" i="42"/>
  <c r="X226" i="42"/>
  <c r="W226" i="42"/>
  <c r="X225" i="42"/>
  <c r="X224" i="42"/>
  <c r="W225" i="42"/>
  <c r="W224" i="42"/>
  <c r="W223" i="42"/>
  <c r="X223" i="42"/>
  <c r="W222" i="42"/>
  <c r="X222" i="42"/>
  <c r="X220" i="42"/>
  <c r="W221" i="42"/>
  <c r="X221" i="42"/>
  <c r="X219" i="42"/>
  <c r="W220" i="42"/>
  <c r="X218" i="42"/>
  <c r="W219" i="42"/>
  <c r="W218" i="42"/>
  <c r="X216" i="42"/>
  <c r="W217" i="42"/>
  <c r="X217" i="42"/>
  <c r="X215" i="42"/>
  <c r="W216" i="42"/>
  <c r="W215" i="42"/>
  <c r="X214" i="42"/>
  <c r="X213" i="42"/>
  <c r="W214" i="42"/>
  <c r="X212" i="42"/>
  <c r="W213" i="42"/>
  <c r="W212" i="42"/>
  <c r="X211" i="42"/>
  <c r="W211" i="42"/>
  <c r="W210" i="42"/>
  <c r="X210" i="42"/>
  <c r="W209" i="42"/>
  <c r="X209" i="42"/>
  <c r="X207" i="42"/>
  <c r="W208" i="42"/>
  <c r="X208" i="42"/>
  <c r="X206" i="42"/>
  <c r="W207" i="42"/>
  <c r="W206" i="42"/>
  <c r="W205" i="42"/>
  <c r="X205" i="42"/>
  <c r="W204" i="42"/>
  <c r="X204" i="42"/>
  <c r="X202" i="42"/>
  <c r="X203" i="42"/>
  <c r="W203" i="42"/>
  <c r="W202" i="42"/>
  <c r="W201" i="42"/>
  <c r="X201" i="42"/>
  <c r="X200" i="42"/>
  <c r="W200" i="42"/>
  <c r="X199" i="42"/>
  <c r="X198" i="42"/>
  <c r="W199" i="42"/>
  <c r="W198" i="42"/>
  <c r="X197" i="42"/>
  <c r="W197" i="42"/>
  <c r="X196" i="42"/>
  <c r="W196" i="42"/>
  <c r="W195" i="42"/>
  <c r="X195" i="42"/>
  <c r="X193" i="42"/>
  <c r="W194" i="42"/>
  <c r="X194" i="42"/>
  <c r="W193" i="42"/>
  <c r="W192" i="42"/>
  <c r="X192" i="42"/>
  <c r="X190" i="42"/>
  <c r="W191" i="42"/>
  <c r="X191" i="42"/>
  <c r="X189" i="42"/>
  <c r="W190" i="42"/>
  <c r="W189" i="42"/>
  <c r="W188" i="42"/>
  <c r="X188" i="42"/>
  <c r="W187" i="42"/>
  <c r="X187" i="42"/>
  <c r="X186" i="42"/>
  <c r="W186" i="42"/>
  <c r="X184" i="42"/>
  <c r="W185" i="42"/>
  <c r="X185" i="42"/>
  <c r="W184" i="42"/>
  <c r="W183" i="42"/>
  <c r="X183" i="42"/>
  <c r="X182" i="42"/>
  <c r="X181" i="42"/>
  <c r="W182" i="42"/>
  <c r="W181" i="42"/>
  <c r="W180" i="42"/>
  <c r="X180" i="42"/>
  <c r="X179" i="42"/>
  <c r="W179" i="42"/>
  <c r="W178" i="42"/>
  <c r="X178" i="42"/>
  <c r="W177" i="42"/>
  <c r="X177" i="42"/>
  <c r="W176" i="42"/>
  <c r="X176" i="42"/>
  <c r="X175" i="42"/>
  <c r="X174" i="42"/>
  <c r="W175" i="42"/>
  <c r="X173" i="42"/>
  <c r="W174" i="42"/>
  <c r="W173" i="42"/>
  <c r="W172" i="42"/>
  <c r="X172" i="42"/>
  <c r="X171" i="42"/>
  <c r="W171" i="42"/>
  <c r="X170" i="42"/>
  <c r="W170" i="42"/>
  <c r="X168" i="42"/>
  <c r="W169" i="42"/>
  <c r="X169" i="42"/>
  <c r="X167" i="42"/>
  <c r="W168" i="42"/>
  <c r="W167" i="42"/>
  <c r="X165" i="42"/>
  <c r="W166" i="42"/>
  <c r="X166" i="42"/>
  <c r="W165" i="42"/>
  <c r="W164" i="42"/>
  <c r="X164" i="42"/>
  <c r="X162" i="42"/>
  <c r="W163" i="42"/>
  <c r="X163" i="42"/>
  <c r="X161" i="42"/>
  <c r="W162" i="42"/>
  <c r="W161" i="42"/>
  <c r="X160" i="42"/>
  <c r="X159" i="42"/>
  <c r="W160" i="42"/>
  <c r="W159" i="42"/>
  <c r="X158" i="42"/>
  <c r="W158" i="42"/>
  <c r="X157" i="42"/>
  <c r="X156" i="42"/>
  <c r="W157" i="42"/>
  <c r="X155" i="42"/>
  <c r="W156" i="42"/>
  <c r="W155" i="42"/>
  <c r="W154" i="42"/>
  <c r="X154" i="42"/>
  <c r="W153" i="42"/>
  <c r="X153" i="42"/>
  <c r="X151" i="42"/>
  <c r="W152" i="42"/>
  <c r="X152" i="42"/>
  <c r="W151" i="42"/>
  <c r="X149" i="42"/>
  <c r="W150" i="42"/>
  <c r="X150" i="42"/>
  <c r="X148" i="42"/>
  <c r="W149" i="42"/>
  <c r="X147" i="42"/>
  <c r="W148" i="42"/>
  <c r="W147" i="42"/>
  <c r="X146" i="42"/>
  <c r="W146" i="42"/>
  <c r="W145" i="42"/>
  <c r="X145" i="42"/>
  <c r="X144" i="42"/>
  <c r="W144" i="42"/>
  <c r="W143" i="42"/>
  <c r="X143" i="42"/>
  <c r="W142" i="42"/>
  <c r="X142" i="42"/>
  <c r="W141" i="42"/>
  <c r="X141" i="42"/>
  <c r="W140" i="42"/>
  <c r="X140" i="42"/>
  <c r="W139" i="42"/>
  <c r="X139" i="42"/>
  <c r="W138" i="42"/>
  <c r="X138" i="42"/>
  <c r="X136" i="42"/>
  <c r="W137" i="42"/>
  <c r="X137" i="42"/>
  <c r="W136" i="42"/>
  <c r="X135" i="42"/>
  <c r="W135" i="42"/>
  <c r="X134" i="42"/>
  <c r="X133" i="42"/>
  <c r="W134" i="42"/>
  <c r="X132" i="42"/>
  <c r="W133" i="42"/>
  <c r="W132" i="42"/>
  <c r="X130" i="42"/>
  <c r="X131" i="42"/>
  <c r="W131" i="42"/>
  <c r="W130" i="42"/>
  <c r="X129" i="42"/>
  <c r="W129" i="42"/>
  <c r="X128" i="42"/>
  <c r="W128" i="42"/>
  <c r="W127" i="42"/>
  <c r="X127" i="42"/>
  <c r="W126" i="42"/>
  <c r="X126" i="42"/>
  <c r="X125" i="42"/>
  <c r="X124" i="42"/>
  <c r="W125" i="42"/>
  <c r="W124" i="42"/>
  <c r="W123" i="42"/>
  <c r="X123" i="42"/>
  <c r="X121" i="42"/>
  <c r="W122" i="42"/>
  <c r="X122" i="42"/>
  <c r="W121" i="42"/>
  <c r="W120" i="42"/>
  <c r="X120" i="42"/>
  <c r="X119" i="42"/>
  <c r="X118" i="42"/>
  <c r="W119" i="42"/>
  <c r="X117" i="42"/>
  <c r="W118" i="42"/>
  <c r="X116" i="42"/>
  <c r="W117" i="42"/>
  <c r="X115" i="42"/>
  <c r="W116" i="42"/>
  <c r="W115" i="42"/>
  <c r="X114" i="42"/>
  <c r="W114" i="42"/>
  <c r="X113" i="42"/>
  <c r="W113" i="42"/>
  <c r="X112" i="42"/>
  <c r="W112" i="42"/>
  <c r="W111" i="42"/>
  <c r="X111" i="42"/>
  <c r="X110" i="42"/>
  <c r="X109" i="42"/>
  <c r="W110" i="42"/>
  <c r="X108" i="42"/>
  <c r="W109" i="42"/>
  <c r="W108" i="42"/>
  <c r="X106" i="42"/>
  <c r="W107" i="42"/>
  <c r="X107" i="42"/>
  <c r="X105" i="42"/>
  <c r="W106" i="42"/>
  <c r="W105" i="42"/>
  <c r="X104" i="42"/>
  <c r="W104" i="42"/>
  <c r="X102" i="42"/>
  <c r="W103" i="42"/>
  <c r="X103" i="42"/>
  <c r="W102" i="42"/>
  <c r="X100" i="42"/>
  <c r="W101" i="42"/>
  <c r="X101" i="42"/>
  <c r="W100" i="42"/>
  <c r="X99" i="42"/>
  <c r="X98" i="42"/>
  <c r="W99" i="42"/>
  <c r="X97" i="42"/>
  <c r="W98" i="42"/>
  <c r="W97" i="42"/>
  <c r="W96" i="42"/>
  <c r="X96" i="42"/>
  <c r="X95" i="42"/>
  <c r="W95" i="42"/>
  <c r="X93" i="42"/>
  <c r="W94" i="42"/>
  <c r="X94" i="42"/>
  <c r="W93" i="42"/>
  <c r="W92" i="42"/>
  <c r="X92" i="42"/>
  <c r="X91" i="42"/>
  <c r="W91" i="42"/>
  <c r="W90" i="42"/>
  <c r="X90" i="42"/>
  <c r="W89" i="42"/>
  <c r="X89" i="42"/>
  <c r="W88" i="42"/>
  <c r="X88" i="42"/>
  <c r="X87" i="42"/>
  <c r="W87" i="42"/>
  <c r="W86" i="42"/>
  <c r="X86" i="42"/>
  <c r="X85" i="42"/>
  <c r="W85" i="42"/>
  <c r="X84" i="42"/>
  <c r="W84" i="42"/>
  <c r="X82" i="42"/>
  <c r="W83" i="42"/>
  <c r="X83" i="42"/>
  <c r="X81" i="42"/>
  <c r="W82" i="42"/>
  <c r="W81" i="42"/>
  <c r="X80" i="42"/>
  <c r="W80" i="42"/>
  <c r="X79" i="42"/>
  <c r="X78" i="42"/>
  <c r="W79" i="42"/>
  <c r="W78" i="42"/>
  <c r="X77" i="42"/>
  <c r="X76" i="42"/>
  <c r="W77" i="42"/>
  <c r="X75" i="42"/>
  <c r="W76" i="42"/>
  <c r="W75" i="42"/>
  <c r="W74" i="42"/>
  <c r="X74" i="42"/>
  <c r="X73" i="42"/>
  <c r="W73" i="42"/>
  <c r="W72" i="42"/>
  <c r="X72" i="42"/>
  <c r="X71" i="42"/>
  <c r="X70" i="42"/>
  <c r="W71" i="42"/>
  <c r="X69" i="42"/>
  <c r="W70" i="42"/>
  <c r="X68" i="42"/>
  <c r="W69" i="42"/>
  <c r="W68" i="42"/>
  <c r="X66" i="42"/>
  <c r="X67" i="42"/>
  <c r="W67" i="42"/>
  <c r="W66" i="42"/>
  <c r="X65" i="42"/>
  <c r="W65" i="42"/>
  <c r="X64" i="42"/>
  <c r="W64" i="42"/>
  <c r="X63" i="42"/>
  <c r="X62" i="42"/>
  <c r="W63" i="42"/>
  <c r="X61" i="42"/>
  <c r="W62" i="42"/>
  <c r="X60" i="42"/>
  <c r="W61" i="42"/>
  <c r="W60" i="42"/>
  <c r="W59" i="42"/>
  <c r="X59" i="42"/>
  <c r="W58" i="42"/>
  <c r="X58" i="42"/>
  <c r="X57" i="42"/>
  <c r="W57" i="42"/>
  <c r="X55" i="42"/>
  <c r="W56" i="42"/>
  <c r="X56" i="42"/>
  <c r="W55" i="42"/>
  <c r="X53" i="42"/>
  <c r="X54" i="42"/>
  <c r="W54" i="42"/>
  <c r="W53" i="42"/>
  <c r="X51" i="42"/>
  <c r="X52" i="42"/>
  <c r="W52" i="42"/>
  <c r="X50" i="42"/>
  <c r="W51" i="42"/>
  <c r="X49" i="42"/>
  <c r="W50" i="42"/>
  <c r="W49" i="42"/>
  <c r="W48" i="42"/>
  <c r="X48" i="42"/>
  <c r="X46" i="42"/>
  <c r="W47" i="42"/>
  <c r="X47" i="42"/>
  <c r="X45" i="42"/>
  <c r="W46" i="42"/>
  <c r="W45" i="42"/>
  <c r="X44" i="42"/>
  <c r="W44" i="42"/>
  <c r="X43" i="42"/>
  <c r="W43" i="42"/>
  <c r="W42" i="42"/>
  <c r="X42" i="42"/>
  <c r="X41" i="42"/>
  <c r="W41" i="42"/>
  <c r="X40" i="42"/>
  <c r="W40" i="42"/>
  <c r="X39" i="42"/>
  <c r="X38" i="42"/>
  <c r="W39" i="42"/>
  <c r="X37" i="42"/>
  <c r="W38" i="42"/>
  <c r="X36" i="42"/>
  <c r="W37" i="42"/>
  <c r="X35" i="42"/>
  <c r="W36" i="42"/>
  <c r="W35" i="42"/>
  <c r="X34" i="42"/>
  <c r="W34" i="42"/>
  <c r="W33" i="42"/>
  <c r="X33" i="42"/>
  <c r="X32" i="42"/>
  <c r="W32" i="42"/>
  <c r="X31" i="42"/>
  <c r="X30" i="42"/>
  <c r="W31" i="42"/>
  <c r="X29" i="42"/>
  <c r="W30" i="42"/>
  <c r="X28" i="42"/>
  <c r="W29" i="42"/>
  <c r="W28" i="42"/>
  <c r="W27" i="42"/>
  <c r="X27" i="42"/>
  <c r="W26" i="42"/>
  <c r="X26" i="42"/>
  <c r="W25" i="42"/>
  <c r="X25" i="42"/>
  <c r="X23" i="42"/>
  <c r="W24" i="42"/>
  <c r="X24" i="42"/>
  <c r="X22" i="42"/>
  <c r="W23" i="42"/>
  <c r="X21" i="42"/>
  <c r="W22" i="42"/>
  <c r="X20" i="42"/>
  <c r="W21" i="42"/>
  <c r="W20" i="42"/>
  <c r="X19" i="42"/>
  <c r="W19" i="42"/>
  <c r="X18" i="42"/>
  <c r="W18" i="42"/>
  <c r="X17" i="42"/>
  <c r="W17" i="42"/>
  <c r="W16" i="42"/>
  <c r="X16" i="42"/>
  <c r="X15" i="42"/>
  <c r="X14" i="42"/>
  <c r="W15" i="42"/>
  <c r="X13" i="42"/>
  <c r="W14" i="42"/>
  <c r="X12" i="42"/>
  <c r="W13" i="42"/>
  <c r="W12" i="42"/>
  <c r="W11" i="42"/>
  <c r="X11" i="42"/>
  <c r="W10" i="42"/>
  <c r="X10" i="42"/>
  <c r="W9" i="42"/>
  <c r="X9" i="42"/>
  <c r="X7" i="42"/>
  <c r="W8" i="42"/>
  <c r="X8" i="42"/>
  <c r="W7" i="42"/>
  <c r="W6" i="42"/>
  <c r="X6" i="42"/>
  <c r="X5" i="42"/>
  <c r="W5" i="42"/>
  <c r="X4" i="42"/>
  <c r="W4" i="42"/>
  <c r="W3" i="42"/>
  <c r="X3" i="42"/>
  <c r="G3" i="43"/>
  <c r="F3" i="43"/>
  <c r="F44" i="35"/>
  <c r="K19" i="43"/>
  <c r="I38" i="50"/>
  <c r="H16" i="48"/>
  <c r="O45" i="39"/>
  <c r="O36" i="39"/>
  <c r="I13" i="40"/>
  <c r="J11" i="40"/>
  <c r="L16" i="43"/>
  <c r="F10" i="35"/>
  <c r="K5" i="42"/>
  <c r="J10" i="42"/>
  <c r="O43" i="39"/>
  <c r="J7" i="51"/>
  <c r="K12" i="51"/>
  <c r="O38" i="39"/>
  <c r="P33" i="39"/>
  <c r="J6" i="51"/>
  <c r="V28" i="45"/>
  <c r="F14" i="39"/>
  <c r="G24" i="49"/>
  <c r="K17" i="51"/>
  <c r="J8" i="51"/>
  <c r="I15" i="40"/>
  <c r="I31" i="50"/>
  <c r="T13" i="47" a="1"/>
  <c r="I5" i="40"/>
  <c r="I16" i="42"/>
  <c r="K10" i="42"/>
  <c r="O41" i="39"/>
  <c r="I7" i="40"/>
  <c r="I28" i="50"/>
  <c r="J12" i="42"/>
  <c r="F48" i="35"/>
  <c r="I18" i="40"/>
  <c r="F15" i="39"/>
  <c r="O44" i="39"/>
  <c r="H15" i="39"/>
  <c r="H7" i="39"/>
  <c r="S26" i="45"/>
  <c r="J4" i="40"/>
  <c r="F11" i="35"/>
  <c r="F16" i="35"/>
  <c r="P9" i="47"/>
  <c r="J4" i="51"/>
  <c r="P14" i="51"/>
  <c r="H22" i="49"/>
  <c r="F28" i="35"/>
  <c r="J19" i="51"/>
  <c r="H4" i="50"/>
  <c r="K20" i="43"/>
  <c r="O48" i="39"/>
  <c r="R17" i="39"/>
  <c r="J14" i="51"/>
  <c r="F7" i="39"/>
  <c r="J17" i="39"/>
  <c r="F15" i="35"/>
  <c r="I19" i="42"/>
  <c r="G7" i="43"/>
  <c r="H37" i="50"/>
  <c r="K6" i="42"/>
  <c r="K18" i="42"/>
  <c r="P4" i="45"/>
  <c r="I17" i="40"/>
  <c r="J20" i="39"/>
  <c r="V29" i="45"/>
  <c r="F20" i="35"/>
  <c r="H14" i="39"/>
  <c r="H18" i="39"/>
  <c r="U33" i="47"/>
  <c r="Q35" i="39"/>
  <c r="H19" i="49"/>
  <c r="I30" i="50"/>
  <c r="H28" i="49"/>
  <c r="Q33" i="39"/>
  <c r="H32" i="50"/>
  <c r="H3" i="50"/>
  <c r="P12" i="51"/>
  <c r="J21" i="51"/>
  <c r="H38" i="50"/>
  <c r="K14" i="51"/>
  <c r="F45" i="35"/>
  <c r="F12" i="35"/>
  <c r="G15" i="49"/>
  <c r="U28" i="45"/>
  <c r="J10" i="40"/>
  <c r="I21" i="40"/>
  <c r="J22" i="40"/>
  <c r="J9" i="40"/>
  <c r="R36" i="39"/>
  <c r="R44" i="39"/>
  <c r="V19" i="39"/>
  <c r="R45" i="39"/>
  <c r="Q44" i="39"/>
  <c r="H16" i="39"/>
  <c r="H8" i="39"/>
  <c r="F6" i="35"/>
  <c r="O39" i="39"/>
  <c r="P6" i="51"/>
  <c r="F32" i="35"/>
  <c r="F9" i="39"/>
  <c r="H33" i="50"/>
  <c r="F21" i="35"/>
  <c r="F18" i="35"/>
  <c r="J7" i="40"/>
  <c r="F23" i="35"/>
  <c r="H5" i="50"/>
  <c r="J11" i="51"/>
  <c r="N18" i="39"/>
  <c r="H15" i="49"/>
  <c r="J6" i="40"/>
  <c r="I19" i="40"/>
  <c r="H29" i="49"/>
  <c r="P7" i="51"/>
  <c r="R42" i="39"/>
  <c r="F5" i="35"/>
  <c r="P35" i="39"/>
  <c r="J21" i="40"/>
  <c r="I12" i="40"/>
  <c r="K3" i="51"/>
  <c r="K9" i="51"/>
  <c r="F47" i="35"/>
  <c r="S29" i="45"/>
  <c r="Q46" i="39"/>
  <c r="J5" i="40"/>
  <c r="K18" i="51"/>
  <c r="I15" i="42"/>
  <c r="H19" i="48"/>
  <c r="F33" i="35"/>
  <c r="J19" i="42"/>
  <c r="I35" i="50"/>
  <c r="F36" i="35"/>
  <c r="K3" i="42"/>
  <c r="F16" i="39"/>
  <c r="V20" i="39"/>
  <c r="J15" i="42"/>
  <c r="U29" i="45"/>
  <c r="P10" i="47"/>
  <c r="R18" i="39"/>
  <c r="H4" i="39"/>
  <c r="H19" i="39"/>
  <c r="F40" i="35"/>
  <c r="I7" i="50"/>
  <c r="P15" i="51"/>
  <c r="I36" i="50"/>
  <c r="F17" i="35"/>
  <c r="P48" i="39"/>
  <c r="P13" i="51"/>
  <c r="K17" i="43"/>
  <c r="I32" i="50"/>
  <c r="K5" i="51"/>
  <c r="I3" i="50"/>
  <c r="J4" i="42"/>
  <c r="Q42" i="39"/>
  <c r="J16" i="39"/>
  <c r="P39" i="39"/>
  <c r="J15" i="39"/>
  <c r="I4" i="50"/>
  <c r="J5" i="51"/>
  <c r="R34" i="39"/>
  <c r="K11" i="42"/>
  <c r="H25" i="49"/>
  <c r="K20" i="51"/>
  <c r="K15" i="43"/>
  <c r="P3" i="47"/>
  <c r="H24" i="49"/>
  <c r="H34" i="50"/>
  <c r="K21" i="51"/>
  <c r="H31" i="50"/>
  <c r="I9" i="42"/>
  <c r="O37" i="39"/>
  <c r="F22" i="35"/>
  <c r="P7" i="45"/>
  <c r="U32" i="47"/>
  <c r="F20" i="39"/>
  <c r="P34" i="39"/>
  <c r="G16" i="49"/>
  <c r="G15" i="48"/>
  <c r="F19" i="35"/>
  <c r="K12" i="42"/>
  <c r="J5" i="42"/>
  <c r="H5" i="39"/>
  <c r="H9" i="39"/>
  <c r="P3" i="51"/>
  <c r="O42" i="39"/>
  <c r="U27" i="45"/>
  <c r="J13" i="42"/>
  <c r="K4" i="42"/>
  <c r="P6" i="47"/>
  <c r="I14" i="42"/>
  <c r="V18" i="39"/>
  <c r="Q37" i="39"/>
  <c r="H36" i="50"/>
  <c r="J8" i="42"/>
  <c r="F49" i="35"/>
  <c r="G17" i="49"/>
  <c r="P5" i="45"/>
  <c r="P6" i="45"/>
  <c r="H17" i="49"/>
  <c r="K16" i="43"/>
  <c r="G19" i="48"/>
  <c r="F4" i="43"/>
  <c r="O40" i="39"/>
  <c r="S33" i="47"/>
  <c r="P40" i="39"/>
  <c r="I10" i="42"/>
  <c r="L20" i="43"/>
  <c r="K19" i="42"/>
  <c r="I11" i="40"/>
  <c r="H20" i="49"/>
  <c r="H16" i="49"/>
  <c r="F39" i="35"/>
  <c r="O47" i="39"/>
  <c r="I5" i="50"/>
  <c r="F38" i="35"/>
  <c r="K8" i="51"/>
  <c r="G18" i="49"/>
  <c r="S31" i="47"/>
  <c r="J16" i="51"/>
  <c r="J13" i="40"/>
  <c r="F5" i="39"/>
  <c r="F30" i="35"/>
  <c r="R20" i="39"/>
  <c r="J18" i="51"/>
  <c r="H30" i="49"/>
  <c r="F27" i="35"/>
  <c r="K8" i="42"/>
  <c r="Q36" i="39"/>
  <c r="U26" i="45"/>
  <c r="S28" i="45"/>
  <c r="I7" i="42"/>
  <c r="T12" i="45" a="1"/>
  <c r="R39" i="39"/>
  <c r="Q38" i="39"/>
  <c r="F14" i="35"/>
  <c r="P37" i="39"/>
  <c r="J20" i="51"/>
  <c r="K4" i="51"/>
  <c r="G30" i="49"/>
  <c r="H23" i="49"/>
  <c r="S27" i="45"/>
  <c r="Q40" i="39"/>
  <c r="V26" i="45"/>
  <c r="J17" i="42"/>
  <c r="I6" i="50"/>
  <c r="F6" i="39"/>
  <c r="I18" i="42"/>
  <c r="R40" i="39"/>
  <c r="H40" i="50"/>
  <c r="R33" i="39"/>
  <c r="Q34" i="39"/>
  <c r="J17" i="51"/>
  <c r="J14" i="39"/>
  <c r="R19" i="39"/>
  <c r="G6" i="43"/>
  <c r="P16" i="51"/>
  <c r="F31" i="35"/>
  <c r="F3" i="35"/>
  <c r="O33" i="39"/>
  <c r="R46" i="39"/>
  <c r="P19" i="51"/>
  <c r="H21" i="49"/>
  <c r="R37" i="39"/>
  <c r="K14" i="42"/>
  <c r="G20" i="49"/>
  <c r="I13" i="42"/>
  <c r="F29" i="35"/>
  <c r="I14" i="40"/>
  <c r="V14" i="39"/>
  <c r="F18" i="39"/>
  <c r="I29" i="50"/>
  <c r="I22" i="40"/>
  <c r="S32" i="47"/>
  <c r="R35" i="39"/>
  <c r="H3" i="39"/>
  <c r="H20" i="39"/>
  <c r="P17" i="51"/>
  <c r="F9" i="35"/>
  <c r="I6" i="42"/>
  <c r="I9" i="40"/>
  <c r="Q45" i="39"/>
  <c r="G25" i="49"/>
  <c r="N15" i="39"/>
  <c r="J12" i="51"/>
  <c r="K21" i="43"/>
  <c r="O35" i="39"/>
  <c r="P11" i="51"/>
  <c r="P5" i="51"/>
  <c r="I9" i="50"/>
  <c r="N17" i="39"/>
  <c r="P10" i="51"/>
  <c r="J20" i="40"/>
  <c r="J18" i="40"/>
  <c r="P43" i="39"/>
  <c r="I6" i="40"/>
  <c r="H17" i="48"/>
  <c r="J16" i="42"/>
  <c r="K15" i="42"/>
  <c r="U34" i="47"/>
  <c r="L18" i="43"/>
  <c r="P41" i="39"/>
  <c r="N20" i="39"/>
  <c r="J10" i="51"/>
  <c r="I39" i="50"/>
  <c r="F2" i="35"/>
  <c r="Q39" i="39"/>
  <c r="F17" i="39"/>
  <c r="L15" i="43"/>
  <c r="J14" i="42"/>
  <c r="K7" i="51"/>
  <c r="V31" i="47"/>
  <c r="I8" i="40"/>
  <c r="I8" i="50"/>
  <c r="P3" i="45"/>
  <c r="K15" i="51"/>
  <c r="I5" i="42"/>
  <c r="F6" i="43"/>
  <c r="F43" i="35"/>
  <c r="F42" i="35"/>
  <c r="I11" i="42"/>
  <c r="I12" i="42"/>
  <c r="F26" i="35"/>
  <c r="V34" i="47"/>
  <c r="H7" i="50"/>
  <c r="J7" i="42"/>
  <c r="P36" i="39"/>
  <c r="U36" i="47"/>
  <c r="P8" i="51"/>
  <c r="P18" i="51"/>
  <c r="F3" i="39"/>
  <c r="P8" i="45"/>
  <c r="P8" i="47"/>
  <c r="V15" i="39"/>
  <c r="V27" i="45"/>
  <c r="H26" i="49"/>
  <c r="K18" i="43"/>
  <c r="L19" i="43"/>
  <c r="P42" i="39"/>
  <c r="J12" i="40"/>
  <c r="V33" i="47"/>
  <c r="K13" i="42"/>
  <c r="G18" i="48"/>
  <c r="J13" i="51"/>
  <c r="G16" i="48"/>
  <c r="H29" i="50"/>
  <c r="F50" i="35"/>
  <c r="P20" i="51"/>
  <c r="J16" i="40"/>
  <c r="O46" i="39"/>
  <c r="F35" i="35"/>
  <c r="K10" i="51"/>
  <c r="P9" i="51"/>
  <c r="G17" i="48"/>
  <c r="H39" i="50"/>
  <c r="F7" i="35"/>
  <c r="Q41" i="39"/>
  <c r="H35" i="50"/>
  <c r="N19" i="39"/>
  <c r="P45" i="39"/>
  <c r="R38" i="39"/>
  <c r="G19" i="49"/>
  <c r="P38" i="39"/>
  <c r="G28" i="49"/>
  <c r="R15" i="39"/>
  <c r="V32" i="47"/>
  <c r="H6" i="39"/>
  <c r="L21" i="43"/>
  <c r="S34" i="47"/>
  <c r="P21" i="51"/>
  <c r="P46" i="39"/>
  <c r="F46" i="35"/>
  <c r="G26" i="49"/>
  <c r="R41" i="39"/>
  <c r="F8" i="35"/>
  <c r="R16" i="39"/>
  <c r="P4" i="47"/>
  <c r="O34" i="39"/>
  <c r="I37" i="50"/>
  <c r="F37" i="35"/>
  <c r="H18" i="48"/>
  <c r="J15" i="51"/>
  <c r="P9" i="45"/>
  <c r="U35" i="47"/>
  <c r="J6" i="42"/>
  <c r="R47" i="39"/>
  <c r="G23" i="49"/>
  <c r="Q48" i="39"/>
  <c r="I10" i="40"/>
  <c r="J14" i="40"/>
  <c r="J19" i="39"/>
  <c r="H8" i="50"/>
  <c r="V36" i="47"/>
  <c r="V16" i="39"/>
  <c r="J9" i="51"/>
  <c r="J19" i="40"/>
  <c r="H9" i="50"/>
  <c r="S35" i="47"/>
  <c r="P47" i="39"/>
  <c r="V35" i="47"/>
  <c r="J11" i="42"/>
  <c r="N14" i="39"/>
  <c r="I8" i="42"/>
  <c r="R14" i="39"/>
  <c r="I34" i="50"/>
  <c r="K11" i="51"/>
  <c r="J17" i="40"/>
  <c r="H18" i="49"/>
  <c r="F34" i="35"/>
  <c r="U31" i="47"/>
  <c r="K19" i="51"/>
  <c r="I16" i="40"/>
  <c r="H6" i="50"/>
  <c r="S36" i="47"/>
  <c r="F8" i="39"/>
  <c r="J15" i="40"/>
  <c r="Q47" i="39"/>
  <c r="F4" i="35"/>
  <c r="G4" i="43"/>
  <c r="I40" i="50"/>
  <c r="G27" i="49"/>
  <c r="K16" i="42"/>
  <c r="H28" i="50"/>
  <c r="F25" i="35"/>
  <c r="P4" i="51"/>
  <c r="R48" i="39"/>
  <c r="J9" i="42"/>
  <c r="K9" i="42"/>
  <c r="G29" i="49"/>
  <c r="L17" i="43"/>
  <c r="J18" i="42"/>
  <c r="V17" i="39"/>
  <c r="I33" i="50"/>
  <c r="H15" i="48"/>
  <c r="F7" i="43"/>
  <c r="G22" i="49"/>
  <c r="P5" i="47"/>
  <c r="P44" i="39"/>
  <c r="K16" i="51"/>
  <c r="G5" i="43"/>
  <c r="I20" i="40"/>
  <c r="K6" i="51"/>
  <c r="P7" i="47"/>
  <c r="G21" i="49"/>
  <c r="N16" i="39"/>
  <c r="F41" i="35"/>
  <c r="K13" i="51"/>
  <c r="J8" i="40"/>
  <c r="F24" i="35"/>
  <c r="K7" i="42"/>
  <c r="Q43" i="39"/>
  <c r="F5" i="43"/>
  <c r="J18" i="39"/>
  <c r="J3" i="42"/>
  <c r="H30" i="50"/>
  <c r="F19" i="39"/>
  <c r="K17" i="42"/>
  <c r="R43" i="39"/>
  <c r="F13" i="35"/>
  <c r="H27" i="49"/>
  <c r="I17" i="42"/>
  <c r="H17" i="39"/>
  <c r="F4" i="39"/>
  <c r="O51" i="39" l="1"/>
  <c r="K17" i="39"/>
  <c r="S17" i="39"/>
  <c r="G17" i="39"/>
  <c r="W17" i="39"/>
  <c r="O17" i="39"/>
  <c r="L30" i="50"/>
  <c r="L3" i="42"/>
  <c r="I5" i="43"/>
  <c r="I21" i="49"/>
  <c r="K20" i="40"/>
  <c r="I22" i="49"/>
  <c r="I7" i="43"/>
  <c r="L18" i="42"/>
  <c r="Q18" i="42" s="1"/>
  <c r="I29" i="49"/>
  <c r="L9" i="42"/>
  <c r="M9" i="42" s="1"/>
  <c r="L28" i="50"/>
  <c r="I27" i="49"/>
  <c r="K6" i="50"/>
  <c r="K17" i="50" s="1"/>
  <c r="H17" i="50"/>
  <c r="K16" i="40"/>
  <c r="T31" i="47"/>
  <c r="W31" i="47" s="1"/>
  <c r="L11" i="42"/>
  <c r="M11" i="42" s="1"/>
  <c r="K9" i="50"/>
  <c r="K20" i="50" s="1"/>
  <c r="H20" i="50"/>
  <c r="L9" i="51"/>
  <c r="K8" i="50"/>
  <c r="K19" i="50" s="1"/>
  <c r="H19" i="50"/>
  <c r="U40" i="50"/>
  <c r="K10" i="40"/>
  <c r="S48" i="39"/>
  <c r="I23" i="49"/>
  <c r="L6" i="42"/>
  <c r="Q6" i="42" s="1"/>
  <c r="T35" i="47"/>
  <c r="X35" i="47" s="1"/>
  <c r="L15" i="51"/>
  <c r="I26" i="49"/>
  <c r="G6" i="39"/>
  <c r="I28" i="49"/>
  <c r="I19" i="49"/>
  <c r="L35" i="50"/>
  <c r="L39" i="50"/>
  <c r="I17" i="48"/>
  <c r="L29" i="50"/>
  <c r="I16" i="48"/>
  <c r="L13" i="51"/>
  <c r="I18" i="48"/>
  <c r="P51" i="39"/>
  <c r="M18" i="43"/>
  <c r="T36" i="47"/>
  <c r="W36" i="47" s="1"/>
  <c r="L7" i="42"/>
  <c r="M7" i="42" s="1"/>
  <c r="K7" i="50"/>
  <c r="K18" i="50" s="1"/>
  <c r="H18" i="50"/>
  <c r="I6" i="43"/>
  <c r="I19" i="50"/>
  <c r="U38" i="50"/>
  <c r="S46" i="39"/>
  <c r="K8" i="40"/>
  <c r="L14" i="42"/>
  <c r="M14" i="42" s="1"/>
  <c r="L10" i="51"/>
  <c r="T34" i="47"/>
  <c r="X34" i="47" s="1"/>
  <c r="L16" i="42"/>
  <c r="Q16" i="42" s="1"/>
  <c r="S44" i="39"/>
  <c r="U36" i="50"/>
  <c r="K6" i="40"/>
  <c r="I20" i="50"/>
  <c r="M21" i="43"/>
  <c r="L12" i="51"/>
  <c r="I25" i="49"/>
  <c r="U39" i="50"/>
  <c r="S47" i="39"/>
  <c r="K9" i="40"/>
  <c r="W20" i="39"/>
  <c r="K20" i="39"/>
  <c r="O20" i="39"/>
  <c r="S20" i="39"/>
  <c r="G20" i="39"/>
  <c r="G3" i="39"/>
  <c r="K22" i="40"/>
  <c r="K14" i="40"/>
  <c r="I20" i="49"/>
  <c r="L17" i="51"/>
  <c r="L40" i="50"/>
  <c r="I17" i="50"/>
  <c r="L17" i="42"/>
  <c r="M17" i="42" s="1"/>
  <c r="I30" i="49"/>
  <c r="L20" i="51"/>
  <c r="T17" i="45"/>
  <c r="T15" i="45"/>
  <c r="T13" i="45"/>
  <c r="T20" i="45"/>
  <c r="T19" i="45"/>
  <c r="T14" i="45"/>
  <c r="T21" i="45"/>
  <c r="T18" i="45"/>
  <c r="T16" i="45"/>
  <c r="T12" i="45"/>
  <c r="T26" i="45"/>
  <c r="W26" i="45" s="1"/>
  <c r="L18" i="51"/>
  <c r="L16" i="51"/>
  <c r="I18" i="49"/>
  <c r="I16" i="50"/>
  <c r="K11" i="40"/>
  <c r="I4" i="43"/>
  <c r="I19" i="48"/>
  <c r="M16" i="43"/>
  <c r="I17" i="49"/>
  <c r="L8" i="42"/>
  <c r="M8" i="42" s="1"/>
  <c r="L36" i="50"/>
  <c r="L13" i="42"/>
  <c r="M13" i="42" s="1"/>
  <c r="T27" i="45"/>
  <c r="W27" i="45" s="1"/>
  <c r="F5" i="48" s="1"/>
  <c r="G9" i="39"/>
  <c r="G5" i="39"/>
  <c r="L5" i="42"/>
  <c r="M5" i="42" s="1"/>
  <c r="I15" i="48"/>
  <c r="I16" i="49"/>
  <c r="T32" i="47"/>
  <c r="W32" i="47" s="1"/>
  <c r="F5" i="49" s="1"/>
  <c r="L31" i="50"/>
  <c r="L34" i="50"/>
  <c r="M15" i="43"/>
  <c r="L5" i="51"/>
  <c r="I15" i="50"/>
  <c r="Q51" i="39"/>
  <c r="L4" i="42"/>
  <c r="I14" i="50"/>
  <c r="M17" i="43"/>
  <c r="I18" i="50"/>
  <c r="K19" i="39"/>
  <c r="G19" i="39"/>
  <c r="S19" i="39"/>
  <c r="O19" i="39"/>
  <c r="W19" i="39"/>
  <c r="G4" i="39"/>
  <c r="T29" i="45"/>
  <c r="W29" i="45" s="1"/>
  <c r="F7" i="48" s="1"/>
  <c r="L15" i="42"/>
  <c r="M15" i="42" s="1"/>
  <c r="L19" i="42"/>
  <c r="Q19" i="42" s="1"/>
  <c r="L3" i="51"/>
  <c r="K12" i="40"/>
  <c r="R51" i="39"/>
  <c r="K19" i="40"/>
  <c r="L11" i="51"/>
  <c r="K5" i="50"/>
  <c r="K16" i="50" s="1"/>
  <c r="H16" i="50"/>
  <c r="L33" i="50"/>
  <c r="G8" i="39"/>
  <c r="K16" i="39"/>
  <c r="G16" i="39"/>
  <c r="S16" i="39"/>
  <c r="O16" i="39"/>
  <c r="W16" i="39"/>
  <c r="K21" i="40"/>
  <c r="T28" i="45"/>
  <c r="W28" i="45" s="1"/>
  <c r="F6" i="48" s="1"/>
  <c r="I15" i="49"/>
  <c r="L38" i="50"/>
  <c r="L21" i="51"/>
  <c r="K3" i="50"/>
  <c r="K14" i="50" s="1"/>
  <c r="H14" i="50"/>
  <c r="L32" i="50"/>
  <c r="T33" i="47"/>
  <c r="W33" i="47" s="1"/>
  <c r="F6" i="49" s="1"/>
  <c r="K18" i="39"/>
  <c r="W18" i="39"/>
  <c r="O18" i="39"/>
  <c r="G18" i="39"/>
  <c r="S18" i="39"/>
  <c r="G14" i="39"/>
  <c r="O14" i="39"/>
  <c r="K14" i="39"/>
  <c r="W14" i="39"/>
  <c r="S14" i="39"/>
  <c r="K17" i="40"/>
  <c r="L37" i="50"/>
  <c r="L14" i="51"/>
  <c r="M20" i="43"/>
  <c r="H15" i="50"/>
  <c r="K4" i="50"/>
  <c r="K15" i="50" s="1"/>
  <c r="L19" i="51"/>
  <c r="L4" i="51"/>
  <c r="K4" i="40"/>
  <c r="G7" i="39"/>
  <c r="O15" i="39"/>
  <c r="W15" i="39"/>
  <c r="K15" i="39"/>
  <c r="S15" i="39"/>
  <c r="G15" i="39"/>
  <c r="K18" i="40"/>
  <c r="L12" i="42"/>
  <c r="M12" i="42" s="1"/>
  <c r="K7" i="40"/>
  <c r="U37" i="50"/>
  <c r="S45" i="39"/>
  <c r="S43" i="39"/>
  <c r="K5" i="40"/>
  <c r="U35" i="50"/>
  <c r="T22" i="47"/>
  <c r="T24" i="47"/>
  <c r="T13" i="47"/>
  <c r="T21" i="47"/>
  <c r="T20" i="47"/>
  <c r="T18" i="47"/>
  <c r="T17" i="47"/>
  <c r="T25" i="47"/>
  <c r="T26" i="47"/>
  <c r="T19" i="47"/>
  <c r="T27" i="47"/>
  <c r="T16" i="47"/>
  <c r="T23" i="47"/>
  <c r="T14" i="47"/>
  <c r="T15" i="47"/>
  <c r="K15" i="40"/>
  <c r="L8" i="51"/>
  <c r="I24" i="49"/>
  <c r="L6" i="51"/>
  <c r="L7" i="51"/>
  <c r="L10" i="42"/>
  <c r="M10" i="42" s="1"/>
  <c r="K13" i="40"/>
  <c r="M19" i="43"/>
  <c r="I3" i="43"/>
  <c r="Y3" i="42"/>
  <c r="Y4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20" i="42"/>
  <c r="Y21" i="42"/>
  <c r="Y22" i="42"/>
  <c r="Y23" i="42"/>
  <c r="Y24" i="42"/>
  <c r="Y25" i="42"/>
  <c r="Y26" i="42"/>
  <c r="Y27" i="42"/>
  <c r="Y28" i="42"/>
  <c r="Y29" i="42"/>
  <c r="Y30" i="42"/>
  <c r="Y31" i="42"/>
  <c r="Y32" i="42"/>
  <c r="Y33" i="42"/>
  <c r="Y34" i="42"/>
  <c r="Y35" i="42"/>
  <c r="Y36" i="42"/>
  <c r="Y37" i="42"/>
  <c r="Y38" i="42"/>
  <c r="Y39" i="42"/>
  <c r="Y40" i="42"/>
  <c r="Y41" i="42"/>
  <c r="Y42" i="42"/>
  <c r="Y43" i="42"/>
  <c r="Y44" i="42"/>
  <c r="Y45" i="42"/>
  <c r="Y46" i="42"/>
  <c r="Y47" i="42"/>
  <c r="Y48" i="42"/>
  <c r="Y49" i="42"/>
  <c r="Y50" i="42"/>
  <c r="Y51" i="42"/>
  <c r="Y52" i="42"/>
  <c r="Y53" i="42"/>
  <c r="Y54" i="42"/>
  <c r="Y55" i="42"/>
  <c r="Y56" i="42"/>
  <c r="Y57" i="42"/>
  <c r="Y58" i="42"/>
  <c r="Y59" i="42"/>
  <c r="Y60" i="42"/>
  <c r="Y61" i="42"/>
  <c r="Y62" i="42"/>
  <c r="Y63" i="42"/>
  <c r="Y64" i="42"/>
  <c r="Y65" i="42"/>
  <c r="Y66" i="42"/>
  <c r="Y67" i="42"/>
  <c r="Y68" i="42"/>
  <c r="Y69" i="42"/>
  <c r="Y70" i="42"/>
  <c r="Y71" i="42"/>
  <c r="Y72" i="42"/>
  <c r="Y73" i="42"/>
  <c r="Y74" i="42"/>
  <c r="Y75" i="42"/>
  <c r="Y76" i="42"/>
  <c r="Y77" i="42"/>
  <c r="Y78" i="42"/>
  <c r="Y79" i="42"/>
  <c r="Y80" i="42"/>
  <c r="Y81" i="42"/>
  <c r="Y82" i="42"/>
  <c r="Y83" i="42"/>
  <c r="Y84" i="42"/>
  <c r="Y85" i="42"/>
  <c r="Y86" i="42"/>
  <c r="Y87" i="42"/>
  <c r="Y88" i="42"/>
  <c r="Y89" i="42"/>
  <c r="Y90" i="42"/>
  <c r="Y91" i="42"/>
  <c r="Y92" i="42"/>
  <c r="Y93" i="42"/>
  <c r="Y94" i="42"/>
  <c r="Y95" i="42"/>
  <c r="Y96" i="42"/>
  <c r="Y97" i="42"/>
  <c r="Y98" i="42"/>
  <c r="Y99" i="42"/>
  <c r="Y100" i="42"/>
  <c r="Y101" i="42"/>
  <c r="Y102" i="42"/>
  <c r="Y103" i="42"/>
  <c r="Y104" i="42"/>
  <c r="Y105" i="42"/>
  <c r="Y106" i="42"/>
  <c r="Y107" i="42"/>
  <c r="Y108" i="42"/>
  <c r="Y109" i="42"/>
  <c r="Y110" i="42"/>
  <c r="Y111" i="42"/>
  <c r="Y112" i="42"/>
  <c r="Y113" i="42"/>
  <c r="Y114" i="42"/>
  <c r="Y115" i="42"/>
  <c r="Y116" i="42"/>
  <c r="Y117" i="42"/>
  <c r="Y118" i="42"/>
  <c r="Y119" i="42"/>
  <c r="Y120" i="42"/>
  <c r="Y121" i="42"/>
  <c r="Y122" i="42"/>
  <c r="Y123" i="42"/>
  <c r="Y124" i="42"/>
  <c r="Y125" i="42"/>
  <c r="Y126" i="42"/>
  <c r="Y127" i="42"/>
  <c r="Y128" i="42"/>
  <c r="Y129" i="42"/>
  <c r="Y130" i="42"/>
  <c r="Y131" i="42"/>
  <c r="Y132" i="42"/>
  <c r="Y133" i="42"/>
  <c r="Y134" i="42"/>
  <c r="Y135" i="42"/>
  <c r="Y136" i="42"/>
  <c r="Y137" i="42"/>
  <c r="Y138" i="42"/>
  <c r="Y139" i="42"/>
  <c r="Y140" i="42"/>
  <c r="Y141" i="42"/>
  <c r="Y142" i="42"/>
  <c r="Y143" i="42"/>
  <c r="Y144" i="42"/>
  <c r="Y145" i="42"/>
  <c r="Y146" i="42"/>
  <c r="Y147" i="42"/>
  <c r="Y148" i="42"/>
  <c r="Y149" i="42"/>
  <c r="Y150" i="42"/>
  <c r="Y151" i="42"/>
  <c r="Y152" i="42"/>
  <c r="Y153" i="42"/>
  <c r="Y154" i="42"/>
  <c r="Y155" i="42"/>
  <c r="Y156" i="42"/>
  <c r="Y157" i="42"/>
  <c r="Y158" i="42"/>
  <c r="Y159" i="42"/>
  <c r="Y160" i="42"/>
  <c r="Y161" i="42"/>
  <c r="Y162" i="42"/>
  <c r="Y163" i="42"/>
  <c r="Y164" i="42"/>
  <c r="Y165" i="42"/>
  <c r="Y166" i="42"/>
  <c r="Y167" i="42"/>
  <c r="Y168" i="42"/>
  <c r="Y169" i="42"/>
  <c r="Y170" i="42"/>
  <c r="Y171" i="42"/>
  <c r="Y172" i="42"/>
  <c r="Y173" i="42"/>
  <c r="Y174" i="42"/>
  <c r="Y175" i="42"/>
  <c r="Y176" i="42"/>
  <c r="Y177" i="42"/>
  <c r="Y178" i="42"/>
  <c r="Y179" i="42"/>
  <c r="Y180" i="42"/>
  <c r="Y181" i="42"/>
  <c r="Y182" i="42"/>
  <c r="Y183" i="42"/>
  <c r="Y184" i="42"/>
  <c r="Y185" i="42"/>
  <c r="Y186" i="42"/>
  <c r="Y187" i="42"/>
  <c r="Y188" i="42"/>
  <c r="Y189" i="42"/>
  <c r="Y190" i="42"/>
  <c r="Y191" i="42"/>
  <c r="Y192" i="42"/>
  <c r="Y193" i="42"/>
  <c r="Y194" i="42"/>
  <c r="Y195" i="42"/>
  <c r="Y196" i="42"/>
  <c r="Y197" i="42"/>
  <c r="Y198" i="42"/>
  <c r="Y199" i="42"/>
  <c r="Y200" i="42"/>
  <c r="Y201" i="42"/>
  <c r="Y202" i="42"/>
  <c r="Y203" i="42"/>
  <c r="Y204" i="42"/>
  <c r="Y205" i="42"/>
  <c r="Y206" i="42"/>
  <c r="Y207" i="42"/>
  <c r="Y208" i="42"/>
  <c r="Y209" i="42"/>
  <c r="Y210" i="42"/>
  <c r="Y211" i="42"/>
  <c r="Y212" i="42"/>
  <c r="Y213" i="42"/>
  <c r="Y214" i="42"/>
  <c r="Y215" i="42"/>
  <c r="Y216" i="42"/>
  <c r="Y217" i="42"/>
  <c r="Y218" i="42"/>
  <c r="Y219" i="42"/>
  <c r="Y220" i="42"/>
  <c r="Y221" i="42"/>
  <c r="Y222" i="42"/>
  <c r="Y223" i="42"/>
  <c r="Y224" i="42"/>
  <c r="Y225" i="42"/>
  <c r="Y226" i="42"/>
  <c r="Y227" i="42"/>
  <c r="Y228" i="42"/>
  <c r="Y229" i="42"/>
  <c r="Y230" i="42"/>
  <c r="Y231" i="42"/>
  <c r="Y232" i="42"/>
  <c r="Y233" i="42"/>
  <c r="Y234" i="42"/>
  <c r="Y235" i="42"/>
  <c r="Y236" i="42"/>
  <c r="Y237" i="42"/>
  <c r="Y238" i="42"/>
  <c r="Y239" i="42"/>
  <c r="Y240" i="42"/>
  <c r="Y241" i="42"/>
  <c r="Y242" i="42"/>
  <c r="Y243" i="42"/>
  <c r="Y244" i="42"/>
  <c r="Y245" i="42"/>
  <c r="Y246" i="42"/>
  <c r="Y247" i="42"/>
  <c r="Y248" i="42"/>
  <c r="Y249" i="42"/>
  <c r="Y250" i="42"/>
  <c r="Y251" i="42"/>
  <c r="Y252" i="42"/>
  <c r="Y253" i="42"/>
  <c r="Y254" i="42"/>
  <c r="Y255" i="42"/>
  <c r="Y256" i="42"/>
  <c r="Y257" i="42"/>
  <c r="Y258" i="42"/>
  <c r="Y259" i="42"/>
  <c r="Y260" i="42"/>
  <c r="Y261" i="42"/>
  <c r="L17" i="39"/>
  <c r="X20" i="39"/>
  <c r="F14" i="40"/>
  <c r="T19" i="39"/>
  <c r="F11" i="51"/>
  <c r="P14" i="39"/>
  <c r="F12" i="51"/>
  <c r="P19" i="39"/>
  <c r="M8" i="39"/>
  <c r="L14" i="39"/>
  <c r="F14" i="51"/>
  <c r="F18" i="40"/>
  <c r="F5" i="40"/>
  <c r="F13" i="40"/>
  <c r="X19" i="39"/>
  <c r="L16" i="39"/>
  <c r="X14" i="39"/>
  <c r="X17" i="39"/>
  <c r="F18" i="51"/>
  <c r="M4" i="39"/>
  <c r="F8" i="51"/>
  <c r="F12" i="40"/>
  <c r="T16" i="39"/>
  <c r="P15" i="39"/>
  <c r="F9" i="40"/>
  <c r="F21" i="51"/>
  <c r="X15" i="39"/>
  <c r="F6" i="40"/>
  <c r="F17" i="51"/>
  <c r="L19" i="39"/>
  <c r="X16" i="39"/>
  <c r="L15" i="39"/>
  <c r="T17" i="39"/>
  <c r="M6" i="39"/>
  <c r="F10" i="51"/>
  <c r="L20" i="39"/>
  <c r="M9" i="39"/>
  <c r="F16" i="40"/>
  <c r="M5" i="39"/>
  <c r="L18" i="39"/>
  <c r="F4" i="40"/>
  <c r="F15" i="51"/>
  <c r="F11" i="40"/>
  <c r="F3" i="51"/>
  <c r="X18" i="39"/>
  <c r="M7" i="39"/>
  <c r="P17" i="39"/>
  <c r="F20" i="51"/>
  <c r="P18" i="39"/>
  <c r="F7" i="40"/>
  <c r="F20" i="40"/>
  <c r="F16" i="51"/>
  <c r="F5" i="51"/>
  <c r="P16" i="39"/>
  <c r="F19" i="51"/>
  <c r="F6" i="51"/>
  <c r="F7" i="51"/>
  <c r="F9" i="51"/>
  <c r="P20" i="39"/>
  <c r="F15" i="40"/>
  <c r="T20" i="39"/>
  <c r="T14" i="39"/>
  <c r="F13" i="51"/>
  <c r="M3" i="39"/>
  <c r="F17" i="40"/>
  <c r="F8" i="40"/>
  <c r="T18" i="39"/>
  <c r="F22" i="40"/>
  <c r="F19" i="40"/>
  <c r="F21" i="40"/>
  <c r="F4" i="51"/>
  <c r="F10" i="40"/>
  <c r="T15" i="39"/>
  <c r="O57" i="39" l="1"/>
  <c r="O55" i="39"/>
  <c r="O56" i="39"/>
  <c r="O53" i="39"/>
  <c r="O52" i="39"/>
  <c r="O54" i="39"/>
  <c r="M6" i="42"/>
  <c r="Q8" i="42"/>
  <c r="M18" i="42"/>
  <c r="M16" i="42"/>
  <c r="Q12" i="42"/>
  <c r="Q17" i="42"/>
  <c r="X36" i="47"/>
  <c r="X31" i="47"/>
  <c r="W35" i="47"/>
  <c r="X33" i="47"/>
  <c r="M19" i="42"/>
  <c r="Q57" i="39"/>
  <c r="P57" i="39"/>
  <c r="R57" i="39"/>
  <c r="Q30" i="50"/>
  <c r="T30" i="50"/>
  <c r="W30" i="50" s="1"/>
  <c r="R30" i="50"/>
  <c r="S30" i="50"/>
  <c r="R33" i="50"/>
  <c r="Q33" i="50"/>
  <c r="T33" i="50"/>
  <c r="W33" i="50" s="1"/>
  <c r="S33" i="50"/>
  <c r="X32" i="47"/>
  <c r="T39" i="50"/>
  <c r="Q39" i="50"/>
  <c r="S39" i="50"/>
  <c r="R39" i="50"/>
  <c r="R38" i="50"/>
  <c r="S38" i="50"/>
  <c r="Q38" i="50"/>
  <c r="T38" i="50"/>
  <c r="S36" i="50"/>
  <c r="S45" i="50" s="1"/>
  <c r="Q36" i="50"/>
  <c r="Q45" i="50" s="1"/>
  <c r="R36" i="50"/>
  <c r="R45" i="50" s="1"/>
  <c r="T36" i="50"/>
  <c r="T45" i="50" s="1"/>
  <c r="R28" i="50"/>
  <c r="T28" i="50"/>
  <c r="W28" i="50" s="1"/>
  <c r="S28" i="50"/>
  <c r="Q28" i="50"/>
  <c r="T29" i="50"/>
  <c r="W29" i="50" s="1"/>
  <c r="S29" i="50"/>
  <c r="Q29" i="50"/>
  <c r="R29" i="50"/>
  <c r="S40" i="50"/>
  <c r="Q40" i="50"/>
  <c r="R40" i="50"/>
  <c r="T40" i="50"/>
  <c r="R54" i="39"/>
  <c r="Q54" i="39"/>
  <c r="P54" i="39"/>
  <c r="R37" i="50"/>
  <c r="R46" i="50" s="1"/>
  <c r="T37" i="50"/>
  <c r="T46" i="50" s="1"/>
  <c r="S37" i="50"/>
  <c r="S46" i="50" s="1"/>
  <c r="Q37" i="50"/>
  <c r="Q46" i="50" s="1"/>
  <c r="Q11" i="42"/>
  <c r="Q14" i="42"/>
  <c r="Q56" i="39"/>
  <c r="R56" i="39"/>
  <c r="P56" i="39"/>
  <c r="S34" i="50"/>
  <c r="S43" i="50" s="1"/>
  <c r="Q34" i="50"/>
  <c r="Q43" i="50" s="1"/>
  <c r="T34" i="50"/>
  <c r="R34" i="50"/>
  <c r="R43" i="50" s="1"/>
  <c r="Q15" i="42"/>
  <c r="Q55" i="39"/>
  <c r="R55" i="39"/>
  <c r="P55" i="39"/>
  <c r="Q10" i="42"/>
  <c r="R53" i="39"/>
  <c r="P53" i="39"/>
  <c r="Q53" i="39"/>
  <c r="R35" i="50"/>
  <c r="R44" i="50" s="1"/>
  <c r="S35" i="50"/>
  <c r="S44" i="50" s="1"/>
  <c r="T35" i="50"/>
  <c r="T44" i="50" s="1"/>
  <c r="Q35" i="50"/>
  <c r="Q44" i="50" s="1"/>
  <c r="F3" i="49"/>
  <c r="F4" i="49"/>
  <c r="T31" i="50"/>
  <c r="W31" i="50" s="1"/>
  <c r="R31" i="50"/>
  <c r="S31" i="50"/>
  <c r="Q31" i="50"/>
  <c r="Q13" i="42"/>
  <c r="Q5" i="42"/>
  <c r="Q9" i="42"/>
  <c r="F3" i="48"/>
  <c r="F4" i="48"/>
  <c r="Q52" i="39"/>
  <c r="R52" i="39"/>
  <c r="P52" i="39"/>
  <c r="S32" i="50"/>
  <c r="R32" i="50"/>
  <c r="Q32" i="50"/>
  <c r="T32" i="50"/>
  <c r="W32" i="50" s="1"/>
  <c r="M4" i="42"/>
  <c r="Q4" i="42"/>
  <c r="J3" i="43" s="1"/>
  <c r="Q7" i="42"/>
  <c r="W34" i="47"/>
  <c r="F7" i="49" s="1"/>
  <c r="W34" i="50" l="1"/>
  <c r="T43" i="50"/>
  <c r="P3" i="40" l="1"/>
  <c r="S258" i="40"/>
  <c r="S194" i="40"/>
  <c r="S162" i="40"/>
  <c r="S225" i="40"/>
  <c r="S161" i="40"/>
  <c r="S218" i="40"/>
  <c r="S122" i="40"/>
  <c r="S249" i="40"/>
  <c r="S153" i="40"/>
  <c r="S242" i="40"/>
  <c r="S210" i="40"/>
  <c r="S241" i="40"/>
  <c r="S209" i="40"/>
  <c r="S177" i="40"/>
  <c r="S145" i="40"/>
  <c r="S226" i="40"/>
  <c r="S130" i="40"/>
  <c r="S257" i="40"/>
  <c r="S193" i="40"/>
  <c r="S250" i="40"/>
  <c r="S154" i="40"/>
  <c r="S217" i="40"/>
  <c r="S121" i="40"/>
  <c r="S146" i="40"/>
  <c r="S234" i="40"/>
  <c r="S202" i="40"/>
  <c r="S170" i="40"/>
  <c r="S138" i="40"/>
  <c r="S129" i="40"/>
  <c r="S186" i="40"/>
  <c r="S185" i="40"/>
  <c r="S178" i="40"/>
  <c r="S233" i="40"/>
  <c r="S201" i="40"/>
  <c r="S169" i="40"/>
  <c r="S137" i="40"/>
  <c r="S192" i="40"/>
  <c r="S184" i="40"/>
  <c r="S255" i="40"/>
  <c r="S247" i="40"/>
  <c r="S239" i="40"/>
  <c r="S231" i="40"/>
  <c r="S223" i="40"/>
  <c r="S215" i="40"/>
  <c r="S207" i="40"/>
  <c r="S199" i="40"/>
  <c r="S167" i="40"/>
  <c r="S159" i="40"/>
  <c r="S151" i="40"/>
  <c r="S143" i="40"/>
  <c r="S135" i="40"/>
  <c r="S127" i="40"/>
  <c r="S119" i="40"/>
  <c r="S128" i="40"/>
  <c r="S254" i="40"/>
  <c r="S246" i="40"/>
  <c r="S238" i="40"/>
  <c r="S230" i="40"/>
  <c r="S222" i="40"/>
  <c r="S214" i="40"/>
  <c r="S182" i="40"/>
  <c r="S174" i="40"/>
  <c r="S166" i="40"/>
  <c r="S158" i="40"/>
  <c r="S150" i="40"/>
  <c r="S142" i="40"/>
  <c r="S134" i="40"/>
  <c r="S126" i="40"/>
  <c r="S118" i="40"/>
  <c r="S248" i="40"/>
  <c r="S224" i="40"/>
  <c r="S200" i="40"/>
  <c r="S176" i="40"/>
  <c r="S152" i="40"/>
  <c r="S183" i="40"/>
  <c r="S190" i="40"/>
  <c r="S261" i="40"/>
  <c r="S253" i="40"/>
  <c r="S245" i="40"/>
  <c r="S237" i="40"/>
  <c r="S229" i="40"/>
  <c r="S221" i="40"/>
  <c r="S213" i="40"/>
  <c r="S205" i="40"/>
  <c r="S197" i="40"/>
  <c r="S189" i="40"/>
  <c r="S181" i="40"/>
  <c r="S173" i="40"/>
  <c r="S165" i="40"/>
  <c r="S157" i="40"/>
  <c r="S149" i="40"/>
  <c r="S141" i="40"/>
  <c r="S133" i="40"/>
  <c r="S125" i="40"/>
  <c r="S117" i="40"/>
  <c r="S240" i="40"/>
  <c r="S216" i="40"/>
  <c r="S168" i="40"/>
  <c r="S144" i="40"/>
  <c r="S120" i="40"/>
  <c r="S175" i="40"/>
  <c r="S262" i="40"/>
  <c r="S198" i="40"/>
  <c r="S260" i="40"/>
  <c r="S252" i="40"/>
  <c r="S244" i="40"/>
  <c r="S236" i="40"/>
  <c r="S228" i="40"/>
  <c r="S220" i="40"/>
  <c r="S212" i="40"/>
  <c r="S204" i="40"/>
  <c r="S196" i="40"/>
  <c r="S188" i="40"/>
  <c r="S180" i="40"/>
  <c r="S172" i="40"/>
  <c r="S164" i="40"/>
  <c r="S156" i="40"/>
  <c r="S148" i="40"/>
  <c r="S140" i="40"/>
  <c r="S132" i="40"/>
  <c r="S124" i="40"/>
  <c r="S256" i="40"/>
  <c r="S232" i="40"/>
  <c r="S208" i="40"/>
  <c r="S160" i="40"/>
  <c r="S136" i="40"/>
  <c r="S191" i="40"/>
  <c r="S206" i="40"/>
  <c r="S259" i="40"/>
  <c r="S251" i="40"/>
  <c r="S243" i="40"/>
  <c r="S235" i="40"/>
  <c r="S227" i="40"/>
  <c r="S219" i="40"/>
  <c r="S211" i="40"/>
  <c r="S203" i="40"/>
  <c r="S195" i="40"/>
  <c r="S187" i="40"/>
  <c r="S179" i="40"/>
  <c r="S171" i="40"/>
  <c r="S163" i="40"/>
  <c r="S155" i="40"/>
  <c r="S147" i="40"/>
  <c r="S139" i="40"/>
  <c r="S131" i="40"/>
  <c r="S123" i="40"/>
  <c r="S72" i="40"/>
  <c r="S105" i="40"/>
  <c r="S49" i="40"/>
  <c r="S13" i="40"/>
  <c r="S82" i="40"/>
  <c r="S65" i="40"/>
  <c r="AD25" i="40"/>
  <c r="G37" i="39"/>
  <c r="G47" i="39"/>
  <c r="S112" i="40"/>
  <c r="S80" i="40"/>
  <c r="L5" i="40"/>
  <c r="S110" i="40"/>
  <c r="G45" i="39"/>
  <c r="S24" i="40"/>
  <c r="S27" i="40"/>
  <c r="S84" i="40"/>
  <c r="S43" i="40"/>
  <c r="S11" i="40"/>
  <c r="S10" i="40"/>
  <c r="S32" i="40"/>
  <c r="L17" i="40"/>
  <c r="S116" i="40"/>
  <c r="S98" i="40"/>
  <c r="S7" i="40"/>
  <c r="S39" i="40"/>
  <c r="AD30" i="40"/>
  <c r="S35" i="40"/>
  <c r="S107" i="40"/>
  <c r="G39" i="39"/>
  <c r="S61" i="40"/>
  <c r="L22" i="40"/>
  <c r="L18" i="40"/>
  <c r="L19" i="40"/>
  <c r="AD21" i="40"/>
  <c r="S95" i="40"/>
  <c r="S29" i="40"/>
  <c r="S23" i="40"/>
  <c r="L4" i="40"/>
  <c r="S19" i="40"/>
  <c r="S18" i="40"/>
  <c r="S103" i="40"/>
  <c r="AD19" i="40"/>
  <c r="S46" i="40"/>
  <c r="G33" i="39"/>
  <c r="S20" i="40"/>
  <c r="S70" i="40"/>
  <c r="G42" i="39"/>
  <c r="S42" i="40"/>
  <c r="S47" i="40"/>
  <c r="S77" i="40"/>
  <c r="S26" i="40"/>
  <c r="S115" i="40"/>
  <c r="S22" i="40"/>
  <c r="AD26" i="40"/>
  <c r="S91" i="40"/>
  <c r="S104" i="40"/>
  <c r="S113" i="40"/>
  <c r="S31" i="40"/>
  <c r="S5" i="40"/>
  <c r="S41" i="40"/>
  <c r="S108" i="40"/>
  <c r="S79" i="40"/>
  <c r="S55" i="40"/>
  <c r="L10" i="40"/>
  <c r="S53" i="40"/>
  <c r="L20" i="40"/>
  <c r="S12" i="40"/>
  <c r="AD28" i="40"/>
  <c r="AD29" i="40"/>
  <c r="S62" i="40"/>
  <c r="S51" i="40"/>
  <c r="S17" i="40"/>
  <c r="S21" i="40"/>
  <c r="L15" i="40"/>
  <c r="S78" i="40"/>
  <c r="S64" i="40"/>
  <c r="S34" i="40"/>
  <c r="S114" i="40"/>
  <c r="S8" i="40"/>
  <c r="AD23" i="40"/>
  <c r="G41" i="39"/>
  <c r="G48" i="39"/>
  <c r="S86" i="40"/>
  <c r="S89" i="40"/>
  <c r="S97" i="40"/>
  <c r="S57" i="40"/>
  <c r="S92" i="40"/>
  <c r="S106" i="40"/>
  <c r="S93" i="40"/>
  <c r="S100" i="40"/>
  <c r="S3" i="40"/>
  <c r="G46" i="39"/>
  <c r="G40" i="39"/>
  <c r="AD16" i="40"/>
  <c r="S54" i="40"/>
  <c r="S87" i="40"/>
  <c r="S16" i="40"/>
  <c r="S44" i="40"/>
  <c r="S9" i="40"/>
  <c r="L14" i="40"/>
  <c r="S40" i="40"/>
  <c r="S56" i="40"/>
  <c r="L11" i="40"/>
  <c r="S99" i="40"/>
  <c r="S71" i="40"/>
  <c r="S33" i="40"/>
  <c r="L6" i="40"/>
  <c r="S88" i="40"/>
  <c r="S59" i="40"/>
  <c r="AD20" i="40"/>
  <c r="S6" i="40"/>
  <c r="S15" i="40"/>
  <c r="S90" i="40"/>
  <c r="S83" i="40"/>
  <c r="L13" i="40"/>
  <c r="G35" i="39"/>
  <c r="S68" i="40"/>
  <c r="L16" i="40"/>
  <c r="S4" i="40"/>
  <c r="S25" i="40"/>
  <c r="S111" i="40"/>
  <c r="AD18" i="40"/>
  <c r="L12" i="40"/>
  <c r="AD17" i="40"/>
  <c r="G36" i="39"/>
  <c r="S48" i="40"/>
  <c r="L21" i="40"/>
  <c r="S67" i="40"/>
  <c r="S45" i="40"/>
  <c r="L3" i="40"/>
  <c r="S36" i="40"/>
  <c r="S28" i="40"/>
  <c r="AD22" i="40"/>
  <c r="S30" i="40"/>
  <c r="AD27" i="40"/>
  <c r="G44" i="39"/>
  <c r="S38" i="40"/>
  <c r="S69" i="40"/>
  <c r="S52" i="40"/>
  <c r="S109" i="40"/>
  <c r="AD15" i="40"/>
  <c r="S63" i="40"/>
  <c r="S94" i="40"/>
  <c r="S102" i="40"/>
  <c r="S14" i="40"/>
  <c r="S74" i="40"/>
  <c r="S37" i="40"/>
  <c r="S81" i="40"/>
  <c r="S66" i="40"/>
  <c r="S101" i="40"/>
  <c r="S60" i="40"/>
  <c r="S75" i="40"/>
  <c r="S85" i="40"/>
  <c r="G43" i="39"/>
  <c r="AD24" i="40"/>
  <c r="S96" i="40"/>
  <c r="G34" i="39"/>
  <c r="S50" i="40"/>
  <c r="S76" i="40"/>
  <c r="L9" i="40"/>
  <c r="S58" i="40"/>
  <c r="L8" i="40"/>
  <c r="G38" i="39"/>
  <c r="S73" i="40"/>
  <c r="L7" i="40"/>
  <c r="P13" i="40" a="1"/>
  <c r="P6" i="40" a="1"/>
  <c r="F3" i="40"/>
  <c r="P6" i="40" l="1"/>
  <c r="P7" i="40"/>
  <c r="P8" i="40"/>
  <c r="P9" i="40"/>
  <c r="P10" i="40"/>
  <c r="P17" i="40"/>
  <c r="P13" i="40"/>
  <c r="P15" i="40"/>
  <c r="P16" i="40"/>
  <c r="P14" i="40"/>
  <c r="M7" i="40"/>
  <c r="M8" i="40"/>
  <c r="M9" i="40"/>
  <c r="G52" i="39"/>
  <c r="G53" i="39"/>
  <c r="I3" i="40"/>
  <c r="M21" i="40"/>
  <c r="M12" i="40"/>
  <c r="M16" i="40"/>
  <c r="M13" i="40"/>
  <c r="M6" i="40"/>
  <c r="M11" i="40"/>
  <c r="M14" i="40"/>
  <c r="G55" i="39"/>
  <c r="G57" i="39"/>
  <c r="M15" i="40"/>
  <c r="M20" i="40"/>
  <c r="M10" i="40"/>
  <c r="G51" i="39"/>
  <c r="M4" i="40"/>
  <c r="M19" i="40"/>
  <c r="M18" i="40"/>
  <c r="M22" i="40"/>
  <c r="M17" i="40"/>
  <c r="G54" i="39"/>
  <c r="M5" i="40"/>
  <c r="G56" i="39"/>
  <c r="P13" i="45" a="1"/>
  <c r="P13" i="45"/>
  <c r="P19" i="45"/>
  <c r="P20" i="45"/>
  <c r="P14" i="45"/>
  <c r="P18" i="45"/>
  <c r="P15" i="45"/>
  <c r="P16" i="45"/>
  <c r="P21" i="45"/>
  <c r="P17" i="45"/>
  <c r="O1" i="42"/>
  <c r="J4" i="43"/>
  <c r="J5" i="43"/>
  <c r="J6" i="43"/>
  <c r="J7" i="43"/>
  <c r="Y9" i="43" a="1"/>
  <c r="Y9" i="43"/>
  <c r="Y10" i="43"/>
  <c r="P18" i="40"/>
  <c r="U222" i="40"/>
  <c r="U30" i="40"/>
  <c r="U171" i="40"/>
  <c r="U121" i="40"/>
  <c r="U221" i="40"/>
  <c r="U29" i="40"/>
  <c r="U195" i="40"/>
  <c r="U82" i="40"/>
  <c r="U215" i="40"/>
  <c r="U43" i="40"/>
  <c r="U32" i="40"/>
  <c r="U262" i="40"/>
  <c r="U198" i="40"/>
  <c r="U134" i="40"/>
  <c r="U70" i="40"/>
  <c r="U6" i="40"/>
  <c r="U140" i="40"/>
  <c r="U4" i="40"/>
  <c r="U99" i="40"/>
  <c r="U170" i="40"/>
  <c r="U241" i="40"/>
  <c r="U57" i="40"/>
  <c r="U112" i="40"/>
  <c r="U175" i="40"/>
  <c r="U261" i="40"/>
  <c r="U197" i="40"/>
  <c r="U133" i="40"/>
  <c r="U69" i="40"/>
  <c r="U260" i="40"/>
  <c r="U148" i="40"/>
  <c r="U12" i="40"/>
  <c r="U139" i="40"/>
  <c r="U202" i="40"/>
  <c r="U257" i="40"/>
  <c r="U49" i="40"/>
  <c r="U96" i="40"/>
  <c r="U143" i="40"/>
  <c r="U155" i="40"/>
  <c r="U210" i="40"/>
  <c r="U18" i="40"/>
  <c r="U89" i="40"/>
  <c r="U144" i="40"/>
  <c r="U223" i="40"/>
  <c r="U47" i="40"/>
  <c r="U59" i="40"/>
  <c r="U200" i="40"/>
  <c r="U219" i="40"/>
  <c r="U37" i="40"/>
  <c r="U229" i="40"/>
  <c r="U208" i="40"/>
  <c r="U187" i="40"/>
  <c r="U38" i="40"/>
  <c r="U166" i="40"/>
  <c r="U13" i="48" a="1"/>
  <c r="U13" i="48"/>
  <c r="S13" i="48" s="1"/>
  <c r="U80" i="40"/>
  <c r="U201" i="40"/>
  <c r="U83" i="40"/>
  <c r="U224" i="40"/>
  <c r="U67" i="40"/>
  <c r="U228" i="40"/>
  <c r="U173" i="40"/>
  <c r="U48" i="40"/>
  <c r="U27" i="40"/>
  <c r="U220" i="40"/>
  <c r="U110" i="40"/>
  <c r="U3" i="49" a="1"/>
  <c r="AD7" i="48" l="1"/>
  <c r="AD9" i="48"/>
  <c r="AD22" i="48"/>
  <c r="AD16" i="48"/>
  <c r="AD6" i="48"/>
  <c r="AD8" i="48"/>
  <c r="AD10" i="48"/>
  <c r="AD5" i="48"/>
  <c r="AD26" i="48"/>
  <c r="AD18" i="48"/>
  <c r="AD19" i="48"/>
  <c r="AD15" i="48"/>
  <c r="AD23" i="48"/>
  <c r="AD20" i="48"/>
  <c r="AD12" i="48"/>
  <c r="AD11" i="48"/>
  <c r="AD21" i="48"/>
  <c r="AD4" i="48"/>
  <c r="AD13" i="48"/>
  <c r="AD3" i="48"/>
  <c r="AD17" i="48"/>
  <c r="AD25" i="48"/>
  <c r="AD24" i="48"/>
  <c r="AD14" i="48"/>
  <c r="U5" i="49"/>
  <c r="U3" i="49"/>
  <c r="U4" i="49"/>
  <c r="U71" i="40"/>
  <c r="U239" i="40"/>
  <c r="U168" i="40"/>
  <c r="U113" i="40"/>
  <c r="U42" i="40"/>
  <c r="U242" i="40"/>
  <c r="U203" i="40"/>
  <c r="U167" i="40"/>
  <c r="U128" i="40"/>
  <c r="U81" i="40"/>
  <c r="U34" i="40"/>
  <c r="U226" i="40"/>
  <c r="U163" i="40"/>
  <c r="U28" i="40"/>
  <c r="U164" i="40"/>
  <c r="U13" i="40"/>
  <c r="U77" i="40"/>
  <c r="U141" i="40"/>
  <c r="U205" i="40"/>
  <c r="U15" i="40"/>
  <c r="U199" i="40"/>
  <c r="U136" i="40"/>
  <c r="U73" i="40"/>
  <c r="U10" i="40"/>
  <c r="U194" i="40"/>
  <c r="U123" i="40"/>
  <c r="U20" i="40"/>
  <c r="U156" i="40"/>
  <c r="U14" i="40"/>
  <c r="U78" i="40"/>
  <c r="U142" i="40"/>
  <c r="U206" i="40"/>
  <c r="L21" i="39"/>
  <c r="Y3" i="43" a="1"/>
  <c r="Y5" i="43"/>
  <c r="Y4" i="43"/>
  <c r="Y3" i="43"/>
  <c r="X21" i="39"/>
  <c r="AH5" i="39" a="1"/>
  <c r="AH6" i="39"/>
  <c r="AH5" i="39"/>
  <c r="U153" i="40"/>
  <c r="U176" i="40"/>
  <c r="U258" i="40"/>
  <c r="U93" i="40"/>
  <c r="U255" i="40"/>
  <c r="U50" i="40"/>
  <c r="U52" i="40"/>
  <c r="U94" i="40"/>
  <c r="T21" i="39"/>
  <c r="Y13" i="43" a="1"/>
  <c r="Y13" i="43"/>
  <c r="W13" i="43" s="1"/>
  <c r="AH21" i="43" s="1"/>
  <c r="U56" i="40"/>
  <c r="U114" i="40"/>
  <c r="U31" i="40"/>
  <c r="U161" i="40"/>
  <c r="U84" i="40"/>
  <c r="U101" i="40"/>
  <c r="U24" i="40"/>
  <c r="U11" i="40"/>
  <c r="U204" i="40"/>
  <c r="U230" i="40"/>
  <c r="U3" i="40"/>
  <c r="U17" i="40"/>
  <c r="U63" i="40"/>
  <c r="U185" i="40"/>
  <c r="U100" i="40"/>
  <c r="U109" i="40"/>
  <c r="U237" i="40"/>
  <c r="U169" i="40"/>
  <c r="U92" i="40"/>
  <c r="U174" i="40"/>
  <c r="U95" i="40"/>
  <c r="U8" i="40"/>
  <c r="U192" i="40"/>
  <c r="U137" i="40"/>
  <c r="U66" i="40"/>
  <c r="U19" i="40"/>
  <c r="U76" i="40"/>
  <c r="U191" i="40"/>
  <c r="U152" i="40"/>
  <c r="U105" i="40"/>
  <c r="U58" i="40"/>
  <c r="U234" i="40"/>
  <c r="U179" i="40"/>
  <c r="U44" i="40"/>
  <c r="U180" i="40"/>
  <c r="U21" i="40"/>
  <c r="U85" i="40"/>
  <c r="U149" i="40"/>
  <c r="U213" i="40"/>
  <c r="U39" i="40"/>
  <c r="U231" i="40"/>
  <c r="U160" i="40"/>
  <c r="U97" i="40"/>
  <c r="U26" i="40"/>
  <c r="U218" i="40"/>
  <c r="U147" i="40"/>
  <c r="U36" i="40"/>
  <c r="U172" i="40"/>
  <c r="U22" i="40"/>
  <c r="U86" i="40"/>
  <c r="U150" i="40"/>
  <c r="U214" i="40"/>
  <c r="U9" i="48" a="1"/>
  <c r="AH10" i="43" l="1"/>
  <c r="AH5" i="43"/>
  <c r="AH35" i="43"/>
  <c r="AH25" i="43"/>
  <c r="AH7" i="43"/>
  <c r="AH64" i="43"/>
  <c r="AH19" i="43"/>
  <c r="AH55" i="43"/>
  <c r="AH59" i="43"/>
  <c r="AH42" i="43"/>
  <c r="AH34" i="43"/>
  <c r="AH47" i="43"/>
  <c r="AH8" i="43"/>
  <c r="AH41" i="43"/>
  <c r="AH28" i="43"/>
  <c r="AH22" i="43"/>
  <c r="AH54" i="43"/>
  <c r="AH17" i="43"/>
  <c r="AH3" i="43"/>
  <c r="AH53" i="43"/>
  <c r="AH46" i="43"/>
  <c r="AH29" i="43"/>
  <c r="AH20" i="43"/>
  <c r="AH36" i="43"/>
  <c r="AH16" i="43"/>
  <c r="AH32" i="43"/>
  <c r="AH27" i="43"/>
  <c r="AH58" i="43"/>
  <c r="AH40" i="43"/>
  <c r="AH13" i="43"/>
  <c r="AH45" i="43"/>
  <c r="AH65" i="43"/>
  <c r="AH44" i="43"/>
  <c r="AH15" i="43"/>
  <c r="AH50" i="43"/>
  <c r="AH38" i="43"/>
  <c r="AH56" i="43"/>
  <c r="AH48" i="43"/>
  <c r="AH12" i="43"/>
  <c r="AH61" i="43"/>
  <c r="AH31" i="43"/>
  <c r="AH33" i="43"/>
  <c r="AH63" i="43"/>
  <c r="AH11" i="43"/>
  <c r="AH30" i="43"/>
  <c r="AH39" i="43"/>
  <c r="AH23" i="43"/>
  <c r="AH37" i="43"/>
  <c r="AH4" i="43"/>
  <c r="AH62" i="43"/>
  <c r="AH9" i="43"/>
  <c r="AH57" i="43"/>
  <c r="AH24" i="43"/>
  <c r="AH18" i="43"/>
  <c r="AH51" i="43"/>
  <c r="AH52" i="43"/>
  <c r="AH14" i="43"/>
  <c r="AH6" i="43"/>
  <c r="AH49" i="43"/>
  <c r="AH26" i="43"/>
  <c r="AH60" i="43"/>
  <c r="AH43" i="43"/>
  <c r="U10" i="48"/>
  <c r="U9" i="48"/>
  <c r="U13" i="49" a="1"/>
  <c r="U13" i="49"/>
  <c r="S13" i="49" s="1"/>
  <c r="AH9" i="39" a="1"/>
  <c r="AD111" i="49" l="1"/>
  <c r="AD101" i="49"/>
  <c r="AD45" i="49"/>
  <c r="AD47" i="49"/>
  <c r="AD5" i="49"/>
  <c r="AD182" i="49"/>
  <c r="AD98" i="49"/>
  <c r="AD151" i="49"/>
  <c r="AD141" i="49"/>
  <c r="AD87" i="49"/>
  <c r="AD97" i="49"/>
  <c r="AD115" i="49"/>
  <c r="AD58" i="49"/>
  <c r="AD95" i="49"/>
  <c r="AD142" i="49"/>
  <c r="AD227" i="49"/>
  <c r="AD128" i="49"/>
  <c r="AD93" i="49"/>
  <c r="AD184" i="49"/>
  <c r="AD149" i="49"/>
  <c r="AD133" i="49"/>
  <c r="AD81" i="49"/>
  <c r="AD109" i="49"/>
  <c r="AD157" i="49"/>
  <c r="AD8" i="49"/>
  <c r="AD122" i="49"/>
  <c r="AD15" i="49"/>
  <c r="AD89" i="49"/>
  <c r="AD24" i="49"/>
  <c r="AD66" i="49"/>
  <c r="AD154" i="49"/>
  <c r="AD161" i="49"/>
  <c r="AD56" i="49"/>
  <c r="AD242" i="49"/>
  <c r="AD235" i="49"/>
  <c r="AD61" i="49"/>
  <c r="AD188" i="49"/>
  <c r="AD160" i="49"/>
  <c r="AD130" i="49"/>
  <c r="AD17" i="49"/>
  <c r="AD186" i="49"/>
  <c r="AD113" i="49"/>
  <c r="AD213" i="49"/>
  <c r="AD204" i="49"/>
  <c r="AD155" i="49"/>
  <c r="AD178" i="49"/>
  <c r="AD40" i="49"/>
  <c r="AD14" i="49"/>
  <c r="AD105" i="49"/>
  <c r="AD96" i="49"/>
  <c r="AD18" i="49"/>
  <c r="AD175" i="49"/>
  <c r="AD55" i="49"/>
  <c r="AD217" i="49"/>
  <c r="AD6" i="49"/>
  <c r="AD220" i="49"/>
  <c r="AD100" i="49"/>
  <c r="AD206" i="49"/>
  <c r="AD187" i="49"/>
  <c r="AD29" i="49"/>
  <c r="AD52" i="49"/>
  <c r="AD43" i="49"/>
  <c r="AD132" i="49"/>
  <c r="AD129" i="49"/>
  <c r="AD12" i="49"/>
  <c r="AD126" i="49"/>
  <c r="AD177" i="49"/>
  <c r="AD121" i="49"/>
  <c r="AD9" i="49"/>
  <c r="AD13" i="49"/>
  <c r="AD223" i="49"/>
  <c r="AD82" i="49"/>
  <c r="AD123" i="49"/>
  <c r="AD117" i="49"/>
  <c r="AD25" i="49"/>
  <c r="AD173" i="49"/>
  <c r="AD156" i="49"/>
  <c r="AD37" i="49"/>
  <c r="AD241" i="49"/>
  <c r="AD222" i="49"/>
  <c r="AD31" i="49"/>
  <c r="AD219" i="49"/>
  <c r="AD140" i="49"/>
  <c r="AD179" i="49"/>
  <c r="AD125" i="49"/>
  <c r="AD91" i="49"/>
  <c r="AD231" i="49"/>
  <c r="AD62" i="49"/>
  <c r="AD107" i="49"/>
  <c r="AD233" i="49"/>
  <c r="AD166" i="49"/>
  <c r="AD176" i="49"/>
  <c r="AD50" i="49"/>
  <c r="AD221" i="49"/>
  <c r="AD41" i="49"/>
  <c r="AD120" i="49"/>
  <c r="AD35" i="49"/>
  <c r="AD21" i="49"/>
  <c r="AD139" i="49"/>
  <c r="AD48" i="49"/>
  <c r="AD23" i="49"/>
  <c r="AD159" i="49"/>
  <c r="AD145" i="49"/>
  <c r="AD148" i="49"/>
  <c r="AD194" i="49"/>
  <c r="AD44" i="49"/>
  <c r="AD196" i="49"/>
  <c r="AD33" i="49"/>
  <c r="AD92" i="49"/>
  <c r="AD252" i="49"/>
  <c r="AD134" i="49"/>
  <c r="AD200" i="49"/>
  <c r="AD57" i="49"/>
  <c r="AD238" i="49"/>
  <c r="AD183" i="49"/>
  <c r="AD152" i="49"/>
  <c r="AD243" i="49"/>
  <c r="AD197" i="49"/>
  <c r="AD127" i="49"/>
  <c r="AD185" i="49"/>
  <c r="AD102" i="49"/>
  <c r="AD84" i="49"/>
  <c r="AD199" i="49"/>
  <c r="AD64" i="49"/>
  <c r="AD106" i="49"/>
  <c r="AD208" i="49"/>
  <c r="AD236" i="49"/>
  <c r="AD74" i="49"/>
  <c r="AD94" i="49"/>
  <c r="AD39" i="49"/>
  <c r="AD146" i="49"/>
  <c r="AD191" i="49"/>
  <c r="AD248" i="49"/>
  <c r="AD53" i="49"/>
  <c r="AD211" i="49"/>
  <c r="AD254" i="49"/>
  <c r="AD158" i="49"/>
  <c r="AD240" i="49"/>
  <c r="AD150" i="49"/>
  <c r="AD138" i="49"/>
  <c r="AD234" i="49"/>
  <c r="AD237" i="49"/>
  <c r="AD104" i="49"/>
  <c r="AD255" i="49"/>
  <c r="AD201" i="49"/>
  <c r="AD71" i="49"/>
  <c r="AD137" i="49"/>
  <c r="AD245" i="49"/>
  <c r="AD28" i="49"/>
  <c r="AD163" i="49"/>
  <c r="AD226" i="49"/>
  <c r="AD205" i="49"/>
  <c r="AD162" i="49"/>
  <c r="AD54" i="49"/>
  <c r="AD72" i="49"/>
  <c r="AD19" i="49"/>
  <c r="AD68" i="49"/>
  <c r="AD76" i="49"/>
  <c r="AD180" i="49"/>
  <c r="AD174" i="49"/>
  <c r="AD118" i="49"/>
  <c r="AD209" i="49"/>
  <c r="AD7" i="49"/>
  <c r="AD90" i="49"/>
  <c r="AD181" i="49"/>
  <c r="AD99" i="49"/>
  <c r="AD169" i="49"/>
  <c r="AD203" i="49"/>
  <c r="AD229" i="49"/>
  <c r="AD147" i="49"/>
  <c r="AD22" i="49"/>
  <c r="AD85" i="49"/>
  <c r="AD250" i="49"/>
  <c r="AD38" i="49"/>
  <c r="AD108" i="49"/>
  <c r="AD168" i="49"/>
  <c r="AD136" i="49"/>
  <c r="AD119" i="49"/>
  <c r="AD195" i="49"/>
  <c r="AD224" i="49"/>
  <c r="AD172" i="49"/>
  <c r="AD73" i="49"/>
  <c r="AD83" i="49"/>
  <c r="AD216" i="49"/>
  <c r="AD225" i="49"/>
  <c r="AD77" i="49"/>
  <c r="AD251" i="49"/>
  <c r="AD192" i="49"/>
  <c r="AD143" i="49"/>
  <c r="AD46" i="49"/>
  <c r="AD88" i="49"/>
  <c r="AD249" i="49"/>
  <c r="AD51" i="49"/>
  <c r="AD49" i="49"/>
  <c r="AD135" i="49"/>
  <c r="AD244" i="49"/>
  <c r="AD246" i="49"/>
  <c r="AD34" i="49"/>
  <c r="AD65" i="49"/>
  <c r="AD80" i="49"/>
  <c r="AD27" i="49"/>
  <c r="AD193" i="49"/>
  <c r="AD79" i="49"/>
  <c r="AD67" i="49"/>
  <c r="AD69" i="49"/>
  <c r="AD32" i="49"/>
  <c r="AD190" i="49"/>
  <c r="AD114" i="49"/>
  <c r="AD20" i="49"/>
  <c r="AD215" i="49"/>
  <c r="AD4" i="49"/>
  <c r="AD131" i="49"/>
  <c r="AD198" i="49"/>
  <c r="AD70" i="49"/>
  <c r="AD75" i="49"/>
  <c r="AD30" i="49"/>
  <c r="AD63" i="49"/>
  <c r="AD3" i="49"/>
  <c r="AD210" i="49"/>
  <c r="AD144" i="49"/>
  <c r="AD78" i="49"/>
  <c r="AD124" i="49"/>
  <c r="AD112" i="49"/>
  <c r="AD26" i="49"/>
  <c r="AD257" i="49"/>
  <c r="AD165" i="49"/>
  <c r="AD253" i="49"/>
  <c r="AD247" i="49"/>
  <c r="AD164" i="49"/>
  <c r="AD189" i="49"/>
  <c r="AD86" i="49"/>
  <c r="AD60" i="49"/>
  <c r="AD239" i="49"/>
  <c r="AD214" i="49"/>
  <c r="AD153" i="49"/>
  <c r="AD228" i="49"/>
  <c r="AD110" i="49"/>
  <c r="AD116" i="49"/>
  <c r="AD10" i="49"/>
  <c r="AD218" i="49"/>
  <c r="AD230" i="49"/>
  <c r="AD232" i="49"/>
  <c r="AD16" i="49"/>
  <c r="AD167" i="49"/>
  <c r="AD11" i="49"/>
  <c r="AD170" i="49"/>
  <c r="AD103" i="49"/>
  <c r="AD171" i="49"/>
  <c r="AD207" i="49"/>
  <c r="AD36" i="49"/>
  <c r="AD42" i="49"/>
  <c r="AD59" i="49"/>
  <c r="AD202" i="49"/>
  <c r="AD256" i="49"/>
  <c r="AD212" i="49"/>
  <c r="AH10" i="39"/>
  <c r="AH9" i="39"/>
  <c r="U111" i="40"/>
  <c r="U90" i="40"/>
  <c r="U7" i="40"/>
  <c r="U129" i="40"/>
  <c r="U60" i="40"/>
  <c r="U157" i="40"/>
  <c r="U55" i="40"/>
  <c r="U184" i="40"/>
  <c r="U250" i="40"/>
  <c r="U188" i="40"/>
  <c r="U158" i="40"/>
  <c r="U135" i="40"/>
  <c r="U177" i="40"/>
  <c r="U247" i="40"/>
  <c r="U35" i="40"/>
  <c r="U212" i="40"/>
  <c r="U165" i="40"/>
  <c r="U79" i="40"/>
  <c r="U74" i="40"/>
  <c r="U68" i="40"/>
  <c r="U102" i="40"/>
  <c r="P21" i="39"/>
  <c r="U3" i="48" a="1"/>
  <c r="AF9" i="39" l="1" a="1"/>
  <c r="AF10" i="39" s="1"/>
  <c r="I25" i="39" s="1"/>
  <c r="U3" i="48"/>
  <c r="U5" i="48"/>
  <c r="U4" i="48"/>
  <c r="U159" i="40"/>
  <c r="U138" i="40"/>
  <c r="U16" i="40"/>
  <c r="U130" i="40"/>
  <c r="U235" i="40"/>
  <c r="U45" i="40"/>
  <c r="U103" i="40"/>
  <c r="U98" i="40"/>
  <c r="U211" i="40"/>
  <c r="U46" i="40"/>
  <c r="U238" i="40"/>
  <c r="U216" i="40"/>
  <c r="U196" i="40"/>
  <c r="U248" i="40"/>
  <c r="U106" i="40"/>
  <c r="U145" i="40"/>
  <c r="U240" i="40"/>
  <c r="U232" i="40"/>
  <c r="U225" i="40"/>
  <c r="U40" i="40"/>
  <c r="U91" i="40"/>
  <c r="U53" i="40"/>
  <c r="U127" i="40"/>
  <c r="U122" i="40"/>
  <c r="U252" i="40"/>
  <c r="U246" i="40"/>
  <c r="P14" i="47" a="1"/>
  <c r="AF9" i="39" l="1"/>
  <c r="I26" i="39" s="1"/>
  <c r="P22" i="47"/>
  <c r="P18" i="47"/>
  <c r="P26" i="47"/>
  <c r="P23" i="47"/>
  <c r="P16" i="47"/>
  <c r="P21" i="47"/>
  <c r="P15" i="47"/>
  <c r="P14" i="47"/>
  <c r="P27" i="47"/>
  <c r="P24" i="47"/>
  <c r="P17" i="47"/>
  <c r="P25" i="47"/>
  <c r="P20" i="47"/>
  <c r="P19" i="47"/>
  <c r="I24" i="39"/>
  <c r="U125" i="40"/>
  <c r="U104" i="40"/>
  <c r="U116" i="40"/>
  <c r="U227" i="40"/>
  <c r="U120" i="40"/>
  <c r="U132" i="40"/>
  <c r="U126" i="40"/>
  <c r="U87" i="40"/>
  <c r="U119" i="40"/>
  <c r="U217" i="40"/>
  <c r="U190" i="40"/>
  <c r="U23" i="40"/>
  <c r="U249" i="40"/>
  <c r="U72" i="40"/>
  <c r="U115" i="40"/>
  <c r="U61" i="40"/>
  <c r="U151" i="40"/>
  <c r="U146" i="40"/>
  <c r="U5" i="40"/>
  <c r="U254" i="40"/>
  <c r="AH14" i="39" a="1"/>
  <c r="I32" i="39" l="1"/>
  <c r="BI3" i="39" s="1"/>
  <c r="AH16" i="39"/>
  <c r="AH15" i="39"/>
  <c r="AH14" i="39"/>
  <c r="AF14" i="39" a="1"/>
  <c r="AF14" i="39" s="1"/>
  <c r="H27" i="39" s="1"/>
  <c r="U207" i="40"/>
  <c r="U25" i="40"/>
  <c r="U88" i="40"/>
  <c r="U62" i="40"/>
  <c r="U209" i="40"/>
  <c r="U9" i="40"/>
  <c r="U233" i="40"/>
  <c r="U33" i="40"/>
  <c r="U154" i="40"/>
  <c r="U245" i="40"/>
  <c r="U108" i="40"/>
  <c r="U65" i="40"/>
  <c r="U244" i="40"/>
  <c r="U253" i="40"/>
  <c r="U124" i="40"/>
  <c r="AH19" i="39" a="1"/>
  <c r="AH19" i="39"/>
  <c r="AH20" i="39"/>
  <c r="AH21" i="39"/>
  <c r="U183" i="40"/>
  <c r="U162" i="40"/>
  <c r="U256" i="40"/>
  <c r="U243" i="40"/>
  <c r="U117" i="40"/>
  <c r="U64" i="40"/>
  <c r="U51" i="40"/>
  <c r="U54" i="40"/>
  <c r="U9" i="49" a="1"/>
  <c r="AF19" i="39" l="1" a="1"/>
  <c r="AF20" i="39" s="1"/>
  <c r="J26" i="39" s="1"/>
  <c r="U10" i="49"/>
  <c r="U9" i="49"/>
  <c r="U186" i="40"/>
  <c r="U259" i="40"/>
  <c r="U75" i="40"/>
  <c r="D41" i="29"/>
  <c r="G9" i="35"/>
  <c r="G14" i="35"/>
  <c r="G16" i="35"/>
  <c r="G33" i="35"/>
  <c r="G50" i="35"/>
  <c r="G2" i="35"/>
  <c r="G13" i="35"/>
  <c r="G37" i="35"/>
  <c r="G6" i="35"/>
  <c r="G39" i="35"/>
  <c r="G5" i="35"/>
  <c r="G40" i="35"/>
  <c r="G23" i="35"/>
  <c r="G4" i="35"/>
  <c r="G19" i="35"/>
  <c r="G42" i="35"/>
  <c r="G15" i="35"/>
  <c r="G25" i="35"/>
  <c r="G3" i="35"/>
  <c r="G45" i="35"/>
  <c r="G29" i="35"/>
  <c r="G12" i="35"/>
  <c r="G27" i="35"/>
  <c r="G20" i="35"/>
  <c r="G28" i="35"/>
  <c r="G43" i="35"/>
  <c r="G36" i="35"/>
  <c r="G18" i="35"/>
  <c r="G34" i="35"/>
  <c r="G44" i="35"/>
  <c r="G38" i="35"/>
  <c r="G31" i="35"/>
  <c r="G32" i="35"/>
  <c r="G48" i="35"/>
  <c r="G41" i="35"/>
  <c r="G21" i="35"/>
  <c r="G8" i="35"/>
  <c r="G46" i="35"/>
  <c r="G10" i="35"/>
  <c r="G24" i="35"/>
  <c r="G22" i="35"/>
  <c r="G30" i="35"/>
  <c r="G26" i="35"/>
  <c r="G7" i="35"/>
  <c r="G11" i="35"/>
  <c r="G47" i="35"/>
  <c r="U107" i="40"/>
  <c r="U181" i="40"/>
  <c r="U118" i="40"/>
  <c r="G17" i="35"/>
  <c r="U131" i="40"/>
  <c r="U189" i="40"/>
  <c r="U251" i="40"/>
  <c r="G35" i="35"/>
  <c r="U41" i="40"/>
  <c r="U236" i="40"/>
  <c r="U193" i="40"/>
  <c r="U182" i="40"/>
  <c r="G49" i="35"/>
  <c r="U178" i="40"/>
  <c r="T5" i="51"/>
  <c r="T7" i="51"/>
  <c r="T8" i="51"/>
  <c r="T6" i="51"/>
  <c r="T12" i="51" a="1"/>
  <c r="T9" i="51"/>
  <c r="I37" i="39"/>
  <c r="I46" i="39"/>
  <c r="I33" i="39"/>
  <c r="I36" i="39"/>
  <c r="I48" i="39"/>
  <c r="I35" i="39"/>
  <c r="I44" i="39"/>
  <c r="I38" i="39"/>
  <c r="I43" i="39"/>
  <c r="I45" i="39"/>
  <c r="I40" i="39"/>
  <c r="I39" i="39"/>
  <c r="I42" i="39"/>
  <c r="I34" i="39"/>
  <c r="I41" i="39"/>
  <c r="I47" i="39"/>
  <c r="AF21" i="39"/>
  <c r="J25" i="39" s="1"/>
  <c r="T15" i="51"/>
  <c r="AF19" i="39"/>
  <c r="J27" i="39"/>
  <c r="T16" i="51"/>
  <c r="T13" i="51"/>
  <c r="T14" i="51"/>
  <c r="AF16" i="39"/>
  <c r="H25" i="39" s="1"/>
  <c r="AF15" i="39"/>
  <c r="H26" i="39" s="1"/>
  <c r="T12" i="51"/>
  <c r="J24" i="39"/>
  <c r="H24" i="39"/>
  <c r="V56" i="42"/>
  <c r="V11" i="42"/>
  <c r="V81" i="42"/>
  <c r="V224" i="42"/>
  <c r="V61" i="42"/>
  <c r="V144" i="42"/>
  <c r="V137" i="42"/>
  <c r="O14" i="42"/>
  <c r="V189" i="42"/>
  <c r="V181" i="42"/>
  <c r="V145" i="42"/>
  <c r="V70" i="42"/>
  <c r="V179" i="42"/>
  <c r="V245" i="42"/>
  <c r="V17" i="42"/>
  <c r="V48" i="42"/>
  <c r="V35" i="42"/>
  <c r="V226" i="42"/>
  <c r="V174" i="42"/>
  <c r="V29" i="42"/>
  <c r="V62" i="42"/>
  <c r="V110" i="42"/>
  <c r="O12" i="42"/>
  <c r="V212" i="42"/>
  <c r="V194" i="42"/>
  <c r="V93" i="42"/>
  <c r="V124" i="42"/>
  <c r="V183" i="42"/>
  <c r="V188" i="42"/>
  <c r="O10" i="42"/>
  <c r="V71" i="42"/>
  <c r="V243" i="42"/>
  <c r="J38" i="39"/>
  <c r="J35" i="39"/>
  <c r="J48" i="39"/>
  <c r="V155" i="42"/>
  <c r="V197" i="42"/>
  <c r="V104" i="42"/>
  <c r="V154" i="42"/>
  <c r="V132" i="42"/>
  <c r="V207" i="42"/>
  <c r="V121" i="42"/>
  <c r="V12" i="42"/>
  <c r="V199" i="42"/>
  <c r="V160" i="42"/>
  <c r="V22" i="42"/>
  <c r="V47" i="42"/>
  <c r="V87" i="42"/>
  <c r="V138" i="42"/>
  <c r="V49" i="42"/>
  <c r="V238" i="42"/>
  <c r="J37" i="39"/>
  <c r="J43" i="39"/>
  <c r="V99" i="42"/>
  <c r="V248" i="42"/>
  <c r="V58" i="42"/>
  <c r="V202" i="42"/>
  <c r="V185" i="42"/>
  <c r="V259" i="42"/>
  <c r="V44" i="42"/>
  <c r="J44" i="39"/>
  <c r="V153" i="42"/>
  <c r="V241" i="42"/>
  <c r="V151" i="42"/>
  <c r="V192" i="42"/>
  <c r="O6" i="42"/>
  <c r="V107" i="42"/>
  <c r="J46" i="39"/>
  <c r="V140" i="42"/>
  <c r="V76" i="42"/>
  <c r="V173" i="42"/>
  <c r="V211" i="42"/>
  <c r="V102" i="42"/>
  <c r="V229" i="42"/>
  <c r="V166" i="42"/>
  <c r="J39" i="39"/>
  <c r="V142" i="42"/>
  <c r="V171" i="42"/>
  <c r="V203" i="42"/>
  <c r="V34" i="42"/>
  <c r="V209" i="42"/>
  <c r="M8" i="50"/>
  <c r="V136" i="42"/>
  <c r="V176" i="42"/>
  <c r="V223" i="42"/>
  <c r="V57" i="42"/>
  <c r="V39" i="42"/>
  <c r="V218" i="42"/>
  <c r="V232" i="42"/>
  <c r="V30" i="42"/>
  <c r="J33" i="39"/>
  <c r="H39" i="39"/>
  <c r="H43" i="39"/>
  <c r="H45" i="39"/>
  <c r="H35" i="39"/>
  <c r="H47" i="39"/>
  <c r="H38" i="39"/>
  <c r="H42" i="39"/>
  <c r="H40" i="39"/>
  <c r="H44" i="39"/>
  <c r="H36" i="39"/>
  <c r="V3" i="42"/>
  <c r="V134" i="42"/>
  <c r="V157" i="42"/>
  <c r="V106" i="42"/>
  <c r="V40" i="42"/>
  <c r="V165" i="42"/>
  <c r="V85" i="42"/>
  <c r="V36" i="42"/>
  <c r="V152" i="42"/>
  <c r="V89" i="42"/>
  <c r="V43" i="42"/>
  <c r="V111" i="42"/>
  <c r="O11" i="42"/>
  <c r="V69" i="42"/>
  <c r="V6" i="42"/>
  <c r="V7" i="42"/>
  <c r="H34" i="39"/>
  <c r="H41" i="39"/>
  <c r="J47" i="39"/>
  <c r="J42" i="39"/>
  <c r="V161" i="42"/>
  <c r="V109" i="42"/>
  <c r="V96" i="42"/>
  <c r="V235" i="42"/>
  <c r="V101" i="42"/>
  <c r="V191" i="42"/>
  <c r="V128" i="42"/>
  <c r="H48" i="39"/>
  <c r="J45" i="39"/>
  <c r="V86" i="42"/>
  <c r="V113" i="42"/>
  <c r="V170" i="42"/>
  <c r="V206" i="42"/>
  <c r="V74" i="42"/>
  <c r="V10" i="42"/>
  <c r="V213" i="42"/>
  <c r="J41" i="39"/>
  <c r="V75" i="42"/>
  <c r="V23" i="42"/>
  <c r="V105" i="42"/>
  <c r="V139" i="42"/>
  <c r="V122" i="42"/>
  <c r="V25" i="42"/>
  <c r="V169" i="42"/>
  <c r="V95" i="42"/>
  <c r="H37" i="39"/>
  <c r="J40" i="39"/>
  <c r="V66" i="42"/>
  <c r="V130" i="42"/>
  <c r="V210" i="42"/>
  <c r="V21" i="42"/>
  <c r="V240" i="42"/>
  <c r="O8" i="42"/>
  <c r="H33" i="39"/>
  <c r="J36" i="39"/>
  <c r="V221" i="42"/>
  <c r="O13" i="42"/>
  <c r="V42" i="42"/>
  <c r="V256" i="42"/>
  <c r="V253" i="42"/>
  <c r="V84" i="42"/>
  <c r="H46" i="39"/>
  <c r="J34" i="39"/>
  <c r="J32" i="39"/>
  <c r="BJ3" i="39" s="1"/>
  <c r="H32" i="39"/>
  <c r="BH3" i="39"/>
  <c r="M19" i="50"/>
  <c r="N8" i="50"/>
  <c r="N19" i="50"/>
  <c r="S19" i="50" s="1"/>
  <c r="AA19" i="50"/>
  <c r="L8" i="50"/>
  <c r="L19" i="50" s="1"/>
  <c r="J51" i="39"/>
  <c r="I51" i="39"/>
  <c r="S9" i="48" a="1"/>
  <c r="S10" i="48" s="1"/>
  <c r="S9" i="48"/>
  <c r="S3" i="49" a="1"/>
  <c r="S4" i="49" s="1"/>
  <c r="S3" i="48" a="1"/>
  <c r="H51" i="39"/>
  <c r="S9" i="49" a="1"/>
  <c r="S10" i="49" s="1"/>
  <c r="W3" i="43" a="1"/>
  <c r="W4" i="43" s="1"/>
  <c r="W9" i="43" a="1"/>
  <c r="W9" i="43" s="1"/>
  <c r="AF5" i="39" a="1"/>
  <c r="AF5" i="39" s="1"/>
  <c r="G26" i="39" s="1"/>
  <c r="T19" i="50"/>
  <c r="AB19" i="50"/>
  <c r="V55" i="42"/>
  <c r="V80" i="42"/>
  <c r="V178" i="42"/>
  <c r="V143" i="42"/>
  <c r="V83" i="42"/>
  <c r="V90" i="42"/>
  <c r="V46" i="42"/>
  <c r="V115" i="42"/>
  <c r="V24" i="42"/>
  <c r="V33" i="42"/>
  <c r="V67" i="42"/>
  <c r="V118" i="42"/>
  <c r="V158" i="42"/>
  <c r="V100" i="42"/>
  <c r="V79" i="42"/>
  <c r="V28" i="42"/>
  <c r="V234" i="42"/>
  <c r="V88" i="42"/>
  <c r="V65" i="42"/>
  <c r="V180" i="42"/>
  <c r="V162" i="42"/>
  <c r="V131" i="42"/>
  <c r="V133" i="42"/>
  <c r="V135" i="42"/>
  <c r="V164" i="42"/>
  <c r="V168" i="42"/>
  <c r="V147" i="42"/>
  <c r="V5" i="42"/>
  <c r="V175" i="42"/>
  <c r="V249" i="42"/>
  <c r="V239" i="42"/>
  <c r="V233" i="42"/>
  <c r="V252" i="42"/>
  <c r="V225" i="42"/>
  <c r="V220" i="42"/>
  <c r="V92" i="42"/>
  <c r="V114" i="42"/>
  <c r="V204" i="42"/>
  <c r="V141" i="42"/>
  <c r="M5" i="50"/>
  <c r="S3" i="49" l="1"/>
  <c r="AF6" i="39"/>
  <c r="G25" i="39" s="1"/>
  <c r="S9" i="49"/>
  <c r="AE56" i="49" s="1"/>
  <c r="W10" i="43"/>
  <c r="AI60" i="43" s="1"/>
  <c r="AE43" i="49"/>
  <c r="AE8" i="48"/>
  <c r="AE11" i="48"/>
  <c r="AE5" i="48"/>
  <c r="W5" i="43"/>
  <c r="W3" i="43"/>
  <c r="AE123" i="49"/>
  <c r="AI11" i="43"/>
  <c r="AI57" i="43"/>
  <c r="AI23" i="43"/>
  <c r="AI4" i="43"/>
  <c r="AE57" i="49"/>
  <c r="S5" i="48"/>
  <c r="S4" i="48"/>
  <c r="S3" i="48"/>
  <c r="AE172" i="49"/>
  <c r="AE24" i="48"/>
  <c r="W19" i="50"/>
  <c r="AE3" i="48"/>
  <c r="S5" i="49"/>
  <c r="AE19" i="50"/>
  <c r="AE15" i="48"/>
  <c r="AE16" i="48"/>
  <c r="AE14" i="48"/>
  <c r="AE23" i="48"/>
  <c r="AE4" i="48"/>
  <c r="AE9" i="48"/>
  <c r="AE13" i="48"/>
  <c r="AE25" i="48"/>
  <c r="AE26" i="48"/>
  <c r="AE18" i="48"/>
  <c r="AE19" i="48"/>
  <c r="AE21" i="48"/>
  <c r="AE7" i="48"/>
  <c r="AE6" i="48"/>
  <c r="AE20" i="48"/>
  <c r="AE22" i="48"/>
  <c r="AE10" i="48"/>
  <c r="AE12" i="48"/>
  <c r="AE17" i="48"/>
  <c r="N5" i="50"/>
  <c r="N16" i="50" s="1"/>
  <c r="M16" i="50"/>
  <c r="L5" i="50"/>
  <c r="L16" i="50" s="1"/>
  <c r="AF19" i="50"/>
  <c r="X19" i="50"/>
  <c r="V19" i="42"/>
  <c r="V16" i="42"/>
  <c r="V94" i="42"/>
  <c r="V167" i="42"/>
  <c r="V127" i="42"/>
  <c r="V8" i="42"/>
  <c r="V177" i="42"/>
  <c r="V231" i="42"/>
  <c r="O18" i="42"/>
  <c r="V219" i="42"/>
  <c r="O3" i="42"/>
  <c r="G24" i="39"/>
  <c r="AE154" i="49" l="1"/>
  <c r="AE247" i="49"/>
  <c r="AE141" i="49"/>
  <c r="AE184" i="49"/>
  <c r="AE30" i="49"/>
  <c r="AE193" i="49"/>
  <c r="AE121" i="49"/>
  <c r="AJ19" i="43"/>
  <c r="AE105" i="49"/>
  <c r="AE48" i="49"/>
  <c r="AE62" i="49"/>
  <c r="AE81" i="49"/>
  <c r="AE148" i="49"/>
  <c r="AE187" i="49"/>
  <c r="AE159" i="49"/>
  <c r="AE171" i="49"/>
  <c r="AE60" i="49"/>
  <c r="AE8" i="49"/>
  <c r="AE117" i="49"/>
  <c r="AE157" i="49"/>
  <c r="AE240" i="49"/>
  <c r="AE168" i="49"/>
  <c r="AI50" i="43"/>
  <c r="AE61" i="49"/>
  <c r="AE79" i="49"/>
  <c r="AE39" i="49"/>
  <c r="AE149" i="49"/>
  <c r="AI33" i="43"/>
  <c r="AE120" i="49"/>
  <c r="AE170" i="49"/>
  <c r="AE33" i="49"/>
  <c r="AI42" i="43"/>
  <c r="AE25" i="49"/>
  <c r="AE6" i="49"/>
  <c r="AE74" i="49"/>
  <c r="AE110" i="49"/>
  <c r="AE35" i="49"/>
  <c r="AI19" i="43"/>
  <c r="AE182" i="49"/>
  <c r="AE21" i="49"/>
  <c r="AE12" i="49"/>
  <c r="AE128" i="49"/>
  <c r="AE16" i="49"/>
  <c r="AE233" i="49"/>
  <c r="AE243" i="49"/>
  <c r="AE150" i="49"/>
  <c r="AE38" i="49"/>
  <c r="AE175" i="49"/>
  <c r="AE236" i="49"/>
  <c r="AE241" i="49"/>
  <c r="AE238" i="49"/>
  <c r="AE20" i="49"/>
  <c r="AE93" i="49"/>
  <c r="AE169" i="49"/>
  <c r="AE158" i="49"/>
  <c r="AE72" i="49"/>
  <c r="AI43" i="43"/>
  <c r="AE125" i="49"/>
  <c r="AE196" i="49"/>
  <c r="AE11" i="49"/>
  <c r="AE220" i="49"/>
  <c r="AE144" i="49"/>
  <c r="AE47" i="49"/>
  <c r="AE24" i="49"/>
  <c r="AE192" i="49"/>
  <c r="AI55" i="43"/>
  <c r="AE183" i="49"/>
  <c r="AE209" i="49"/>
  <c r="AE130" i="49"/>
  <c r="AE145" i="49"/>
  <c r="AE129" i="49"/>
  <c r="AE132" i="49"/>
  <c r="AE201" i="49"/>
  <c r="AE71" i="49"/>
  <c r="AE58" i="49"/>
  <c r="AE113" i="49"/>
  <c r="AI47" i="43"/>
  <c r="AI30" i="43"/>
  <c r="AE248" i="49"/>
  <c r="AE162" i="49"/>
  <c r="AE140" i="49"/>
  <c r="AE147" i="49"/>
  <c r="AE90" i="49"/>
  <c r="AE245" i="49"/>
  <c r="AE17" i="49"/>
  <c r="AE34" i="49"/>
  <c r="AE188" i="49"/>
  <c r="AE215" i="49"/>
  <c r="AE199" i="49"/>
  <c r="AE103" i="49"/>
  <c r="AI64" i="43"/>
  <c r="AE28" i="49"/>
  <c r="AE230" i="49"/>
  <c r="AE124" i="49"/>
  <c r="AE227" i="49"/>
  <c r="K19" i="49"/>
  <c r="C38" i="49" s="1"/>
  <c r="AE229" i="49"/>
  <c r="AE200" i="49"/>
  <c r="AE257" i="49"/>
  <c r="AE27" i="49"/>
  <c r="AE106" i="49"/>
  <c r="AI39" i="43"/>
  <c r="AI29" i="43"/>
  <c r="AE32" i="49"/>
  <c r="AE135" i="49"/>
  <c r="AE239" i="49"/>
  <c r="AE68" i="49"/>
  <c r="AE133" i="49"/>
  <c r="AE3" i="49"/>
  <c r="AE83" i="49"/>
  <c r="AE37" i="49"/>
  <c r="AE122" i="49"/>
  <c r="AE22" i="49"/>
  <c r="AE118" i="49"/>
  <c r="AE108" i="49"/>
  <c r="AE53" i="49"/>
  <c r="AE127" i="49"/>
  <c r="AI22" i="43"/>
  <c r="AI27" i="43"/>
  <c r="AI26" i="43"/>
  <c r="AE143" i="49"/>
  <c r="AE232" i="49"/>
  <c r="AE179" i="49"/>
  <c r="AE134" i="49"/>
  <c r="AE85" i="49"/>
  <c r="AE153" i="49"/>
  <c r="AE10" i="49"/>
  <c r="AE75" i="49"/>
  <c r="AE44" i="49"/>
  <c r="AE178" i="49"/>
  <c r="AE73" i="49"/>
  <c r="AE185" i="49"/>
  <c r="AE156" i="49"/>
  <c r="AE204" i="49"/>
  <c r="AE181" i="49"/>
  <c r="AI32" i="43"/>
  <c r="AI41" i="43"/>
  <c r="AI9" i="43"/>
  <c r="AI62" i="43"/>
  <c r="AI52" i="43"/>
  <c r="AI25" i="43"/>
  <c r="AI48" i="43"/>
  <c r="AE66" i="49"/>
  <c r="AE96" i="49"/>
  <c r="AE112" i="49"/>
  <c r="AE91" i="49"/>
  <c r="AE212" i="49"/>
  <c r="AE194" i="49"/>
  <c r="AE213" i="49"/>
  <c r="AE163" i="49"/>
  <c r="AE46" i="49"/>
  <c r="AE177" i="49"/>
  <c r="AE191" i="49"/>
  <c r="AE86" i="49"/>
  <c r="AE94" i="49"/>
  <c r="AE137" i="49"/>
  <c r="AE218" i="49"/>
  <c r="AE107" i="49"/>
  <c r="AJ8" i="43"/>
  <c r="G32" i="39"/>
  <c r="BG3" i="39" s="1"/>
  <c r="AI37" i="43"/>
  <c r="AI20" i="43"/>
  <c r="AI45" i="43"/>
  <c r="O19" i="43"/>
  <c r="AI49" i="43"/>
  <c r="AI35" i="43"/>
  <c r="AI31" i="43"/>
  <c r="AI15" i="43"/>
  <c r="AI14" i="43"/>
  <c r="AI63" i="43"/>
  <c r="AI16" i="43"/>
  <c r="AI46" i="43"/>
  <c r="AI44" i="43"/>
  <c r="AI12" i="43"/>
  <c r="AI34" i="43"/>
  <c r="AI59" i="43"/>
  <c r="AI28" i="43"/>
  <c r="AI40" i="43"/>
  <c r="AI18" i="43"/>
  <c r="AI24" i="43"/>
  <c r="AI61" i="43"/>
  <c r="AE95" i="49"/>
  <c r="AE217" i="49"/>
  <c r="AI54" i="43"/>
  <c r="AI7" i="43"/>
  <c r="AI17" i="43"/>
  <c r="AE45" i="49"/>
  <c r="AE252" i="49"/>
  <c r="AE41" i="49"/>
  <c r="AE88" i="49"/>
  <c r="AE80" i="49"/>
  <c r="AE226" i="49"/>
  <c r="AE253" i="49"/>
  <c r="AE59" i="49"/>
  <c r="AE211" i="49"/>
  <c r="AE13" i="49"/>
  <c r="AE166" i="49"/>
  <c r="AE234" i="49"/>
  <c r="AE246" i="49"/>
  <c r="AE214" i="49"/>
  <c r="AE64" i="49"/>
  <c r="AE235" i="49"/>
  <c r="AE76" i="49"/>
  <c r="AE7" i="49"/>
  <c r="AE180" i="49"/>
  <c r="AE256" i="49"/>
  <c r="AE26" i="49"/>
  <c r="AE151" i="49"/>
  <c r="AE42" i="49"/>
  <c r="AE186" i="49"/>
  <c r="AE18" i="49"/>
  <c r="AE237" i="49"/>
  <c r="AE195" i="49"/>
  <c r="AE155" i="49"/>
  <c r="AE173" i="49"/>
  <c r="AE208" i="49"/>
  <c r="AE231" i="49"/>
  <c r="AE116" i="49"/>
  <c r="AE78" i="49"/>
  <c r="AE164" i="49"/>
  <c r="AE244" i="49"/>
  <c r="AE146" i="49"/>
  <c r="AE29" i="49"/>
  <c r="AE4" i="49"/>
  <c r="AE109" i="49"/>
  <c r="AE111" i="49"/>
  <c r="AE126" i="49"/>
  <c r="AE23" i="49"/>
  <c r="AE98" i="49"/>
  <c r="AE104" i="49"/>
  <c r="AE136" i="49"/>
  <c r="AE138" i="49"/>
  <c r="AE165" i="49"/>
  <c r="AE254" i="49"/>
  <c r="AE5" i="49"/>
  <c r="AE14" i="49"/>
  <c r="AE102" i="49"/>
  <c r="AE202" i="49"/>
  <c r="AE65" i="49"/>
  <c r="AE219" i="49"/>
  <c r="AE176" i="49"/>
  <c r="AE69" i="49"/>
  <c r="AE9" i="49"/>
  <c r="AE31" i="49"/>
  <c r="AE15" i="49"/>
  <c r="AE119" i="49"/>
  <c r="AE101" i="49"/>
  <c r="AE52" i="49"/>
  <c r="AE224" i="49"/>
  <c r="AE99" i="49"/>
  <c r="AE216" i="49"/>
  <c r="AE87" i="49"/>
  <c r="AE84" i="49"/>
  <c r="AE250" i="49"/>
  <c r="AI21" i="43"/>
  <c r="AI38" i="43"/>
  <c r="AI5" i="43"/>
  <c r="AI8" i="43"/>
  <c r="AE249" i="49"/>
  <c r="AI51" i="43"/>
  <c r="AE51" i="49"/>
  <c r="AE114" i="49"/>
  <c r="AE19" i="49"/>
  <c r="AE152" i="49"/>
  <c r="AE210" i="49"/>
  <c r="AE205" i="49"/>
  <c r="AE89" i="49"/>
  <c r="AE242" i="49"/>
  <c r="AE40" i="49"/>
  <c r="AE82" i="49"/>
  <c r="AE174" i="49"/>
  <c r="AE55" i="49"/>
  <c r="AE203" i="49"/>
  <c r="AE228" i="49"/>
  <c r="AE167" i="49"/>
  <c r="AE225" i="49"/>
  <c r="AE36" i="49"/>
  <c r="AE189" i="49"/>
  <c r="AE63" i="49"/>
  <c r="AE115" i="49"/>
  <c r="AI53" i="43"/>
  <c r="AI6" i="43"/>
  <c r="AI58" i="43"/>
  <c r="AI10" i="43"/>
  <c r="AI56" i="43"/>
  <c r="AE100" i="49"/>
  <c r="AE160" i="49"/>
  <c r="AI65" i="43"/>
  <c r="AE92" i="49"/>
  <c r="AE207" i="49"/>
  <c r="AE221" i="49"/>
  <c r="AI13" i="43"/>
  <c r="AE54" i="49"/>
  <c r="AE77" i="49"/>
  <c r="AE50" i="49"/>
  <c r="AE255" i="49"/>
  <c r="AE49" i="49"/>
  <c r="AE206" i="49"/>
  <c r="AE190" i="49"/>
  <c r="AE67" i="49"/>
  <c r="AE139" i="49"/>
  <c r="AE223" i="49"/>
  <c r="AE97" i="49"/>
  <c r="AE161" i="49"/>
  <c r="AE70" i="49"/>
  <c r="AE251" i="49"/>
  <c r="AE222" i="49"/>
  <c r="AE197" i="49"/>
  <c r="AE142" i="49"/>
  <c r="AE131" i="49"/>
  <c r="AJ26" i="43"/>
  <c r="AE198" i="49"/>
  <c r="AI36" i="43"/>
  <c r="AI3" i="43"/>
  <c r="AJ16" i="43"/>
  <c r="AJ50" i="43"/>
  <c r="AJ47" i="43"/>
  <c r="AJ41" i="43"/>
  <c r="AJ37" i="43"/>
  <c r="AJ10" i="43"/>
  <c r="AJ27" i="43"/>
  <c r="AJ46" i="43"/>
  <c r="AJ3" i="43"/>
  <c r="AJ25" i="43"/>
  <c r="AJ13" i="43"/>
  <c r="AJ64" i="43"/>
  <c r="AJ23" i="43"/>
  <c r="AJ20" i="43"/>
  <c r="AJ59" i="43"/>
  <c r="AJ34" i="43"/>
  <c r="AJ57" i="43"/>
  <c r="AJ7" i="43"/>
  <c r="AJ39" i="43"/>
  <c r="AJ56" i="43"/>
  <c r="AJ53" i="43"/>
  <c r="AJ21" i="43"/>
  <c r="AJ38" i="43"/>
  <c r="AJ29" i="43"/>
  <c r="AJ45" i="43"/>
  <c r="AJ32" i="43"/>
  <c r="AJ36" i="43"/>
  <c r="AJ5" i="43"/>
  <c r="AJ58" i="43"/>
  <c r="AJ55" i="43"/>
  <c r="AJ44" i="43"/>
  <c r="AJ18" i="43"/>
  <c r="AJ30" i="43"/>
  <c r="AJ35" i="43"/>
  <c r="AJ61" i="43"/>
  <c r="AJ15" i="43"/>
  <c r="AJ12" i="43"/>
  <c r="AJ24" i="43"/>
  <c r="AJ42" i="43"/>
  <c r="AJ48" i="43"/>
  <c r="AJ22" i="43"/>
  <c r="AJ9" i="43"/>
  <c r="AJ52" i="43"/>
  <c r="AJ43" i="43"/>
  <c r="AJ17" i="43"/>
  <c r="AJ54" i="43"/>
  <c r="AJ62" i="43"/>
  <c r="AJ63" i="43"/>
  <c r="AJ14" i="43"/>
  <c r="AJ4" i="43"/>
  <c r="AJ28" i="43"/>
  <c r="AJ65" i="43"/>
  <c r="AJ51" i="43"/>
  <c r="AJ6" i="43"/>
  <c r="AJ40" i="43"/>
  <c r="AJ31" i="43"/>
  <c r="AJ33" i="43"/>
  <c r="AJ49" i="43"/>
  <c r="AJ60" i="43"/>
  <c r="AJ11" i="43"/>
  <c r="W16" i="50"/>
  <c r="S16" i="50"/>
  <c r="AA16" i="50"/>
  <c r="AE16" i="50"/>
  <c r="AF26" i="48"/>
  <c r="AF7" i="48"/>
  <c r="AF14" i="48"/>
  <c r="AF19" i="48"/>
  <c r="AF17" i="48"/>
  <c r="AF18" i="48"/>
  <c r="AF11" i="48"/>
  <c r="AF5" i="48"/>
  <c r="AF23" i="48"/>
  <c r="AF9" i="48"/>
  <c r="AF6" i="48"/>
  <c r="AF24" i="48"/>
  <c r="AF8" i="48"/>
  <c r="AF20" i="48"/>
  <c r="AF25" i="48"/>
  <c r="AF3" i="48"/>
  <c r="AF12" i="48"/>
  <c r="AF16" i="48"/>
  <c r="AF10" i="48"/>
  <c r="AF4" i="48"/>
  <c r="AF21" i="48"/>
  <c r="AF15" i="48"/>
  <c r="AF13" i="48"/>
  <c r="AF22" i="48"/>
  <c r="AF237" i="49"/>
  <c r="AF122" i="49"/>
  <c r="AF17" i="49"/>
  <c r="AF145" i="49"/>
  <c r="AF236" i="49"/>
  <c r="AF66" i="49"/>
  <c r="AF229" i="49"/>
  <c r="AF86" i="49"/>
  <c r="AF222" i="49"/>
  <c r="AF204" i="49"/>
  <c r="AF235" i="49"/>
  <c r="AF176" i="49"/>
  <c r="AF79" i="49"/>
  <c r="AF136" i="49"/>
  <c r="AF182" i="49"/>
  <c r="AF207" i="49"/>
  <c r="AF83" i="49"/>
  <c r="AF12" i="49"/>
  <c r="AF20" i="49"/>
  <c r="AF208" i="49"/>
  <c r="AF100" i="49"/>
  <c r="AF238" i="49"/>
  <c r="AF226" i="49"/>
  <c r="AF138" i="49"/>
  <c r="AF78" i="49"/>
  <c r="AF232" i="49"/>
  <c r="AF42" i="49"/>
  <c r="AF143" i="49"/>
  <c r="AF108" i="49"/>
  <c r="AF173" i="49"/>
  <c r="AF225" i="49"/>
  <c r="AF116" i="49"/>
  <c r="AF127" i="49"/>
  <c r="AF49" i="49"/>
  <c r="AF13" i="49"/>
  <c r="AF133" i="49"/>
  <c r="AF217" i="49"/>
  <c r="AF62" i="49"/>
  <c r="AF255" i="49"/>
  <c r="AF219" i="49"/>
  <c r="AF33" i="49"/>
  <c r="AF144" i="49"/>
  <c r="AF178" i="49"/>
  <c r="AF234" i="49"/>
  <c r="AF151" i="49"/>
  <c r="AF24" i="49"/>
  <c r="AF9" i="49"/>
  <c r="AF172" i="49"/>
  <c r="AF202" i="49"/>
  <c r="AF121" i="49"/>
  <c r="AF25" i="49"/>
  <c r="AF185" i="49"/>
  <c r="AF22" i="49"/>
  <c r="AF4" i="49"/>
  <c r="AF18" i="49"/>
  <c r="AF61" i="49"/>
  <c r="AF72" i="49"/>
  <c r="AF11" i="49"/>
  <c r="AF93" i="49"/>
  <c r="AF16" i="49"/>
  <c r="AF131" i="49"/>
  <c r="AF21" i="49"/>
  <c r="AF94" i="49"/>
  <c r="AF117" i="49"/>
  <c r="AF257" i="49"/>
  <c r="AF41" i="49"/>
  <c r="AF240" i="49"/>
  <c r="AF169" i="49"/>
  <c r="AF190" i="49"/>
  <c r="AF97" i="49"/>
  <c r="AF82" i="49"/>
  <c r="AF135" i="49"/>
  <c r="AF171" i="49"/>
  <c r="AF195" i="49"/>
  <c r="AF43" i="49"/>
  <c r="AF85" i="49"/>
  <c r="AF187" i="49"/>
  <c r="AF243" i="49"/>
  <c r="AF115" i="49"/>
  <c r="AF76" i="49"/>
  <c r="AF104" i="49"/>
  <c r="AF194" i="49"/>
  <c r="AF8" i="49"/>
  <c r="AF77" i="49"/>
  <c r="AF209" i="49"/>
  <c r="AF165" i="49"/>
  <c r="AF184" i="49"/>
  <c r="AF140" i="49"/>
  <c r="AF199" i="49"/>
  <c r="AF73" i="49"/>
  <c r="AF109" i="49"/>
  <c r="AF59" i="49"/>
  <c r="AF48" i="49"/>
  <c r="AF123" i="49"/>
  <c r="AF137" i="49"/>
  <c r="AF253" i="49"/>
  <c r="AF50" i="49"/>
  <c r="AF241" i="49"/>
  <c r="AF191" i="49"/>
  <c r="AF249" i="49"/>
  <c r="AF52" i="49"/>
  <c r="AF124" i="49"/>
  <c r="AF14" i="49"/>
  <c r="AF158" i="49"/>
  <c r="AF30" i="49"/>
  <c r="AF132" i="49"/>
  <c r="AF231" i="49"/>
  <c r="AF68" i="49"/>
  <c r="AF88" i="49"/>
  <c r="AF75" i="49"/>
  <c r="AF168" i="49"/>
  <c r="AF252" i="49"/>
  <c r="AF211" i="49"/>
  <c r="AF119" i="49"/>
  <c r="AF112" i="49"/>
  <c r="AF167" i="49"/>
  <c r="AF39" i="49"/>
  <c r="AF196" i="49"/>
  <c r="AF63" i="49"/>
  <c r="AF223" i="49"/>
  <c r="AF155" i="49"/>
  <c r="AF99" i="49"/>
  <c r="AF157" i="49"/>
  <c r="AF201" i="49"/>
  <c r="AF254" i="49"/>
  <c r="AF227" i="49"/>
  <c r="AF84" i="49"/>
  <c r="AF69" i="49"/>
  <c r="AF36" i="49"/>
  <c r="AF51" i="49"/>
  <c r="AF197" i="49"/>
  <c r="AF71" i="49"/>
  <c r="AF247" i="49"/>
  <c r="AF212" i="49"/>
  <c r="AF215" i="49"/>
  <c r="AF57" i="49"/>
  <c r="AF189" i="49"/>
  <c r="AF32" i="49"/>
  <c r="AF118" i="49"/>
  <c r="AF56" i="49"/>
  <c r="AF141" i="49"/>
  <c r="AF87" i="49"/>
  <c r="AF29" i="49"/>
  <c r="AF177" i="49"/>
  <c r="AF45" i="49"/>
  <c r="AF147" i="49"/>
  <c r="AF242" i="49"/>
  <c r="AF192" i="49"/>
  <c r="AF31" i="49"/>
  <c r="AF250" i="49"/>
  <c r="AF244" i="49"/>
  <c r="AF125" i="49"/>
  <c r="AF205" i="49"/>
  <c r="AF146" i="49"/>
  <c r="AF91" i="49"/>
  <c r="AF139" i="49"/>
  <c r="AF120" i="49"/>
  <c r="AF248" i="49"/>
  <c r="AF152" i="49"/>
  <c r="AF224" i="49"/>
  <c r="AF40" i="49"/>
  <c r="AF163" i="49"/>
  <c r="AF156" i="49"/>
  <c r="AF228" i="49"/>
  <c r="AF3" i="49"/>
  <c r="AF159" i="49"/>
  <c r="AF233" i="49"/>
  <c r="AF174" i="49"/>
  <c r="AF221" i="49"/>
  <c r="AF89" i="49"/>
  <c r="AF180" i="49"/>
  <c r="AF134" i="49"/>
  <c r="AF46" i="49"/>
  <c r="AF170" i="49"/>
  <c r="AF55" i="49"/>
  <c r="AF161" i="49"/>
  <c r="AF58" i="49"/>
  <c r="AF203" i="49"/>
  <c r="AF96" i="49"/>
  <c r="AF148" i="49"/>
  <c r="AF126" i="49"/>
  <c r="AF6" i="49"/>
  <c r="AF5" i="49"/>
  <c r="AF95" i="49"/>
  <c r="AF60" i="49"/>
  <c r="AF150" i="49"/>
  <c r="AF34" i="49"/>
  <c r="AF164" i="49"/>
  <c r="AF81" i="49"/>
  <c r="AF179" i="49"/>
  <c r="AF10" i="49"/>
  <c r="AF27" i="49"/>
  <c r="AF206" i="49"/>
  <c r="AF188" i="49"/>
  <c r="AF35" i="49"/>
  <c r="AF110" i="49"/>
  <c r="AF251" i="49"/>
  <c r="AF54" i="49"/>
  <c r="AF92" i="49"/>
  <c r="AF246" i="49"/>
  <c r="AF53" i="49"/>
  <c r="AF129" i="49"/>
  <c r="AF23" i="49"/>
  <c r="AF142" i="49"/>
  <c r="AF113" i="49"/>
  <c r="AF65" i="49"/>
  <c r="AF181" i="49"/>
  <c r="AF200" i="49"/>
  <c r="AF160" i="49"/>
  <c r="AF220" i="49"/>
  <c r="AF26" i="49"/>
  <c r="AF149" i="49"/>
  <c r="AF106" i="49"/>
  <c r="AF230" i="49"/>
  <c r="AF80" i="49"/>
  <c r="AF90" i="49"/>
  <c r="AF193" i="49"/>
  <c r="AF19" i="49"/>
  <c r="AF44" i="49"/>
  <c r="AF15" i="49"/>
  <c r="AF38" i="49"/>
  <c r="AF114" i="49"/>
  <c r="AF74" i="49"/>
  <c r="AF70" i="49"/>
  <c r="AF183" i="49"/>
  <c r="AF101" i="49"/>
  <c r="AF111" i="49"/>
  <c r="AF67" i="49"/>
  <c r="AF162" i="49"/>
  <c r="AF130" i="49"/>
  <c r="AF175" i="49"/>
  <c r="AF105" i="49"/>
  <c r="AF37" i="49"/>
  <c r="AF256" i="49"/>
  <c r="AF7" i="49"/>
  <c r="AF28" i="49"/>
  <c r="AF239" i="49"/>
  <c r="AF166" i="49"/>
  <c r="AF64" i="49"/>
  <c r="AF198" i="49"/>
  <c r="AF210" i="49"/>
  <c r="AF47" i="49"/>
  <c r="AF218" i="49"/>
  <c r="AF214" i="49"/>
  <c r="AF154" i="49"/>
  <c r="AF186" i="49"/>
  <c r="AF216" i="49"/>
  <c r="AF213" i="49"/>
  <c r="AF153" i="49"/>
  <c r="AF102" i="49"/>
  <c r="AF245" i="49"/>
  <c r="AF103" i="49"/>
  <c r="AF128" i="49"/>
  <c r="AF98" i="49"/>
  <c r="AF107" i="49"/>
  <c r="I3" i="42"/>
  <c r="Q3" i="42" s="1"/>
  <c r="X16" i="50"/>
  <c r="T16" i="50"/>
  <c r="AB16" i="50"/>
  <c r="AF16" i="50"/>
  <c r="V15" i="42"/>
  <c r="V27" i="42"/>
  <c r="V163" i="42"/>
  <c r="M7" i="50"/>
  <c r="M18" i="50"/>
  <c r="N7" i="50"/>
  <c r="N18" i="50" s="1"/>
  <c r="L7" i="50"/>
  <c r="L18" i="50" s="1"/>
  <c r="V254" i="42"/>
  <c r="V117" i="42"/>
  <c r="V13" i="42"/>
  <c r="V184" i="42"/>
  <c r="V129" i="42"/>
  <c r="O7" i="42"/>
  <c r="V64" i="42"/>
  <c r="V50" i="42"/>
  <c r="V63" i="42"/>
  <c r="V261" i="42"/>
  <c r="V123" i="42"/>
  <c r="V41" i="42"/>
  <c r="V150" i="42"/>
  <c r="V91" i="42"/>
  <c r="V78" i="42"/>
  <c r="M3" i="50"/>
  <c r="AE18" i="50" l="1"/>
  <c r="AA18" i="50"/>
  <c r="W18" i="50"/>
  <c r="S18" i="50"/>
  <c r="N3" i="50"/>
  <c r="N14" i="50" s="1"/>
  <c r="M14" i="50"/>
  <c r="L3" i="50"/>
  <c r="L14" i="50"/>
  <c r="AF18" i="50"/>
  <c r="AB18" i="50"/>
  <c r="X18" i="50"/>
  <c r="T18" i="50"/>
  <c r="V186" i="42"/>
  <c r="V216" i="42"/>
  <c r="V26" i="42"/>
  <c r="V32" i="42"/>
  <c r="V260" i="42"/>
  <c r="V196" i="42"/>
  <c r="V14" i="42"/>
  <c r="O4" i="42"/>
  <c r="V187" i="42"/>
  <c r="V59" i="42"/>
  <c r="V20" i="42"/>
  <c r="M6" i="50"/>
  <c r="S14" i="50" l="1"/>
  <c r="AA14" i="50"/>
  <c r="AE14" i="50"/>
  <c r="W14" i="50"/>
  <c r="M17" i="50"/>
  <c r="L6" i="50"/>
  <c r="L17" i="50" s="1"/>
  <c r="N6" i="50"/>
  <c r="N17" i="50" s="1"/>
  <c r="T14" i="50"/>
  <c r="AB14" i="50"/>
  <c r="AF14" i="50"/>
  <c r="X14" i="50"/>
  <c r="V4" i="42"/>
  <c r="V200" i="42"/>
  <c r="V108" i="42"/>
  <c r="O17" i="42"/>
  <c r="V217" i="42"/>
  <c r="V116" i="42"/>
  <c r="V215" i="42"/>
  <c r="V193" i="42"/>
  <c r="V37" i="42"/>
  <c r="V255" i="42"/>
  <c r="V53" i="42"/>
  <c r="V251" i="42"/>
  <c r="V52" i="42"/>
  <c r="V103" i="42"/>
  <c r="V120" i="42"/>
  <c r="V149" i="42"/>
  <c r="V242" i="42"/>
  <c r="V198" i="42"/>
  <c r="O15" i="42"/>
  <c r="O16" i="42"/>
  <c r="V237" i="42"/>
  <c r="V258" i="42"/>
  <c r="V172" i="42"/>
  <c r="V257" i="42"/>
  <c r="V222" i="42"/>
  <c r="V60" i="42"/>
  <c r="V38" i="42"/>
  <c r="O9" i="42"/>
  <c r="M4" i="50"/>
  <c r="AE17" i="50" l="1"/>
  <c r="AA17" i="50"/>
  <c r="W17" i="50"/>
  <c r="S17" i="50"/>
  <c r="N4" i="50"/>
  <c r="N15" i="50" s="1"/>
  <c r="AA15" i="50" s="1"/>
  <c r="AF17" i="50"/>
  <c r="AB17" i="50"/>
  <c r="X17" i="50"/>
  <c r="AB15" i="50"/>
  <c r="T17" i="50"/>
  <c r="M9" i="50"/>
  <c r="N9" i="50"/>
  <c r="N20" i="50" s="1"/>
  <c r="AA20" i="50" s="1"/>
  <c r="AB20" i="50"/>
  <c r="AP29" i="50"/>
  <c r="V230" i="42"/>
  <c r="V227" i="42"/>
  <c r="V73" i="42"/>
  <c r="V9" i="42"/>
  <c r="V45" i="42"/>
  <c r="V51" i="42"/>
  <c r="V244" i="42"/>
  <c r="V68" i="42"/>
  <c r="V98" i="42"/>
  <c r="V250" i="42"/>
  <c r="O19" i="42"/>
  <c r="M15" i="50"/>
  <c r="L4" i="50"/>
  <c r="L15" i="50" s="1"/>
  <c r="W15" i="50"/>
  <c r="S15" i="50"/>
  <c r="AE15" i="50"/>
  <c r="T15" i="50"/>
  <c r="X15" i="50"/>
  <c r="AF15" i="50"/>
  <c r="V146" i="42"/>
  <c r="V54" i="42"/>
  <c r="V201" i="42"/>
  <c r="V208" i="42"/>
  <c r="V31" i="42"/>
  <c r="M20" i="50"/>
  <c r="L9" i="50"/>
  <c r="L20" i="50" s="1"/>
  <c r="S20" i="50"/>
  <c r="W20" i="50"/>
  <c r="AE20" i="50"/>
  <c r="T20" i="50"/>
  <c r="X20" i="50"/>
  <c r="AF20" i="50"/>
  <c r="V112" i="42"/>
  <c r="V228" i="42"/>
  <c r="V182" i="42"/>
  <c r="V97" i="42"/>
  <c r="V205" i="42"/>
  <c r="V236" i="42"/>
  <c r="V246" i="42"/>
  <c r="V148" i="42"/>
  <c r="V119" i="42"/>
  <c r="V18" i="42"/>
  <c r="O5" i="42"/>
  <c r="V156" i="42"/>
  <c r="V77" i="42"/>
  <c r="V72" i="42"/>
  <c r="V247" i="42"/>
  <c r="V82" i="42"/>
  <c r="V159" i="42"/>
  <c r="AP37" i="50"/>
  <c r="V190" i="42"/>
  <c r="V126" i="42"/>
  <c r="V125" i="42"/>
  <c r="V214" i="42"/>
  <c r="V195" i="42"/>
  <c r="T17" i="51"/>
  <c r="U28" i="51"/>
  <c r="U26" i="51"/>
  <c r="X200" i="51"/>
  <c r="X217" i="51"/>
  <c r="X91" i="51"/>
  <c r="X85" i="51"/>
  <c r="X13" i="51"/>
  <c r="X226" i="51"/>
  <c r="X73" i="51"/>
  <c r="X8" i="51"/>
  <c r="X76" i="51"/>
  <c r="X97" i="51"/>
  <c r="X80" i="51"/>
  <c r="X238" i="51"/>
  <c r="X260" i="51"/>
  <c r="X194" i="51"/>
  <c r="X33" i="51"/>
  <c r="X222" i="51"/>
  <c r="X60" i="51"/>
  <c r="X65" i="51"/>
  <c r="X39" i="51"/>
  <c r="X192" i="51"/>
  <c r="X180" i="51"/>
  <c r="X42" i="51"/>
  <c r="X190" i="51"/>
  <c r="M19" i="51"/>
  <c r="X243" i="51"/>
  <c r="X79" i="51"/>
  <c r="M2" i="51"/>
  <c r="J2" i="51"/>
  <c r="X172" i="51"/>
  <c r="X86" i="51"/>
  <c r="X63" i="51"/>
  <c r="X230" i="51"/>
  <c r="X163" i="51"/>
  <c r="X223" i="51"/>
  <c r="X232" i="51"/>
  <c r="X234" i="51"/>
  <c r="X148" i="51"/>
  <c r="X22" i="51"/>
  <c r="X197" i="51"/>
  <c r="X202" i="51"/>
  <c r="U35" i="51"/>
  <c r="X209" i="51"/>
  <c r="X134" i="51"/>
  <c r="X195" i="51"/>
  <c r="X206" i="51"/>
  <c r="X57" i="51"/>
  <c r="M15" i="51"/>
  <c r="X239" i="51"/>
  <c r="X171" i="51"/>
  <c r="X100" i="51"/>
  <c r="X142" i="51"/>
  <c r="X207" i="51"/>
  <c r="X9" i="51"/>
  <c r="M18" i="51"/>
  <c r="X84" i="51"/>
  <c r="X103" i="51"/>
  <c r="X6" i="51"/>
  <c r="X139" i="51"/>
  <c r="X78" i="51"/>
  <c r="X68" i="51"/>
  <c r="X62" i="51"/>
  <c r="M11" i="51"/>
  <c r="X123" i="51"/>
  <c r="X32" i="51"/>
  <c r="X251" i="51"/>
  <c r="X161" i="51"/>
  <c r="X19" i="51"/>
  <c r="X235" i="51"/>
  <c r="F2" i="51"/>
  <c r="X185" i="51"/>
  <c r="X159" i="51"/>
  <c r="X51" i="51"/>
  <c r="X43" i="51"/>
  <c r="X173" i="51"/>
  <c r="X95" i="51"/>
  <c r="X14" i="51"/>
  <c r="X70" i="51"/>
  <c r="X105" i="51"/>
  <c r="X40" i="51"/>
  <c r="M13" i="51"/>
  <c r="X219" i="51"/>
  <c r="U29" i="51"/>
  <c r="X210" i="51"/>
  <c r="X189" i="51"/>
  <c r="X224" i="51"/>
  <c r="M10" i="51"/>
  <c r="X17" i="51"/>
  <c r="X115" i="51"/>
  <c r="X101" i="51"/>
  <c r="X160" i="51"/>
  <c r="X56" i="51"/>
  <c r="X214" i="51"/>
  <c r="X141" i="51"/>
  <c r="X96" i="51"/>
  <c r="X82" i="51"/>
  <c r="X125" i="51"/>
  <c r="U30" i="51"/>
  <c r="X127" i="51"/>
  <c r="X27" i="51"/>
  <c r="X88" i="51"/>
  <c r="X165" i="51"/>
  <c r="X36" i="51"/>
  <c r="X228" i="51"/>
  <c r="X89" i="51"/>
  <c r="M6" i="51"/>
  <c r="M8" i="51"/>
  <c r="X225" i="51"/>
  <c r="X61" i="51"/>
  <c r="X169" i="51"/>
  <c r="M3" i="51"/>
  <c r="X111" i="51"/>
  <c r="X104" i="51"/>
  <c r="X167" i="51"/>
  <c r="X121" i="51"/>
  <c r="X241" i="51"/>
  <c r="X119" i="51"/>
  <c r="X106" i="51"/>
  <c r="X155" i="51"/>
  <c r="X149" i="51"/>
  <c r="M5" i="51"/>
  <c r="X212" i="51"/>
  <c r="X98" i="51"/>
  <c r="X191" i="51"/>
  <c r="X94" i="51"/>
  <c r="M9" i="51"/>
  <c r="X261" i="51"/>
  <c r="X12" i="51"/>
  <c r="X83" i="51"/>
  <c r="X166" i="51"/>
  <c r="X46" i="51"/>
  <c r="X196" i="51"/>
  <c r="X74" i="51"/>
  <c r="X150" i="51"/>
  <c r="X48" i="51"/>
  <c r="M17" i="51"/>
  <c r="X245" i="51"/>
  <c r="X259" i="51"/>
  <c r="X35" i="51"/>
  <c r="X120" i="51"/>
  <c r="X87" i="51"/>
  <c r="X116" i="51"/>
  <c r="X177" i="51"/>
  <c r="X16" i="51"/>
  <c r="X107" i="51"/>
  <c r="X72" i="51"/>
  <c r="X44" i="51"/>
  <c r="X248" i="51"/>
  <c r="X216" i="51"/>
  <c r="X151" i="51"/>
  <c r="X122" i="51"/>
  <c r="U34" i="51"/>
  <c r="X135" i="51"/>
  <c r="X227" i="51"/>
  <c r="X213" i="51"/>
  <c r="X233" i="51"/>
  <c r="X175" i="51"/>
  <c r="X211" i="51"/>
  <c r="X247" i="51"/>
  <c r="X132" i="51"/>
  <c r="X231" i="51"/>
  <c r="X181" i="51"/>
  <c r="X170" i="51"/>
  <c r="X52" i="51"/>
  <c r="X102" i="51"/>
  <c r="X146" i="51"/>
  <c r="M16" i="51"/>
  <c r="X246" i="51"/>
  <c r="X221" i="51"/>
  <c r="X29" i="51"/>
  <c r="U36" i="51"/>
  <c r="X110" i="51"/>
  <c r="X28" i="51"/>
  <c r="M4" i="51"/>
  <c r="X113" i="51"/>
  <c r="M20" i="51"/>
  <c r="X66" i="51"/>
  <c r="U25" i="51"/>
  <c r="X81" i="51"/>
  <c r="X215" i="51"/>
  <c r="X117" i="51"/>
  <c r="X34" i="51"/>
  <c r="X237" i="51"/>
  <c r="X183" i="51"/>
  <c r="X137" i="51"/>
  <c r="X145" i="51"/>
  <c r="X3" i="51"/>
  <c r="X179" i="51"/>
  <c r="X69" i="51"/>
  <c r="X253" i="51"/>
  <c r="X23" i="51"/>
  <c r="X153" i="51"/>
  <c r="X187" i="51"/>
  <c r="X229" i="51"/>
  <c r="X26" i="51"/>
  <c r="X242" i="51"/>
  <c r="X249" i="51"/>
  <c r="X218" i="51"/>
  <c r="M14" i="51"/>
  <c r="X49" i="51"/>
  <c r="X186" i="51"/>
  <c r="X178" i="51"/>
  <c r="X109" i="51"/>
  <c r="X176" i="51"/>
  <c r="X41" i="51"/>
  <c r="X93" i="51"/>
  <c r="X114" i="51"/>
  <c r="X147" i="51"/>
  <c r="U37" i="51"/>
  <c r="X168" i="51"/>
  <c r="X131" i="51"/>
  <c r="X55" i="51"/>
  <c r="X188" i="51"/>
  <c r="X30" i="51"/>
  <c r="X256" i="51"/>
  <c r="X174" i="51"/>
  <c r="X128" i="51"/>
  <c r="X250" i="51"/>
  <c r="X201" i="51"/>
  <c r="M12" i="51"/>
  <c r="X152" i="51"/>
  <c r="X136" i="51"/>
  <c r="X124" i="51"/>
  <c r="X244" i="51"/>
  <c r="X108" i="51"/>
  <c r="U33" i="51"/>
  <c r="X157" i="51"/>
  <c r="X38" i="51"/>
  <c r="U27" i="51"/>
  <c r="X11" i="51"/>
  <c r="X158" i="51"/>
  <c r="X143" i="51"/>
  <c r="U31" i="51"/>
  <c r="X205" i="51"/>
  <c r="X252" i="51"/>
  <c r="X138" i="51"/>
  <c r="X75" i="51"/>
  <c r="X193" i="51"/>
  <c r="X25" i="51"/>
  <c r="X133" i="51"/>
  <c r="M21" i="51"/>
  <c r="X257" i="51"/>
  <c r="X220" i="51"/>
  <c r="X236" i="51"/>
  <c r="X77" i="51"/>
  <c r="X162" i="51"/>
  <c r="X130" i="51"/>
  <c r="X24" i="51"/>
  <c r="X126" i="51"/>
  <c r="X129" i="51"/>
  <c r="X92" i="51"/>
  <c r="X20" i="51"/>
  <c r="X184" i="51"/>
  <c r="X64" i="51"/>
  <c r="X67" i="51"/>
  <c r="X4" i="51"/>
  <c r="X53" i="51"/>
  <c r="X118" i="51"/>
  <c r="X154" i="51"/>
  <c r="X258" i="51"/>
  <c r="X144" i="51"/>
  <c r="X198" i="51"/>
  <c r="X156" i="51"/>
  <c r="X15" i="51"/>
  <c r="X5" i="51"/>
  <c r="X240" i="51"/>
  <c r="X203" i="51"/>
  <c r="U32" i="51"/>
  <c r="X199" i="51"/>
  <c r="X18" i="51"/>
  <c r="X7" i="51"/>
  <c r="X47" i="51"/>
  <c r="X54" i="51"/>
  <c r="X112" i="51"/>
  <c r="X90" i="51"/>
  <c r="X204" i="51"/>
  <c r="X71" i="51"/>
  <c r="X50" i="51"/>
  <c r="X58" i="51"/>
  <c r="X45" i="51"/>
  <c r="X255" i="51"/>
  <c r="X164" i="51"/>
  <c r="X99" i="51"/>
  <c r="X31" i="51"/>
  <c r="X21" i="51"/>
  <c r="X182" i="51"/>
  <c r="X140" i="51"/>
  <c r="X254" i="51"/>
  <c r="X59" i="51"/>
  <c r="M7" i="51"/>
  <c r="X208" i="51"/>
  <c r="X2" i="51"/>
  <c r="X37" i="51"/>
  <c r="X10" i="51"/>
  <c r="AP14" i="50" a="1"/>
  <c r="AP15" i="50"/>
  <c r="AP14" i="50"/>
  <c r="AP16" i="50"/>
  <c r="AP8" i="50" a="1"/>
  <c r="AP8" i="50"/>
  <c r="AP9" i="50"/>
  <c r="AL37" i="50"/>
  <c r="AP19" i="50" a="1"/>
  <c r="AN8" i="50" l="1" a="1"/>
  <c r="AN9" i="50" s="1"/>
  <c r="O24" i="50" s="1"/>
  <c r="AP20" i="50"/>
  <c r="AP21" i="50"/>
  <c r="AP19" i="50"/>
  <c r="AN19" i="50" a="1"/>
  <c r="AN21" i="50" s="1"/>
  <c r="P24" i="50" s="1"/>
  <c r="AL29" i="50"/>
  <c r="AP4" i="50" a="1"/>
  <c r="AP5" i="50"/>
  <c r="AP4" i="50"/>
  <c r="AN14" i="50" a="1"/>
  <c r="AN15" i="50" s="1"/>
  <c r="N23" i="50" s="1"/>
  <c r="AN8" i="50"/>
  <c r="O23" i="50"/>
  <c r="AY119" i="50" s="1"/>
  <c r="AN20" i="50"/>
  <c r="P23" i="50" s="1"/>
  <c r="AN19" i="50"/>
  <c r="P22" i="50" s="1"/>
  <c r="AT9" i="39" a="1"/>
  <c r="AT19" i="39" a="1"/>
  <c r="AT14" i="39" a="1"/>
  <c r="AT5" i="39" a="1"/>
  <c r="AN16" i="50" l="1"/>
  <c r="N24" i="50" s="1"/>
  <c r="AN14" i="50"/>
  <c r="N22" i="50" s="1"/>
  <c r="AY53" i="50"/>
  <c r="AN4" i="50" a="1"/>
  <c r="AN4" i="50" s="1"/>
  <c r="M23" i="50" s="1"/>
  <c r="BA12" i="50"/>
  <c r="BA15" i="50"/>
  <c r="BA75" i="50"/>
  <c r="BA81" i="50"/>
  <c r="BA37" i="50"/>
  <c r="BA123" i="50"/>
  <c r="BA39" i="50"/>
  <c r="BA101" i="50"/>
  <c r="BA29" i="50"/>
  <c r="BA78" i="50"/>
  <c r="BA72" i="50"/>
  <c r="BA131" i="50"/>
  <c r="BA76" i="50"/>
  <c r="BA119" i="50"/>
  <c r="BA74" i="50"/>
  <c r="BA20" i="50"/>
  <c r="BA66" i="50"/>
  <c r="BA58" i="50"/>
  <c r="BA28" i="50"/>
  <c r="BA26" i="50"/>
  <c r="BA91" i="50"/>
  <c r="BA53" i="50"/>
  <c r="BA90" i="50"/>
  <c r="BA8" i="50"/>
  <c r="BA111" i="50"/>
  <c r="BA56" i="50"/>
  <c r="BA122" i="50"/>
  <c r="BA127" i="50"/>
  <c r="BA97" i="50"/>
  <c r="BA7" i="50"/>
  <c r="BA71" i="50"/>
  <c r="BA25" i="50"/>
  <c r="BA18" i="50"/>
  <c r="BA108" i="50"/>
  <c r="BA17" i="50"/>
  <c r="AN5" i="50"/>
  <c r="M24" i="50" s="1"/>
  <c r="AX70" i="50" s="1"/>
  <c r="BA82" i="50"/>
  <c r="AY109" i="50"/>
  <c r="AY63" i="50"/>
  <c r="AY95" i="50"/>
  <c r="AY45" i="50"/>
  <c r="AY106" i="50"/>
  <c r="AY108" i="50"/>
  <c r="AY30" i="50"/>
  <c r="BA120" i="50"/>
  <c r="BA114" i="50"/>
  <c r="BA45" i="50"/>
  <c r="BA115" i="50"/>
  <c r="BA50" i="50"/>
  <c r="BA42" i="50"/>
  <c r="BA30" i="50"/>
  <c r="BA125" i="50"/>
  <c r="BA116" i="50"/>
  <c r="BA38" i="50"/>
  <c r="BA88" i="50"/>
  <c r="AY94" i="50"/>
  <c r="BA104" i="50"/>
  <c r="BA61" i="50"/>
  <c r="AY8" i="50"/>
  <c r="AY66" i="50"/>
  <c r="BA85" i="50"/>
  <c r="BA84" i="50"/>
  <c r="BA52" i="50"/>
  <c r="BA44" i="50"/>
  <c r="AY64" i="50"/>
  <c r="AY38" i="50"/>
  <c r="BA19" i="50"/>
  <c r="BA54" i="50"/>
  <c r="BA36" i="50"/>
  <c r="BA86" i="50"/>
  <c r="AY29" i="50"/>
  <c r="BA106" i="50"/>
  <c r="AY104" i="50"/>
  <c r="AY61" i="50"/>
  <c r="AZ69" i="50"/>
  <c r="AZ15" i="50"/>
  <c r="AY77" i="50"/>
  <c r="AY80" i="50"/>
  <c r="AY23" i="50"/>
  <c r="AY91" i="50"/>
  <c r="AY71" i="50"/>
  <c r="AY86" i="50"/>
  <c r="AY11" i="50"/>
  <c r="AY99" i="50"/>
  <c r="AY100" i="50"/>
  <c r="AY117" i="50"/>
  <c r="AY24" i="50"/>
  <c r="AY25" i="50"/>
  <c r="AY123" i="50"/>
  <c r="AY130" i="50"/>
  <c r="AY49" i="50"/>
  <c r="AY40" i="50"/>
  <c r="AY15" i="50"/>
  <c r="AY89" i="50"/>
  <c r="AY120" i="50"/>
  <c r="AY46" i="50"/>
  <c r="AY9" i="50"/>
  <c r="AY43" i="50"/>
  <c r="AY13" i="50"/>
  <c r="AY79" i="50"/>
  <c r="AY34" i="50"/>
  <c r="BA9" i="50"/>
  <c r="AY50" i="50"/>
  <c r="AY4" i="50"/>
  <c r="AY32" i="50"/>
  <c r="BA95" i="50"/>
  <c r="AY97" i="50"/>
  <c r="BA60" i="50"/>
  <c r="AY93" i="50"/>
  <c r="AY122" i="50"/>
  <c r="AY74" i="50"/>
  <c r="BA11" i="50"/>
  <c r="AY18" i="50"/>
  <c r="AY37" i="50"/>
  <c r="AY7" i="50"/>
  <c r="AY131" i="50"/>
  <c r="BA48" i="50"/>
  <c r="BA133" i="50"/>
  <c r="AY129" i="50"/>
  <c r="AY102" i="50"/>
  <c r="BA64" i="50"/>
  <c r="AY72" i="50"/>
  <c r="AY5" i="50"/>
  <c r="BA69" i="50"/>
  <c r="AY81" i="50"/>
  <c r="BA83" i="50"/>
  <c r="BA87" i="50"/>
  <c r="BA117" i="50"/>
  <c r="AY113" i="50"/>
  <c r="BA100" i="50"/>
  <c r="AY52" i="50"/>
  <c r="AY82" i="50"/>
  <c r="AY44" i="50"/>
  <c r="AY54" i="50"/>
  <c r="AY39" i="50"/>
  <c r="AY111" i="50"/>
  <c r="AY124" i="50"/>
  <c r="AY19" i="50"/>
  <c r="AY132" i="50"/>
  <c r="AY21" i="50"/>
  <c r="AY70" i="50"/>
  <c r="AY59" i="50"/>
  <c r="AY126" i="50"/>
  <c r="AY75" i="50"/>
  <c r="AY98" i="50"/>
  <c r="AY115" i="50"/>
  <c r="AY47" i="50"/>
  <c r="AY103" i="50"/>
  <c r="AY112" i="50"/>
  <c r="AY6" i="50"/>
  <c r="AY83" i="50"/>
  <c r="AY26" i="50"/>
  <c r="AY65" i="50"/>
  <c r="AY127" i="50"/>
  <c r="BA96" i="50"/>
  <c r="AY105" i="50"/>
  <c r="BA4" i="50"/>
  <c r="BA130" i="50"/>
  <c r="BA129" i="50"/>
  <c r="AY35" i="50"/>
  <c r="AY55" i="50"/>
  <c r="AY31" i="50"/>
  <c r="BA65" i="50"/>
  <c r="BA73" i="50"/>
  <c r="BA121" i="50"/>
  <c r="BA77" i="50"/>
  <c r="BA67" i="50"/>
  <c r="BA132" i="50"/>
  <c r="BA47" i="50"/>
  <c r="AY128" i="50"/>
  <c r="BA13" i="50"/>
  <c r="AY116" i="50"/>
  <c r="BA128" i="50"/>
  <c r="AY87" i="50"/>
  <c r="BA110" i="50"/>
  <c r="AY57" i="50"/>
  <c r="AY76" i="50"/>
  <c r="BA31" i="50"/>
  <c r="AY42" i="50"/>
  <c r="AY17" i="50"/>
  <c r="AY33" i="50"/>
  <c r="BA80" i="50"/>
  <c r="AY125" i="50"/>
  <c r="BA24" i="50"/>
  <c r="BA51" i="50"/>
  <c r="BA46" i="50"/>
  <c r="BA79" i="50"/>
  <c r="BA99" i="50"/>
  <c r="AY22" i="50"/>
  <c r="BA5" i="50"/>
  <c r="BA112" i="50"/>
  <c r="BA102" i="50"/>
  <c r="AY27" i="50"/>
  <c r="AY56" i="50"/>
  <c r="BA109" i="50"/>
  <c r="BA68" i="50"/>
  <c r="BA59" i="50"/>
  <c r="AY60" i="50"/>
  <c r="BA35" i="50"/>
  <c r="BA6" i="50"/>
  <c r="AY10" i="50"/>
  <c r="AY48" i="50"/>
  <c r="BA107" i="50"/>
  <c r="AY51" i="50"/>
  <c r="BA63" i="50"/>
  <c r="AY78" i="50"/>
  <c r="BA10" i="50"/>
  <c r="AY16" i="50"/>
  <c r="BA124" i="50"/>
  <c r="BA32" i="50"/>
  <c r="BA41" i="50"/>
  <c r="BA55" i="50"/>
  <c r="BA27" i="50"/>
  <c r="AY110" i="50"/>
  <c r="AY90" i="50"/>
  <c r="BA105" i="50"/>
  <c r="BA21" i="50"/>
  <c r="AY36" i="50"/>
  <c r="BA70" i="50"/>
  <c r="AY107" i="50"/>
  <c r="BA62" i="50"/>
  <c r="AY96" i="50"/>
  <c r="BA94" i="50"/>
  <c r="BA34" i="50"/>
  <c r="AY118" i="50"/>
  <c r="AY28" i="50"/>
  <c r="BA118" i="50"/>
  <c r="AY68" i="50"/>
  <c r="AY67" i="50"/>
  <c r="AY92" i="50"/>
  <c r="AY58" i="50"/>
  <c r="BA49" i="50"/>
  <c r="AY85" i="50"/>
  <c r="AY133" i="50"/>
  <c r="BA23" i="50"/>
  <c r="AY88" i="50"/>
  <c r="AY41" i="50"/>
  <c r="BA92" i="50"/>
  <c r="AY62" i="50"/>
  <c r="BA126" i="50"/>
  <c r="BA103" i="50"/>
  <c r="AY101" i="50"/>
  <c r="BA113" i="50"/>
  <c r="AY14" i="50"/>
  <c r="BA43" i="50"/>
  <c r="BA57" i="50"/>
  <c r="AY114" i="50"/>
  <c r="AY12" i="50"/>
  <c r="BA40" i="50"/>
  <c r="BA98" i="50"/>
  <c r="BA89" i="50"/>
  <c r="AY69" i="50"/>
  <c r="BA33" i="50"/>
  <c r="AY84" i="50"/>
  <c r="BA93" i="50"/>
  <c r="AY121" i="50"/>
  <c r="BA16" i="50"/>
  <c r="BA14" i="50"/>
  <c r="BA22" i="50"/>
  <c r="AY73" i="50"/>
  <c r="AY20" i="50"/>
  <c r="AT15" i="39"/>
  <c r="AT5" i="39"/>
  <c r="AT20" i="39"/>
  <c r="AT16" i="39"/>
  <c r="AT19" i="39"/>
  <c r="AT14" i="39"/>
  <c r="AT6" i="39"/>
  <c r="AT10" i="39"/>
  <c r="AT9" i="39"/>
  <c r="AT21" i="39"/>
  <c r="AZ60" i="50" l="1"/>
  <c r="AZ49" i="50"/>
  <c r="AZ114" i="50"/>
  <c r="AZ38" i="50"/>
  <c r="AZ24" i="50"/>
  <c r="AZ78" i="50"/>
  <c r="AZ83" i="50"/>
  <c r="AZ67" i="50"/>
  <c r="AZ17" i="50"/>
  <c r="AZ36" i="50"/>
  <c r="AZ97" i="50"/>
  <c r="AZ92" i="50"/>
  <c r="AZ21" i="50"/>
  <c r="AZ85" i="50"/>
  <c r="AZ56" i="50"/>
  <c r="AZ4" i="50"/>
  <c r="AZ95" i="50"/>
  <c r="AZ33" i="50"/>
  <c r="AZ11" i="50"/>
  <c r="AZ16" i="50"/>
  <c r="AZ51" i="50"/>
  <c r="AZ120" i="50"/>
  <c r="AZ44" i="50"/>
  <c r="AZ81" i="50"/>
  <c r="AZ128" i="50"/>
  <c r="AZ117" i="50"/>
  <c r="AZ109" i="50"/>
  <c r="AZ126" i="50"/>
  <c r="AZ96" i="50"/>
  <c r="AZ23" i="50"/>
  <c r="AZ31" i="50"/>
  <c r="AZ59" i="50"/>
  <c r="AZ14" i="50"/>
  <c r="AZ131" i="50"/>
  <c r="AZ76" i="50"/>
  <c r="AZ13" i="50"/>
  <c r="AZ48" i="50"/>
  <c r="AZ54" i="50"/>
  <c r="AZ6" i="50"/>
  <c r="AZ112" i="50"/>
  <c r="AZ52" i="50"/>
  <c r="AZ63" i="50"/>
  <c r="AZ79" i="50"/>
  <c r="AZ118" i="50"/>
  <c r="AZ5" i="50"/>
  <c r="AZ129" i="50"/>
  <c r="AZ104" i="50"/>
  <c r="AZ20" i="50"/>
  <c r="AZ89" i="50"/>
  <c r="AZ40" i="50"/>
  <c r="AZ84" i="50"/>
  <c r="AZ32" i="50"/>
  <c r="AZ77" i="50"/>
  <c r="AZ25" i="50"/>
  <c r="AZ46" i="50"/>
  <c r="AZ99" i="50"/>
  <c r="AZ18" i="50"/>
  <c r="AZ123" i="50"/>
  <c r="AZ93" i="50"/>
  <c r="AZ58" i="50"/>
  <c r="AZ130" i="50"/>
  <c r="AZ124" i="50"/>
  <c r="AZ43" i="50"/>
  <c r="AZ74" i="50"/>
  <c r="AZ22" i="50"/>
  <c r="AZ37" i="50"/>
  <c r="AZ53" i="50"/>
  <c r="AZ113" i="50"/>
  <c r="AZ61" i="50"/>
  <c r="AZ45" i="50"/>
  <c r="AZ82" i="50"/>
  <c r="AZ19" i="50"/>
  <c r="AZ91" i="50"/>
  <c r="AZ116" i="50"/>
  <c r="AZ30" i="50"/>
  <c r="AZ107" i="50"/>
  <c r="AZ47" i="50"/>
  <c r="AZ41" i="50"/>
  <c r="AZ106" i="50"/>
  <c r="AZ62" i="50"/>
  <c r="AZ111" i="50"/>
  <c r="AZ64" i="50"/>
  <c r="AZ73" i="50"/>
  <c r="AZ110" i="50"/>
  <c r="AZ122" i="50"/>
  <c r="AZ115" i="50"/>
  <c r="AZ125" i="50"/>
  <c r="AZ102" i="50"/>
  <c r="AZ108" i="50"/>
  <c r="AZ50" i="50"/>
  <c r="AZ55" i="50"/>
  <c r="AZ39" i="50"/>
  <c r="AZ35" i="50"/>
  <c r="AZ133" i="50"/>
  <c r="AZ34" i="50"/>
  <c r="AZ8" i="50"/>
  <c r="AZ10" i="50"/>
  <c r="AZ27" i="50"/>
  <c r="AZ88" i="50"/>
  <c r="AZ28" i="50"/>
  <c r="AZ68" i="50"/>
  <c r="AZ132" i="50"/>
  <c r="AZ100" i="50"/>
  <c r="AZ98" i="50"/>
  <c r="AZ9" i="50"/>
  <c r="AZ103" i="50"/>
  <c r="AZ101" i="50"/>
  <c r="AZ26" i="50"/>
  <c r="AZ90" i="50"/>
  <c r="AZ121" i="50"/>
  <c r="AZ127" i="50"/>
  <c r="AZ7" i="50"/>
  <c r="AX81" i="50"/>
  <c r="AX31" i="50"/>
  <c r="AX35" i="50"/>
  <c r="AX14" i="50"/>
  <c r="AX83" i="50"/>
  <c r="AX106" i="50"/>
  <c r="AZ12" i="50"/>
  <c r="AZ87" i="50"/>
  <c r="AZ80" i="50"/>
  <c r="AZ66" i="50"/>
  <c r="AZ119" i="50"/>
  <c r="AZ86" i="50"/>
  <c r="AZ94" i="50"/>
  <c r="AZ70" i="50"/>
  <c r="AZ29" i="50"/>
  <c r="AZ65" i="50"/>
  <c r="AZ42" i="50"/>
  <c r="AZ57" i="50"/>
  <c r="AZ105" i="50"/>
  <c r="AZ75" i="50"/>
  <c r="AZ71" i="50"/>
  <c r="AZ72" i="50"/>
  <c r="AX62" i="50"/>
  <c r="AX90" i="50"/>
  <c r="AX103" i="50"/>
  <c r="AX65" i="50"/>
  <c r="AX127" i="50"/>
  <c r="AX131" i="50"/>
  <c r="AX5" i="50"/>
  <c r="AX12" i="50"/>
  <c r="AX36" i="50"/>
  <c r="AX102" i="50"/>
  <c r="AX53" i="50"/>
  <c r="AX63" i="50"/>
  <c r="AX115" i="50"/>
  <c r="AX86" i="50"/>
  <c r="AX74" i="50"/>
  <c r="AX61" i="50"/>
  <c r="AX64" i="50"/>
  <c r="AX116" i="50"/>
  <c r="AX108" i="50"/>
  <c r="AX92" i="50"/>
  <c r="AX50" i="50"/>
  <c r="AX19" i="50"/>
  <c r="AX58" i="50"/>
  <c r="AX69" i="50"/>
  <c r="AX128" i="50"/>
  <c r="AX44" i="50"/>
  <c r="AX114" i="50"/>
  <c r="AX29" i="50"/>
  <c r="AX118" i="50"/>
  <c r="AX55" i="50"/>
  <c r="AX32" i="50"/>
  <c r="AX51" i="50"/>
  <c r="AX79" i="50"/>
  <c r="AX60" i="50"/>
  <c r="AX117" i="50"/>
  <c r="AX11" i="50"/>
  <c r="AR5" i="39" a="1"/>
  <c r="AR5" i="39" s="1"/>
  <c r="K26" i="39" s="1"/>
  <c r="AX46" i="50"/>
  <c r="AX38" i="50"/>
  <c r="AX56" i="50"/>
  <c r="AX21" i="50"/>
  <c r="AX6" i="50"/>
  <c r="AX82" i="50"/>
  <c r="AX43" i="50"/>
  <c r="AX68" i="50"/>
  <c r="AX66" i="50"/>
  <c r="AX100" i="50"/>
  <c r="AX30" i="50"/>
  <c r="AX97" i="50"/>
  <c r="AX4" i="50"/>
  <c r="AX111" i="50"/>
  <c r="AX75" i="50"/>
  <c r="AX88" i="50"/>
  <c r="AX87" i="50"/>
  <c r="AR14" i="39" a="1"/>
  <c r="AR16" i="39" s="1"/>
  <c r="L25" i="39" s="1"/>
  <c r="AX40" i="50"/>
  <c r="AX33" i="50"/>
  <c r="AX72" i="50"/>
  <c r="AX123" i="50"/>
  <c r="AX9" i="50"/>
  <c r="AX71" i="50"/>
  <c r="AX54" i="50"/>
  <c r="AX129" i="50"/>
  <c r="AX34" i="50"/>
  <c r="AX80" i="50"/>
  <c r="AX107" i="50"/>
  <c r="AX101" i="50"/>
  <c r="AX42" i="50"/>
  <c r="AX26" i="50"/>
  <c r="AX49" i="50"/>
  <c r="AX94" i="50"/>
  <c r="AX23" i="50"/>
  <c r="AX17" i="50"/>
  <c r="AX18" i="50"/>
  <c r="AX47" i="50"/>
  <c r="AX24" i="50"/>
  <c r="AX110" i="50"/>
  <c r="AX84" i="50"/>
  <c r="AX59" i="50"/>
  <c r="AX96" i="50"/>
  <c r="AX119" i="50"/>
  <c r="AX105" i="50"/>
  <c r="AX41" i="50"/>
  <c r="AX28" i="50"/>
  <c r="AX13" i="50"/>
  <c r="AX52" i="50"/>
  <c r="AX73" i="50"/>
  <c r="AX130" i="50"/>
  <c r="AX39" i="50"/>
  <c r="AX8" i="50"/>
  <c r="AX15" i="50"/>
  <c r="AX77" i="50"/>
  <c r="AX126" i="50"/>
  <c r="AX76" i="50"/>
  <c r="AX57" i="50"/>
  <c r="AX109" i="50"/>
  <c r="AX48" i="50"/>
  <c r="AX22" i="50"/>
  <c r="AX104" i="50"/>
  <c r="AX25" i="50"/>
  <c r="AX121" i="50"/>
  <c r="AX7" i="50"/>
  <c r="AX89" i="50"/>
  <c r="AX133" i="50"/>
  <c r="AX16" i="50"/>
  <c r="AX27" i="50"/>
  <c r="AX124" i="50"/>
  <c r="AX125" i="50"/>
  <c r="AX122" i="50"/>
  <c r="AX95" i="50"/>
  <c r="AR9" i="39" a="1"/>
  <c r="AR10" i="39" s="1"/>
  <c r="M25" i="39" s="1"/>
  <c r="AX78" i="50"/>
  <c r="AX99" i="50"/>
  <c r="AX93" i="50"/>
  <c r="AX132" i="50"/>
  <c r="AX45" i="50"/>
  <c r="AX10" i="50"/>
  <c r="AX120" i="50"/>
  <c r="AX98" i="50"/>
  <c r="AX37" i="50"/>
  <c r="AX85" i="50"/>
  <c r="AX20" i="50"/>
  <c r="AX67" i="50"/>
  <c r="AX112" i="50"/>
  <c r="AX91" i="50"/>
  <c r="AX113" i="50"/>
  <c r="AR19" i="39" a="1"/>
  <c r="AR19" i="39" s="1"/>
  <c r="N27" i="39" s="1"/>
  <c r="AR6" i="39" l="1"/>
  <c r="K25" i="39" s="1"/>
  <c r="AR14" i="39"/>
  <c r="L27" i="39" s="1"/>
  <c r="AR15" i="39"/>
  <c r="L26" i="39" s="1"/>
  <c r="K32" i="39"/>
  <c r="AR21" i="39"/>
  <c r="N25" i="39" s="1"/>
  <c r="AR9" i="39"/>
  <c r="M26" i="39" s="1"/>
  <c r="AR20" i="39"/>
  <c r="N26" i="39" s="1"/>
  <c r="N32" i="39" s="1"/>
  <c r="L32" i="39"/>
  <c r="H35" i="35"/>
  <c r="H43" i="35"/>
  <c r="H2" i="35"/>
  <c r="P18" i="42"/>
  <c r="H38" i="35"/>
  <c r="H22" i="35"/>
  <c r="H33" i="35"/>
  <c r="H6" i="35"/>
  <c r="H15" i="35"/>
  <c r="H16" i="35"/>
  <c r="H10" i="35"/>
  <c r="H50" i="35"/>
  <c r="H29" i="35"/>
  <c r="H11" i="35"/>
  <c r="H24" i="35"/>
  <c r="H27" i="35"/>
  <c r="H39" i="35"/>
  <c r="H49" i="35"/>
  <c r="H48" i="35"/>
  <c r="P8" i="42"/>
  <c r="H44" i="35"/>
  <c r="H20" i="35"/>
  <c r="H7" i="35"/>
  <c r="H14" i="35"/>
  <c r="P15" i="42"/>
  <c r="H13" i="35"/>
  <c r="P13" i="42"/>
  <c r="H28" i="35"/>
  <c r="H42" i="35"/>
  <c r="P14" i="42"/>
  <c r="P19" i="42"/>
  <c r="P10" i="42"/>
  <c r="P7" i="42"/>
  <c r="P17" i="42"/>
  <c r="H12" i="35"/>
  <c r="H41" i="35"/>
  <c r="H17" i="35"/>
  <c r="H26" i="35"/>
  <c r="H19" i="35"/>
  <c r="H8" i="35"/>
  <c r="H31" i="35"/>
  <c r="H40" i="35"/>
  <c r="H5" i="35"/>
  <c r="H4" i="35"/>
  <c r="P6" i="42"/>
  <c r="H36" i="35"/>
  <c r="H9" i="35"/>
  <c r="P9" i="42"/>
  <c r="H47" i="35"/>
  <c r="H25" i="35"/>
  <c r="P5" i="42"/>
  <c r="H23" i="35"/>
  <c r="H45" i="35"/>
  <c r="P12" i="42"/>
  <c r="H34" i="35"/>
  <c r="H37" i="35"/>
  <c r="H3" i="35"/>
  <c r="H30" i="35"/>
  <c r="H18" i="35"/>
  <c r="H21" i="35"/>
  <c r="P16" i="42"/>
  <c r="P11" i="42"/>
  <c r="H32" i="35"/>
  <c r="H46" i="35"/>
  <c r="J18" i="49"/>
  <c r="I57" i="39"/>
  <c r="L19" i="48"/>
  <c r="C27" i="48" s="1"/>
  <c r="J22" i="49"/>
  <c r="M29" i="50"/>
  <c r="K16" i="49"/>
  <c r="C35" i="49" s="1"/>
  <c r="K24" i="49"/>
  <c r="C43" i="49" s="1"/>
  <c r="H56" i="39"/>
  <c r="O34" i="50"/>
  <c r="O43" i="50" s="1"/>
  <c r="J20" i="49"/>
  <c r="O17" i="51"/>
  <c r="N17" i="51" s="1"/>
  <c r="N15" i="43"/>
  <c r="M35" i="50"/>
  <c r="M44" i="50" s="1"/>
  <c r="O18" i="51"/>
  <c r="N18" i="51" s="1"/>
  <c r="O17" i="43"/>
  <c r="N31" i="50"/>
  <c r="O12" i="51"/>
  <c r="N12" i="51" s="1"/>
  <c r="I52" i="39"/>
  <c r="N32" i="50"/>
  <c r="J57" i="39"/>
  <c r="L22" i="49"/>
  <c r="O16" i="51"/>
  <c r="N16" i="51" s="1"/>
  <c r="J56" i="39"/>
  <c r="P34" i="50"/>
  <c r="P43" i="50" s="1"/>
  <c r="L20" i="49"/>
  <c r="O10" i="51"/>
  <c r="N10" i="51" s="1"/>
  <c r="O15" i="43"/>
  <c r="H53" i="39"/>
  <c r="J16" i="48"/>
  <c r="H57" i="39"/>
  <c r="M30" i="50"/>
  <c r="O20" i="43"/>
  <c r="P29" i="50"/>
  <c r="P37" i="50"/>
  <c r="P46" i="50" s="1"/>
  <c r="J18" i="48"/>
  <c r="I56" i="39"/>
  <c r="K20" i="49"/>
  <c r="C39" i="49" s="1"/>
  <c r="J29" i="49"/>
  <c r="O21" i="51"/>
  <c r="N21" i="51" s="1"/>
  <c r="P15" i="43"/>
  <c r="C25" i="43" s="1"/>
  <c r="L16" i="48"/>
  <c r="C24" i="48" s="1"/>
  <c r="J25" i="49"/>
  <c r="N18" i="43"/>
  <c r="O30" i="50"/>
  <c r="P20" i="43"/>
  <c r="C30" i="43" s="1"/>
  <c r="N29" i="50"/>
  <c r="P40" i="50"/>
  <c r="H54" i="39"/>
  <c r="L26" i="49"/>
  <c r="K18" i="48"/>
  <c r="O3" i="51"/>
  <c r="N3" i="51"/>
  <c r="J19" i="49"/>
  <c r="L29" i="49"/>
  <c r="J15" i="48"/>
  <c r="P30" i="50"/>
  <c r="P39" i="50"/>
  <c r="O36" i="50"/>
  <c r="O45" i="50" s="1"/>
  <c r="M28" i="50"/>
  <c r="O9" i="51"/>
  <c r="N9" i="51" s="1"/>
  <c r="I54" i="39"/>
  <c r="M37" i="50"/>
  <c r="M46" i="50" s="1"/>
  <c r="K26" i="49"/>
  <c r="C45" i="49" s="1"/>
  <c r="L18" i="48"/>
  <c r="C26" i="48" s="1"/>
  <c r="J55" i="39"/>
  <c r="K25" i="49"/>
  <c r="C44" i="49" s="1"/>
  <c r="O18" i="43"/>
  <c r="P38" i="50"/>
  <c r="O28" i="50"/>
  <c r="O7" i="51"/>
  <c r="N7" i="51" s="1"/>
  <c r="J54" i="39"/>
  <c r="N37" i="50"/>
  <c r="N46" i="50" s="1"/>
  <c r="O6" i="51"/>
  <c r="N6" i="51" s="1"/>
  <c r="J23" i="49"/>
  <c r="O19" i="51"/>
  <c r="N19" i="51" s="1"/>
  <c r="L30" i="49"/>
  <c r="N19" i="43"/>
  <c r="K17" i="48"/>
  <c r="H55" i="39"/>
  <c r="O13" i="51"/>
  <c r="N13" i="51" s="1"/>
  <c r="N28" i="50"/>
  <c r="O5" i="51"/>
  <c r="N5" i="51" s="1"/>
  <c r="K30" i="49"/>
  <c r="C49" i="49" s="1"/>
  <c r="P19" i="43"/>
  <c r="C29" i="43" s="1"/>
  <c r="K15" i="49"/>
  <c r="C34" i="49" s="1"/>
  <c r="L17" i="48"/>
  <c r="C25" i="48" s="1"/>
  <c r="O8" i="51"/>
  <c r="N8" i="51" s="1"/>
  <c r="P31" i="50"/>
  <c r="L18" i="49"/>
  <c r="K19" i="48"/>
  <c r="N20" i="43"/>
  <c r="O29" i="50"/>
  <c r="M40" i="50"/>
  <c r="J28" i="49"/>
  <c r="P35" i="50"/>
  <c r="P44" i="50" s="1"/>
  <c r="O14" i="51"/>
  <c r="N14" i="51" s="1"/>
  <c r="O11" i="51"/>
  <c r="N11" i="51" s="1"/>
  <c r="N21" i="43"/>
  <c r="K18" i="49"/>
  <c r="C37" i="49" s="1"/>
  <c r="P33" i="50"/>
  <c r="K22" i="49"/>
  <c r="C41" i="49" s="1"/>
  <c r="O40" i="50"/>
  <c r="J26" i="49"/>
  <c r="O20" i="51"/>
  <c r="N20" i="51" s="1"/>
  <c r="M34" i="50"/>
  <c r="M43" i="50" s="1"/>
  <c r="L28" i="49"/>
  <c r="J53" i="39"/>
  <c r="O35" i="50"/>
  <c r="O44" i="50" s="1"/>
  <c r="P4" i="42"/>
  <c r="P21" i="43"/>
  <c r="C31" i="43" s="1"/>
  <c r="O33" i="50"/>
  <c r="M38" i="50"/>
  <c r="P36" i="50"/>
  <c r="P45" i="50" s="1"/>
  <c r="O37" i="50"/>
  <c r="O46" i="50" s="1"/>
  <c r="N34" i="50"/>
  <c r="N43" i="50" s="1"/>
  <c r="K28" i="49"/>
  <c r="C47" i="49" s="1"/>
  <c r="I53" i="39"/>
  <c r="N35" i="50"/>
  <c r="N44" i="50" s="1"/>
  <c r="K16" i="48"/>
  <c r="L25" i="49"/>
  <c r="J17" i="49"/>
  <c r="O21" i="43"/>
  <c r="O4" i="51"/>
  <c r="N4" i="51"/>
  <c r="P18" i="43"/>
  <c r="C28" i="43" s="1"/>
  <c r="M33" i="50"/>
  <c r="J27" i="49"/>
  <c r="O38" i="50"/>
  <c r="J21" i="49"/>
  <c r="N33" i="50"/>
  <c r="J30" i="49"/>
  <c r="O15" i="51"/>
  <c r="N15" i="51" s="1"/>
  <c r="J15" i="49"/>
  <c r="J17" i="48"/>
  <c r="L15" i="48"/>
  <c r="C23" i="48" s="1"/>
  <c r="L21" i="49"/>
  <c r="O31" i="50"/>
  <c r="K17" i="49"/>
  <c r="C36" i="49" s="1"/>
  <c r="O32" i="50"/>
  <c r="M39" i="50"/>
  <c r="K27" i="49"/>
  <c r="C46" i="49" s="1"/>
  <c r="N38" i="50"/>
  <c r="N36" i="50"/>
  <c r="N45" i="50" s="1"/>
  <c r="P28" i="50"/>
  <c r="J16" i="49"/>
  <c r="J24" i="49"/>
  <c r="M31" i="50"/>
  <c r="L23" i="49"/>
  <c r="K23" i="49"/>
  <c r="C42" i="49" s="1"/>
  <c r="N40" i="50"/>
  <c r="L19" i="49"/>
  <c r="K29" i="49"/>
  <c r="C48" i="49" s="1"/>
  <c r="K15" i="48"/>
  <c r="L17" i="49"/>
  <c r="N16" i="43"/>
  <c r="N30" i="50"/>
  <c r="O39" i="50"/>
  <c r="L27" i="49"/>
  <c r="M36" i="50"/>
  <c r="M45" i="50" s="1"/>
  <c r="I55" i="39"/>
  <c r="O16" i="43"/>
  <c r="L15" i="49"/>
  <c r="K21" i="49"/>
  <c r="C40" i="49" s="1"/>
  <c r="N17" i="43"/>
  <c r="H52" i="39"/>
  <c r="M32" i="50"/>
  <c r="P16" i="43"/>
  <c r="C26" i="43" s="1"/>
  <c r="J19" i="48"/>
  <c r="N39" i="50"/>
  <c r="L16" i="49"/>
  <c r="L24" i="49"/>
  <c r="P17" i="43"/>
  <c r="C27" i="43" s="1"/>
  <c r="J52" i="39"/>
  <c r="P32" i="50"/>
  <c r="K24" i="39"/>
  <c r="L24" i="39"/>
  <c r="N24" i="39"/>
  <c r="M24" i="39"/>
  <c r="N38" i="39"/>
  <c r="N41" i="39"/>
  <c r="N33" i="39"/>
  <c r="N40" i="39"/>
  <c r="N46" i="39"/>
  <c r="N43" i="39"/>
  <c r="N48" i="39"/>
  <c r="N42" i="39"/>
  <c r="N34" i="39"/>
  <c r="N36" i="39"/>
  <c r="N37" i="39"/>
  <c r="N44" i="39"/>
  <c r="N47" i="39"/>
  <c r="N35" i="39"/>
  <c r="N45" i="39"/>
  <c r="N39" i="39"/>
  <c r="M47" i="39"/>
  <c r="M42" i="39"/>
  <c r="M37" i="39"/>
  <c r="M38" i="39"/>
  <c r="M39" i="39"/>
  <c r="M45" i="39"/>
  <c r="M48" i="39"/>
  <c r="M35" i="39"/>
  <c r="M43" i="39"/>
  <c r="M44" i="39"/>
  <c r="M36" i="39"/>
  <c r="M34" i="39"/>
  <c r="M33" i="39"/>
  <c r="M46" i="39"/>
  <c r="M41" i="39"/>
  <c r="M40" i="39"/>
  <c r="L38" i="39"/>
  <c r="L48" i="39"/>
  <c r="L42" i="39"/>
  <c r="L34" i="39"/>
  <c r="L40" i="39"/>
  <c r="L43" i="39"/>
  <c r="L41" i="39"/>
  <c r="L35" i="39"/>
  <c r="L33" i="39"/>
  <c r="L46" i="39"/>
  <c r="L44" i="39"/>
  <c r="L47" i="39"/>
  <c r="L36" i="39"/>
  <c r="L37" i="39"/>
  <c r="L45" i="39"/>
  <c r="L39" i="39"/>
  <c r="K46" i="39"/>
  <c r="K39" i="39"/>
  <c r="K36" i="39"/>
  <c r="K40" i="39"/>
  <c r="K37" i="39"/>
  <c r="K41" i="39"/>
  <c r="K38" i="39"/>
  <c r="K42" i="39"/>
  <c r="K44" i="39"/>
  <c r="K48" i="39"/>
  <c r="T25" i="39" a="1"/>
  <c r="K34" i="39"/>
  <c r="K47" i="39"/>
  <c r="K43" i="39"/>
  <c r="K35" i="39"/>
  <c r="K45" i="39"/>
  <c r="K33" i="39"/>
  <c r="K54" i="39" l="1"/>
  <c r="K52" i="39"/>
  <c r="K56" i="39"/>
  <c r="K57" i="39"/>
  <c r="K53" i="39"/>
  <c r="K51" i="39"/>
  <c r="K55" i="39"/>
  <c r="L54" i="39"/>
  <c r="L56" i="39"/>
  <c r="L53" i="39"/>
  <c r="L55" i="39"/>
  <c r="L52" i="39"/>
  <c r="L51" i="39"/>
  <c r="L57" i="39"/>
  <c r="M55" i="39"/>
  <c r="M53" i="39"/>
  <c r="M52" i="39"/>
  <c r="M57" i="39"/>
  <c r="M54" i="39"/>
  <c r="M51" i="39"/>
  <c r="M56" i="39"/>
  <c r="N54" i="39"/>
  <c r="N56" i="39"/>
  <c r="N53" i="39"/>
  <c r="N51" i="39"/>
  <c r="N57" i="39"/>
  <c r="N52" i="39"/>
  <c r="N55" i="39"/>
  <c r="T26" i="39"/>
  <c r="T27" i="39"/>
  <c r="T25" i="39"/>
  <c r="T28" i="39"/>
  <c r="M32" i="39"/>
</calcChain>
</file>

<file path=xl/comments1.xml><?xml version="1.0" encoding="utf-8"?>
<comments xmlns="http://schemas.openxmlformats.org/spreadsheetml/2006/main">
  <authors>
    <author>Ferdinando Ametrano</author>
  </authors>
  <commentList>
    <comment ref="D2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2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sharedStrings.xml><?xml version="1.0" encoding="utf-8"?>
<sst xmlns="http://schemas.openxmlformats.org/spreadsheetml/2006/main" count="786" uniqueCount="200">
  <si>
    <t>General Settings</t>
  </si>
  <si>
    <t>Currency</t>
  </si>
  <si>
    <t>EUR</t>
  </si>
  <si>
    <t>Calendar</t>
  </si>
  <si>
    <t>TARGET</t>
  </si>
  <si>
    <t>IborType</t>
  </si>
  <si>
    <t>OvenightIndex</t>
  </si>
  <si>
    <t>Eonia</t>
  </si>
  <si>
    <t>Permanent</t>
  </si>
  <si>
    <t>ObjectOverwrite</t>
  </si>
  <si>
    <t>SettlementDate</t>
  </si>
  <si>
    <t>Serialize</t>
  </si>
  <si>
    <t>SerializationPath</t>
  </si>
  <si>
    <t>OisEngine</t>
  </si>
  <si>
    <t>FileOverwrite</t>
  </si>
  <si>
    <t>Actual/360</t>
  </si>
  <si>
    <t>QuoteSuffix</t>
  </si>
  <si>
    <t>_Quote</t>
  </si>
  <si>
    <t>RateTickValue</t>
  </si>
  <si>
    <t>PriceTickValue</t>
  </si>
  <si>
    <t>Last update</t>
  </si>
  <si>
    <t>Live Data Feed</t>
  </si>
  <si>
    <t>Trigger</t>
  </si>
  <si>
    <t>Evaluation Date</t>
  </si>
  <si>
    <t>Interest Rates Trigger</t>
  </si>
  <si>
    <t>LastFixingsTrigger</t>
  </si>
  <si>
    <t>IborTenor</t>
  </si>
  <si>
    <t>1Y</t>
  </si>
  <si>
    <t>TriggerCounter</t>
  </si>
  <si>
    <t>NDays</t>
  </si>
  <si>
    <t>Accuracy</t>
  </si>
  <si>
    <t>TraitsID</t>
  </si>
  <si>
    <t>Discount</t>
  </si>
  <si>
    <t>InterpolatorID</t>
  </si>
  <si>
    <t>OIS</t>
  </si>
  <si>
    <t>α</t>
  </si>
  <si>
    <t>error</t>
  </si>
  <si>
    <t>x</t>
  </si>
  <si>
    <t>=</t>
  </si>
  <si>
    <t>Flat</t>
  </si>
  <si>
    <t>1M</t>
  </si>
  <si>
    <t>3M</t>
  </si>
  <si>
    <t>6M</t>
  </si>
  <si>
    <t>1D</t>
  </si>
  <si>
    <t>1W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</si>
  <si>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</si>
  <si>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</si>
  <si>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</si>
  <si>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</si>
  <si>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</si>
  <si>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</si>
  <si>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</si>
  <si>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</si>
  <si>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</si>
  <si>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</si>
  <si>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12M</t>
  </si>
  <si>
    <t>Quote</t>
  </si>
  <si>
    <t>RateHelper</t>
  </si>
  <si>
    <t>Quote Value</t>
  </si>
  <si>
    <t>Include Flag</t>
  </si>
  <si>
    <t>Earliest Date</t>
  </si>
  <si>
    <t>Latest Date</t>
  </si>
  <si>
    <t>AB12E</t>
  </si>
  <si>
    <t>BASIS</t>
  </si>
  <si>
    <t>3Y</t>
  </si>
  <si>
    <t>4Y</t>
  </si>
  <si>
    <t>5Y</t>
  </si>
  <si>
    <t>Selected</t>
  </si>
  <si>
    <t>Rate</t>
  </si>
  <si>
    <t>Fixing Date</t>
  </si>
  <si>
    <t>Value Date</t>
  </si>
  <si>
    <t>Maturity Date</t>
  </si>
  <si>
    <t>spread</t>
  </si>
  <si>
    <t>interp. FRA</t>
  </si>
  <si>
    <t>Depo Settings</t>
  </si>
  <si>
    <t>AllowInterpolation</t>
  </si>
  <si>
    <t>IborIndex</t>
  </si>
  <si>
    <t>BasisInterpolation</t>
  </si>
  <si>
    <t>BasisInterpolator</t>
  </si>
  <si>
    <t>MonotonicCubicNaturalSpline</t>
  </si>
  <si>
    <t>PiecewiseYieldCurve</t>
  </si>
  <si>
    <t>Error</t>
  </si>
  <si>
    <t>Triggers</t>
  </si>
  <si>
    <t>Linear</t>
  </si>
  <si>
    <t>Quadratic</t>
  </si>
  <si>
    <t>Instruments</t>
  </si>
  <si>
    <t>quadratic</t>
  </si>
  <si>
    <t>linear</t>
  </si>
  <si>
    <t>flat</t>
  </si>
  <si>
    <t>inverse matrix</t>
  </si>
  <si>
    <t>γ,β,α</t>
  </si>
  <si>
    <t>β,α</t>
  </si>
  <si>
    <t>coef α</t>
  </si>
  <si>
    <t>coef β</t>
  </si>
  <si>
    <t>coef γ</t>
  </si>
  <si>
    <t>tenor</t>
  </si>
  <si>
    <t>start date</t>
  </si>
  <si>
    <t>maturity date</t>
  </si>
  <si>
    <t>Discounting</t>
  </si>
  <si>
    <t>EURON</t>
  </si>
  <si>
    <t>Index</t>
  </si>
  <si>
    <t>selected</t>
  </si>
  <si>
    <t>Contributions</t>
  </si>
  <si>
    <t>Fwd start</t>
  </si>
  <si>
    <t>Freq</t>
  </si>
  <si>
    <t>Business Day Convention</t>
  </si>
  <si>
    <t>Day Count Convention</t>
  </si>
  <si>
    <t>Spread</t>
  </si>
  <si>
    <t>instruments</t>
  </si>
  <si>
    <t>Modified Following</t>
  </si>
  <si>
    <t>Rate Helpers included</t>
  </si>
  <si>
    <t>0D</t>
  </si>
  <si>
    <t>X1S</t>
  </si>
  <si>
    <t>Annual</t>
  </si>
  <si>
    <t>quad</t>
  </si>
  <si>
    <t>LogLinear</t>
  </si>
  <si>
    <t>6Y</t>
  </si>
  <si>
    <t>7Y</t>
  </si>
  <si>
    <t>8Y</t>
  </si>
  <si>
    <t>30/360 (Bond Basis)</t>
  </si>
  <si>
    <t>Discount factor</t>
  </si>
  <si>
    <t>Additional Settings</t>
  </si>
  <si>
    <t>tau</t>
  </si>
  <si>
    <t>P(d)</t>
  </si>
  <si>
    <t>P(d+x)</t>
  </si>
  <si>
    <t>F ON</t>
  </si>
  <si>
    <t>Delta</t>
  </si>
  <si>
    <t>Daycounter</t>
  </si>
  <si>
    <t>Selection</t>
  </si>
  <si>
    <t>Basis Interp</t>
  </si>
  <si>
    <t>tau 1</t>
  </si>
  <si>
    <t>tau 2</t>
  </si>
  <si>
    <t>Delta(0M;3M)extrap</t>
  </si>
  <si>
    <t>Delta(0M;1M)extrap</t>
  </si>
  <si>
    <t>Delta(0M;1Y)extrap</t>
  </si>
  <si>
    <t>Basis</t>
  </si>
  <si>
    <t>Discount Factor</t>
  </si>
  <si>
    <t>Tenor</t>
  </si>
  <si>
    <t>Diff (bps)</t>
  </si>
  <si>
    <t>γ</t>
  </si>
  <si>
    <t>β</t>
  </si>
  <si>
    <t>with 0X6</t>
  </si>
  <si>
    <t>without 0X6</t>
  </si>
  <si>
    <t>Exact Fit</t>
  </si>
  <si>
    <t>Best Fit</t>
  </si>
  <si>
    <t>Delta Exact</t>
  </si>
  <si>
    <t>Weigth</t>
  </si>
  <si>
    <t>Repricing Error</t>
  </si>
  <si>
    <t>FRA</t>
  </si>
  <si>
    <t>Quadratic (NO 0X6)</t>
  </si>
  <si>
    <t>Weigthed Error</t>
  </si>
  <si>
    <t>Fixing</t>
  </si>
  <si>
    <t>Min Dist</t>
  </si>
  <si>
    <t xml:space="preserve"> </t>
  </si>
  <si>
    <t>with 0X3</t>
  </si>
  <si>
    <t>without 0X3</t>
  </si>
  <si>
    <t>Value date</t>
  </si>
  <si>
    <t>ON 6M Index</t>
  </si>
  <si>
    <t>C0</t>
  </si>
  <si>
    <t>C1</t>
  </si>
  <si>
    <t>C2</t>
  </si>
  <si>
    <t>C3</t>
  </si>
  <si>
    <t>c0</t>
  </si>
  <si>
    <t>c1</t>
  </si>
  <si>
    <t>c2</t>
  </si>
  <si>
    <t>c3</t>
  </si>
  <si>
    <t>c4</t>
  </si>
  <si>
    <t>Tenor Basis</t>
  </si>
  <si>
    <t>Basis BestFit</t>
  </si>
  <si>
    <t>BestFit Selection</t>
  </si>
  <si>
    <t>Error (bps)</t>
  </si>
  <si>
    <t>Include</t>
  </si>
  <si>
    <t>Polynomial</t>
  </si>
  <si>
    <t>Quote object</t>
  </si>
  <si>
    <t>Set Value</t>
  </si>
  <si>
    <t>ESTIMATED</t>
  </si>
  <si>
    <t>0 X 6 EXACT</t>
  </si>
  <si>
    <t>0 X 6 BEST</t>
  </si>
  <si>
    <t>t</t>
  </si>
  <si>
    <t>Is simple</t>
  </si>
  <si>
    <t>B 6M Calculated</t>
  </si>
  <si>
    <t>Max Error</t>
  </si>
  <si>
    <t>Guess coefficients</t>
  </si>
  <si>
    <t>Calibration</t>
  </si>
  <si>
    <t>obj</t>
  </si>
  <si>
    <t>Compute</t>
  </si>
  <si>
    <t>EndCriteria</t>
  </si>
  <si>
    <t>Synth Depo</t>
  </si>
  <si>
    <t>ON index 3M</t>
  </si>
  <si>
    <t>Simple Basis Coeff</t>
  </si>
  <si>
    <t>Continuous Basis Coeff</t>
  </si>
  <si>
    <t>end date</t>
  </si>
  <si>
    <t xml:space="preserve">Cont Basis </t>
  </si>
  <si>
    <t>Simple Basis</t>
  </si>
  <si>
    <t>function</t>
  </si>
  <si>
    <t>With Simple Basis Approximation</t>
  </si>
  <si>
    <t>Using Continuous Basis</t>
  </si>
  <si>
    <t>Start Date</t>
  </si>
  <si>
    <t>End Date</t>
  </si>
  <si>
    <t>Using Simple 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</si>
</sst>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164" formatCode="&quot;£&quot;#,##0;[Red]\-&quot;£&quot;#,##0"/>
    <numFmt numFmtId="165" formatCode="#,##0.0;#,##0.0"/>
    <numFmt numFmtId="166" formatCode="_([$€-2]* #,##0.00_);_([$€-2]* \(#,##0.00\);_([$€-2]* &quot;-&quot;??_)"/>
    <numFmt numFmtId="167" formatCode="General_)"/>
    <numFmt numFmtId="168" formatCode="ddd\,\ dd\-mmm\-yyyy\ h:mm:ss"/>
    <numFmt numFmtId="169" formatCode="ddd\,\ d\-mmm\-yyyy"/>
    <numFmt numFmtId="170" formatCode="ddd\,\ d\-mmm\-yyyy\,\ hh:mm:ss"/>
    <numFmt numFmtId="171" formatCode="ddd\,\ dd\-mmm\-yyyy"/>
    <numFmt numFmtId="172" formatCode="0.0000%"/>
    <numFmt numFmtId="173" formatCode="0.0000"/>
    <numFmt numFmtId="174" formatCode="ddd\,\ dd\-mmm\-yyyy\,\ h:mm:ss"/>
    <numFmt numFmtId="175" formatCode="0.000000000"/>
    <numFmt numFmtId="176" formatCode="ddd\,\ d\-mmm\-yy"/>
    <numFmt numFmtId="177" formatCode="0.E+00"/>
    <numFmt numFmtId="178" formatCode="0.0000E+00"/>
    <numFmt numFmtId="179" formatCode="0.00000"/>
    <numFmt numFmtId="180" formatCode="0.000000"/>
    <numFmt numFmtId="181" formatCode="0.0000000000"/>
    <numFmt numFmtId="182" formatCode="0.0E+00"/>
    <numFmt numFmtId="183" formatCode="0.00000000"/>
    <numFmt numFmtId="184" formatCode="dd\-mmm\-yy"/>
  </numFmts>
  <fonts count="24" x14ac:knownFonts="1">
    <font>
      <sz val="8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sz val="14"/>
      <name val="Courier New"/>
      <family val="3"/>
    </font>
    <font>
      <sz val="8"/>
      <name val="Microsoft Sans Serif"/>
      <family val="2"/>
    </font>
    <font>
      <sz val="8"/>
      <color indexed="12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10"/>
      <name val="Courier New"/>
      <family val="3"/>
    </font>
    <font>
      <sz val="8"/>
      <color rgb="FFFF0000"/>
      <name val="Courier New"/>
      <family val="3"/>
    </font>
    <font>
      <sz val="9"/>
      <name val="Courier New"/>
      <family val="3"/>
    </font>
    <font>
      <sz val="8"/>
      <color theme="1"/>
      <name val="Courier New"/>
      <family val="3"/>
    </font>
    <font>
      <sz val="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fgColor auto="1"/>
        <bgColor theme="0" tint="-0.14996795556505021"/>
      </patternFill>
    </fill>
    <fill>
      <patternFill patternType="solid">
        <fgColor theme="8" tint="0.59999389629810485"/>
        <bgColor theme="8" tint="0.59996337778862885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</borders>
  <cellStyleXfs count="42">
    <xf numFmtId="0" fontId="0" fillId="0" borderId="0"/>
    <xf numFmtId="166" fontId="6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167" fontId="9" fillId="0" borderId="0"/>
    <xf numFmtId="165" fontId="7" fillId="2" borderId="0">
      <alignment horizontal="center"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0" fillId="0" borderId="0"/>
    <xf numFmtId="0" fontId="4" fillId="0" borderId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0" fontId="3" fillId="0" borderId="0"/>
    <xf numFmtId="9" fontId="12" fillId="0" borderId="0" applyFont="0" applyFill="0" applyBorder="0" applyAlignment="0" applyProtection="0"/>
    <xf numFmtId="0" fontId="5" fillId="0" borderId="0"/>
    <xf numFmtId="0" fontId="5" fillId="0" borderId="0"/>
    <xf numFmtId="0" fontId="2" fillId="0" borderId="0"/>
    <xf numFmtId="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9" fontId="5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2" fillId="0" borderId="0"/>
    <xf numFmtId="9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6" fillId="0" borderId="0" applyFont="0" applyFill="0" applyBorder="0" applyAlignment="0" applyProtection="0"/>
    <xf numFmtId="0" fontId="6" fillId="0" borderId="0"/>
    <xf numFmtId="9" fontId="1" fillId="0" borderId="0" applyFont="0" applyFill="0" applyBorder="0" applyAlignment="0" applyProtection="0"/>
    <xf numFmtId="0" fontId="1" fillId="0" borderId="0"/>
  </cellStyleXfs>
  <cellXfs count="553">
    <xf numFmtId="0" fontId="0" fillId="0" borderId="0" xfId="0"/>
    <xf numFmtId="0" fontId="11" fillId="3" borderId="0" xfId="15" applyFont="1" applyFill="1" applyBorder="1"/>
    <xf numFmtId="0" fontId="11" fillId="4" borderId="2" xfId="15" applyFont="1" applyFill="1" applyBorder="1" applyAlignment="1">
      <alignment horizontal="right"/>
    </xf>
    <xf numFmtId="0" fontId="11" fillId="3" borderId="2" xfId="15" applyFont="1" applyFill="1" applyBorder="1" applyAlignment="1">
      <alignment horizontal="center"/>
    </xf>
    <xf numFmtId="168" fontId="11" fillId="3" borderId="2" xfId="15" applyNumberFormat="1" applyFont="1" applyFill="1" applyBorder="1" applyAlignment="1">
      <alignment horizontal="center"/>
    </xf>
    <xf numFmtId="0" fontId="14" fillId="3" borderId="0" xfId="14" applyFont="1" applyFill="1" applyBorder="1"/>
    <xf numFmtId="169" fontId="11" fillId="3" borderId="2" xfId="17" applyNumberFormat="1" applyFont="1" applyFill="1" applyBorder="1" applyAlignment="1">
      <alignment horizontal="center"/>
    </xf>
    <xf numFmtId="0" fontId="14" fillId="4" borderId="2" xfId="14" applyNumberFormat="1" applyFont="1" applyFill="1" applyBorder="1"/>
    <xf numFmtId="171" fontId="11" fillId="3" borderId="3" xfId="17" applyNumberFormat="1" applyFont="1" applyFill="1" applyBorder="1" applyAlignment="1">
      <alignment horizontal="center"/>
    </xf>
    <xf numFmtId="169" fontId="11" fillId="3" borderId="3" xfId="17" applyNumberFormat="1" applyFont="1" applyFill="1" applyBorder="1" applyAlignment="1">
      <alignment horizontal="center"/>
    </xf>
    <xf numFmtId="0" fontId="11" fillId="3" borderId="0" xfId="0" applyFont="1" applyFill="1" applyBorder="1"/>
    <xf numFmtId="172" fontId="11" fillId="0" borderId="4" xfId="0" applyNumberFormat="1" applyFont="1" applyBorder="1"/>
    <xf numFmtId="0" fontId="11" fillId="0" borderId="0" xfId="14" applyFont="1"/>
    <xf numFmtId="0" fontId="11" fillId="5" borderId="0" xfId="15" applyFont="1" applyFill="1" applyBorder="1" applyAlignment="1">
      <alignment horizontal="right"/>
    </xf>
    <xf numFmtId="171" fontId="11" fillId="5" borderId="0" xfId="17" applyNumberFormat="1" applyFont="1" applyFill="1" applyBorder="1" applyAlignment="1">
      <alignment horizontal="center"/>
    </xf>
    <xf numFmtId="1" fontId="11" fillId="3" borderId="2" xfId="15" applyNumberFormat="1" applyFont="1" applyFill="1" applyBorder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11" fillId="4" borderId="2" xfId="15" applyFont="1" applyFill="1" applyBorder="1" applyAlignment="1">
      <alignment horizontal="right" vertical="center"/>
    </xf>
    <xf numFmtId="169" fontId="11" fillId="6" borderId="2" xfId="11" applyNumberFormat="1" applyFont="1" applyFill="1" applyBorder="1" applyAlignment="1">
      <alignment horizontal="center"/>
    </xf>
    <xf numFmtId="0" fontId="11" fillId="3" borderId="2" xfId="0" applyNumberFormat="1" applyFont="1" applyFill="1" applyBorder="1" applyAlignment="1">
      <alignment horizontal="center"/>
    </xf>
    <xf numFmtId="169" fontId="11" fillId="3" borderId="9" xfId="0" applyNumberFormat="1" applyFont="1" applyFill="1" applyBorder="1" applyAlignment="1">
      <alignment horizontal="right"/>
    </xf>
    <xf numFmtId="175" fontId="11" fillId="3" borderId="10" xfId="0" applyNumberFormat="1" applyFont="1" applyFill="1" applyBorder="1" applyAlignment="1">
      <alignment horizontal="center"/>
    </xf>
    <xf numFmtId="169" fontId="11" fillId="3" borderId="11" xfId="0" applyNumberFormat="1" applyFont="1" applyFill="1" applyBorder="1" applyAlignment="1">
      <alignment horizontal="right"/>
    </xf>
    <xf numFmtId="0" fontId="11" fillId="3" borderId="8" xfId="0" applyFont="1" applyFill="1" applyBorder="1" applyAlignment="1">
      <alignment horizontal="center"/>
    </xf>
    <xf numFmtId="0" fontId="17" fillId="4" borderId="9" xfId="0" applyFont="1" applyFill="1" applyBorder="1" applyAlignment="1">
      <alignment horizontal="right"/>
    </xf>
    <xf numFmtId="0" fontId="17" fillId="4" borderId="11" xfId="0" applyFont="1" applyFill="1" applyBorder="1" applyAlignment="1">
      <alignment horizontal="right"/>
    </xf>
    <xf numFmtId="0" fontId="15" fillId="3" borderId="0" xfId="15" applyFont="1" applyFill="1" applyBorder="1" applyAlignment="1">
      <alignment horizontal="right" vertical="center"/>
    </xf>
    <xf numFmtId="174" fontId="16" fillId="3" borderId="0" xfId="15" applyNumberFormat="1" applyFont="1" applyFill="1" applyBorder="1" applyAlignment="1">
      <alignment horizontal="right" vertical="center"/>
    </xf>
    <xf numFmtId="0" fontId="16" fillId="3" borderId="0" xfId="15" quotePrefix="1" applyFont="1" applyFill="1" applyBorder="1" applyAlignment="1">
      <alignment horizontal="center" vertical="center"/>
    </xf>
    <xf numFmtId="169" fontId="12" fillId="3" borderId="0" xfId="17" applyNumberFormat="1" applyFont="1" applyFill="1" applyBorder="1" applyAlignment="1">
      <alignment horizontal="center" vertical="center"/>
    </xf>
    <xf numFmtId="171" fontId="11" fillId="3" borderId="2" xfId="15" applyNumberFormat="1" applyFont="1" applyFill="1" applyBorder="1" applyAlignment="1">
      <alignment horizontal="center"/>
    </xf>
    <xf numFmtId="1" fontId="11" fillId="3" borderId="2" xfId="17" applyNumberFormat="1" applyFont="1" applyFill="1" applyBorder="1" applyAlignment="1">
      <alignment horizontal="center"/>
    </xf>
    <xf numFmtId="1" fontId="11" fillId="3" borderId="3" xfId="17" applyNumberFormat="1" applyFont="1" applyFill="1" applyBorder="1" applyAlignment="1">
      <alignment horizontal="center"/>
    </xf>
    <xf numFmtId="0" fontId="11" fillId="5" borderId="4" xfId="14" applyNumberFormat="1" applyFont="1" applyFill="1" applyBorder="1" applyAlignment="1">
      <alignment horizontal="center"/>
    </xf>
    <xf numFmtId="0" fontId="11" fillId="5" borderId="4" xfId="33" applyNumberFormat="1" applyFont="1" applyFill="1" applyBorder="1" applyAlignment="1">
      <alignment horizontal="center"/>
    </xf>
    <xf numFmtId="0" fontId="11" fillId="5" borderId="4" xfId="30" applyNumberFormat="1" applyFont="1" applyFill="1" applyBorder="1" applyAlignment="1">
      <alignment horizontal="center"/>
    </xf>
    <xf numFmtId="0" fontId="11" fillId="5" borderId="4" xfId="14" applyFont="1" applyFill="1" applyBorder="1" applyAlignment="1">
      <alignment horizontal="center"/>
    </xf>
    <xf numFmtId="172" fontId="11" fillId="5" borderId="4" xfId="14" applyNumberFormat="1" applyFont="1" applyFill="1" applyBorder="1" applyAlignment="1">
      <alignment horizontal="left"/>
    </xf>
    <xf numFmtId="0" fontId="11" fillId="5" borderId="4" xfId="14" applyNumberFormat="1" applyFont="1" applyFill="1" applyBorder="1" applyAlignment="1">
      <alignment horizontal="left"/>
    </xf>
    <xf numFmtId="0" fontId="11" fillId="5" borderId="4" xfId="14" applyNumberFormat="1" applyFont="1" applyFill="1" applyBorder="1" applyAlignment="1"/>
    <xf numFmtId="0" fontId="11" fillId="5" borderId="4" xfId="14" applyFont="1" applyFill="1" applyBorder="1"/>
    <xf numFmtId="172" fontId="11" fillId="5" borderId="4" xfId="14" applyNumberFormat="1" applyFont="1" applyFill="1" applyBorder="1"/>
    <xf numFmtId="171" fontId="11" fillId="5" borderId="4" xfId="14" applyNumberFormat="1" applyFont="1" applyFill="1" applyBorder="1"/>
    <xf numFmtId="0" fontId="11" fillId="5" borderId="11" xfId="14" applyNumberFormat="1" applyFont="1" applyFill="1" applyBorder="1" applyAlignment="1">
      <alignment horizontal="center"/>
    </xf>
    <xf numFmtId="0" fontId="11" fillId="5" borderId="11" xfId="33" applyNumberFormat="1" applyFont="1" applyFill="1" applyBorder="1" applyAlignment="1">
      <alignment horizontal="center"/>
    </xf>
    <xf numFmtId="0" fontId="11" fillId="5" borderId="11" xfId="30" applyNumberFormat="1" applyFont="1" applyFill="1" applyBorder="1" applyAlignment="1">
      <alignment horizontal="center"/>
    </xf>
    <xf numFmtId="0" fontId="11" fillId="5" borderId="11" xfId="14" applyFont="1" applyFill="1" applyBorder="1" applyAlignment="1">
      <alignment horizontal="center"/>
    </xf>
    <xf numFmtId="172" fontId="11" fillId="5" borderId="11" xfId="14" applyNumberFormat="1" applyFont="1" applyFill="1" applyBorder="1" applyAlignment="1">
      <alignment horizontal="left"/>
    </xf>
    <xf numFmtId="0" fontId="11" fillId="5" borderId="11" xfId="14" applyFont="1" applyFill="1" applyBorder="1"/>
    <xf numFmtId="172" fontId="11" fillId="5" borderId="11" xfId="14" applyNumberFormat="1" applyFont="1" applyFill="1" applyBorder="1"/>
    <xf numFmtId="171" fontId="11" fillId="5" borderId="11" xfId="14" applyNumberFormat="1" applyFont="1" applyFill="1" applyBorder="1"/>
    <xf numFmtId="175" fontId="11" fillId="5" borderId="9" xfId="14" applyNumberFormat="1" applyFont="1" applyFill="1" applyBorder="1"/>
    <xf numFmtId="175" fontId="11" fillId="5" borderId="4" xfId="14" applyNumberFormat="1" applyFont="1" applyFill="1" applyBorder="1"/>
    <xf numFmtId="175" fontId="11" fillId="5" borderId="11" xfId="14" applyNumberFormat="1" applyFont="1" applyFill="1" applyBorder="1"/>
    <xf numFmtId="0" fontId="11" fillId="0" borderId="9" xfId="14" applyFont="1" applyBorder="1"/>
    <xf numFmtId="0" fontId="11" fillId="0" borderId="4" xfId="14" applyFont="1" applyBorder="1"/>
    <xf numFmtId="0" fontId="11" fillId="0" borderId="11" xfId="14" applyFont="1" applyBorder="1"/>
    <xf numFmtId="0" fontId="11" fillId="6" borderId="2" xfId="11" applyNumberFormat="1" applyFont="1" applyFill="1" applyBorder="1" applyAlignment="1">
      <alignment horizontal="center"/>
    </xf>
    <xf numFmtId="0" fontId="11" fillId="5" borderId="11" xfId="14" applyNumberFormat="1" applyFont="1" applyFill="1" applyBorder="1" applyAlignment="1">
      <alignment horizontal="left"/>
    </xf>
    <xf numFmtId="0" fontId="11" fillId="5" borderId="11" xfId="14" applyNumberFormat="1" applyFont="1" applyFill="1" applyBorder="1" applyAlignment="1"/>
    <xf numFmtId="0" fontId="11" fillId="0" borderId="15" xfId="14" applyFont="1" applyBorder="1"/>
    <xf numFmtId="0" fontId="11" fillId="0" borderId="9" xfId="14" applyFont="1" applyBorder="1" applyAlignment="1">
      <alignment horizontal="left"/>
    </xf>
    <xf numFmtId="0" fontId="11" fillId="0" borderId="14" xfId="14" applyFont="1" applyBorder="1"/>
    <xf numFmtId="0" fontId="11" fillId="0" borderId="15" xfId="30" applyFont="1" applyBorder="1"/>
    <xf numFmtId="0" fontId="11" fillId="0" borderId="10" xfId="14" applyFont="1" applyBorder="1"/>
    <xf numFmtId="0" fontId="11" fillId="5" borderId="9" xfId="14" applyNumberFormat="1" applyFont="1" applyFill="1" applyBorder="1" applyAlignment="1">
      <alignment horizontal="center"/>
    </xf>
    <xf numFmtId="0" fontId="11" fillId="5" borderId="9" xfId="33" applyNumberFormat="1" applyFont="1" applyFill="1" applyBorder="1" applyAlignment="1">
      <alignment horizontal="center"/>
    </xf>
    <xf numFmtId="0" fontId="11" fillId="5" borderId="9" xfId="30" applyNumberFormat="1" applyFont="1" applyFill="1" applyBorder="1" applyAlignment="1">
      <alignment horizontal="center"/>
    </xf>
    <xf numFmtId="0" fontId="11" fillId="5" borderId="9" xfId="14" applyFont="1" applyFill="1" applyBorder="1" applyAlignment="1">
      <alignment horizontal="center"/>
    </xf>
    <xf numFmtId="172" fontId="11" fillId="5" borderId="9" xfId="14" applyNumberFormat="1" applyFont="1" applyFill="1" applyBorder="1" applyAlignment="1">
      <alignment horizontal="left"/>
    </xf>
    <xf numFmtId="0" fontId="11" fillId="5" borderId="9" xfId="14" applyNumberFormat="1" applyFont="1" applyFill="1" applyBorder="1" applyAlignment="1">
      <alignment horizontal="left"/>
    </xf>
    <xf numFmtId="0" fontId="11" fillId="5" borderId="9" xfId="14" applyNumberFormat="1" applyFont="1" applyFill="1" applyBorder="1" applyAlignment="1"/>
    <xf numFmtId="0" fontId="11" fillId="5" borderId="9" xfId="14" applyFont="1" applyFill="1" applyBorder="1"/>
    <xf numFmtId="175" fontId="11" fillId="3" borderId="9" xfId="0" applyNumberFormat="1" applyFont="1" applyFill="1" applyBorder="1" applyAlignment="1">
      <alignment horizontal="center"/>
    </xf>
    <xf numFmtId="175" fontId="11" fillId="3" borderId="11" xfId="0" applyNumberFormat="1" applyFont="1" applyFill="1" applyBorder="1" applyAlignment="1">
      <alignment horizontal="center"/>
    </xf>
    <xf numFmtId="0" fontId="11" fillId="5" borderId="2" xfId="14" applyNumberFormat="1" applyFont="1" applyFill="1" applyBorder="1" applyAlignment="1">
      <alignment horizontal="center"/>
    </xf>
    <xf numFmtId="0" fontId="11" fillId="0" borderId="15" xfId="30" applyFont="1" applyBorder="1" applyAlignment="1">
      <alignment horizontal="center" vertical="center"/>
    </xf>
    <xf numFmtId="0" fontId="11" fillId="0" borderId="14" xfId="14" applyFont="1" applyBorder="1" applyAlignment="1">
      <alignment horizontal="center" vertical="center"/>
    </xf>
    <xf numFmtId="172" fontId="11" fillId="5" borderId="4" xfId="14" applyNumberFormat="1" applyFont="1" applyFill="1" applyBorder="1" applyAlignment="1">
      <alignment horizontal="center" vertical="center"/>
    </xf>
    <xf numFmtId="172" fontId="11" fillId="5" borderId="11" xfId="14" applyNumberFormat="1" applyFont="1" applyFill="1" applyBorder="1" applyAlignment="1">
      <alignment horizontal="center" vertical="center"/>
    </xf>
    <xf numFmtId="172" fontId="11" fillId="5" borderId="9" xfId="14" applyNumberFormat="1" applyFont="1" applyFill="1" applyBorder="1"/>
    <xf numFmtId="172" fontId="11" fillId="5" borderId="9" xfId="14" applyNumberFormat="1" applyFont="1" applyFill="1" applyBorder="1" applyAlignment="1">
      <alignment horizontal="center" vertical="center"/>
    </xf>
    <xf numFmtId="171" fontId="11" fillId="5" borderId="9" xfId="14" applyNumberFormat="1" applyFont="1" applyFill="1" applyBorder="1"/>
    <xf numFmtId="0" fontId="11" fillId="0" borderId="9" xfId="8" applyFont="1" applyBorder="1"/>
    <xf numFmtId="171" fontId="11" fillId="0" borderId="9" xfId="8" applyNumberFormat="1" applyFont="1" applyBorder="1"/>
    <xf numFmtId="0" fontId="11" fillId="0" borderId="4" xfId="8" applyFont="1" applyBorder="1"/>
    <xf numFmtId="171" fontId="11" fillId="0" borderId="4" xfId="8" applyNumberFormat="1" applyFont="1" applyBorder="1"/>
    <xf numFmtId="0" fontId="11" fillId="0" borderId="11" xfId="8" applyFont="1" applyBorder="1"/>
    <xf numFmtId="171" fontId="11" fillId="0" borderId="11" xfId="8" applyNumberFormat="1" applyFont="1" applyBorder="1"/>
    <xf numFmtId="173" fontId="11" fillId="0" borderId="4" xfId="0" applyNumberFormat="1" applyFont="1" applyBorder="1"/>
    <xf numFmtId="175" fontId="11" fillId="0" borderId="4" xfId="0" applyNumberFormat="1" applyFont="1" applyBorder="1"/>
    <xf numFmtId="173" fontId="11" fillId="0" borderId="4" xfId="14" applyNumberFormat="1" applyFont="1" applyBorder="1"/>
    <xf numFmtId="172" fontId="11" fillId="0" borderId="4" xfId="14" applyNumberFormat="1" applyFont="1" applyBorder="1"/>
    <xf numFmtId="173" fontId="11" fillId="0" borderId="9" xfId="0" applyNumberFormat="1" applyFont="1" applyBorder="1"/>
    <xf numFmtId="172" fontId="11" fillId="0" borderId="9" xfId="0" applyNumberFormat="1" applyFont="1" applyBorder="1"/>
    <xf numFmtId="175" fontId="11" fillId="0" borderId="9" xfId="0" applyNumberFormat="1" applyFont="1" applyBorder="1"/>
    <xf numFmtId="173" fontId="11" fillId="0" borderId="11" xfId="14" applyNumberFormat="1" applyFont="1" applyBorder="1"/>
    <xf numFmtId="172" fontId="11" fillId="0" borderId="11" xfId="14" applyNumberFormat="1" applyFont="1" applyBorder="1"/>
    <xf numFmtId="172" fontId="11" fillId="0" borderId="11" xfId="0" applyNumberFormat="1" applyFont="1" applyBorder="1"/>
    <xf numFmtId="175" fontId="11" fillId="0" borderId="11" xfId="0" applyNumberFormat="1" applyFont="1" applyBorder="1"/>
    <xf numFmtId="0" fontId="11" fillId="5" borderId="0" xfId="15" applyFont="1" applyFill="1" applyBorder="1" applyAlignment="1">
      <alignment horizontal="right" vertical="center"/>
    </xf>
    <xf numFmtId="169" fontId="11" fillId="5" borderId="0" xfId="17" applyNumberFormat="1" applyFont="1" applyFill="1" applyBorder="1" applyAlignment="1">
      <alignment horizontal="center"/>
    </xf>
    <xf numFmtId="180" fontId="11" fillId="0" borderId="9" xfId="0" applyNumberFormat="1" applyFont="1" applyBorder="1"/>
    <xf numFmtId="180" fontId="11" fillId="0" borderId="4" xfId="0" applyNumberFormat="1" applyFont="1" applyBorder="1"/>
    <xf numFmtId="180" fontId="11" fillId="0" borderId="11" xfId="0" applyNumberFormat="1" applyFont="1" applyBorder="1"/>
    <xf numFmtId="0" fontId="11" fillId="8" borderId="0" xfId="15" applyFont="1" applyFill="1"/>
    <xf numFmtId="0" fontId="11" fillId="8" borderId="0" xfId="16" applyFont="1" applyFill="1"/>
    <xf numFmtId="0" fontId="11" fillId="8" borderId="0" xfId="15" applyFont="1" applyFill="1" applyBorder="1"/>
    <xf numFmtId="170" fontId="14" fillId="10" borderId="3" xfId="14" applyNumberFormat="1" applyFont="1" applyFill="1" applyBorder="1" applyAlignment="1" applyProtection="1">
      <alignment horizontal="center"/>
    </xf>
    <xf numFmtId="170" fontId="14" fillId="10" borderId="3" xfId="14" quotePrefix="1" applyNumberFormat="1" applyFont="1" applyFill="1" applyBorder="1" applyAlignment="1" applyProtection="1">
      <alignment horizontal="left"/>
    </xf>
    <xf numFmtId="170" fontId="14" fillId="10" borderId="3" xfId="14" quotePrefix="1" applyNumberFormat="1" applyFont="1" applyFill="1" applyBorder="1" applyAlignment="1" applyProtection="1">
      <alignment horizontal="center"/>
    </xf>
    <xf numFmtId="172" fontId="14" fillId="10" borderId="3" xfId="14" quotePrefix="1" applyNumberFormat="1" applyFont="1" applyFill="1" applyBorder="1" applyAlignment="1" applyProtection="1">
      <alignment horizontal="center"/>
    </xf>
    <xf numFmtId="173" fontId="14" fillId="10" borderId="3" xfId="14" quotePrefix="1" applyNumberFormat="1" applyFont="1" applyFill="1" applyBorder="1" applyAlignment="1" applyProtection="1">
      <alignment horizontal="center"/>
    </xf>
    <xf numFmtId="176" fontId="11" fillId="10" borderId="10" xfId="0" quotePrefix="1" applyNumberFormat="1" applyFont="1" applyFill="1" applyBorder="1" applyAlignment="1">
      <alignment horizontal="center"/>
    </xf>
    <xf numFmtId="1" fontId="16" fillId="10" borderId="8" xfId="0" applyNumberFormat="1" applyFont="1" applyFill="1" applyBorder="1" applyAlignment="1">
      <alignment horizontal="left"/>
    </xf>
    <xf numFmtId="0" fontId="11" fillId="8" borderId="0" xfId="0" applyFont="1" applyFill="1"/>
    <xf numFmtId="0" fontId="11" fillId="8" borderId="0" xfId="0" applyNumberFormat="1" applyFont="1" applyFill="1"/>
    <xf numFmtId="0" fontId="11" fillId="8" borderId="0" xfId="0" applyFont="1" applyFill="1" applyBorder="1"/>
    <xf numFmtId="0" fontId="11" fillId="8" borderId="0" xfId="0" applyFont="1" applyFill="1" applyBorder="1" applyAlignment="1"/>
    <xf numFmtId="171" fontId="11" fillId="8" borderId="0" xfId="0" applyNumberFormat="1" applyFont="1" applyFill="1" applyBorder="1" applyAlignment="1"/>
    <xf numFmtId="172" fontId="11" fillId="8" borderId="0" xfId="0" applyNumberFormat="1" applyFont="1" applyFill="1" applyBorder="1" applyAlignment="1"/>
    <xf numFmtId="173" fontId="11" fillId="8" borderId="0" xfId="0" applyNumberFormat="1" applyFont="1" applyFill="1" applyBorder="1"/>
    <xf numFmtId="172" fontId="11" fillId="8" borderId="0" xfId="17" applyNumberFormat="1" applyFont="1" applyFill="1" applyBorder="1"/>
    <xf numFmtId="0" fontId="19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11" fillId="8" borderId="0" xfId="0" applyFont="1" applyFill="1" applyAlignment="1"/>
    <xf numFmtId="2" fontId="11" fillId="8" borderId="0" xfId="0" applyNumberFormat="1" applyFont="1" applyFill="1"/>
    <xf numFmtId="2" fontId="11" fillId="8" borderId="6" xfId="0" applyNumberFormat="1" applyFont="1" applyFill="1" applyBorder="1" applyAlignment="1">
      <alignment horizontal="center" vertical="center"/>
    </xf>
    <xf numFmtId="2" fontId="11" fillId="8" borderId="5" xfId="0" applyNumberFormat="1" applyFont="1" applyFill="1" applyBorder="1" applyAlignment="1">
      <alignment horizontal="center" vertical="center"/>
    </xf>
    <xf numFmtId="172" fontId="11" fillId="8" borderId="4" xfId="0" applyNumberFormat="1" applyFont="1" applyFill="1" applyBorder="1" applyAlignment="1">
      <alignment vertical="center"/>
    </xf>
    <xf numFmtId="172" fontId="11" fillId="8" borderId="4" xfId="0" applyNumberFormat="1" applyFont="1" applyFill="1" applyBorder="1" applyAlignment="1"/>
    <xf numFmtId="0" fontId="11" fillId="8" borderId="0" xfId="0" applyFont="1" applyFill="1" applyAlignment="1">
      <alignment vertical="center"/>
    </xf>
    <xf numFmtId="0" fontId="21" fillId="8" borderId="0" xfId="0" applyFont="1" applyFill="1" applyAlignment="1">
      <alignment horizontal="center" vertical="center"/>
    </xf>
    <xf numFmtId="2" fontId="11" fillId="8" borderId="0" xfId="0" applyNumberFormat="1" applyFont="1" applyFill="1" applyBorder="1" applyAlignment="1">
      <alignment horizontal="center" vertical="center"/>
    </xf>
    <xf numFmtId="2" fontId="11" fillId="8" borderId="0" xfId="0" applyNumberFormat="1" applyFont="1" applyFill="1" applyBorder="1"/>
    <xf numFmtId="2" fontId="11" fillId="8" borderId="0" xfId="0" applyNumberFormat="1" applyFont="1" applyFill="1" applyBorder="1" applyAlignment="1"/>
    <xf numFmtId="0" fontId="11" fillId="8" borderId="0" xfId="0" applyFont="1" applyFill="1" applyBorder="1" applyAlignment="1">
      <alignment horizontal="center"/>
    </xf>
    <xf numFmtId="0" fontId="11" fillId="8" borderId="0" xfId="0" applyFont="1" applyFill="1" applyAlignment="1">
      <alignment horizontal="center" vertical="center"/>
    </xf>
    <xf numFmtId="2" fontId="11" fillId="8" borderId="4" xfId="0" applyNumberFormat="1" applyFont="1" applyFill="1" applyBorder="1" applyAlignment="1">
      <alignment horizontal="center" vertical="center"/>
    </xf>
    <xf numFmtId="178" fontId="11" fillId="8" borderId="0" xfId="0" applyNumberFormat="1" applyFont="1" applyFill="1"/>
    <xf numFmtId="172" fontId="11" fillId="8" borderId="0" xfId="0" applyNumberFormat="1" applyFont="1" applyFill="1" applyBorder="1"/>
    <xf numFmtId="172" fontId="11" fillId="8" borderId="0" xfId="0" applyNumberFormat="1" applyFont="1" applyFill="1"/>
    <xf numFmtId="0" fontId="11" fillId="9" borderId="2" xfId="0" applyFont="1" applyFill="1" applyBorder="1" applyAlignment="1">
      <alignment horizontal="center" vertical="center" wrapText="1"/>
    </xf>
    <xf numFmtId="0" fontId="11" fillId="9" borderId="12" xfId="0" applyFont="1" applyFill="1" applyBorder="1" applyAlignment="1">
      <alignment horizontal="center" vertical="center" wrapText="1"/>
    </xf>
    <xf numFmtId="0" fontId="17" fillId="7" borderId="9" xfId="0" applyFont="1" applyFill="1" applyBorder="1" applyAlignment="1">
      <alignment horizontal="centerContinuous" vertical="center" wrapText="1"/>
    </xf>
    <xf numFmtId="0" fontId="17" fillId="7" borderId="2" xfId="0" applyFont="1" applyFill="1" applyBorder="1" applyAlignment="1">
      <alignment horizontal="center" vertical="center" wrapText="1"/>
    </xf>
    <xf numFmtId="0" fontId="17" fillId="7" borderId="2" xfId="0" applyFont="1" applyFill="1" applyBorder="1" applyAlignment="1">
      <alignment horizontal="centerContinuous" vertical="center" wrapText="1"/>
    </xf>
    <xf numFmtId="0" fontId="11" fillId="11" borderId="2" xfId="0" applyFont="1" applyFill="1" applyBorder="1" applyAlignment="1"/>
    <xf numFmtId="171" fontId="11" fillId="11" borderId="2" xfId="0" applyNumberFormat="1" applyFont="1" applyFill="1" applyBorder="1" applyAlignment="1"/>
    <xf numFmtId="180" fontId="20" fillId="11" borderId="2" xfId="0" applyNumberFormat="1" applyFont="1" applyFill="1" applyBorder="1" applyAlignment="1"/>
    <xf numFmtId="173" fontId="11" fillId="11" borderId="2" xfId="0" applyNumberFormat="1" applyFont="1" applyFill="1" applyBorder="1"/>
    <xf numFmtId="172" fontId="11" fillId="11" borderId="2" xfId="17" applyNumberFormat="1" applyFont="1" applyFill="1" applyBorder="1"/>
    <xf numFmtId="0" fontId="11" fillId="11" borderId="4" xfId="0" applyFont="1" applyFill="1" applyBorder="1" applyAlignment="1"/>
    <xf numFmtId="171" fontId="11" fillId="11" borderId="4" xfId="0" applyNumberFormat="1" applyFont="1" applyFill="1" applyBorder="1" applyAlignment="1"/>
    <xf numFmtId="180" fontId="11" fillId="11" borderId="4" xfId="0" applyNumberFormat="1" applyFont="1" applyFill="1" applyBorder="1" applyAlignment="1"/>
    <xf numFmtId="173" fontId="11" fillId="11" borderId="4" xfId="0" applyNumberFormat="1" applyFont="1" applyFill="1" applyBorder="1"/>
    <xf numFmtId="172" fontId="11" fillId="11" borderId="4" xfId="17" applyNumberFormat="1" applyFont="1" applyFill="1" applyBorder="1"/>
    <xf numFmtId="0" fontId="11" fillId="11" borderId="11" xfId="0" applyFont="1" applyFill="1" applyBorder="1" applyAlignment="1"/>
    <xf numFmtId="171" fontId="11" fillId="11" borderId="11" xfId="0" applyNumberFormat="1" applyFont="1" applyFill="1" applyBorder="1" applyAlignment="1"/>
    <xf numFmtId="180" fontId="11" fillId="11" borderId="11" xfId="0" applyNumberFormat="1" applyFont="1" applyFill="1" applyBorder="1" applyAlignment="1"/>
    <xf numFmtId="173" fontId="11" fillId="11" borderId="11" xfId="0" applyNumberFormat="1" applyFont="1" applyFill="1" applyBorder="1"/>
    <xf numFmtId="172" fontId="11" fillId="11" borderId="11" xfId="17" applyNumberFormat="1" applyFont="1" applyFill="1" applyBorder="1"/>
    <xf numFmtId="0" fontId="11" fillId="11" borderId="9" xfId="0" applyFont="1" applyFill="1" applyBorder="1" applyAlignment="1">
      <alignment horizontal="center" vertical="center"/>
    </xf>
    <xf numFmtId="171" fontId="11" fillId="11" borderId="9" xfId="0" applyNumberFormat="1" applyFont="1" applyFill="1" applyBorder="1" applyAlignment="1"/>
    <xf numFmtId="171" fontId="11" fillId="11" borderId="9" xfId="0" applyNumberFormat="1" applyFont="1" applyFill="1" applyBorder="1"/>
    <xf numFmtId="173" fontId="11" fillId="11" borderId="9" xfId="0" applyNumberFormat="1" applyFont="1" applyFill="1" applyBorder="1"/>
    <xf numFmtId="175" fontId="11" fillId="11" borderId="9" xfId="0" applyNumberFormat="1" applyFont="1" applyFill="1" applyBorder="1"/>
    <xf numFmtId="172" fontId="11" fillId="11" borderId="4" xfId="0" applyNumberFormat="1" applyFont="1" applyFill="1" applyBorder="1"/>
    <xf numFmtId="0" fontId="11" fillId="11" borderId="4" xfId="0" applyFont="1" applyFill="1" applyBorder="1" applyAlignment="1">
      <alignment horizontal="center" vertical="center"/>
    </xf>
    <xf numFmtId="171" fontId="11" fillId="11" borderId="4" xfId="0" applyNumberFormat="1" applyFont="1" applyFill="1" applyBorder="1"/>
    <xf numFmtId="175" fontId="11" fillId="11" borderId="4" xfId="0" applyNumberFormat="1" applyFont="1" applyFill="1" applyBorder="1"/>
    <xf numFmtId="175" fontId="11" fillId="11" borderId="4" xfId="17" applyNumberFormat="1" applyFont="1" applyFill="1" applyBorder="1"/>
    <xf numFmtId="0" fontId="11" fillId="11" borderId="11" xfId="0" applyFont="1" applyFill="1" applyBorder="1" applyAlignment="1">
      <alignment horizontal="center" vertical="center"/>
    </xf>
    <xf numFmtId="171" fontId="11" fillId="11" borderId="11" xfId="0" applyNumberFormat="1" applyFont="1" applyFill="1" applyBorder="1"/>
    <xf numFmtId="175" fontId="11" fillId="11" borderId="11" xfId="0" applyNumberFormat="1" applyFont="1" applyFill="1" applyBorder="1"/>
    <xf numFmtId="175" fontId="11" fillId="11" borderId="11" xfId="17" applyNumberFormat="1" applyFont="1" applyFill="1" applyBorder="1"/>
    <xf numFmtId="172" fontId="11" fillId="11" borderId="11" xfId="0" applyNumberFormat="1" applyFont="1" applyFill="1" applyBorder="1"/>
    <xf numFmtId="171" fontId="11" fillId="11" borderId="2" xfId="0" applyNumberFormat="1" applyFont="1" applyFill="1" applyBorder="1" applyAlignment="1">
      <alignment horizontal="center" vertical="center"/>
    </xf>
    <xf numFmtId="171" fontId="11" fillId="11" borderId="2" xfId="0" applyNumberFormat="1" applyFont="1" applyFill="1" applyBorder="1" applyAlignment="1">
      <alignment vertical="center"/>
    </xf>
    <xf numFmtId="172" fontId="11" fillId="11" borderId="2" xfId="0" applyNumberFormat="1" applyFont="1" applyFill="1" applyBorder="1" applyAlignment="1">
      <alignment horizontal="center" vertical="center"/>
    </xf>
    <xf numFmtId="172" fontId="11" fillId="11" borderId="9" xfId="0" applyNumberFormat="1" applyFont="1" applyFill="1" applyBorder="1"/>
    <xf numFmtId="0" fontId="11" fillId="9" borderId="15" xfId="0" applyFont="1" applyFill="1" applyBorder="1"/>
    <xf numFmtId="175" fontId="11" fillId="11" borderId="2" xfId="0" applyNumberFormat="1" applyFont="1" applyFill="1" applyBorder="1" applyAlignment="1"/>
    <xf numFmtId="173" fontId="11" fillId="11" borderId="2" xfId="0" applyNumberFormat="1" applyFont="1" applyFill="1" applyBorder="1" applyAlignment="1"/>
    <xf numFmtId="172" fontId="11" fillId="11" borderId="2" xfId="0" applyNumberFormat="1" applyFont="1" applyFill="1" applyBorder="1" applyAlignment="1"/>
    <xf numFmtId="175" fontId="11" fillId="11" borderId="4" xfId="0" applyNumberFormat="1" applyFont="1" applyFill="1" applyBorder="1" applyAlignment="1"/>
    <xf numFmtId="173" fontId="11" fillId="11" borderId="4" xfId="0" applyNumberFormat="1" applyFont="1" applyFill="1" applyBorder="1" applyAlignment="1"/>
    <xf numFmtId="172" fontId="11" fillId="11" borderId="4" xfId="0" applyNumberFormat="1" applyFont="1" applyFill="1" applyBorder="1" applyAlignment="1"/>
    <xf numFmtId="175" fontId="11" fillId="11" borderId="11" xfId="0" applyNumberFormat="1" applyFont="1" applyFill="1" applyBorder="1" applyAlignment="1"/>
    <xf numFmtId="173" fontId="11" fillId="11" borderId="11" xfId="0" applyNumberFormat="1" applyFont="1" applyFill="1" applyBorder="1" applyAlignment="1"/>
    <xf numFmtId="172" fontId="11" fillId="11" borderId="11" xfId="0" applyNumberFormat="1" applyFont="1" applyFill="1" applyBorder="1" applyAlignment="1"/>
    <xf numFmtId="0" fontId="11" fillId="11" borderId="0" xfId="0" applyFont="1" applyFill="1" applyBorder="1"/>
    <xf numFmtId="175" fontId="11" fillId="11" borderId="14" xfId="0" applyNumberFormat="1" applyFont="1" applyFill="1" applyBorder="1"/>
    <xf numFmtId="172" fontId="11" fillId="11" borderId="6" xfId="0" applyNumberFormat="1" applyFont="1" applyFill="1" applyBorder="1"/>
    <xf numFmtId="175" fontId="11" fillId="11" borderId="6" xfId="0" applyNumberFormat="1" applyFont="1" applyFill="1" applyBorder="1"/>
    <xf numFmtId="0" fontId="11" fillId="11" borderId="21" xfId="0" applyFont="1" applyFill="1" applyBorder="1"/>
    <xf numFmtId="175" fontId="11" fillId="11" borderId="7" xfId="0" applyNumberFormat="1" applyFont="1" applyFill="1" applyBorder="1"/>
    <xf numFmtId="172" fontId="11" fillId="11" borderId="7" xfId="0" applyNumberFormat="1" applyFont="1" applyFill="1" applyBorder="1"/>
    <xf numFmtId="0" fontId="11" fillId="8" borderId="0" xfId="0" applyNumberFormat="1" applyFont="1" applyFill="1" applyBorder="1" applyAlignment="1"/>
    <xf numFmtId="179" fontId="11" fillId="8" borderId="4" xfId="0" applyNumberFormat="1" applyFont="1" applyFill="1" applyBorder="1" applyAlignment="1"/>
    <xf numFmtId="172" fontId="11" fillId="11" borderId="14" xfId="17" applyNumberFormat="1" applyFont="1" applyFill="1" applyBorder="1"/>
    <xf numFmtId="172" fontId="11" fillId="11" borderId="6" xfId="17" applyNumberFormat="1" applyFont="1" applyFill="1" applyBorder="1"/>
    <xf numFmtId="0" fontId="11" fillId="9" borderId="2" xfId="8" applyFont="1" applyFill="1" applyBorder="1" applyAlignment="1">
      <alignment horizontal="center" vertical="center" wrapText="1"/>
    </xf>
    <xf numFmtId="0" fontId="11" fillId="8" borderId="0" xfId="8" applyFont="1" applyFill="1"/>
    <xf numFmtId="0" fontId="0" fillId="8" borderId="0" xfId="0" applyFill="1"/>
    <xf numFmtId="172" fontId="11" fillId="8" borderId="0" xfId="8" applyNumberFormat="1" applyFont="1" applyFill="1"/>
    <xf numFmtId="177" fontId="11" fillId="8" borderId="0" xfId="8" applyNumberFormat="1" applyFont="1" applyFill="1"/>
    <xf numFmtId="0" fontId="11" fillId="11" borderId="9" xfId="8" applyFont="1" applyFill="1" applyBorder="1"/>
    <xf numFmtId="171" fontId="11" fillId="11" borderId="9" xfId="8" applyNumberFormat="1" applyFont="1" applyFill="1" applyBorder="1"/>
    <xf numFmtId="172" fontId="11" fillId="11" borderId="9" xfId="11" applyNumberFormat="1" applyFont="1" applyFill="1" applyBorder="1"/>
    <xf numFmtId="172" fontId="11" fillId="11" borderId="9" xfId="8" applyNumberFormat="1" applyFont="1" applyFill="1" applyBorder="1"/>
    <xf numFmtId="0" fontId="11" fillId="11" borderId="4" xfId="8" applyFont="1" applyFill="1" applyBorder="1"/>
    <xf numFmtId="171" fontId="11" fillId="11" borderId="4" xfId="8" applyNumberFormat="1" applyFont="1" applyFill="1" applyBorder="1"/>
    <xf numFmtId="172" fontId="11" fillId="11" borderId="4" xfId="11" applyNumberFormat="1" applyFont="1" applyFill="1" applyBorder="1"/>
    <xf numFmtId="172" fontId="11" fillId="11" borderId="4" xfId="8" applyNumberFormat="1" applyFont="1" applyFill="1" applyBorder="1"/>
    <xf numFmtId="0" fontId="11" fillId="11" borderId="11" xfId="8" applyFont="1" applyFill="1" applyBorder="1"/>
    <xf numFmtId="171" fontId="11" fillId="11" borderId="11" xfId="8" applyNumberFormat="1" applyFont="1" applyFill="1" applyBorder="1"/>
    <xf numFmtId="172" fontId="11" fillId="11" borderId="11" xfId="11" applyNumberFormat="1" applyFont="1" applyFill="1" applyBorder="1"/>
    <xf numFmtId="172" fontId="11" fillId="11" borderId="11" xfId="8" applyNumberFormat="1" applyFont="1" applyFill="1" applyBorder="1"/>
    <xf numFmtId="0" fontId="11" fillId="3" borderId="5" xfId="0" applyFont="1" applyFill="1" applyBorder="1"/>
    <xf numFmtId="0" fontId="11" fillId="3" borderId="21" xfId="0" applyFont="1" applyFill="1" applyBorder="1"/>
    <xf numFmtId="0" fontId="11" fillId="3" borderId="8" xfId="0" applyFont="1" applyFill="1" applyBorder="1"/>
    <xf numFmtId="0" fontId="11" fillId="8" borderId="0" xfId="14" applyFont="1" applyFill="1"/>
    <xf numFmtId="0" fontId="17" fillId="9" borderId="2" xfId="14" applyFont="1" applyFill="1" applyBorder="1" applyAlignment="1">
      <alignment horizontal="center" vertical="center" wrapText="1"/>
    </xf>
    <xf numFmtId="0" fontId="17" fillId="9" borderId="2" xfId="30" applyFont="1" applyFill="1" applyBorder="1" applyAlignment="1">
      <alignment horizontal="center" vertical="center" wrapText="1"/>
    </xf>
    <xf numFmtId="0" fontId="11" fillId="9" borderId="2" xfId="14" applyFont="1" applyFill="1" applyBorder="1" applyAlignment="1">
      <alignment horizontal="center" vertical="center"/>
    </xf>
    <xf numFmtId="0" fontId="11" fillId="9" borderId="2" xfId="14" applyFont="1" applyFill="1" applyBorder="1" applyAlignment="1">
      <alignment horizontal="center" vertical="center" wrapText="1"/>
    </xf>
    <xf numFmtId="0" fontId="11" fillId="9" borderId="12" xfId="14" applyFont="1" applyFill="1" applyBorder="1" applyAlignment="1">
      <alignment horizontal="centerContinuous" vertical="center"/>
    </xf>
    <xf numFmtId="0" fontId="11" fillId="9" borderId="13" xfId="14" applyFont="1" applyFill="1" applyBorder="1" applyAlignment="1">
      <alignment horizontal="centerContinuous" vertical="center"/>
    </xf>
    <xf numFmtId="0" fontId="11" fillId="9" borderId="3" xfId="14" applyFont="1" applyFill="1" applyBorder="1" applyAlignment="1">
      <alignment horizontal="centerContinuous" vertical="center"/>
    </xf>
    <xf numFmtId="0" fontId="11" fillId="9" borderId="14" xfId="14" applyFont="1" applyFill="1" applyBorder="1" applyAlignment="1">
      <alignment horizontal="centerContinuous" vertical="center"/>
    </xf>
    <xf numFmtId="0" fontId="11" fillId="9" borderId="19" xfId="14" applyFont="1" applyFill="1" applyBorder="1" applyAlignment="1">
      <alignment horizontal="centerContinuous" vertical="center"/>
    </xf>
    <xf numFmtId="0" fontId="11" fillId="9" borderId="15" xfId="14" applyFont="1" applyFill="1" applyBorder="1" applyAlignment="1">
      <alignment horizontal="centerContinuous" vertical="center"/>
    </xf>
    <xf numFmtId="0" fontId="11" fillId="9" borderId="20" xfId="14" applyFont="1" applyFill="1" applyBorder="1" applyAlignment="1">
      <alignment horizontal="centerContinuous" vertical="center"/>
    </xf>
    <xf numFmtId="0" fontId="11" fillId="9" borderId="10" xfId="14" applyFont="1" applyFill="1" applyBorder="1" applyAlignment="1">
      <alignment horizontal="centerContinuous" vertical="center"/>
    </xf>
    <xf numFmtId="0" fontId="11" fillId="8" borderId="1" xfId="14" applyFont="1" applyFill="1" applyBorder="1"/>
    <xf numFmtId="0" fontId="11" fillId="8" borderId="1" xfId="14" applyFont="1" applyFill="1" applyBorder="1" applyAlignment="1">
      <alignment horizontal="center"/>
    </xf>
    <xf numFmtId="0" fontId="11" fillId="8" borderId="0" xfId="14" applyFont="1" applyFill="1" applyBorder="1"/>
    <xf numFmtId="0" fontId="11" fillId="8" borderId="0" xfId="14" applyFont="1" applyFill="1" applyBorder="1" applyAlignment="1">
      <alignment horizontal="center" vertical="center"/>
    </xf>
    <xf numFmtId="0" fontId="11" fillId="8" borderId="0" xfId="30" applyFont="1" applyFill="1"/>
    <xf numFmtId="172" fontId="11" fillId="8" borderId="0" xfId="40" applyNumberFormat="1" applyFont="1" applyFill="1"/>
    <xf numFmtId="0" fontId="11" fillId="8" borderId="0" xfId="14" applyFont="1" applyFill="1" applyAlignment="1">
      <alignment horizontal="left"/>
    </xf>
    <xf numFmtId="0" fontId="11" fillId="8" borderId="15" xfId="14" applyFont="1" applyFill="1" applyBorder="1"/>
    <xf numFmtId="171" fontId="11" fillId="8" borderId="0" xfId="0" applyNumberFormat="1" applyFont="1" applyFill="1"/>
    <xf numFmtId="181" fontId="11" fillId="8" borderId="0" xfId="0" applyNumberFormat="1" applyFont="1" applyFill="1"/>
    <xf numFmtId="171" fontId="11" fillId="8" borderId="0" xfId="0" applyNumberFormat="1" applyFont="1" applyFill="1" applyBorder="1"/>
    <xf numFmtId="179" fontId="11" fillId="8" borderId="0" xfId="0" applyNumberFormat="1" applyFont="1" applyFill="1" applyBorder="1"/>
    <xf numFmtId="0" fontId="11" fillId="8" borderId="16" xfId="0" applyFont="1" applyFill="1" applyBorder="1" applyAlignment="1"/>
    <xf numFmtId="0" fontId="11" fillId="9" borderId="2" xfId="0" applyFont="1" applyFill="1" applyBorder="1"/>
    <xf numFmtId="0" fontId="11" fillId="11" borderId="9" xfId="0" applyNumberFormat="1" applyFont="1" applyFill="1" applyBorder="1"/>
    <xf numFmtId="0" fontId="11" fillId="11" borderId="4" xfId="0" applyNumberFormat="1" applyFont="1" applyFill="1" applyBorder="1"/>
    <xf numFmtId="179" fontId="11" fillId="11" borderId="4" xfId="0" applyNumberFormat="1" applyFont="1" applyFill="1" applyBorder="1"/>
    <xf numFmtId="0" fontId="11" fillId="11" borderId="11" xfId="0" applyNumberFormat="1" applyFont="1" applyFill="1" applyBorder="1"/>
    <xf numFmtId="172" fontId="20" fillId="11" borderId="2" xfId="0" applyNumberFormat="1" applyFont="1" applyFill="1" applyBorder="1"/>
    <xf numFmtId="2" fontId="20" fillId="11" borderId="2" xfId="0" applyNumberFormat="1" applyFont="1" applyFill="1" applyBorder="1"/>
    <xf numFmtId="2" fontId="11" fillId="11" borderId="4" xfId="0" applyNumberFormat="1" applyFont="1" applyFill="1" applyBorder="1"/>
    <xf numFmtId="2" fontId="11" fillId="11" borderId="11" xfId="0" applyNumberFormat="1" applyFont="1" applyFill="1" applyBorder="1"/>
    <xf numFmtId="171" fontId="11" fillId="11" borderId="2" xfId="0" applyNumberFormat="1" applyFont="1" applyFill="1" applyBorder="1"/>
    <xf numFmtId="172" fontId="11" fillId="11" borderId="2" xfId="0" applyNumberFormat="1" applyFont="1" applyFill="1" applyBorder="1"/>
    <xf numFmtId="175" fontId="11" fillId="11" borderId="2" xfId="0" applyNumberFormat="1" applyFont="1" applyFill="1" applyBorder="1"/>
    <xf numFmtId="0" fontId="11" fillId="11" borderId="4" xfId="0" applyFont="1" applyFill="1" applyBorder="1"/>
    <xf numFmtId="0" fontId="11" fillId="11" borderId="11" xfId="0" applyFont="1" applyFill="1" applyBorder="1"/>
    <xf numFmtId="0" fontId="11" fillId="11" borderId="2" xfId="0" applyFont="1" applyFill="1" applyBorder="1" applyAlignment="1">
      <alignment horizontal="center"/>
    </xf>
    <xf numFmtId="0" fontId="11" fillId="11" borderId="6" xfId="14" applyFont="1" applyFill="1" applyBorder="1"/>
    <xf numFmtId="172" fontId="11" fillId="11" borderId="4" xfId="14" applyNumberFormat="1" applyFont="1" applyFill="1" applyBorder="1"/>
    <xf numFmtId="172" fontId="11" fillId="11" borderId="4" xfId="14" applyNumberFormat="1" applyFont="1" applyFill="1" applyBorder="1" applyAlignment="1">
      <alignment horizontal="center" vertical="center"/>
    </xf>
    <xf numFmtId="171" fontId="11" fillId="11" borderId="4" xfId="14" applyNumberFormat="1" applyFont="1" applyFill="1" applyBorder="1"/>
    <xf numFmtId="175" fontId="11" fillId="11" borderId="4" xfId="14" applyNumberFormat="1" applyFont="1" applyFill="1" applyBorder="1"/>
    <xf numFmtId="0" fontId="11" fillId="11" borderId="7" xfId="14" applyFont="1" applyFill="1" applyBorder="1"/>
    <xf numFmtId="172" fontId="11" fillId="11" borderId="11" xfId="14" applyNumberFormat="1" applyFont="1" applyFill="1" applyBorder="1"/>
    <xf numFmtId="172" fontId="11" fillId="11" borderId="11" xfId="14" applyNumberFormat="1" applyFont="1" applyFill="1" applyBorder="1" applyAlignment="1">
      <alignment horizontal="center" vertical="center"/>
    </xf>
    <xf numFmtId="171" fontId="11" fillId="11" borderId="11" xfId="14" applyNumberFormat="1" applyFont="1" applyFill="1" applyBorder="1"/>
    <xf numFmtId="175" fontId="11" fillId="11" borderId="11" xfId="14" applyNumberFormat="1" applyFont="1" applyFill="1" applyBorder="1"/>
    <xf numFmtId="175" fontId="11" fillId="11" borderId="9" xfId="14" applyNumberFormat="1" applyFont="1" applyFill="1" applyBorder="1"/>
    <xf numFmtId="0" fontId="11" fillId="11" borderId="4" xfId="14" applyFont="1" applyFill="1" applyBorder="1"/>
    <xf numFmtId="172" fontId="11" fillId="11" borderId="4" xfId="14" applyNumberFormat="1" applyFont="1" applyFill="1" applyBorder="1" applyAlignment="1">
      <alignment horizontal="center"/>
    </xf>
    <xf numFmtId="0" fontId="11" fillId="11" borderId="11" xfId="14" applyFont="1" applyFill="1" applyBorder="1"/>
    <xf numFmtId="172" fontId="11" fillId="11" borderId="11" xfId="14" applyNumberFormat="1" applyFont="1" applyFill="1" applyBorder="1" applyAlignment="1">
      <alignment horizontal="center"/>
    </xf>
    <xf numFmtId="0" fontId="22" fillId="11" borderId="4" xfId="41" applyFont="1" applyFill="1" applyBorder="1"/>
    <xf numFmtId="171" fontId="22" fillId="11" borderId="4" xfId="41" applyNumberFormat="1" applyFont="1" applyFill="1" applyBorder="1"/>
    <xf numFmtId="180" fontId="11" fillId="11" borderId="4" xfId="0" applyNumberFormat="1" applyFont="1" applyFill="1" applyBorder="1"/>
    <xf numFmtId="0" fontId="22" fillId="11" borderId="11" xfId="41" applyFont="1" applyFill="1" applyBorder="1"/>
    <xf numFmtId="171" fontId="22" fillId="11" borderId="11" xfId="41" applyNumberFormat="1" applyFont="1" applyFill="1" applyBorder="1"/>
    <xf numFmtId="180" fontId="11" fillId="11" borderId="11" xfId="0" applyNumberFormat="1" applyFont="1" applyFill="1" applyBorder="1"/>
    <xf numFmtId="0" fontId="11" fillId="8" borderId="0" xfId="0" applyFont="1" applyFill="1" applyAlignment="1">
      <alignment horizontal="right"/>
    </xf>
    <xf numFmtId="0" fontId="11" fillId="8" borderId="0" xfId="0" applyNumberFormat="1" applyFont="1" applyFill="1" applyBorder="1"/>
    <xf numFmtId="179" fontId="20" fillId="11" borderId="2" xfId="0" applyNumberFormat="1" applyFont="1" applyFill="1" applyBorder="1"/>
    <xf numFmtId="179" fontId="11" fillId="11" borderId="11" xfId="0" applyNumberFormat="1" applyFont="1" applyFill="1" applyBorder="1"/>
    <xf numFmtId="173" fontId="11" fillId="11" borderId="5" xfId="0" applyNumberFormat="1" applyFont="1" applyFill="1" applyBorder="1"/>
    <xf numFmtId="173" fontId="11" fillId="11" borderId="8" xfId="0" applyNumberFormat="1" applyFont="1" applyFill="1" applyBorder="1"/>
    <xf numFmtId="0" fontId="11" fillId="9" borderId="9" xfId="14" applyFont="1" applyFill="1" applyBorder="1" applyAlignment="1">
      <alignment horizontal="center" vertical="center" wrapText="1"/>
    </xf>
    <xf numFmtId="0" fontId="11" fillId="9" borderId="22" xfId="14" applyFont="1" applyFill="1" applyBorder="1" applyAlignment="1">
      <alignment horizontal="centerContinuous" vertical="center"/>
    </xf>
    <xf numFmtId="0" fontId="11" fillId="9" borderId="25" xfId="14" applyFont="1" applyFill="1" applyBorder="1" applyAlignment="1">
      <alignment horizontal="centerContinuous" vertical="center"/>
    </xf>
    <xf numFmtId="0" fontId="11" fillId="9" borderId="11" xfId="0" applyFont="1" applyFill="1" applyBorder="1" applyAlignment="1">
      <alignment horizontal="center" vertical="center" wrapText="1"/>
    </xf>
    <xf numFmtId="0" fontId="11" fillId="9" borderId="7" xfId="0" applyFont="1" applyFill="1" applyBorder="1" applyAlignment="1">
      <alignment horizontal="center" vertical="center" wrapText="1"/>
    </xf>
    <xf numFmtId="0" fontId="11" fillId="8" borderId="0" xfId="8" applyFont="1" applyFill="1" applyBorder="1"/>
    <xf numFmtId="171" fontId="11" fillId="8" borderId="0" xfId="8" applyNumberFormat="1" applyFont="1" applyFill="1" applyBorder="1"/>
    <xf numFmtId="172" fontId="11" fillId="8" borderId="0" xfId="11" applyNumberFormat="1" applyFont="1" applyFill="1" applyBorder="1"/>
    <xf numFmtId="172" fontId="11" fillId="8" borderId="0" xfId="8" applyNumberFormat="1" applyFont="1" applyFill="1" applyBorder="1"/>
    <xf numFmtId="0" fontId="13" fillId="9" borderId="23" xfId="16" applyFont="1" applyFill="1" applyBorder="1" applyAlignment="1">
      <alignment horizontal="centerContinuous" vertical="center"/>
    </xf>
    <xf numFmtId="0" fontId="13" fillId="9" borderId="24" xfId="16" applyFont="1" applyFill="1" applyBorder="1" applyAlignment="1">
      <alignment horizontal="centerContinuous" vertical="center"/>
    </xf>
    <xf numFmtId="0" fontId="13" fillId="9" borderId="18" xfId="16" applyFont="1" applyFill="1" applyBorder="1" applyAlignment="1">
      <alignment horizontal="centerContinuous" vertical="center"/>
    </xf>
    <xf numFmtId="0" fontId="11" fillId="3" borderId="6" xfId="15" applyFont="1" applyFill="1" applyBorder="1"/>
    <xf numFmtId="0" fontId="11" fillId="3" borderId="5" xfId="15" applyFont="1" applyFill="1" applyBorder="1"/>
    <xf numFmtId="0" fontId="11" fillId="5" borderId="6" xfId="15" applyFont="1" applyFill="1" applyBorder="1"/>
    <xf numFmtId="0" fontId="11" fillId="5" borderId="0" xfId="15" applyFont="1" applyFill="1" applyBorder="1"/>
    <xf numFmtId="0" fontId="11" fillId="3" borderId="7" xfId="15" applyFont="1" applyFill="1" applyBorder="1"/>
    <xf numFmtId="0" fontId="11" fillId="3" borderId="21" xfId="15" applyFont="1" applyFill="1" applyBorder="1" applyAlignment="1">
      <alignment horizontal="center"/>
    </xf>
    <xf numFmtId="0" fontId="15" fillId="3" borderId="21" xfId="15" applyFont="1" applyFill="1" applyBorder="1" applyAlignment="1">
      <alignment horizontal="right" vertical="center"/>
    </xf>
    <xf numFmtId="0" fontId="11" fillId="3" borderId="8" xfId="15" applyFont="1" applyFill="1" applyBorder="1"/>
    <xf numFmtId="0" fontId="14" fillId="3" borderId="6" xfId="14" applyFont="1" applyFill="1" applyBorder="1"/>
    <xf numFmtId="0" fontId="14" fillId="3" borderId="5" xfId="14" applyFont="1" applyFill="1" applyBorder="1"/>
    <xf numFmtId="15" fontId="14" fillId="3" borderId="5" xfId="14" applyNumberFormat="1" applyFont="1" applyFill="1" applyBorder="1"/>
    <xf numFmtId="0" fontId="14" fillId="3" borderId="7" xfId="14" applyFont="1" applyFill="1" applyBorder="1"/>
    <xf numFmtId="0" fontId="14" fillId="3" borderId="21" xfId="14" applyFont="1" applyFill="1" applyBorder="1"/>
    <xf numFmtId="0" fontId="14" fillId="3" borderId="8" xfId="14" applyFont="1" applyFill="1" applyBorder="1"/>
    <xf numFmtId="0" fontId="11" fillId="3" borderId="6" xfId="0" applyFont="1" applyFill="1" applyBorder="1"/>
    <xf numFmtId="0" fontId="11" fillId="3" borderId="7" xfId="0" applyFont="1" applyFill="1" applyBorder="1"/>
    <xf numFmtId="0" fontId="11" fillId="5" borderId="5" xfId="15" applyFont="1" applyFill="1" applyBorder="1"/>
    <xf numFmtId="0" fontId="11" fillId="3" borderId="21" xfId="15" applyFont="1" applyFill="1" applyBorder="1"/>
    <xf numFmtId="0" fontId="16" fillId="3" borderId="5" xfId="15" applyFont="1" applyFill="1" applyBorder="1" applyAlignment="1">
      <alignment horizontal="right"/>
    </xf>
    <xf numFmtId="0" fontId="13" fillId="9" borderId="12" xfId="16" applyFont="1" applyFill="1" applyBorder="1" applyAlignment="1">
      <alignment horizontal="centerContinuous" vertical="center"/>
    </xf>
    <xf numFmtId="0" fontId="13" fillId="9" borderId="22" xfId="16" applyFont="1" applyFill="1" applyBorder="1" applyAlignment="1">
      <alignment horizontal="centerContinuous" vertical="center"/>
    </xf>
    <xf numFmtId="0" fontId="13" fillId="9" borderId="17" xfId="16" applyFont="1" applyFill="1" applyBorder="1" applyAlignment="1">
      <alignment horizontal="centerContinuous" vertical="center"/>
    </xf>
    <xf numFmtId="171" fontId="11" fillId="12" borderId="2" xfId="15" applyNumberFormat="1" applyFont="1" applyFill="1" applyBorder="1" applyAlignment="1">
      <alignment horizontal="center"/>
    </xf>
    <xf numFmtId="0" fontId="11" fillId="8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vertical="center" wrapText="1"/>
    </xf>
    <xf numFmtId="182" fontId="11" fillId="11" borderId="4" xfId="0" applyNumberFormat="1" applyFont="1" applyFill="1" applyBorder="1"/>
    <xf numFmtId="182" fontId="11" fillId="11" borderId="11" xfId="0" applyNumberFormat="1" applyFont="1" applyFill="1" applyBorder="1"/>
    <xf numFmtId="0" fontId="11" fillId="12" borderId="2" xfId="0" applyFont="1" applyFill="1" applyBorder="1" applyAlignment="1">
      <alignment horizontal="center"/>
    </xf>
    <xf numFmtId="0" fontId="11" fillId="12" borderId="4" xfId="0" applyFont="1" applyFill="1" applyBorder="1" applyAlignment="1">
      <alignment horizontal="center"/>
    </xf>
    <xf numFmtId="0" fontId="11" fillId="12" borderId="11" xfId="0" applyFont="1" applyFill="1" applyBorder="1" applyAlignment="1">
      <alignment horizontal="center"/>
    </xf>
    <xf numFmtId="172" fontId="11" fillId="13" borderId="2" xfId="0" applyNumberFormat="1" applyFont="1" applyFill="1" applyBorder="1"/>
    <xf numFmtId="172" fontId="11" fillId="8" borderId="2" xfId="0" applyNumberFormat="1" applyFont="1" applyFill="1" applyBorder="1"/>
    <xf numFmtId="2" fontId="11" fillId="11" borderId="9" xfId="0" applyNumberFormat="1" applyFont="1" applyFill="1" applyBorder="1"/>
    <xf numFmtId="179" fontId="11" fillId="11" borderId="9" xfId="0" applyNumberFormat="1" applyFont="1" applyFill="1" applyBorder="1"/>
    <xf numFmtId="0" fontId="11" fillId="12" borderId="9" xfId="0" applyFont="1" applyFill="1" applyBorder="1" applyAlignment="1">
      <alignment horizontal="center"/>
    </xf>
    <xf numFmtId="0" fontId="11" fillId="8" borderId="14" xfId="0" applyFont="1" applyFill="1" applyBorder="1"/>
    <xf numFmtId="0" fontId="11" fillId="8" borderId="15" xfId="0" applyFont="1" applyFill="1" applyBorder="1"/>
    <xf numFmtId="0" fontId="11" fillId="8" borderId="6" xfId="0" applyFont="1" applyFill="1" applyBorder="1"/>
    <xf numFmtId="0" fontId="11" fillId="8" borderId="7" xfId="0" applyFont="1" applyFill="1" applyBorder="1"/>
    <xf numFmtId="0" fontId="11" fillId="8" borderId="21" xfId="0" applyFont="1" applyFill="1" applyBorder="1"/>
    <xf numFmtId="0" fontId="11" fillId="8" borderId="15" xfId="0" applyFont="1" applyFill="1" applyBorder="1" applyAlignment="1"/>
    <xf numFmtId="171" fontId="11" fillId="8" borderId="15" xfId="0" applyNumberFormat="1" applyFont="1" applyFill="1" applyBorder="1" applyAlignment="1"/>
    <xf numFmtId="172" fontId="11" fillId="8" borderId="15" xfId="0" applyNumberFormat="1" applyFont="1" applyFill="1" applyBorder="1" applyAlignment="1"/>
    <xf numFmtId="173" fontId="11" fillId="8" borderId="15" xfId="0" applyNumberFormat="1" applyFont="1" applyFill="1" applyBorder="1"/>
    <xf numFmtId="172" fontId="11" fillId="8" borderId="15" xfId="17" applyNumberFormat="1" applyFont="1" applyFill="1" applyBorder="1"/>
    <xf numFmtId="0" fontId="11" fillId="11" borderId="3" xfId="0" applyFont="1" applyFill="1" applyBorder="1"/>
    <xf numFmtId="0" fontId="11" fillId="11" borderId="10" xfId="0" applyFont="1" applyFill="1" applyBorder="1"/>
    <xf numFmtId="0" fontId="11" fillId="11" borderId="5" xfId="0" applyFont="1" applyFill="1" applyBorder="1"/>
    <xf numFmtId="0" fontId="11" fillId="11" borderId="8" xfId="0" applyFont="1" applyFill="1" applyBorder="1"/>
    <xf numFmtId="0" fontId="11" fillId="8" borderId="10" xfId="0" applyFont="1" applyFill="1" applyBorder="1" applyAlignment="1">
      <alignment horizontal="right"/>
    </xf>
    <xf numFmtId="0" fontId="11" fillId="8" borderId="5" xfId="0" applyFont="1" applyFill="1" applyBorder="1"/>
    <xf numFmtId="0" fontId="11" fillId="8" borderId="10" xfId="0" applyFont="1" applyFill="1" applyBorder="1"/>
    <xf numFmtId="0" fontId="11" fillId="8" borderId="8" xfId="0" applyFont="1" applyFill="1" applyBorder="1"/>
    <xf numFmtId="0" fontId="11" fillId="9" borderId="3" xfId="0" applyFont="1" applyFill="1" applyBorder="1" applyAlignment="1">
      <alignment horizontal="center" vertical="center" wrapText="1"/>
    </xf>
    <xf numFmtId="0" fontId="11" fillId="8" borderId="12" xfId="0" applyFont="1" applyFill="1" applyBorder="1"/>
    <xf numFmtId="0" fontId="11" fillId="8" borderId="13" xfId="0" applyFont="1" applyFill="1" applyBorder="1"/>
    <xf numFmtId="0" fontId="11" fillId="8" borderId="3" xfId="0" applyFont="1" applyFill="1" applyBorder="1" applyAlignment="1">
      <alignment horizontal="right"/>
    </xf>
    <xf numFmtId="0" fontId="11" fillId="13" borderId="2" xfId="0" applyFont="1" applyFill="1" applyBorder="1" applyAlignment="1">
      <alignment horizontal="center"/>
    </xf>
    <xf numFmtId="172" fontId="11" fillId="12" borderId="2" xfId="0" applyNumberFormat="1" applyFont="1" applyFill="1" applyBorder="1"/>
    <xf numFmtId="0" fontId="11" fillId="11" borderId="3" xfId="0" applyFont="1" applyFill="1" applyBorder="1" applyAlignment="1">
      <alignment vertical="center"/>
    </xf>
    <xf numFmtId="0" fontId="17" fillId="7" borderId="12" xfId="0" applyFont="1" applyFill="1" applyBorder="1" applyAlignment="1">
      <alignment horizontal="centerContinuous" vertical="center" wrapText="1"/>
    </xf>
    <xf numFmtId="0" fontId="17" fillId="7" borderId="3" xfId="0" applyFont="1" applyFill="1" applyBorder="1" applyAlignment="1">
      <alignment horizontal="centerContinuous" vertical="center" wrapText="1"/>
    </xf>
    <xf numFmtId="0" fontId="11" fillId="8" borderId="0" xfId="0" applyFont="1" applyFill="1" applyBorder="1" applyAlignment="1">
      <alignment vertical="center"/>
    </xf>
    <xf numFmtId="0" fontId="19" fillId="8" borderId="0" xfId="0" applyFont="1" applyFill="1" applyBorder="1" applyAlignment="1">
      <alignment horizontal="center" vertical="center"/>
    </xf>
    <xf numFmtId="0" fontId="21" fillId="8" borderId="0" xfId="0" applyFont="1" applyFill="1" applyBorder="1" applyAlignment="1">
      <alignment horizontal="center" vertical="center"/>
    </xf>
    <xf numFmtId="0" fontId="11" fillId="8" borderId="21" xfId="0" applyFont="1" applyFill="1" applyBorder="1" applyAlignment="1">
      <alignment vertical="center"/>
    </xf>
    <xf numFmtId="0" fontId="11" fillId="8" borderId="21" xfId="0" applyFont="1" applyFill="1" applyBorder="1" applyAlignment="1">
      <alignment horizontal="center"/>
    </xf>
    <xf numFmtId="0" fontId="11" fillId="8" borderId="21" xfId="0" applyFont="1" applyFill="1" applyBorder="1" applyAlignment="1"/>
    <xf numFmtId="172" fontId="11" fillId="12" borderId="4" xfId="17" applyNumberFormat="1" applyFont="1" applyFill="1" applyBorder="1"/>
    <xf numFmtId="172" fontId="11" fillId="12" borderId="11" xfId="0" applyNumberFormat="1" applyFont="1" applyFill="1" applyBorder="1"/>
    <xf numFmtId="0" fontId="11" fillId="14" borderId="12" xfId="0" applyFont="1" applyFill="1" applyBorder="1" applyAlignment="1">
      <alignment horizontal="centerContinuous" vertical="center"/>
    </xf>
    <xf numFmtId="0" fontId="11" fillId="14" borderId="13" xfId="0" applyFont="1" applyFill="1" applyBorder="1" applyAlignment="1">
      <alignment horizontal="centerContinuous" vertical="center"/>
    </xf>
    <xf numFmtId="0" fontId="11" fillId="14" borderId="3" xfId="0" applyFont="1" applyFill="1" applyBorder="1" applyAlignment="1">
      <alignment horizontal="centerContinuous" vertical="center"/>
    </xf>
    <xf numFmtId="180" fontId="11" fillId="12" borderId="4" xfId="0" applyNumberFormat="1" applyFont="1" applyFill="1" applyBorder="1" applyAlignment="1"/>
    <xf numFmtId="180" fontId="11" fillId="12" borderId="11" xfId="0" applyNumberFormat="1" applyFont="1" applyFill="1" applyBorder="1" applyAlignment="1"/>
    <xf numFmtId="0" fontId="11" fillId="9" borderId="12" xfId="0" applyFont="1" applyFill="1" applyBorder="1" applyAlignment="1">
      <alignment horizontal="centerContinuous" vertical="center" wrapText="1"/>
    </xf>
    <xf numFmtId="0" fontId="11" fillId="9" borderId="3" xfId="0" applyFont="1" applyFill="1" applyBorder="1" applyAlignment="1">
      <alignment horizontal="centerContinuous" vertical="center"/>
    </xf>
    <xf numFmtId="0" fontId="11" fillId="9" borderId="13" xfId="0" applyFont="1" applyFill="1" applyBorder="1" applyAlignment="1">
      <alignment horizontal="centerContinuous" vertical="center"/>
    </xf>
    <xf numFmtId="175" fontId="11" fillId="8" borderId="0" xfId="0" applyNumberFormat="1" applyFont="1" applyFill="1" applyBorder="1" applyAlignment="1"/>
    <xf numFmtId="173" fontId="11" fillId="8" borderId="0" xfId="0" applyNumberFormat="1" applyFont="1" applyFill="1" applyBorder="1" applyAlignment="1"/>
    <xf numFmtId="180" fontId="11" fillId="8" borderId="0" xfId="0" applyNumberFormat="1" applyFont="1" applyFill="1" applyBorder="1" applyAlignment="1"/>
    <xf numFmtId="0" fontId="11" fillId="8" borderId="5" xfId="0" applyFont="1" applyFill="1" applyBorder="1" applyAlignment="1">
      <alignment vertical="center"/>
    </xf>
    <xf numFmtId="0" fontId="11" fillId="8" borderId="15" xfId="0" applyFont="1" applyFill="1" applyBorder="1" applyAlignment="1">
      <alignment horizontal="center" vertical="center"/>
    </xf>
    <xf numFmtId="0" fontId="11" fillId="9" borderId="12" xfId="0" applyFont="1" applyFill="1" applyBorder="1" applyAlignment="1">
      <alignment horizontal="centerContinuous" vertical="center"/>
    </xf>
    <xf numFmtId="0" fontId="11" fillId="9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171" fontId="11" fillId="8" borderId="2" xfId="0" applyNumberFormat="1" applyFont="1" applyFill="1" applyBorder="1" applyAlignment="1">
      <alignment vertical="center"/>
    </xf>
    <xf numFmtId="172" fontId="11" fillId="12" borderId="4" xfId="0" applyNumberFormat="1" applyFont="1" applyFill="1" applyBorder="1"/>
    <xf numFmtId="0" fontId="11" fillId="11" borderId="26" xfId="0" applyFont="1" applyFill="1" applyBorder="1" applyAlignment="1">
      <alignment horizontal="center" vertical="center"/>
    </xf>
    <xf numFmtId="171" fontId="11" fillId="11" borderId="26" xfId="0" applyNumberFormat="1" applyFont="1" applyFill="1" applyBorder="1" applyAlignment="1"/>
    <xf numFmtId="171" fontId="11" fillId="11" borderId="26" xfId="0" applyNumberFormat="1" applyFont="1" applyFill="1" applyBorder="1"/>
    <xf numFmtId="175" fontId="11" fillId="11" borderId="27" xfId="0" applyNumberFormat="1" applyFont="1" applyFill="1" applyBorder="1"/>
    <xf numFmtId="173" fontId="11" fillId="11" borderId="26" xfId="0" applyNumberFormat="1" applyFont="1" applyFill="1" applyBorder="1"/>
    <xf numFmtId="172" fontId="11" fillId="11" borderId="27" xfId="17" applyNumberFormat="1" applyFont="1" applyFill="1" applyBorder="1"/>
    <xf numFmtId="172" fontId="11" fillId="12" borderId="26" xfId="0" applyNumberFormat="1" applyFont="1" applyFill="1" applyBorder="1"/>
    <xf numFmtId="172" fontId="11" fillId="9" borderId="3" xfId="0" applyNumberFormat="1" applyFont="1" applyFill="1" applyBorder="1"/>
    <xf numFmtId="171" fontId="11" fillId="8" borderId="0" xfId="0" applyNumberFormat="1" applyFont="1" applyFill="1" applyAlignment="1">
      <alignment horizontal="center" vertical="center"/>
    </xf>
    <xf numFmtId="0" fontId="11" fillId="9" borderId="12" xfId="0" applyFont="1" applyFill="1" applyBorder="1" applyAlignment="1">
      <alignment horizontal="center"/>
    </xf>
    <xf numFmtId="0" fontId="17" fillId="7" borderId="22" xfId="0" applyFont="1" applyFill="1" applyBorder="1" applyAlignment="1">
      <alignment horizontal="centerContinuous" vertical="center" wrapText="1"/>
    </xf>
    <xf numFmtId="0" fontId="17" fillId="7" borderId="25" xfId="0" applyFont="1" applyFill="1" applyBorder="1" applyAlignment="1">
      <alignment horizontal="centerContinuous" vertical="center" wrapText="1"/>
    </xf>
    <xf numFmtId="0" fontId="17" fillId="7" borderId="17" xfId="0" applyFont="1" applyFill="1" applyBorder="1" applyAlignment="1">
      <alignment horizontal="center" vertical="center" wrapText="1"/>
    </xf>
    <xf numFmtId="0" fontId="17" fillId="7" borderId="28" xfId="0" applyFont="1" applyFill="1" applyBorder="1" applyAlignment="1">
      <alignment horizontal="center" vertical="center" wrapText="1"/>
    </xf>
    <xf numFmtId="172" fontId="11" fillId="12" borderId="29" xfId="0" applyNumberFormat="1" applyFont="1" applyFill="1" applyBorder="1"/>
    <xf numFmtId="172" fontId="11" fillId="12" borderId="30" xfId="0" applyNumberFormat="1" applyFont="1" applyFill="1" applyBorder="1"/>
    <xf numFmtId="172" fontId="11" fillId="12" borderId="31" xfId="0" applyNumberFormat="1" applyFont="1" applyFill="1" applyBorder="1"/>
    <xf numFmtId="172" fontId="11" fillId="12" borderId="32" xfId="0" applyNumberFormat="1" applyFont="1" applyFill="1" applyBorder="1"/>
    <xf numFmtId="172" fontId="11" fillId="12" borderId="33" xfId="0" applyNumberFormat="1" applyFont="1" applyFill="1" applyBorder="1"/>
    <xf numFmtId="172" fontId="11" fillId="12" borderId="34" xfId="0" applyNumberFormat="1" applyFont="1" applyFill="1" applyBorder="1"/>
    <xf numFmtId="172" fontId="11" fillId="9" borderId="18" xfId="0" applyNumberFormat="1" applyFont="1" applyFill="1" applyBorder="1"/>
    <xf numFmtId="172" fontId="11" fillId="9" borderId="35" xfId="0" applyNumberFormat="1" applyFont="1" applyFill="1" applyBorder="1"/>
    <xf numFmtId="172" fontId="11" fillId="9" borderId="36" xfId="0" applyNumberFormat="1" applyFont="1" applyFill="1" applyBorder="1"/>
    <xf numFmtId="0" fontId="17" fillId="7" borderId="37" xfId="0" applyFont="1" applyFill="1" applyBorder="1" applyAlignment="1">
      <alignment horizontal="centerContinuous" vertical="center" wrapText="1"/>
    </xf>
    <xf numFmtId="0" fontId="17" fillId="7" borderId="38" xfId="0" applyFont="1" applyFill="1" applyBorder="1" applyAlignment="1">
      <alignment horizontal="centerContinuous" vertical="center" wrapText="1"/>
    </xf>
    <xf numFmtId="0" fontId="17" fillId="7" borderId="39" xfId="0" applyFont="1" applyFill="1" applyBorder="1" applyAlignment="1">
      <alignment horizontal="centerContinuous" vertical="center" wrapText="1"/>
    </xf>
    <xf numFmtId="172" fontId="11" fillId="8" borderId="35" xfId="0" applyNumberFormat="1" applyFont="1" applyFill="1" applyBorder="1"/>
    <xf numFmtId="182" fontId="20" fillId="8" borderId="2" xfId="0" applyNumberFormat="1" applyFont="1" applyFill="1" applyBorder="1"/>
    <xf numFmtId="172" fontId="11" fillId="12" borderId="11" xfId="17" applyNumberFormat="1" applyFont="1" applyFill="1" applyBorder="1"/>
    <xf numFmtId="172" fontId="11" fillId="8" borderId="2" xfId="17" applyNumberFormat="1" applyFont="1" applyFill="1" applyBorder="1"/>
    <xf numFmtId="172" fontId="11" fillId="11" borderId="16" xfId="0" applyNumberFormat="1" applyFont="1" applyFill="1" applyBorder="1"/>
    <xf numFmtId="172" fontId="11" fillId="11" borderId="40" xfId="0" applyNumberFormat="1" applyFont="1" applyFill="1" applyBorder="1"/>
    <xf numFmtId="172" fontId="11" fillId="11" borderId="41" xfId="0" applyNumberFormat="1" applyFont="1" applyFill="1" applyBorder="1"/>
    <xf numFmtId="172" fontId="11" fillId="11" borderId="30" xfId="0" applyNumberFormat="1" applyFont="1" applyFill="1" applyBorder="1"/>
    <xf numFmtId="172" fontId="11" fillId="11" borderId="29" xfId="0" applyNumberFormat="1" applyFont="1" applyFill="1" applyBorder="1"/>
    <xf numFmtId="0" fontId="11" fillId="5" borderId="4" xfId="0" applyFont="1" applyFill="1" applyBorder="1" applyAlignment="1">
      <alignment horizontal="right"/>
    </xf>
    <xf numFmtId="0" fontId="11" fillId="8" borderId="0" xfId="0" applyFont="1" applyFill="1" applyAlignment="1">
      <alignment horizontal="center" vertical="center"/>
    </xf>
    <xf numFmtId="0" fontId="11" fillId="5" borderId="42" xfId="0" applyFont="1" applyFill="1" applyBorder="1" applyAlignment="1">
      <alignment horizontal="right"/>
    </xf>
    <xf numFmtId="172" fontId="11" fillId="11" borderId="42" xfId="0" applyNumberFormat="1" applyFont="1" applyFill="1" applyBorder="1"/>
    <xf numFmtId="172" fontId="11" fillId="11" borderId="43" xfId="0" applyNumberFormat="1" applyFont="1" applyFill="1" applyBorder="1"/>
    <xf numFmtId="172" fontId="11" fillId="11" borderId="44" xfId="0" applyNumberFormat="1" applyFont="1" applyFill="1" applyBorder="1"/>
    <xf numFmtId="0" fontId="11" fillId="5" borderId="45" xfId="0" applyFont="1" applyFill="1" applyBorder="1" applyAlignment="1">
      <alignment horizontal="right"/>
    </xf>
    <xf numFmtId="172" fontId="11" fillId="11" borderId="45" xfId="0" applyNumberFormat="1" applyFont="1" applyFill="1" applyBorder="1"/>
    <xf numFmtId="172" fontId="11" fillId="11" borderId="46" xfId="0" applyNumberFormat="1" applyFont="1" applyFill="1" applyBorder="1"/>
    <xf numFmtId="172" fontId="11" fillId="11" borderId="47" xfId="0" applyNumberFormat="1" applyFont="1" applyFill="1" applyBorder="1"/>
    <xf numFmtId="0" fontId="11" fillId="11" borderId="45" xfId="0" applyFont="1" applyFill="1" applyBorder="1" applyAlignment="1">
      <alignment horizontal="center" vertical="center"/>
    </xf>
    <xf numFmtId="171" fontId="11" fillId="11" borderId="45" xfId="0" applyNumberFormat="1" applyFont="1" applyFill="1" applyBorder="1" applyAlignment="1"/>
    <xf numFmtId="175" fontId="11" fillId="11" borderId="45" xfId="0" applyNumberFormat="1" applyFont="1" applyFill="1" applyBorder="1"/>
    <xf numFmtId="173" fontId="11" fillId="11" borderId="45" xfId="0" applyNumberFormat="1" applyFont="1" applyFill="1" applyBorder="1"/>
    <xf numFmtId="172" fontId="11" fillId="11" borderId="45" xfId="17" applyNumberFormat="1" applyFont="1" applyFill="1" applyBorder="1"/>
    <xf numFmtId="0" fontId="11" fillId="8" borderId="9" xfId="0" applyFont="1" applyFill="1" applyBorder="1"/>
    <xf numFmtId="0" fontId="11" fillId="8" borderId="4" xfId="0" applyFont="1" applyFill="1" applyBorder="1"/>
    <xf numFmtId="0" fontId="11" fillId="8" borderId="11" xfId="0" applyFont="1" applyFill="1" applyBorder="1"/>
    <xf numFmtId="0" fontId="11" fillId="11" borderId="9" xfId="0" applyFont="1" applyFill="1" applyBorder="1"/>
    <xf numFmtId="0" fontId="11" fillId="8" borderId="48" xfId="0" applyFont="1" applyFill="1" applyBorder="1"/>
    <xf numFmtId="0" fontId="11" fillId="8" borderId="49" xfId="0" applyFont="1" applyFill="1" applyBorder="1"/>
    <xf numFmtId="0" fontId="11" fillId="8" borderId="50" xfId="0" applyFont="1" applyFill="1" applyBorder="1"/>
    <xf numFmtId="0" fontId="11" fillId="11" borderId="51" xfId="0" applyFont="1" applyFill="1" applyBorder="1"/>
    <xf numFmtId="171" fontId="11" fillId="11" borderId="51" xfId="0" applyNumberFormat="1" applyFont="1" applyFill="1" applyBorder="1"/>
    <xf numFmtId="173" fontId="11" fillId="11" borderId="51" xfId="0" applyNumberFormat="1" applyFont="1" applyFill="1" applyBorder="1"/>
    <xf numFmtId="172" fontId="11" fillId="11" borderId="51" xfId="0" applyNumberFormat="1" applyFont="1" applyFill="1" applyBorder="1"/>
    <xf numFmtId="175" fontId="11" fillId="11" borderId="51" xfId="0" applyNumberFormat="1" applyFont="1" applyFill="1" applyBorder="1"/>
    <xf numFmtId="0" fontId="11" fillId="12" borderId="51" xfId="0" applyFont="1" applyFill="1" applyBorder="1" applyAlignment="1">
      <alignment horizontal="center"/>
    </xf>
    <xf numFmtId="2" fontId="11" fillId="11" borderId="51" xfId="0" applyNumberFormat="1" applyFont="1" applyFill="1" applyBorder="1"/>
    <xf numFmtId="0" fontId="11" fillId="11" borderId="51" xfId="0" applyNumberFormat="1" applyFont="1" applyFill="1" applyBorder="1"/>
    <xf numFmtId="0" fontId="11" fillId="11" borderId="50" xfId="0" applyFont="1" applyFill="1" applyBorder="1"/>
    <xf numFmtId="179" fontId="11" fillId="11" borderId="51" xfId="0" applyNumberFormat="1" applyFont="1" applyFill="1" applyBorder="1"/>
    <xf numFmtId="0" fontId="11" fillId="8" borderId="49" xfId="0" applyNumberFormat="1" applyFont="1" applyFill="1" applyBorder="1" applyAlignment="1"/>
    <xf numFmtId="0" fontId="11" fillId="11" borderId="51" xfId="0" applyFont="1" applyFill="1" applyBorder="1" applyAlignment="1"/>
    <xf numFmtId="172" fontId="11" fillId="8" borderId="9" xfId="17" applyNumberFormat="1" applyFont="1" applyFill="1" applyBorder="1"/>
    <xf numFmtId="0" fontId="11" fillId="11" borderId="26" xfId="0" applyFont="1" applyFill="1" applyBorder="1" applyAlignment="1"/>
    <xf numFmtId="175" fontId="11" fillId="11" borderId="26" xfId="0" applyNumberFormat="1" applyFont="1" applyFill="1" applyBorder="1" applyAlignment="1"/>
    <xf numFmtId="173" fontId="11" fillId="11" borderId="26" xfId="0" applyNumberFormat="1" applyFont="1" applyFill="1" applyBorder="1" applyAlignment="1"/>
    <xf numFmtId="172" fontId="11" fillId="11" borderId="26" xfId="0" applyNumberFormat="1" applyFont="1" applyFill="1" applyBorder="1" applyAlignment="1"/>
    <xf numFmtId="180" fontId="11" fillId="11" borderId="26" xfId="0" applyNumberFormat="1" applyFont="1" applyFill="1" applyBorder="1" applyAlignment="1"/>
    <xf numFmtId="172" fontId="11" fillId="12" borderId="26" xfId="17" applyNumberFormat="1" applyFont="1" applyFill="1" applyBorder="1"/>
    <xf numFmtId="0" fontId="11" fillId="11" borderId="42" xfId="0" applyFont="1" applyFill="1" applyBorder="1" applyAlignment="1"/>
    <xf numFmtId="172" fontId="11" fillId="11" borderId="42" xfId="0" applyNumberFormat="1" applyFont="1" applyFill="1" applyBorder="1" applyAlignment="1"/>
    <xf numFmtId="173" fontId="11" fillId="11" borderId="42" xfId="0" applyNumberFormat="1" applyFont="1" applyFill="1" applyBorder="1"/>
    <xf numFmtId="172" fontId="11" fillId="8" borderId="42" xfId="17" applyNumberFormat="1" applyFont="1" applyFill="1" applyBorder="1"/>
    <xf numFmtId="0" fontId="11" fillId="8" borderId="52" xfId="0" applyFont="1" applyFill="1" applyBorder="1"/>
    <xf numFmtId="0" fontId="11" fillId="8" borderId="52" xfId="0" applyNumberFormat="1" applyFont="1" applyFill="1" applyBorder="1" applyAlignment="1"/>
    <xf numFmtId="180" fontId="11" fillId="12" borderId="26" xfId="0" applyNumberFormat="1" applyFont="1" applyFill="1" applyBorder="1" applyAlignment="1"/>
    <xf numFmtId="0" fontId="11" fillId="11" borderId="26" xfId="0" applyNumberFormat="1" applyFont="1" applyFill="1" applyBorder="1"/>
    <xf numFmtId="179" fontId="11" fillId="11" borderId="26" xfId="0" applyNumberFormat="1" applyFont="1" applyFill="1" applyBorder="1"/>
    <xf numFmtId="182" fontId="11" fillId="11" borderId="26" xfId="0" applyNumberFormat="1" applyFont="1" applyFill="1" applyBorder="1"/>
    <xf numFmtId="173" fontId="11" fillId="11" borderId="53" xfId="0" applyNumberFormat="1" applyFont="1" applyFill="1" applyBorder="1"/>
    <xf numFmtId="172" fontId="11" fillId="11" borderId="34" xfId="17" applyNumberFormat="1" applyFont="1" applyFill="1" applyBorder="1"/>
    <xf numFmtId="0" fontId="11" fillId="8" borderId="53" xfId="0" applyNumberFormat="1" applyFont="1" applyFill="1" applyBorder="1" applyAlignment="1"/>
    <xf numFmtId="0" fontId="11" fillId="8" borderId="5" xfId="0" applyNumberFormat="1" applyFont="1" applyFill="1" applyBorder="1" applyAlignment="1"/>
    <xf numFmtId="0" fontId="11" fillId="8" borderId="50" xfId="0" applyNumberFormat="1" applyFont="1" applyFill="1" applyBorder="1" applyAlignment="1"/>
    <xf numFmtId="182" fontId="11" fillId="8" borderId="0" xfId="0" applyNumberFormat="1" applyFont="1" applyFill="1" applyBorder="1"/>
    <xf numFmtId="11" fontId="11" fillId="8" borderId="0" xfId="0" applyNumberFormat="1" applyFont="1" applyFill="1"/>
    <xf numFmtId="15" fontId="11" fillId="11" borderId="9" xfId="0" applyNumberFormat="1" applyFont="1" applyFill="1" applyBorder="1" applyAlignment="1"/>
    <xf numFmtId="15" fontId="11" fillId="11" borderId="9" xfId="0" applyNumberFormat="1" applyFont="1" applyFill="1" applyBorder="1"/>
    <xf numFmtId="15" fontId="11" fillId="11" borderId="4" xfId="0" applyNumberFormat="1" applyFont="1" applyFill="1" applyBorder="1" applyAlignment="1"/>
    <xf numFmtId="15" fontId="11" fillId="11" borderId="4" xfId="0" applyNumberFormat="1" applyFont="1" applyFill="1" applyBorder="1"/>
    <xf numFmtId="15" fontId="11" fillId="11" borderId="26" xfId="0" applyNumberFormat="1" applyFont="1" applyFill="1" applyBorder="1" applyAlignment="1"/>
    <xf numFmtId="15" fontId="11" fillId="11" borderId="26" xfId="0" applyNumberFormat="1" applyFont="1" applyFill="1" applyBorder="1"/>
    <xf numFmtId="15" fontId="11" fillId="11" borderId="11" xfId="0" applyNumberFormat="1" applyFont="1" applyFill="1" applyBorder="1" applyAlignment="1"/>
    <xf numFmtId="15" fontId="11" fillId="11" borderId="11" xfId="0" applyNumberFormat="1" applyFont="1" applyFill="1" applyBorder="1"/>
    <xf numFmtId="15" fontId="11" fillId="11" borderId="2" xfId="0" applyNumberFormat="1" applyFont="1" applyFill="1" applyBorder="1" applyAlignment="1"/>
    <xf numFmtId="15" fontId="11" fillId="11" borderId="2" xfId="0" applyNumberFormat="1" applyFont="1" applyFill="1" applyBorder="1"/>
    <xf numFmtId="15" fontId="11" fillId="11" borderId="45" xfId="0" applyNumberFormat="1" applyFont="1" applyFill="1" applyBorder="1" applyAlignment="1"/>
    <xf numFmtId="15" fontId="11" fillId="11" borderId="42" xfId="0" applyNumberFormat="1" applyFont="1" applyFill="1" applyBorder="1" applyAlignment="1"/>
    <xf numFmtId="0" fontId="11" fillId="9" borderId="2" xfId="0" applyFont="1" applyFill="1" applyBorder="1" applyAlignment="1">
      <alignment horizontal="center"/>
    </xf>
    <xf numFmtId="173" fontId="11" fillId="8" borderId="2" xfId="0" applyNumberFormat="1" applyFont="1" applyFill="1" applyBorder="1"/>
    <xf numFmtId="178" fontId="11" fillId="11" borderId="9" xfId="0" applyNumberFormat="1" applyFont="1" applyFill="1" applyBorder="1"/>
    <xf numFmtId="178" fontId="11" fillId="11" borderId="4" xfId="0" applyNumberFormat="1" applyFont="1" applyFill="1" applyBorder="1"/>
    <xf numFmtId="178" fontId="11" fillId="11" borderId="11" xfId="0" applyNumberFormat="1" applyFont="1" applyFill="1" applyBorder="1"/>
    <xf numFmtId="182" fontId="20" fillId="11" borderId="2" xfId="0" applyNumberFormat="1" applyFont="1" applyFill="1" applyBorder="1" applyAlignment="1"/>
    <xf numFmtId="0" fontId="11" fillId="11" borderId="42" xfId="0" applyFont="1" applyFill="1" applyBorder="1" applyAlignment="1">
      <alignment horizontal="right"/>
    </xf>
    <xf numFmtId="0" fontId="11" fillId="11" borderId="4" xfId="0" applyFont="1" applyFill="1" applyBorder="1" applyAlignment="1">
      <alignment horizontal="right"/>
    </xf>
    <xf numFmtId="0" fontId="11" fillId="11" borderId="45" xfId="0" applyFont="1" applyFill="1" applyBorder="1" applyAlignment="1">
      <alignment horizontal="right"/>
    </xf>
    <xf numFmtId="0" fontId="11" fillId="9" borderId="2" xfId="0" applyFont="1" applyFill="1" applyBorder="1" applyAlignment="1">
      <alignment horizontal="right" vertical="center" wrapText="1"/>
    </xf>
    <xf numFmtId="182" fontId="20" fillId="11" borderId="2" xfId="0" applyNumberFormat="1" applyFont="1" applyFill="1" applyBorder="1"/>
    <xf numFmtId="182" fontId="11" fillId="11" borderId="9" xfId="0" applyNumberFormat="1" applyFont="1" applyFill="1" applyBorder="1"/>
    <xf numFmtId="172" fontId="11" fillId="12" borderId="9" xfId="0" applyNumberFormat="1" applyFont="1" applyFill="1" applyBorder="1"/>
    <xf numFmtId="1" fontId="20" fillId="11" borderId="2" xfId="0" applyNumberFormat="1" applyFont="1" applyFill="1" applyBorder="1"/>
    <xf numFmtId="0" fontId="11" fillId="11" borderId="2" xfId="0" applyFont="1" applyFill="1" applyBorder="1"/>
    <xf numFmtId="179" fontId="11" fillId="11" borderId="5" xfId="0" applyNumberFormat="1" applyFont="1" applyFill="1" applyBorder="1"/>
    <xf numFmtId="179" fontId="11" fillId="11" borderId="8" xfId="0" applyNumberFormat="1" applyFont="1" applyFill="1" applyBorder="1"/>
    <xf numFmtId="180" fontId="11" fillId="11" borderId="5" xfId="0" applyNumberFormat="1" applyFont="1" applyFill="1" applyBorder="1"/>
    <xf numFmtId="180" fontId="11" fillId="11" borderId="8" xfId="0" applyNumberFormat="1" applyFont="1" applyFill="1" applyBorder="1"/>
    <xf numFmtId="15" fontId="11" fillId="8" borderId="0" xfId="0" applyNumberFormat="1" applyFont="1" applyFill="1"/>
    <xf numFmtId="175" fontId="11" fillId="8" borderId="0" xfId="0" applyNumberFormat="1" applyFont="1" applyFill="1"/>
    <xf numFmtId="183" fontId="11" fillId="8" borderId="0" xfId="0" applyNumberFormat="1" applyFont="1" applyFill="1"/>
    <xf numFmtId="172" fontId="11" fillId="11" borderId="3" xfId="0" applyNumberFormat="1" applyFont="1" applyFill="1" applyBorder="1" applyAlignment="1">
      <alignment vertical="center"/>
    </xf>
    <xf numFmtId="172" fontId="11" fillId="11" borderId="3" xfId="0" applyNumberFormat="1" applyFont="1" applyFill="1" applyBorder="1"/>
    <xf numFmtId="172" fontId="11" fillId="11" borderId="10" xfId="0" applyNumberFormat="1" applyFont="1" applyFill="1" applyBorder="1"/>
    <xf numFmtId="172" fontId="11" fillId="11" borderId="5" xfId="0" applyNumberFormat="1" applyFont="1" applyFill="1" applyBorder="1"/>
    <xf numFmtId="172" fontId="11" fillId="11" borderId="8" xfId="0" applyNumberFormat="1" applyFont="1" applyFill="1" applyBorder="1"/>
    <xf numFmtId="172" fontId="11" fillId="11" borderId="9" xfId="0" applyNumberFormat="1" applyFont="1" applyFill="1" applyBorder="1" applyAlignment="1"/>
    <xf numFmtId="172" fontId="11" fillId="12" borderId="4" xfId="0" applyNumberFormat="1" applyFont="1" applyFill="1" applyBorder="1" applyAlignment="1"/>
    <xf numFmtId="172" fontId="11" fillId="12" borderId="11" xfId="0" applyNumberFormat="1" applyFont="1" applyFill="1" applyBorder="1" applyAlignment="1"/>
    <xf numFmtId="173" fontId="11" fillId="11" borderId="3" xfId="0" applyNumberFormat="1" applyFont="1" applyFill="1" applyBorder="1" applyAlignment="1">
      <alignment vertical="center"/>
    </xf>
    <xf numFmtId="173" fontId="11" fillId="11" borderId="3" xfId="0" applyNumberFormat="1" applyFont="1" applyFill="1" applyBorder="1"/>
    <xf numFmtId="173" fontId="11" fillId="11" borderId="10" xfId="0" applyNumberFormat="1" applyFont="1" applyFill="1" applyBorder="1"/>
    <xf numFmtId="0" fontId="11" fillId="9" borderId="9" xfId="0" applyFont="1" applyFill="1" applyBorder="1" applyAlignment="1">
      <alignment horizontal="center" vertical="center" wrapText="1"/>
    </xf>
    <xf numFmtId="172" fontId="11" fillId="12" borderId="54" xfId="0" applyNumberFormat="1" applyFont="1" applyFill="1" applyBorder="1"/>
    <xf numFmtId="172" fontId="11" fillId="12" borderId="55" xfId="0" applyNumberFormat="1" applyFont="1" applyFill="1" applyBorder="1"/>
    <xf numFmtId="172" fontId="11" fillId="12" borderId="56" xfId="0" applyNumberFormat="1" applyFont="1" applyFill="1" applyBorder="1"/>
    <xf numFmtId="172" fontId="11" fillId="12" borderId="57" xfId="0" applyNumberFormat="1" applyFont="1" applyFill="1" applyBorder="1"/>
    <xf numFmtId="172" fontId="11" fillId="9" borderId="58" xfId="0" applyNumberFormat="1" applyFont="1" applyFill="1" applyBorder="1"/>
    <xf numFmtId="0" fontId="11" fillId="8" borderId="15" xfId="0" applyNumberFormat="1" applyFont="1" applyFill="1" applyBorder="1" applyAlignment="1">
      <alignment horizontal="centerContinuous" vertical="center"/>
    </xf>
    <xf numFmtId="0" fontId="11" fillId="8" borderId="14" xfId="0" applyNumberFormat="1" applyFont="1" applyFill="1" applyBorder="1" applyAlignment="1">
      <alignment vertical="center" wrapText="1"/>
    </xf>
    <xf numFmtId="184" fontId="11" fillId="11" borderId="2" xfId="0" applyNumberFormat="1" applyFont="1" applyFill="1" applyBorder="1"/>
    <xf numFmtId="184" fontId="11" fillId="11" borderId="9" xfId="0" applyNumberFormat="1" applyFont="1" applyFill="1" applyBorder="1"/>
    <xf numFmtId="184" fontId="11" fillId="11" borderId="4" xfId="0" applyNumberFormat="1" applyFont="1" applyFill="1" applyBorder="1"/>
    <xf numFmtId="184" fontId="11" fillId="11" borderId="11" xfId="0" applyNumberFormat="1" applyFont="1" applyFill="1" applyBorder="1"/>
    <xf numFmtId="0" fontId="17" fillId="7" borderId="59" xfId="0" applyFont="1" applyFill="1" applyBorder="1" applyAlignment="1">
      <alignment horizontal="centerContinuous" vertical="center" wrapText="1"/>
    </xf>
    <xf numFmtId="0" fontId="17" fillId="7" borderId="21" xfId="0" applyFont="1" applyFill="1" applyBorder="1" applyAlignment="1">
      <alignment horizontal="centerContinuous" vertical="center" wrapText="1"/>
    </xf>
    <xf numFmtId="0" fontId="17" fillId="7" borderId="60" xfId="0" applyFont="1" applyFill="1" applyBorder="1" applyAlignment="1">
      <alignment horizontal="centerContinuous" vertical="center" wrapText="1"/>
    </xf>
    <xf numFmtId="180" fontId="11" fillId="11" borderId="42" xfId="0" applyNumberFormat="1" applyFont="1" applyFill="1" applyBorder="1" applyAlignment="1"/>
    <xf numFmtId="179" fontId="11" fillId="8" borderId="0" xfId="0" applyNumberFormat="1" applyFont="1" applyFill="1" applyBorder="1" applyAlignment="1"/>
    <xf numFmtId="0" fontId="11" fillId="8" borderId="61" xfId="0" applyFont="1" applyFill="1" applyBorder="1"/>
    <xf numFmtId="0" fontId="11" fillId="8" borderId="62" xfId="0" applyFont="1" applyFill="1" applyBorder="1"/>
    <xf numFmtId="0" fontId="11" fillId="8" borderId="62" xfId="0" applyFont="1" applyFill="1" applyBorder="1" applyAlignment="1">
      <alignment horizontal="center" vertical="center"/>
    </xf>
    <xf numFmtId="0" fontId="11" fillId="8" borderId="63" xfId="0" applyFont="1" applyFill="1" applyBorder="1"/>
    <xf numFmtId="0" fontId="11" fillId="9" borderId="0" xfId="0" applyFont="1" applyFill="1"/>
    <xf numFmtId="0" fontId="11" fillId="8" borderId="4" xfId="0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</cellXfs>
  <cellStyles count="42">
    <cellStyle name="Euro" xfId="1"/>
    <cellStyle name="Euro 2" xfId="28"/>
    <cellStyle name="Migliaia (0)_AZIONI" xfId="2"/>
    <cellStyle name="Migliaia_AZIONI" xfId="3"/>
    <cellStyle name="Normal" xfId="0" builtinId="0"/>
    <cellStyle name="Normal 2" xfId="8"/>
    <cellStyle name="Normal 2 2" xfId="14"/>
    <cellStyle name="Normal 2 2 2" xfId="30"/>
    <cellStyle name="Normal 3" xfId="9"/>
    <cellStyle name="Normal 3 2" xfId="18"/>
    <cellStyle name="Normal 3 2 2" xfId="34"/>
    <cellStyle name="Normal 3 2 2 2" xfId="37"/>
    <cellStyle name="Normal 3 2 3" xfId="35"/>
    <cellStyle name="Normal 3 2 4" xfId="25"/>
    <cellStyle name="Normal 3 3" xfId="31"/>
    <cellStyle name="Normal 3 4" xfId="36"/>
    <cellStyle name="Normal 3 5" xfId="22"/>
    <cellStyle name="Normal 4" xfId="12"/>
    <cellStyle name="Normal 5" xfId="21"/>
    <cellStyle name="Normal 6" xfId="27"/>
    <cellStyle name="Normal 6 2" xfId="39"/>
    <cellStyle name="Normal 7" xfId="20"/>
    <cellStyle name="Normal 8" xfId="41"/>
    <cellStyle name="Normal_InterestRateQuotesFeed" xfId="15"/>
    <cellStyle name="Normal_SwaptionATMVols" xfId="16"/>
    <cellStyle name="Normale_AZIONI" xfId="4"/>
    <cellStyle name="Percent 2" xfId="11"/>
    <cellStyle name="Percent 2 2" xfId="33"/>
    <cellStyle name="Percent 2 2 2" xfId="38"/>
    <cellStyle name="Percent 2 3" xfId="23"/>
    <cellStyle name="Percent 3" xfId="10"/>
    <cellStyle name="Percent 3 2" xfId="19"/>
    <cellStyle name="Percent 3 2 2" xfId="26"/>
    <cellStyle name="Percent 3 3" xfId="32"/>
    <cellStyle name="Percent 4" xfId="13"/>
    <cellStyle name="Percent 5" xfId="17"/>
    <cellStyle name="Percent 5 2" xfId="24"/>
    <cellStyle name="Percent 6" xfId="29"/>
    <cellStyle name="Percent 7" xfId="40"/>
    <cellStyle name="result" xfId="5"/>
    <cellStyle name="Valuta (0)_AZIONI" xfId="6"/>
    <cellStyle name="Valuta_AZIONI" xfId="7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'6MSynthDepo_used'!$G$4</c:f>
              <c:numCache>
                <c:formatCode>d\-mmm\-yy</c:formatCode>
                <c:ptCount val="1"/>
                <c:pt idx="0">
                  <c:v>42160</c:v>
                </c:pt>
              </c:numCache>
            </c:numRef>
          </c:xVal>
          <c:yVal>
            <c:numRef>
              <c:f>'6MSynthDepo_used'!$K$4</c:f>
              <c:numCache>
                <c:formatCode>0.0000%</c:formatCode>
                <c:ptCount val="1"/>
                <c:pt idx="0">
                  <c:v>1.7436445875036216E-3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'6MSynthDepo_used'!$G$5:$G$16</c:f>
              <c:numCache>
                <c:formatCode>d\-mmm\-yy</c:formatCode>
                <c:ptCount val="12"/>
                <c:pt idx="0">
                  <c:v>42191</c:v>
                </c:pt>
                <c:pt idx="1">
                  <c:v>42221</c:v>
                </c:pt>
                <c:pt idx="2">
                  <c:v>42254</c:v>
                </c:pt>
                <c:pt idx="3">
                  <c:v>42282</c:v>
                </c:pt>
                <c:pt idx="4">
                  <c:v>42313</c:v>
                </c:pt>
                <c:pt idx="5">
                  <c:v>42345</c:v>
                </c:pt>
                <c:pt idx="6">
                  <c:v>42374</c:v>
                </c:pt>
                <c:pt idx="7">
                  <c:v>42405</c:v>
                </c:pt>
                <c:pt idx="8">
                  <c:v>42436</c:v>
                </c:pt>
                <c:pt idx="9">
                  <c:v>42465</c:v>
                </c:pt>
                <c:pt idx="10">
                  <c:v>42495</c:v>
                </c:pt>
                <c:pt idx="11">
                  <c:v>42527</c:v>
                </c:pt>
              </c:numCache>
            </c:numRef>
          </c:xVal>
          <c:yVal>
            <c:numRef>
              <c:f>'6MSynthDepo_used'!$K$5:$K$22</c:f>
              <c:numCache>
                <c:formatCode>0.0000%</c:formatCode>
                <c:ptCount val="18"/>
                <c:pt idx="0">
                  <c:v>1.8802851465069713E-3</c:v>
                </c:pt>
                <c:pt idx="1">
                  <c:v>1.9517275106922343E-3</c:v>
                </c:pt>
                <c:pt idx="2">
                  <c:v>1.9963033183752112E-3</c:v>
                </c:pt>
                <c:pt idx="3">
                  <c:v>2.0262214413426477E-3</c:v>
                </c:pt>
                <c:pt idx="4">
                  <c:v>2.0567548110327154E-3</c:v>
                </c:pt>
                <c:pt idx="5">
                  <c:v>2.0981423777716307E-3</c:v>
                </c:pt>
                <c:pt idx="6">
                  <c:v>2.1499021277230374E-3</c:v>
                </c:pt>
                <c:pt idx="7">
                  <c:v>2.1562207843516881E-3</c:v>
                </c:pt>
                <c:pt idx="8">
                  <c:v>2.1586619301245261E-3</c:v>
                </c:pt>
                <c:pt idx="9">
                  <c:v>2.1692136222989881E-3</c:v>
                </c:pt>
                <c:pt idx="10">
                  <c:v>2.1933638066131342E-3</c:v>
                </c:pt>
                <c:pt idx="11">
                  <c:v>2.19487601715817E-3</c:v>
                </c:pt>
                <c:pt idx="12">
                  <c:v>2.1805928501196946E-3</c:v>
                </c:pt>
                <c:pt idx="13">
                  <c:v>2.2351926328420262E-3</c:v>
                </c:pt>
                <c:pt idx="14">
                  <c:v>2.2676789815880725E-3</c:v>
                </c:pt>
                <c:pt idx="15">
                  <c:v>2.3008874571096055E-3</c:v>
                </c:pt>
                <c:pt idx="16">
                  <c:v>2.3277982194556172E-3</c:v>
                </c:pt>
                <c:pt idx="17">
                  <c:v>2.3268885179525949E-3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'6MSynthDepo_used'!$S$2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'6MSynthDepo_used'!$R$3:$R$262</c:f>
              <c:numCache>
                <c:formatCode>d\-mmm\-yy</c:formatCode>
                <c:ptCount val="26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  <c:pt idx="130">
                  <c:v>42342</c:v>
                </c:pt>
                <c:pt idx="131">
                  <c:v>42345</c:v>
                </c:pt>
                <c:pt idx="132">
                  <c:v>42346</c:v>
                </c:pt>
                <c:pt idx="133">
                  <c:v>42347</c:v>
                </c:pt>
                <c:pt idx="134">
                  <c:v>42348</c:v>
                </c:pt>
                <c:pt idx="135">
                  <c:v>42349</c:v>
                </c:pt>
                <c:pt idx="136">
                  <c:v>42352</c:v>
                </c:pt>
                <c:pt idx="137">
                  <c:v>42353</c:v>
                </c:pt>
                <c:pt idx="138">
                  <c:v>42354</c:v>
                </c:pt>
                <c:pt idx="139">
                  <c:v>42355</c:v>
                </c:pt>
                <c:pt idx="140">
                  <c:v>42356</c:v>
                </c:pt>
                <c:pt idx="141">
                  <c:v>42359</c:v>
                </c:pt>
                <c:pt idx="142">
                  <c:v>42360</c:v>
                </c:pt>
                <c:pt idx="143">
                  <c:v>42361</c:v>
                </c:pt>
                <c:pt idx="144">
                  <c:v>42362</c:v>
                </c:pt>
                <c:pt idx="145">
                  <c:v>42366</c:v>
                </c:pt>
                <c:pt idx="146">
                  <c:v>42367</c:v>
                </c:pt>
                <c:pt idx="147">
                  <c:v>42368</c:v>
                </c:pt>
                <c:pt idx="148">
                  <c:v>42369</c:v>
                </c:pt>
                <c:pt idx="149">
                  <c:v>42373</c:v>
                </c:pt>
                <c:pt idx="150">
                  <c:v>42374</c:v>
                </c:pt>
                <c:pt idx="151">
                  <c:v>42375</c:v>
                </c:pt>
                <c:pt idx="152">
                  <c:v>42376</c:v>
                </c:pt>
                <c:pt idx="153">
                  <c:v>42377</c:v>
                </c:pt>
                <c:pt idx="154">
                  <c:v>42380</c:v>
                </c:pt>
                <c:pt idx="155">
                  <c:v>42381</c:v>
                </c:pt>
                <c:pt idx="156">
                  <c:v>42382</c:v>
                </c:pt>
                <c:pt idx="157">
                  <c:v>42383</c:v>
                </c:pt>
                <c:pt idx="158">
                  <c:v>42384</c:v>
                </c:pt>
                <c:pt idx="159">
                  <c:v>42387</c:v>
                </c:pt>
                <c:pt idx="160">
                  <c:v>42388</c:v>
                </c:pt>
                <c:pt idx="161">
                  <c:v>42389</c:v>
                </c:pt>
                <c:pt idx="162">
                  <c:v>42390</c:v>
                </c:pt>
                <c:pt idx="163">
                  <c:v>42391</c:v>
                </c:pt>
                <c:pt idx="164">
                  <c:v>42394</c:v>
                </c:pt>
                <c:pt idx="165">
                  <c:v>42395</c:v>
                </c:pt>
                <c:pt idx="166">
                  <c:v>42396</c:v>
                </c:pt>
                <c:pt idx="167">
                  <c:v>42397</c:v>
                </c:pt>
                <c:pt idx="168">
                  <c:v>42398</c:v>
                </c:pt>
                <c:pt idx="169">
                  <c:v>42401</c:v>
                </c:pt>
                <c:pt idx="170">
                  <c:v>42402</c:v>
                </c:pt>
                <c:pt idx="171">
                  <c:v>42403</c:v>
                </c:pt>
                <c:pt idx="172">
                  <c:v>42404</c:v>
                </c:pt>
                <c:pt idx="173">
                  <c:v>42405</c:v>
                </c:pt>
                <c:pt idx="174">
                  <c:v>42408</c:v>
                </c:pt>
                <c:pt idx="175">
                  <c:v>42409</c:v>
                </c:pt>
                <c:pt idx="176">
                  <c:v>42410</c:v>
                </c:pt>
                <c:pt idx="177">
                  <c:v>42411</c:v>
                </c:pt>
                <c:pt idx="178">
                  <c:v>42412</c:v>
                </c:pt>
                <c:pt idx="179">
                  <c:v>42415</c:v>
                </c:pt>
                <c:pt idx="180">
                  <c:v>42416</c:v>
                </c:pt>
                <c:pt idx="181">
                  <c:v>42417</c:v>
                </c:pt>
                <c:pt idx="182">
                  <c:v>42418</c:v>
                </c:pt>
                <c:pt idx="183">
                  <c:v>42419</c:v>
                </c:pt>
                <c:pt idx="184">
                  <c:v>42422</c:v>
                </c:pt>
                <c:pt idx="185">
                  <c:v>42423</c:v>
                </c:pt>
                <c:pt idx="186">
                  <c:v>42424</c:v>
                </c:pt>
                <c:pt idx="187">
                  <c:v>42425</c:v>
                </c:pt>
                <c:pt idx="188">
                  <c:v>42426</c:v>
                </c:pt>
                <c:pt idx="189">
                  <c:v>42429</c:v>
                </c:pt>
                <c:pt idx="190">
                  <c:v>42430</c:v>
                </c:pt>
                <c:pt idx="191">
                  <c:v>42431</c:v>
                </c:pt>
                <c:pt idx="192">
                  <c:v>42432</c:v>
                </c:pt>
                <c:pt idx="193">
                  <c:v>42433</c:v>
                </c:pt>
                <c:pt idx="194">
                  <c:v>42436</c:v>
                </c:pt>
                <c:pt idx="195">
                  <c:v>42437</c:v>
                </c:pt>
                <c:pt idx="196">
                  <c:v>42438</c:v>
                </c:pt>
                <c:pt idx="197">
                  <c:v>42439</c:v>
                </c:pt>
                <c:pt idx="198">
                  <c:v>42440</c:v>
                </c:pt>
                <c:pt idx="199">
                  <c:v>42443</c:v>
                </c:pt>
                <c:pt idx="200">
                  <c:v>42444</c:v>
                </c:pt>
                <c:pt idx="201">
                  <c:v>42445</c:v>
                </c:pt>
                <c:pt idx="202">
                  <c:v>42446</c:v>
                </c:pt>
                <c:pt idx="203">
                  <c:v>42447</c:v>
                </c:pt>
                <c:pt idx="204">
                  <c:v>42450</c:v>
                </c:pt>
                <c:pt idx="205">
                  <c:v>42451</c:v>
                </c:pt>
                <c:pt idx="206">
                  <c:v>42452</c:v>
                </c:pt>
                <c:pt idx="207">
                  <c:v>42453</c:v>
                </c:pt>
                <c:pt idx="208">
                  <c:v>42458</c:v>
                </c:pt>
                <c:pt idx="209">
                  <c:v>42459</c:v>
                </c:pt>
                <c:pt idx="210">
                  <c:v>42460</c:v>
                </c:pt>
                <c:pt idx="211">
                  <c:v>42461</c:v>
                </c:pt>
                <c:pt idx="212">
                  <c:v>42464</c:v>
                </c:pt>
                <c:pt idx="213">
                  <c:v>42465</c:v>
                </c:pt>
                <c:pt idx="214">
                  <c:v>42466</c:v>
                </c:pt>
                <c:pt idx="215">
                  <c:v>42467</c:v>
                </c:pt>
                <c:pt idx="216">
                  <c:v>42468</c:v>
                </c:pt>
                <c:pt idx="217">
                  <c:v>42471</c:v>
                </c:pt>
                <c:pt idx="218">
                  <c:v>42472</c:v>
                </c:pt>
                <c:pt idx="219">
                  <c:v>42473</c:v>
                </c:pt>
                <c:pt idx="220">
                  <c:v>42474</c:v>
                </c:pt>
                <c:pt idx="221">
                  <c:v>42475</c:v>
                </c:pt>
                <c:pt idx="222">
                  <c:v>42478</c:v>
                </c:pt>
                <c:pt idx="223">
                  <c:v>42479</c:v>
                </c:pt>
                <c:pt idx="224">
                  <c:v>42480</c:v>
                </c:pt>
                <c:pt idx="225">
                  <c:v>42481</c:v>
                </c:pt>
                <c:pt idx="226">
                  <c:v>42482</c:v>
                </c:pt>
                <c:pt idx="227">
                  <c:v>42485</c:v>
                </c:pt>
                <c:pt idx="228">
                  <c:v>42486</c:v>
                </c:pt>
                <c:pt idx="229">
                  <c:v>42487</c:v>
                </c:pt>
                <c:pt idx="230">
                  <c:v>42488</c:v>
                </c:pt>
                <c:pt idx="231">
                  <c:v>42489</c:v>
                </c:pt>
                <c:pt idx="232">
                  <c:v>42492</c:v>
                </c:pt>
                <c:pt idx="233">
                  <c:v>42493</c:v>
                </c:pt>
                <c:pt idx="234">
                  <c:v>42494</c:v>
                </c:pt>
                <c:pt idx="235">
                  <c:v>42495</c:v>
                </c:pt>
                <c:pt idx="236">
                  <c:v>42496</c:v>
                </c:pt>
                <c:pt idx="237">
                  <c:v>42499</c:v>
                </c:pt>
                <c:pt idx="238">
                  <c:v>42500</c:v>
                </c:pt>
                <c:pt idx="239">
                  <c:v>42501</c:v>
                </c:pt>
                <c:pt idx="240">
                  <c:v>42502</c:v>
                </c:pt>
                <c:pt idx="241">
                  <c:v>42503</c:v>
                </c:pt>
                <c:pt idx="242">
                  <c:v>42506</c:v>
                </c:pt>
                <c:pt idx="243">
                  <c:v>42507</c:v>
                </c:pt>
                <c:pt idx="244">
                  <c:v>42508</c:v>
                </c:pt>
                <c:pt idx="245">
                  <c:v>42509</c:v>
                </c:pt>
                <c:pt idx="246">
                  <c:v>42510</c:v>
                </c:pt>
                <c:pt idx="247">
                  <c:v>42513</c:v>
                </c:pt>
                <c:pt idx="248">
                  <c:v>42514</c:v>
                </c:pt>
                <c:pt idx="249">
                  <c:v>42515</c:v>
                </c:pt>
                <c:pt idx="250">
                  <c:v>42516</c:v>
                </c:pt>
                <c:pt idx="251">
                  <c:v>42517</c:v>
                </c:pt>
                <c:pt idx="252">
                  <c:v>42520</c:v>
                </c:pt>
                <c:pt idx="253">
                  <c:v>42521</c:v>
                </c:pt>
                <c:pt idx="254">
                  <c:v>42522</c:v>
                </c:pt>
                <c:pt idx="255">
                  <c:v>42523</c:v>
                </c:pt>
                <c:pt idx="256">
                  <c:v>42524</c:v>
                </c:pt>
                <c:pt idx="257">
                  <c:v>42527</c:v>
                </c:pt>
                <c:pt idx="258">
                  <c:v>42528</c:v>
                </c:pt>
                <c:pt idx="259">
                  <c:v>42529</c:v>
                </c:pt>
              </c:numCache>
            </c:numRef>
          </c:xVal>
          <c:yVal>
            <c:numRef>
              <c:f>'6MSynthDepo_used'!$S$3:$S$262</c:f>
              <c:numCache>
                <c:formatCode>0.0000%</c:formatCode>
                <c:ptCount val="260"/>
                <c:pt idx="0">
                  <c:v>1.8094707299657023E-3</c:v>
                </c:pt>
                <c:pt idx="1">
                  <c:v>1.8169533676055088E-3</c:v>
                </c:pt>
                <c:pt idx="2">
                  <c:v>1.8194233944262125E-3</c:v>
                </c:pt>
                <c:pt idx="3">
                  <c:v>1.821881387116715E-3</c:v>
                </c:pt>
                <c:pt idx="4">
                  <c:v>1.8243273809166642E-3</c:v>
                </c:pt>
                <c:pt idx="5">
                  <c:v>1.8267614110657096E-3</c:v>
                </c:pt>
                <c:pt idx="6">
                  <c:v>1.8339920720039065E-3</c:v>
                </c:pt>
                <c:pt idx="7">
                  <c:v>1.8363785999458216E-3</c:v>
                </c:pt>
                <c:pt idx="8">
                  <c:v>1.8387533404350756E-3</c:v>
                </c:pt>
                <c:pt idx="9">
                  <c:v>1.8411163287113173E-3</c:v>
                </c:pt>
                <c:pt idx="10">
                  <c:v>1.8434676000141958E-3</c:v>
                </c:pt>
                <c:pt idx="11">
                  <c:v>1.8504514644791352E-3</c:v>
                </c:pt>
                <c:pt idx="12">
                  <c:v>1.8527562202850453E-3</c:v>
                </c:pt>
                <c:pt idx="13">
                  <c:v>1.8550494353158351E-3</c:v>
                </c:pt>
                <c:pt idx="14">
                  <c:v>1.8573311448111531E-3</c:v>
                </c:pt>
                <c:pt idx="15">
                  <c:v>1.8596013840106482E-3</c:v>
                </c:pt>
                <c:pt idx="16">
                  <c:v>1.8663436322306816E-3</c:v>
                </c:pt>
                <c:pt idx="17">
                  <c:v>1.8685683426433708E-3</c:v>
                </c:pt>
                <c:pt idx="18">
                  <c:v>1.8707817589584804E-3</c:v>
                </c:pt>
                <c:pt idx="19">
                  <c:v>1.8729839164156586E-3</c:v>
                </c:pt>
                <c:pt idx="20">
                  <c:v>1.8751748502545545E-3</c:v>
                </c:pt>
                <c:pt idx="21">
                  <c:v>1.8816806624580335E-3</c:v>
                </c:pt>
                <c:pt idx="22">
                  <c:v>1.8838270542202856E-3</c:v>
                </c:pt>
                <c:pt idx="23">
                  <c:v>1.8859623985624987E-3</c:v>
                </c:pt>
                <c:pt idx="24">
                  <c:v>1.8880867307243213E-3</c:v>
                </c:pt>
                <c:pt idx="25">
                  <c:v>1.8902000859454017E-3</c:v>
                </c:pt>
                <c:pt idx="26">
                  <c:v>1.8964746423606781E-3</c:v>
                </c:pt>
                <c:pt idx="27">
                  <c:v>1.8985444422152773E-3</c:v>
                </c:pt>
                <c:pt idx="28">
                  <c:v>1.9006034413273777E-3</c:v>
                </c:pt>
                <c:pt idx="29">
                  <c:v>1.9026516749366283E-3</c:v>
                </c:pt>
                <c:pt idx="30">
                  <c:v>1.9046891782826775E-3</c:v>
                </c:pt>
                <c:pt idx="31">
                  <c:v>1.9107376591381031E-3</c:v>
                </c:pt>
                <c:pt idx="32">
                  <c:v>1.9127325938278329E-3</c:v>
                </c:pt>
                <c:pt idx="33">
                  <c:v>1.9147169744526051E-3</c:v>
                </c:pt>
                <c:pt idx="34">
                  <c:v>1.9166908362520673E-3</c:v>
                </c:pt>
                <c:pt idx="35">
                  <c:v>1.918654214465869E-3</c:v>
                </c:pt>
                <c:pt idx="36">
                  <c:v>1.9244817999897953E-3</c:v>
                </c:pt>
                <c:pt idx="37">
                  <c:v>1.92640359625744E-3</c:v>
                </c:pt>
                <c:pt idx="38">
                  <c:v>1.9283150851376674E-3</c:v>
                </c:pt>
                <c:pt idx="39">
                  <c:v>1.9302163018701257E-3</c:v>
                </c:pt>
                <c:pt idx="40">
                  <c:v>1.9321072816944635E-3</c:v>
                </c:pt>
                <c:pt idx="41">
                  <c:v>1.9377191521152428E-3</c:v>
                </c:pt>
                <c:pt idx="42">
                  <c:v>1.939569536703586E-3</c:v>
                </c:pt>
                <c:pt idx="43">
                  <c:v>1.9414098605820525E-3</c:v>
                </c:pt>
                <c:pt idx="44">
                  <c:v>1.9432401589902903E-3</c:v>
                </c:pt>
                <c:pt idx="45">
                  <c:v>1.9450604671679488E-3</c:v>
                </c:pt>
                <c:pt idx="46">
                  <c:v>1.9504618027139319E-3</c:v>
                </c:pt>
                <c:pt idx="47">
                  <c:v>1.9522425023657578E-3</c:v>
                </c:pt>
                <c:pt idx="48">
                  <c:v>1.9540133879852473E-3</c:v>
                </c:pt>
                <c:pt idx="49">
                  <c:v>1.9557744948120489E-3</c:v>
                </c:pt>
                <c:pt idx="50">
                  <c:v>1.9575258580858115E-3</c:v>
                </c:pt>
                <c:pt idx="51">
                  <c:v>1.9627218389853505E-3</c:v>
                </c:pt>
                <c:pt idx="52">
                  <c:v>1.964434580443443E-3</c:v>
                </c:pt>
                <c:pt idx="53">
                  <c:v>1.9661377545467395E-3</c:v>
                </c:pt>
                <c:pt idx="54">
                  <c:v>1.9678313965348889E-3</c:v>
                </c:pt>
                <c:pt idx="55">
                  <c:v>1.9695155416475396E-3</c:v>
                </c:pt>
                <c:pt idx="56">
                  <c:v>1.974511348128987E-3</c:v>
                </c:pt>
                <c:pt idx="57">
                  <c:v>1.9761578581361295E-3</c:v>
                </c:pt>
                <c:pt idx="58">
                  <c:v>1.9777950474660169E-3</c:v>
                </c:pt>
                <c:pt idx="59">
                  <c:v>1.9794229513582979E-3</c:v>
                </c:pt>
                <c:pt idx="60">
                  <c:v>1.9810416050526206E-3</c:v>
                </c:pt>
                <c:pt idx="61">
                  <c:v>1.9858424173443269E-3</c:v>
                </c:pt>
                <c:pt idx="62">
                  <c:v>1.9874244226433038E-3</c:v>
                </c:pt>
                <c:pt idx="63">
                  <c:v>1.9889973539425664E-3</c:v>
                </c:pt>
                <c:pt idx="64">
                  <c:v>1.9905612464817626E-3</c:v>
                </c:pt>
                <c:pt idx="65">
                  <c:v>1.9921161355005413E-3</c:v>
                </c:pt>
                <c:pt idx="66">
                  <c:v>1.9967271338308585E-3</c:v>
                </c:pt>
                <c:pt idx="67">
                  <c:v>1.9982463611644538E-3</c:v>
                </c:pt>
                <c:pt idx="68">
                  <c:v>1.999756761175875E-3</c:v>
                </c:pt>
                <c:pt idx="69">
                  <c:v>2.0012583691047707E-3</c:v>
                </c:pt>
                <c:pt idx="70">
                  <c:v>2.0027512201907889E-3</c:v>
                </c:pt>
                <c:pt idx="71">
                  <c:v>2.0071775847880697E-3</c:v>
                </c:pt>
                <c:pt idx="72">
                  <c:v>2.0086357608990668E-3</c:v>
                </c:pt>
                <c:pt idx="73">
                  <c:v>2.0100853563654307E-3</c:v>
                </c:pt>
                <c:pt idx="74">
                  <c:v>2.0115264064268093E-3</c:v>
                </c:pt>
                <c:pt idx="75">
                  <c:v>2.0129589463228513E-3</c:v>
                </c:pt>
                <c:pt idx="76">
                  <c:v>2.0172058574154466E-3</c:v>
                </c:pt>
                <c:pt idx="77">
                  <c:v>2.0186047090466298E-3</c:v>
                </c:pt>
                <c:pt idx="78">
                  <c:v>2.0199952267107202E-3</c:v>
                </c:pt>
                <c:pt idx="79">
                  <c:v>2.0213774456473662E-3</c:v>
                </c:pt>
                <c:pt idx="80">
                  <c:v>2.0227514010962159E-3</c:v>
                </c:pt>
                <c:pt idx="81">
                  <c:v>2.0268240389124774E-3</c:v>
                </c:pt>
                <c:pt idx="82">
                  <c:v>2.0281652928066311E-3</c:v>
                </c:pt>
                <c:pt idx="83">
                  <c:v>2.0294984594112315E-3</c:v>
                </c:pt>
                <c:pt idx="84">
                  <c:v>2.0308235739659283E-3</c:v>
                </c:pt>
                <c:pt idx="85">
                  <c:v>2.0321406717103696E-3</c:v>
                </c:pt>
                <c:pt idx="86">
                  <c:v>2.0360442164786496E-3</c:v>
                </c:pt>
                <c:pt idx="87">
                  <c:v>2.0373295993785568E-3</c:v>
                </c:pt>
                <c:pt idx="88">
                  <c:v>2.0386071416664516E-3</c:v>
                </c:pt>
                <c:pt idx="89">
                  <c:v>2.0398768785819831E-3</c:v>
                </c:pt>
                <c:pt idx="90">
                  <c:v>2.0411388453647999E-3</c:v>
                </c:pt>
                <c:pt idx="91">
                  <c:v>2.0448784773134496E-3</c:v>
                </c:pt>
                <c:pt idx="92">
                  <c:v>2.0461097159618943E-3</c:v>
                </c:pt>
                <c:pt idx="93">
                  <c:v>2.0473333606758673E-3</c:v>
                </c:pt>
                <c:pt idx="94">
                  <c:v>2.0485494466950184E-3</c:v>
                </c:pt>
                <c:pt idx="95">
                  <c:v>2.0497580092589947E-3</c:v>
                </c:pt>
                <c:pt idx="96">
                  <c:v>2.0533389086163658E-3</c:v>
                </c:pt>
                <c:pt idx="97">
                  <c:v>2.0545177297561323E-3</c:v>
                </c:pt>
                <c:pt idx="98">
                  <c:v>2.055689203638968E-3</c:v>
                </c:pt>
                <c:pt idx="99">
                  <c:v>2.0568533655045212E-3</c:v>
                </c:pt>
                <c:pt idx="100">
                  <c:v>2.0580102505924408E-3</c:v>
                </c:pt>
                <c:pt idx="101">
                  <c:v>2.0614375975868851E-3</c:v>
                </c:pt>
                <c:pt idx="102">
                  <c:v>2.0625657279607569E-3</c:v>
                </c:pt>
                <c:pt idx="103">
                  <c:v>2.0636867577552387E-3</c:v>
                </c:pt>
                <c:pt idx="104">
                  <c:v>2.0648007222099783E-3</c:v>
                </c:pt>
                <c:pt idx="105">
                  <c:v>2.0659076565646257E-3</c:v>
                </c:pt>
                <c:pt idx="106">
                  <c:v>2.0691866314244945E-3</c:v>
                </c:pt>
                <c:pt idx="107">
                  <c:v>2.070265797775256E-3</c:v>
                </c:pt>
                <c:pt idx="108">
                  <c:v>2.0713381102241677E-3</c:v>
                </c:pt>
                <c:pt idx="109">
                  <c:v>2.0724036040108782E-3</c:v>
                </c:pt>
                <c:pt idx="110">
                  <c:v>2.0734623143750359E-3</c:v>
                </c:pt>
                <c:pt idx="111">
                  <c:v>2.0765980973286827E-3</c:v>
                </c:pt>
                <c:pt idx="112">
                  <c:v>2.0776300263991168E-3</c:v>
                </c:pt>
                <c:pt idx="113">
                  <c:v>2.0786553482452425E-3</c:v>
                </c:pt>
                <c:pt idx="114">
                  <c:v>2.0796740981067078E-3</c:v>
                </c:pt>
                <c:pt idx="115">
                  <c:v>2.0806863112231605E-3</c:v>
                </c:pt>
                <c:pt idx="116">
                  <c:v>2.0836840824989349E-3</c:v>
                </c:pt>
                <c:pt idx="117">
                  <c:v>2.084670501031827E-3</c:v>
                </c:pt>
                <c:pt idx="118">
                  <c:v>2.0856505590179501E-3</c:v>
                </c:pt>
                <c:pt idx="119">
                  <c:v>2.0866242916969535E-3</c:v>
                </c:pt>
                <c:pt idx="120">
                  <c:v>2.0875917343084853E-3</c:v>
                </c:pt>
                <c:pt idx="121">
                  <c:v>2.0904566741347407E-3</c:v>
                </c:pt>
                <c:pt idx="122">
                  <c:v>2.0913993088728738E-3</c:v>
                </c:pt>
                <c:pt idx="123">
                  <c:v>2.092335829741779E-3</c:v>
                </c:pt>
                <c:pt idx="124">
                  <c:v>2.0932662719811042E-3</c:v>
                </c:pt>
                <c:pt idx="125">
                  <c:v>2.0941906708304989E-3</c:v>
                </c:pt>
                <c:pt idx="126">
                  <c:v>2.0969279594355854E-3</c:v>
                </c:pt>
                <c:pt idx="127">
                  <c:v>2.0978285371217437E-3</c:v>
                </c:pt>
                <c:pt idx="128">
                  <c:v>2.0987232476162142E-3</c:v>
                </c:pt>
                <c:pt idx="129">
                  <c:v>2.0996121261586463E-3</c:v>
                </c:pt>
                <c:pt idx="130">
                  <c:v>2.1004952079886874E-3</c:v>
                </c:pt>
                <c:pt idx="131">
                  <c:v>2.1031100256009576E-3</c:v>
                </c:pt>
                <c:pt idx="132">
                  <c:v>2.1039702729779247E-3</c:v>
                </c:pt>
                <c:pt idx="133">
                  <c:v>2.1048248998407448E-3</c:v>
                </c:pt>
                <c:pt idx="134">
                  <c:v>2.1056739414290673E-3</c:v>
                </c:pt>
                <c:pt idx="135">
                  <c:v>2.1065174329825396E-3</c:v>
                </c:pt>
                <c:pt idx="136">
                  <c:v>2.1090149598303447E-3</c:v>
                </c:pt>
                <c:pt idx="137">
                  <c:v>2.109836603640905E-3</c:v>
                </c:pt>
                <c:pt idx="138">
                  <c:v>2.1106528736148586E-3</c:v>
                </c:pt>
                <c:pt idx="139">
                  <c:v>2.1114638049918545E-3</c:v>
                </c:pt>
                <c:pt idx="140">
                  <c:v>2.1122694330115415E-3</c:v>
                </c:pt>
                <c:pt idx="141">
                  <c:v>2.1146548493232338E-3</c:v>
                </c:pt>
                <c:pt idx="142">
                  <c:v>2.1154396163101706E-3</c:v>
                </c:pt>
                <c:pt idx="143">
                  <c:v>2.1162192561380417E-3</c:v>
                </c:pt>
                <c:pt idx="144">
                  <c:v>2.1169938040464958E-3</c:v>
                </c:pt>
                <c:pt idx="145">
                  <c:v>2.1200417812791122E-3</c:v>
                </c:pt>
                <c:pt idx="146">
                  <c:v>2.1207913981852095E-3</c:v>
                </c:pt>
                <c:pt idx="147">
                  <c:v>2.1215361346097819E-3</c:v>
                </c:pt>
                <c:pt idx="148">
                  <c:v>2.1222760257924777E-3</c:v>
                </c:pt>
                <c:pt idx="149">
                  <c:v>2.1251878428974677E-3</c:v>
                </c:pt>
                <c:pt idx="150">
                  <c:v>2.1259040364655095E-3</c:v>
                </c:pt>
                <c:pt idx="151">
                  <c:v>2.1266155962295671E-3</c:v>
                </c:pt>
                <c:pt idx="152">
                  <c:v>2.1273225574292886E-3</c:v>
                </c:pt>
                <c:pt idx="153">
                  <c:v>2.1280249553043223E-3</c:v>
                </c:pt>
                <c:pt idx="154">
                  <c:v>2.1301051213777865E-3</c:v>
                </c:pt>
                <c:pt idx="155">
                  <c:v>2.1307896183505571E-3</c:v>
                </c:pt>
                <c:pt idx="156">
                  <c:v>2.1314697281968834E-3</c:v>
                </c:pt>
                <c:pt idx="157">
                  <c:v>2.1321454861564148E-3</c:v>
                </c:pt>
                <c:pt idx="158">
                  <c:v>2.1328169274687989E-3</c:v>
                </c:pt>
                <c:pt idx="159">
                  <c:v>2.1348057039195568E-3</c:v>
                </c:pt>
                <c:pt idx="160">
                  <c:v>2.1354602310398397E-3</c:v>
                </c:pt>
                <c:pt idx="161">
                  <c:v>2.1361106177112195E-3</c:v>
                </c:pt>
                <c:pt idx="162">
                  <c:v>2.1367568991733439E-3</c:v>
                </c:pt>
                <c:pt idx="163">
                  <c:v>2.1373991106658622E-3</c:v>
                </c:pt>
                <c:pt idx="164">
                  <c:v>2.139301677722266E-3</c:v>
                </c:pt>
                <c:pt idx="165">
                  <c:v>2.1399279617328459E-3</c:v>
                </c:pt>
                <c:pt idx="166">
                  <c:v>2.1405503519720624E-3</c:v>
                </c:pt>
                <c:pt idx="167">
                  <c:v>2.1411688836795641E-3</c:v>
                </c:pt>
                <c:pt idx="168">
                  <c:v>2.1417835920950006E-3</c:v>
                </c:pt>
                <c:pt idx="169">
                  <c:v>2.1436051299854016E-3</c:v>
                </c:pt>
                <c:pt idx="170">
                  <c:v>2.1442048976290612E-3</c:v>
                </c:pt>
                <c:pt idx="171">
                  <c:v>2.1448010181788985E-3</c:v>
                </c:pt>
                <c:pt idx="172">
                  <c:v>2.145393526874562E-3</c:v>
                </c:pt>
                <c:pt idx="173">
                  <c:v>2.1459824589557001E-3</c:v>
                </c:pt>
                <c:pt idx="174">
                  <c:v>2.1477281479084505E-3</c:v>
                </c:pt>
                <c:pt idx="175">
                  <c:v>2.1483031259279745E-3</c:v>
                </c:pt>
                <c:pt idx="176">
                  <c:v>2.1488747035312162E-3</c:v>
                </c:pt>
                <c:pt idx="177">
                  <c:v>2.1494429159578253E-3</c:v>
                </c:pt>
                <c:pt idx="178">
                  <c:v>2.150007798447449E-3</c:v>
                </c:pt>
                <c:pt idx="179">
                  <c:v>2.1516828186909E-3</c:v>
                </c:pt>
                <c:pt idx="180">
                  <c:v>2.152234733829072E-3</c:v>
                </c:pt>
                <c:pt idx="181">
                  <c:v>2.1527834952285024E-3</c:v>
                </c:pt>
                <c:pt idx="182">
                  <c:v>2.1533291381288407E-3</c:v>
                </c:pt>
                <c:pt idx="183">
                  <c:v>2.1538716977697343E-3</c:v>
                </c:pt>
                <c:pt idx="184">
                  <c:v>2.1554812295322377E-3</c:v>
                </c:pt>
                <c:pt idx="185">
                  <c:v>2.1560118085318415E-3</c:v>
                </c:pt>
                <c:pt idx="186">
                  <c:v>2.1565394804702446E-3</c:v>
                </c:pt>
                <c:pt idx="187">
                  <c:v>2.1570642805870959E-3</c:v>
                </c:pt>
                <c:pt idx="188">
                  <c:v>2.1575862441220433E-3</c:v>
                </c:pt>
                <c:pt idx="189">
                  <c:v>2.1591354676319509E-3</c:v>
                </c:pt>
                <c:pt idx="190">
                  <c:v>2.1596464372357709E-3</c:v>
                </c:pt>
                <c:pt idx="191">
                  <c:v>2.1601547464559301E-3</c:v>
                </c:pt>
                <c:pt idx="192">
                  <c:v>2.1606604305320787E-3</c:v>
                </c:pt>
                <c:pt idx="193">
                  <c:v>2.1611635247038635E-3</c:v>
                </c:pt>
                <c:pt idx="194">
                  <c:v>2.1626576201895275E-3</c:v>
                </c:pt>
                <c:pt idx="195">
                  <c:v>2.1631507071403471E-3</c:v>
                </c:pt>
                <c:pt idx="196">
                  <c:v>2.1636413803850472E-3</c:v>
                </c:pt>
                <c:pt idx="197">
                  <c:v>2.1641296751632759E-3</c:v>
                </c:pt>
                <c:pt idx="198">
                  <c:v>2.1646156267146827E-3</c:v>
                </c:pt>
                <c:pt idx="199">
                  <c:v>2.1660597744044539E-3</c:v>
                </c:pt>
                <c:pt idx="200">
                  <c:v>2.1665367054450576E-3</c:v>
                </c:pt>
                <c:pt idx="201">
                  <c:v>2.1670114694570812E-3</c:v>
                </c:pt>
                <c:pt idx="202">
                  <c:v>2.1674841016801755E-3</c:v>
                </c:pt>
                <c:pt idx="203">
                  <c:v>2.1679546373539874E-3</c:v>
                </c:pt>
                <c:pt idx="204">
                  <c:v>2.1693540174762185E-3</c:v>
                </c:pt>
                <c:pt idx="205">
                  <c:v>2.1698165193493892E-3</c:v>
                </c:pt>
                <c:pt idx="206">
                  <c:v>2.1702771008715212E-3</c:v>
                </c:pt>
                <c:pt idx="207">
                  <c:v>2.1707357972822637E-3</c:v>
                </c:pt>
                <c:pt idx="208">
                  <c:v>2.1730022360528295E-3</c:v>
                </c:pt>
                <c:pt idx="209">
                  <c:v>2.1734503618278541E-3</c:v>
                </c:pt>
                <c:pt idx="210">
                  <c:v>2.1738968491690287E-3</c:v>
                </c:pt>
                <c:pt idx="211">
                  <c:v>2.1743417333160032E-3</c:v>
                </c:pt>
                <c:pt idx="212">
                  <c:v>2.1756671189882087E-3</c:v>
                </c:pt>
                <c:pt idx="213">
                  <c:v>2.1761059427548662E-3</c:v>
                </c:pt>
                <c:pt idx="214">
                  <c:v>2.1765433395255665E-3</c:v>
                </c:pt>
                <c:pt idx="215">
                  <c:v>2.1769793445399581E-3</c:v>
                </c:pt>
                <c:pt idx="216">
                  <c:v>2.1774139930376894E-3</c:v>
                </c:pt>
                <c:pt idx="217">
                  <c:v>2.1787101518274095E-3</c:v>
                </c:pt>
                <c:pt idx="218">
                  <c:v>2.1791397266549867E-3</c:v>
                </c:pt>
                <c:pt idx="219">
                  <c:v>2.1795681211641475E-3</c:v>
                </c:pt>
                <c:pt idx="220">
                  <c:v>2.1799953705945395E-3</c:v>
                </c:pt>
                <c:pt idx="221">
                  <c:v>2.1804215101858112E-3</c:v>
                </c:pt>
                <c:pt idx="222">
                  <c:v>2.1816936223213977E-3</c:v>
                </c:pt>
                <c:pt idx="223">
                  <c:v>2.182115674952678E-3</c:v>
                </c:pt>
                <c:pt idx="224">
                  <c:v>2.1825367939430824E-3</c:v>
                </c:pt>
                <c:pt idx="225">
                  <c:v>2.1829570145322583E-3</c:v>
                </c:pt>
                <c:pt idx="226">
                  <c:v>2.1833763719598556E-3</c:v>
                </c:pt>
                <c:pt idx="227">
                  <c:v>2.1846296176696602E-3</c:v>
                </c:pt>
                <c:pt idx="228">
                  <c:v>2.1850458748474281E-3</c:v>
                </c:pt>
                <c:pt idx="229">
                  <c:v>2.1854614450618594E-3</c:v>
                </c:pt>
                <c:pt idx="230">
                  <c:v>2.185876363552604E-3</c:v>
                </c:pt>
                <c:pt idx="231">
                  <c:v>2.1862906655593104E-3</c:v>
                </c:pt>
                <c:pt idx="232">
                  <c:v>2.1875302250716844E-3</c:v>
                </c:pt>
                <c:pt idx="233">
                  <c:v>2.1879424135387228E-3</c:v>
                </c:pt>
                <c:pt idx="234">
                  <c:v>2.1883541617199664E-3</c:v>
                </c:pt>
                <c:pt idx="235">
                  <c:v>2.1887655048550632E-3</c:v>
                </c:pt>
                <c:pt idx="236">
                  <c:v>2.1891764781836621E-3</c:v>
                </c:pt>
                <c:pt idx="237">
                  <c:v>2.1904075317269577E-3</c:v>
                </c:pt>
                <c:pt idx="238">
                  <c:v>2.190817378226051E-3</c:v>
                </c:pt>
                <c:pt idx="239">
                  <c:v>2.1912270311168899E-3</c:v>
                </c:pt>
                <c:pt idx="240">
                  <c:v>2.1916365256391224E-3</c:v>
                </c:pt>
                <c:pt idx="241">
                  <c:v>2.1920458970323981E-3</c:v>
                </c:pt>
                <c:pt idx="242">
                  <c:v>2.1932736248349671E-3</c:v>
                </c:pt>
                <c:pt idx="243">
                  <c:v>2.1936828561088992E-3</c:v>
                </c:pt>
                <c:pt idx="244">
                  <c:v>2.1940921404521177E-3</c:v>
                </c:pt>
                <c:pt idx="245">
                  <c:v>2.1945015131042706E-3</c:v>
                </c:pt>
                <c:pt idx="246">
                  <c:v>2.1949110093050068E-3</c:v>
                </c:pt>
                <c:pt idx="247">
                  <c:v>2.1961405915952008E-3</c:v>
                </c:pt>
                <c:pt idx="248">
                  <c:v>2.1965509343867561E-3</c:v>
                </c:pt>
                <c:pt idx="249">
                  <c:v>2.1969615769251378E-3</c:v>
                </c:pt>
                <c:pt idx="250">
                  <c:v>2.1973725544499946E-3</c:v>
                </c:pt>
                <c:pt idx="251">
                  <c:v>2.197783902200975E-3</c:v>
                </c:pt>
                <c:pt idx="252">
                  <c:v>2.1990205192071455E-3</c:v>
                </c:pt>
                <c:pt idx="253">
                  <c:v>2.1994337002591078E-3</c:v>
                </c:pt>
                <c:pt idx="254">
                  <c:v>2.1998474277354365E-3</c:v>
                </c:pt>
                <c:pt idx="255">
                  <c:v>2.2002617368757811E-3</c:v>
                </c:pt>
                <c:pt idx="256">
                  <c:v>2.2006766629197902E-3</c:v>
                </c:pt>
                <c:pt idx="257">
                  <c:v>2.2019254948702888E-3</c:v>
                </c:pt>
                <c:pt idx="258">
                  <c:v>2.2023432409254413E-3</c:v>
                </c:pt>
                <c:pt idx="259">
                  <c:v>2.2027617800825013E-3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120576"/>
        <c:axId val="796122112"/>
      </c:scatterChart>
      <c:valAx>
        <c:axId val="79612057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96122112"/>
        <c:crosses val="autoZero"/>
        <c:crossBetween val="midCat"/>
      </c:valAx>
      <c:valAx>
        <c:axId val="796122112"/>
        <c:scaling>
          <c:orientation val="minMax"/>
          <c:max val="2.5000000000000005E-3"/>
          <c:min val="1.500000000000000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9612057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3984531312743334"/>
          <c:h val="0.328034631853248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tx>
            <c:v>Cont Basis 0M-6M</c:v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'6MSynthDepo_used'!$R$3:$R$133</c:f>
              <c:numCache>
                <c:formatCode>d\-mmm\-yy</c:formatCode>
                <c:ptCount val="131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  <c:pt idx="130">
                  <c:v>42342</c:v>
                </c:pt>
              </c:numCache>
            </c:numRef>
          </c:xVal>
          <c:yVal>
            <c:numRef>
              <c:f>'6MSynthDepo_used'!$U$3:$U$133</c:f>
              <c:numCache>
                <c:formatCode>0.0000%</c:formatCode>
                <c:ptCount val="131"/>
                <c:pt idx="0">
                  <c:v>1.5381482685654065E-3</c:v>
                </c:pt>
                <c:pt idx="1">
                  <c:v>1.5493514988763146E-3</c:v>
                </c:pt>
                <c:pt idx="2">
                  <c:v>1.5530551133727324E-3</c:v>
                </c:pt>
                <c:pt idx="3">
                  <c:v>1.5567433887982889E-3</c:v>
                </c:pt>
                <c:pt idx="4">
                  <c:v>1.5604163603926324E-3</c:v>
                </c:pt>
                <c:pt idx="5">
                  <c:v>1.5640740633954117E-3</c:v>
                </c:pt>
                <c:pt idx="6">
                  <c:v>1.5749559132508513E-3</c:v>
                </c:pt>
                <c:pt idx="7">
                  <c:v>1.5785528942838605E-3</c:v>
                </c:pt>
                <c:pt idx="8">
                  <c:v>1.5821347829235489E-3</c:v>
                </c:pt>
                <c:pt idx="9">
                  <c:v>1.5857016144095652E-3</c:v>
                </c:pt>
                <c:pt idx="10">
                  <c:v>1.5892534239815579E-3</c:v>
                </c:pt>
                <c:pt idx="11">
                  <c:v>1.5998190736098805E-3</c:v>
                </c:pt>
                <c:pt idx="12">
                  <c:v>1.6033111479222654E-3</c:v>
                </c:pt>
                <c:pt idx="13">
                  <c:v>1.6067883765188695E-3</c:v>
                </c:pt>
                <c:pt idx="14">
                  <c:v>1.6102507946393423E-3</c:v>
                </c:pt>
                <c:pt idx="15">
                  <c:v>1.6136984375233322E-3</c:v>
                </c:pt>
                <c:pt idx="16">
                  <c:v>1.6239530671528898E-3</c:v>
                </c:pt>
                <c:pt idx="17">
                  <c:v>1.6273419614874338E-3</c:v>
                </c:pt>
                <c:pt idx="18">
                  <c:v>1.6307162567837383E-3</c:v>
                </c:pt>
                <c:pt idx="19">
                  <c:v>1.6340759882814513E-3</c:v>
                </c:pt>
                <c:pt idx="20">
                  <c:v>1.6374211912202224E-3</c:v>
                </c:pt>
                <c:pt idx="21">
                  <c:v>1.6473699810793665E-3</c:v>
                </c:pt>
                <c:pt idx="22">
                  <c:v>1.6506574221788538E-3</c:v>
                </c:pt>
                <c:pt idx="23">
                  <c:v>1.6539305109176418E-3</c:v>
                </c:pt>
                <c:pt idx="24">
                  <c:v>1.6571892825353797E-3</c:v>
                </c:pt>
                <c:pt idx="25">
                  <c:v>1.6604337722717153E-3</c:v>
                </c:pt>
                <c:pt idx="26">
                  <c:v>1.6700819025887979E-3</c:v>
                </c:pt>
                <c:pt idx="27">
                  <c:v>1.6732696171960122E-3</c:v>
                </c:pt>
                <c:pt idx="28">
                  <c:v>1.6764432261200683E-3</c:v>
                </c:pt>
                <c:pt idx="29">
                  <c:v>1.6796027646006143E-3</c:v>
                </c:pt>
                <c:pt idx="30">
                  <c:v>1.6827482678772989E-3</c:v>
                </c:pt>
                <c:pt idx="31">
                  <c:v>1.692100918880671E-3</c:v>
                </c:pt>
                <c:pt idx="32">
                  <c:v>1.6951906337383969E-3</c:v>
                </c:pt>
                <c:pt idx="33">
                  <c:v>1.6982664895905046E-3</c:v>
                </c:pt>
                <c:pt idx="34">
                  <c:v>1.7013285216766426E-3</c:v>
                </c:pt>
                <c:pt idx="35">
                  <c:v>1.7043767652364602E-3</c:v>
                </c:pt>
                <c:pt idx="36">
                  <c:v>1.713439117154474E-3</c:v>
                </c:pt>
                <c:pt idx="37">
                  <c:v>1.716432559005495E-3</c:v>
                </c:pt>
                <c:pt idx="38">
                  <c:v>1.7194123885284382E-3</c:v>
                </c:pt>
                <c:pt idx="39">
                  <c:v>1.7223786409629525E-3</c:v>
                </c:pt>
                <c:pt idx="40">
                  <c:v>1.7253313515486863E-3</c:v>
                </c:pt>
                <c:pt idx="41">
                  <c:v>1.7341085846096938E-3</c:v>
                </c:pt>
                <c:pt idx="42">
                  <c:v>1.7370074801967934E-3</c:v>
                </c:pt>
                <c:pt idx="43">
                  <c:v>1.7398930101333563E-3</c:v>
                </c:pt>
                <c:pt idx="44">
                  <c:v>1.7427652096590304E-3</c:v>
                </c:pt>
                <c:pt idx="45">
                  <c:v>1.7456241140134654E-3</c:v>
                </c:pt>
                <c:pt idx="46">
                  <c:v>1.7541214084458177E-3</c:v>
                </c:pt>
                <c:pt idx="47">
                  <c:v>1.75692748451178E-3</c:v>
                </c:pt>
                <c:pt idx="48">
                  <c:v>1.7597204416047463E-3</c:v>
                </c:pt>
                <c:pt idx="49">
                  <c:v>1.7625003149643647E-3</c:v>
                </c:pt>
                <c:pt idx="50">
                  <c:v>1.7652671398302837E-3</c:v>
                </c:pt>
                <c:pt idx="51">
                  <c:v>1.7734896758623332E-3</c:v>
                </c:pt>
                <c:pt idx="52">
                  <c:v>1.7762046591499423E-3</c:v>
                </c:pt>
                <c:pt idx="53">
                  <c:v>1.7789067701420957E-3</c:v>
                </c:pt>
                <c:pt idx="54">
                  <c:v>1.7815960440784419E-3</c:v>
                </c:pt>
                <c:pt idx="55">
                  <c:v>1.7842725161986296E-3</c:v>
                </c:pt>
                <c:pt idx="56">
                  <c:v>1.7922254740587275E-3</c:v>
                </c:pt>
                <c:pt idx="57">
                  <c:v>1.7948510913107674E-3</c:v>
                </c:pt>
                <c:pt idx="58">
                  <c:v>1.797464082944892E-3</c:v>
                </c:pt>
                <c:pt idx="59">
                  <c:v>1.8000644842007499E-3</c:v>
                </c:pt>
                <c:pt idx="60">
                  <c:v>1.8026523303179896E-3</c:v>
                </c:pt>
                <c:pt idx="61">
                  <c:v>1.810340890234488E-3</c:v>
                </c:pt>
                <c:pt idx="62">
                  <c:v>1.8128788681937426E-3</c:v>
                </c:pt>
                <c:pt idx="63">
                  <c:v>1.8154044672126222E-3</c:v>
                </c:pt>
                <c:pt idx="64">
                  <c:v>1.8179177225307757E-3</c:v>
                </c:pt>
                <c:pt idx="65">
                  <c:v>1.8204186693878519E-3</c:v>
                </c:pt>
                <c:pt idx="66">
                  <c:v>1.8278480115891023E-3</c:v>
                </c:pt>
                <c:pt idx="67">
                  <c:v>1.8303000769983549E-3</c:v>
                </c:pt>
                <c:pt idx="68">
                  <c:v>1.8327400101447737E-3</c:v>
                </c:pt>
                <c:pt idx="69">
                  <c:v>1.8351678462680068E-3</c:v>
                </c:pt>
                <c:pt idx="70">
                  <c:v>1.8375836206077031E-3</c:v>
                </c:pt>
                <c:pt idx="71">
                  <c:v>1.8447589253220572E-3</c:v>
                </c:pt>
                <c:pt idx="72">
                  <c:v>1.8471268049240926E-3</c:v>
                </c:pt>
                <c:pt idx="73">
                  <c:v>1.8494827989408342E-3</c:v>
                </c:pt>
                <c:pt idx="74">
                  <c:v>1.8518269426119308E-3</c:v>
                </c:pt>
                <c:pt idx="75">
                  <c:v>1.8541592711770313E-3</c:v>
                </c:pt>
                <c:pt idx="76">
                  <c:v>1.8610857186328407E-3</c:v>
                </c:pt>
                <c:pt idx="77">
                  <c:v>1.863371139170442E-3</c:v>
                </c:pt>
                <c:pt idx="78">
                  <c:v>1.8656449208002907E-3</c:v>
                </c:pt>
                <c:pt idx="79">
                  <c:v>1.8679070987620346E-3</c:v>
                </c:pt>
                <c:pt idx="80">
                  <c:v>1.8701577082953229E-3</c:v>
                </c:pt>
                <c:pt idx="81">
                  <c:v>1.8768404787209399E-3</c:v>
                </c:pt>
                <c:pt idx="82">
                  <c:v>1.8790451669368914E-3</c:v>
                </c:pt>
                <c:pt idx="83">
                  <c:v>1.8812384629226309E-3</c:v>
                </c:pt>
                <c:pt idx="84">
                  <c:v>1.8834204019178059E-3</c:v>
                </c:pt>
                <c:pt idx="85">
                  <c:v>1.8855910191620663E-3</c:v>
                </c:pt>
                <c:pt idx="86">
                  <c:v>1.892035292785842E-3</c:v>
                </c:pt>
                <c:pt idx="87">
                  <c:v>1.8941609754229275E-3</c:v>
                </c:pt>
                <c:pt idx="88">
                  <c:v>1.8962755125073417E-3</c:v>
                </c:pt>
                <c:pt idx="89">
                  <c:v>1.8983789392787321E-3</c:v>
                </c:pt>
                <c:pt idx="90">
                  <c:v>1.9004712909767483E-3</c:v>
                </c:pt>
                <c:pt idx="91">
                  <c:v>1.9066822480270341E-3</c:v>
                </c:pt>
                <c:pt idx="92">
                  <c:v>1.9087306518280381E-3</c:v>
                </c:pt>
                <c:pt idx="93">
                  <c:v>1.9107681567539108E-3</c:v>
                </c:pt>
                <c:pt idx="94">
                  <c:v>1.9127947980443001E-3</c:v>
                </c:pt>
                <c:pt idx="95">
                  <c:v>1.914810610938856E-3</c:v>
                </c:pt>
                <c:pt idx="96">
                  <c:v>1.9207934316440045E-3</c:v>
                </c:pt>
                <c:pt idx="97">
                  <c:v>1.9227662833517104E-3</c:v>
                </c:pt>
                <c:pt idx="98">
                  <c:v>1.9247284828618253E-3</c:v>
                </c:pt>
                <c:pt idx="99">
                  <c:v>1.9266800654139978E-3</c:v>
                </c:pt>
                <c:pt idx="100">
                  <c:v>1.9286210662478767E-3</c:v>
                </c:pt>
                <c:pt idx="101">
                  <c:v>1.9343809308362396E-3</c:v>
                </c:pt>
                <c:pt idx="102">
                  <c:v>1.9362799571934315E-3</c:v>
                </c:pt>
                <c:pt idx="103">
                  <c:v>1.9381685780305725E-3</c:v>
                </c:pt>
                <c:pt idx="104">
                  <c:v>1.9400468285873122E-3</c:v>
                </c:pt>
                <c:pt idx="105">
                  <c:v>1.941914744103299E-3</c:v>
                </c:pt>
                <c:pt idx="106">
                  <c:v>1.9474568328032276E-3</c:v>
                </c:pt>
                <c:pt idx="107">
                  <c:v>1.9492837605526888E-3</c:v>
                </c:pt>
                <c:pt idx="108">
                  <c:v>1.9511005294596407E-3</c:v>
                </c:pt>
                <c:pt idx="109">
                  <c:v>1.9529071747637311E-3</c:v>
                </c:pt>
                <c:pt idx="110">
                  <c:v>1.9547037317046087E-3</c:v>
                </c:pt>
                <c:pt idx="111">
                  <c:v>1.9600332247444552E-3</c:v>
                </c:pt>
                <c:pt idx="112">
                  <c:v>1.9617897806289701E-3</c:v>
                </c:pt>
                <c:pt idx="113">
                  <c:v>1.9635364243485156E-3</c:v>
                </c:pt>
                <c:pt idx="114">
                  <c:v>1.965273191142741E-3</c:v>
                </c:pt>
                <c:pt idx="115">
                  <c:v>1.9670001162512946E-3</c:v>
                </c:pt>
                <c:pt idx="116">
                  <c:v>1.9721221938594096E-3</c:v>
                </c:pt>
                <c:pt idx="117">
                  <c:v>1.9738101046217625E-3</c:v>
                </c:pt>
                <c:pt idx="118">
                  <c:v>1.9754883498966859E-3</c:v>
                </c:pt>
                <c:pt idx="119">
                  <c:v>1.97715696492383E-3</c:v>
                </c:pt>
                <c:pt idx="120">
                  <c:v>1.9788159849428422E-3</c:v>
                </c:pt>
                <c:pt idx="121">
                  <c:v>1.9837358273475793E-3</c:v>
                </c:pt>
                <c:pt idx="122">
                  <c:v>1.9853568197305532E-3</c:v>
                </c:pt>
                <c:pt idx="123">
                  <c:v>1.9869683933036388E-3</c:v>
                </c:pt>
                <c:pt idx="124">
                  <c:v>1.988570583306485E-3</c:v>
                </c:pt>
                <c:pt idx="125">
                  <c:v>1.9901634249787407E-3</c:v>
                </c:pt>
                <c:pt idx="126">
                  <c:v>1.9948862124084502E-3</c:v>
                </c:pt>
                <c:pt idx="127">
                  <c:v>1.9964420131548294E-3</c:v>
                </c:pt>
                <c:pt idx="128">
                  <c:v>1.9979886417688607E-3</c:v>
                </c:pt>
                <c:pt idx="129">
                  <c:v>1.9995261334901943E-3</c:v>
                </c:pt>
                <c:pt idx="130">
                  <c:v>2.0010545235584765E-3</c:v>
                </c:pt>
              </c:numCache>
            </c:numRef>
          </c:yVal>
          <c:smooth val="0"/>
        </c:ser>
        <c:ser>
          <c:idx val="0"/>
          <c:order val="1"/>
          <c:tx>
            <c:v>Cont Basis 6M-12M</c:v>
          </c:tx>
          <c:marker>
            <c:symbol val="none"/>
          </c:marker>
          <c:xVal>
            <c:numRef>
              <c:f>'6MSynthDepo_used'!$R$134:$R$262</c:f>
              <c:numCache>
                <c:formatCode>d\-mmm\-yy</c:formatCode>
                <c:ptCount val="129"/>
                <c:pt idx="0">
                  <c:v>42345</c:v>
                </c:pt>
                <c:pt idx="1">
                  <c:v>42346</c:v>
                </c:pt>
                <c:pt idx="2">
                  <c:v>42347</c:v>
                </c:pt>
                <c:pt idx="3">
                  <c:v>42348</c:v>
                </c:pt>
                <c:pt idx="4">
                  <c:v>42349</c:v>
                </c:pt>
                <c:pt idx="5">
                  <c:v>42352</c:v>
                </c:pt>
                <c:pt idx="6">
                  <c:v>42353</c:v>
                </c:pt>
                <c:pt idx="7">
                  <c:v>42354</c:v>
                </c:pt>
                <c:pt idx="8">
                  <c:v>42355</c:v>
                </c:pt>
                <c:pt idx="9">
                  <c:v>42356</c:v>
                </c:pt>
                <c:pt idx="10">
                  <c:v>42359</c:v>
                </c:pt>
                <c:pt idx="11">
                  <c:v>42360</c:v>
                </c:pt>
                <c:pt idx="12">
                  <c:v>42361</c:v>
                </c:pt>
                <c:pt idx="13">
                  <c:v>42362</c:v>
                </c:pt>
                <c:pt idx="14">
                  <c:v>42366</c:v>
                </c:pt>
                <c:pt idx="15">
                  <c:v>42367</c:v>
                </c:pt>
                <c:pt idx="16">
                  <c:v>42368</c:v>
                </c:pt>
                <c:pt idx="17">
                  <c:v>42369</c:v>
                </c:pt>
                <c:pt idx="18">
                  <c:v>42373</c:v>
                </c:pt>
                <c:pt idx="19">
                  <c:v>42374</c:v>
                </c:pt>
                <c:pt idx="20">
                  <c:v>42375</c:v>
                </c:pt>
                <c:pt idx="21">
                  <c:v>42376</c:v>
                </c:pt>
                <c:pt idx="22">
                  <c:v>42377</c:v>
                </c:pt>
                <c:pt idx="23">
                  <c:v>42380</c:v>
                </c:pt>
                <c:pt idx="24">
                  <c:v>42381</c:v>
                </c:pt>
                <c:pt idx="25">
                  <c:v>42382</c:v>
                </c:pt>
                <c:pt idx="26">
                  <c:v>42383</c:v>
                </c:pt>
                <c:pt idx="27">
                  <c:v>42384</c:v>
                </c:pt>
                <c:pt idx="28">
                  <c:v>42387</c:v>
                </c:pt>
                <c:pt idx="29">
                  <c:v>42388</c:v>
                </c:pt>
                <c:pt idx="30">
                  <c:v>42389</c:v>
                </c:pt>
                <c:pt idx="31">
                  <c:v>42390</c:v>
                </c:pt>
                <c:pt idx="32">
                  <c:v>42391</c:v>
                </c:pt>
                <c:pt idx="33">
                  <c:v>42394</c:v>
                </c:pt>
                <c:pt idx="34">
                  <c:v>42395</c:v>
                </c:pt>
                <c:pt idx="35">
                  <c:v>42396</c:v>
                </c:pt>
                <c:pt idx="36">
                  <c:v>42397</c:v>
                </c:pt>
                <c:pt idx="37">
                  <c:v>42398</c:v>
                </c:pt>
                <c:pt idx="38">
                  <c:v>42401</c:v>
                </c:pt>
                <c:pt idx="39">
                  <c:v>42402</c:v>
                </c:pt>
                <c:pt idx="40">
                  <c:v>42403</c:v>
                </c:pt>
                <c:pt idx="41">
                  <c:v>42404</c:v>
                </c:pt>
                <c:pt idx="42">
                  <c:v>42405</c:v>
                </c:pt>
                <c:pt idx="43">
                  <c:v>42408</c:v>
                </c:pt>
                <c:pt idx="44">
                  <c:v>42409</c:v>
                </c:pt>
                <c:pt idx="45">
                  <c:v>42410</c:v>
                </c:pt>
                <c:pt idx="46">
                  <c:v>42411</c:v>
                </c:pt>
                <c:pt idx="47">
                  <c:v>42412</c:v>
                </c:pt>
                <c:pt idx="48">
                  <c:v>42415</c:v>
                </c:pt>
                <c:pt idx="49">
                  <c:v>42416</c:v>
                </c:pt>
                <c:pt idx="50">
                  <c:v>42417</c:v>
                </c:pt>
                <c:pt idx="51">
                  <c:v>42418</c:v>
                </c:pt>
                <c:pt idx="52">
                  <c:v>42419</c:v>
                </c:pt>
                <c:pt idx="53">
                  <c:v>42422</c:v>
                </c:pt>
                <c:pt idx="54">
                  <c:v>42423</c:v>
                </c:pt>
                <c:pt idx="55">
                  <c:v>42424</c:v>
                </c:pt>
                <c:pt idx="56">
                  <c:v>42425</c:v>
                </c:pt>
                <c:pt idx="57">
                  <c:v>42426</c:v>
                </c:pt>
                <c:pt idx="58">
                  <c:v>42429</c:v>
                </c:pt>
                <c:pt idx="59">
                  <c:v>42430</c:v>
                </c:pt>
                <c:pt idx="60">
                  <c:v>42431</c:v>
                </c:pt>
                <c:pt idx="61">
                  <c:v>42432</c:v>
                </c:pt>
                <c:pt idx="62">
                  <c:v>42433</c:v>
                </c:pt>
                <c:pt idx="63">
                  <c:v>42436</c:v>
                </c:pt>
                <c:pt idx="64">
                  <c:v>42437</c:v>
                </c:pt>
                <c:pt idx="65">
                  <c:v>42438</c:v>
                </c:pt>
                <c:pt idx="66">
                  <c:v>42439</c:v>
                </c:pt>
                <c:pt idx="67">
                  <c:v>42440</c:v>
                </c:pt>
                <c:pt idx="68">
                  <c:v>42443</c:v>
                </c:pt>
                <c:pt idx="69">
                  <c:v>42444</c:v>
                </c:pt>
                <c:pt idx="70">
                  <c:v>42445</c:v>
                </c:pt>
                <c:pt idx="71">
                  <c:v>42446</c:v>
                </c:pt>
                <c:pt idx="72">
                  <c:v>42447</c:v>
                </c:pt>
                <c:pt idx="73">
                  <c:v>42450</c:v>
                </c:pt>
                <c:pt idx="74">
                  <c:v>42451</c:v>
                </c:pt>
                <c:pt idx="75">
                  <c:v>42452</c:v>
                </c:pt>
                <c:pt idx="76">
                  <c:v>42453</c:v>
                </c:pt>
                <c:pt idx="77">
                  <c:v>42458</c:v>
                </c:pt>
                <c:pt idx="78">
                  <c:v>42459</c:v>
                </c:pt>
                <c:pt idx="79">
                  <c:v>42460</c:v>
                </c:pt>
                <c:pt idx="80">
                  <c:v>42461</c:v>
                </c:pt>
                <c:pt idx="81">
                  <c:v>42464</c:v>
                </c:pt>
                <c:pt idx="82">
                  <c:v>42465</c:v>
                </c:pt>
                <c:pt idx="83">
                  <c:v>42466</c:v>
                </c:pt>
                <c:pt idx="84">
                  <c:v>42467</c:v>
                </c:pt>
                <c:pt idx="85">
                  <c:v>42468</c:v>
                </c:pt>
                <c:pt idx="86">
                  <c:v>42471</c:v>
                </c:pt>
                <c:pt idx="87">
                  <c:v>42472</c:v>
                </c:pt>
                <c:pt idx="88">
                  <c:v>42473</c:v>
                </c:pt>
                <c:pt idx="89">
                  <c:v>42474</c:v>
                </c:pt>
                <c:pt idx="90">
                  <c:v>42475</c:v>
                </c:pt>
                <c:pt idx="91">
                  <c:v>42478</c:v>
                </c:pt>
                <c:pt idx="92">
                  <c:v>42479</c:v>
                </c:pt>
                <c:pt idx="93">
                  <c:v>42480</c:v>
                </c:pt>
                <c:pt idx="94">
                  <c:v>42481</c:v>
                </c:pt>
                <c:pt idx="95">
                  <c:v>42482</c:v>
                </c:pt>
                <c:pt idx="96">
                  <c:v>42485</c:v>
                </c:pt>
                <c:pt idx="97">
                  <c:v>42486</c:v>
                </c:pt>
                <c:pt idx="98">
                  <c:v>42487</c:v>
                </c:pt>
                <c:pt idx="99">
                  <c:v>42488</c:v>
                </c:pt>
                <c:pt idx="100">
                  <c:v>42489</c:v>
                </c:pt>
                <c:pt idx="101">
                  <c:v>42492</c:v>
                </c:pt>
                <c:pt idx="102">
                  <c:v>42493</c:v>
                </c:pt>
                <c:pt idx="103">
                  <c:v>42494</c:v>
                </c:pt>
                <c:pt idx="104">
                  <c:v>42495</c:v>
                </c:pt>
                <c:pt idx="105">
                  <c:v>42496</c:v>
                </c:pt>
                <c:pt idx="106">
                  <c:v>42499</c:v>
                </c:pt>
                <c:pt idx="107">
                  <c:v>42500</c:v>
                </c:pt>
                <c:pt idx="108">
                  <c:v>42501</c:v>
                </c:pt>
                <c:pt idx="109">
                  <c:v>42502</c:v>
                </c:pt>
                <c:pt idx="110">
                  <c:v>42503</c:v>
                </c:pt>
                <c:pt idx="111">
                  <c:v>42506</c:v>
                </c:pt>
                <c:pt idx="112">
                  <c:v>42507</c:v>
                </c:pt>
                <c:pt idx="113">
                  <c:v>42508</c:v>
                </c:pt>
                <c:pt idx="114">
                  <c:v>42509</c:v>
                </c:pt>
                <c:pt idx="115">
                  <c:v>42510</c:v>
                </c:pt>
                <c:pt idx="116">
                  <c:v>42513</c:v>
                </c:pt>
                <c:pt idx="117">
                  <c:v>42514</c:v>
                </c:pt>
                <c:pt idx="118">
                  <c:v>42515</c:v>
                </c:pt>
                <c:pt idx="119">
                  <c:v>42516</c:v>
                </c:pt>
                <c:pt idx="120">
                  <c:v>42517</c:v>
                </c:pt>
                <c:pt idx="121">
                  <c:v>42520</c:v>
                </c:pt>
                <c:pt idx="122">
                  <c:v>42521</c:v>
                </c:pt>
                <c:pt idx="123">
                  <c:v>42522</c:v>
                </c:pt>
                <c:pt idx="124">
                  <c:v>42523</c:v>
                </c:pt>
                <c:pt idx="125">
                  <c:v>42524</c:v>
                </c:pt>
                <c:pt idx="126">
                  <c:v>42527</c:v>
                </c:pt>
                <c:pt idx="127">
                  <c:v>42528</c:v>
                </c:pt>
                <c:pt idx="128">
                  <c:v>42529</c:v>
                </c:pt>
              </c:numCache>
            </c:numRef>
          </c:xVal>
          <c:yVal>
            <c:numRef>
              <c:f>'6MSynthDepo_used'!$U$134:$U$262</c:f>
              <c:numCache>
                <c:formatCode>0.0000%</c:formatCode>
                <c:ptCount val="129"/>
                <c:pt idx="0">
                  <c:v>2.0055854362415102E-3</c:v>
                </c:pt>
                <c:pt idx="1">
                  <c:v>2.0070777720940787E-3</c:v>
                </c:pt>
                <c:pt idx="2">
                  <c:v>2.0085611824918405E-3</c:v>
                </c:pt>
                <c:pt idx="3">
                  <c:v>2.0100357026744441E-3</c:v>
                </c:pt>
                <c:pt idx="4">
                  <c:v>2.0115013678815375E-3</c:v>
                </c:pt>
                <c:pt idx="5">
                  <c:v>2.0158455860462476E-3</c:v>
                </c:pt>
                <c:pt idx="6">
                  <c:v>2.0172761837477888E-3</c:v>
                </c:pt>
                <c:pt idx="7">
                  <c:v>2.0186981026720642E-3</c:v>
                </c:pt>
                <c:pt idx="8">
                  <c:v>2.0201113780587213E-3</c:v>
                </c:pt>
                <c:pt idx="9">
                  <c:v>2.0215160451474102E-3</c:v>
                </c:pt>
                <c:pt idx="10">
                  <c:v>2.0256787490221481E-3</c:v>
                </c:pt>
                <c:pt idx="11">
                  <c:v>2.0270493353154468E-3</c:v>
                </c:pt>
                <c:pt idx="12">
                  <c:v>2.0284114895090196E-3</c:v>
                </c:pt>
                <c:pt idx="13">
                  <c:v>2.0297652468425154E-3</c:v>
                </c:pt>
                <c:pt idx="14">
                  <c:v>2.0350970123687003E-3</c:v>
                </c:pt>
                <c:pt idx="15">
                  <c:v>2.0364093139965396E-3</c:v>
                </c:pt>
                <c:pt idx="16">
                  <c:v>2.0377134302021942E-3</c:v>
                </c:pt>
                <c:pt idx="17">
                  <c:v>2.0390093962253122E-3</c:v>
                </c:pt>
                <c:pt idx="18">
                  <c:v>2.0441124632853912E-3</c:v>
                </c:pt>
                <c:pt idx="19">
                  <c:v>2.0453682069905554E-3</c:v>
                </c:pt>
                <c:pt idx="20">
                  <c:v>2.0466160119510753E-3</c:v>
                </c:pt>
                <c:pt idx="21">
                  <c:v>2.047855913406599E-3</c:v>
                </c:pt>
                <c:pt idx="22">
                  <c:v>2.049087946596776E-3</c:v>
                </c:pt>
                <c:pt idx="23">
                  <c:v>2.0527371889717079E-3</c:v>
                </c:pt>
                <c:pt idx="24">
                  <c:v>2.0539381014969809E-3</c:v>
                </c:pt>
                <c:pt idx="25">
                  <c:v>2.0551313219551504E-3</c:v>
                </c:pt>
                <c:pt idx="26">
                  <c:v>2.0563168855858641E-3</c:v>
                </c:pt>
                <c:pt idx="27">
                  <c:v>2.0574948276287715E-3</c:v>
                </c:pt>
                <c:pt idx="28">
                  <c:v>2.0609832766271376E-3</c:v>
                </c:pt>
                <c:pt idx="29">
                  <c:v>2.0621310847153038E-3</c:v>
                </c:pt>
                <c:pt idx="30">
                  <c:v>2.0632714474139065E-3</c:v>
                </c:pt>
                <c:pt idx="31">
                  <c:v>2.064404399962594E-3</c:v>
                </c:pt>
                <c:pt idx="32">
                  <c:v>2.0655299776010153E-3</c:v>
                </c:pt>
                <c:pt idx="33">
                  <c:v>2.0688628134511687E-3</c:v>
                </c:pt>
                <c:pt idx="34">
                  <c:v>2.0699592438450116E-3</c:v>
                </c:pt>
                <c:pt idx="35">
                  <c:v>2.0710484755268308E-3</c:v>
                </c:pt>
                <c:pt idx="36">
                  <c:v>2.0721305437362766E-3</c:v>
                </c:pt>
                <c:pt idx="37">
                  <c:v>2.0732054837129961E-3</c:v>
                </c:pt>
                <c:pt idx="38">
                  <c:v>2.0763878866432873E-3</c:v>
                </c:pt>
                <c:pt idx="39">
                  <c:v>2.0774346660855912E-3</c:v>
                </c:pt>
                <c:pt idx="40">
                  <c:v>2.0784744934934118E-3</c:v>
                </c:pt>
                <c:pt idx="41">
                  <c:v>2.0795074041063985E-3</c:v>
                </c:pt>
                <c:pt idx="42">
                  <c:v>2.0805334331642006E-3</c:v>
                </c:pt>
                <c:pt idx="43">
                  <c:v>2.0835705834029816E-3</c:v>
                </c:pt>
                <c:pt idx="44">
                  <c:v>2.08456943863653E-3</c:v>
                </c:pt>
                <c:pt idx="45">
                  <c:v>2.085561588513135E-3</c:v>
                </c:pt>
                <c:pt idx="46">
                  <c:v>2.0865470682724478E-3</c:v>
                </c:pt>
                <c:pt idx="47">
                  <c:v>2.0875259131541164E-3</c:v>
                </c:pt>
                <c:pt idx="48">
                  <c:v>2.0904229909297391E-3</c:v>
                </c:pt>
                <c:pt idx="49">
                  <c:v>2.091375648697315E-3</c:v>
                </c:pt>
                <c:pt idx="50">
                  <c:v>2.0923218477854897E-3</c:v>
                </c:pt>
                <c:pt idx="51">
                  <c:v>2.093261623433912E-3</c:v>
                </c:pt>
                <c:pt idx="52">
                  <c:v>2.0941950108822297E-3</c:v>
                </c:pt>
                <c:pt idx="53">
                  <c:v>2.0969571964230462E-3</c:v>
                </c:pt>
                <c:pt idx="54">
                  <c:v>2.0978653834674344E-3</c:v>
                </c:pt>
                <c:pt idx="55">
                  <c:v>2.0987673585099618E-3</c:v>
                </c:pt>
                <c:pt idx="56">
                  <c:v>2.0996631567902777E-3</c:v>
                </c:pt>
                <c:pt idx="57">
                  <c:v>2.1005528135480296E-3</c:v>
                </c:pt>
                <c:pt idx="58">
                  <c:v>2.1031852870823909E-3</c:v>
                </c:pt>
                <c:pt idx="59">
                  <c:v>2.1040507301463758E-3</c:v>
                </c:pt>
                <c:pt idx="60">
                  <c:v>2.1049102078860393E-3</c:v>
                </c:pt>
                <c:pt idx="61">
                  <c:v>2.1057637555410322E-3</c:v>
                </c:pt>
                <c:pt idx="62">
                  <c:v>2.1066114083510019E-3</c:v>
                </c:pt>
                <c:pt idx="63">
                  <c:v>2.1091193501072609E-3</c:v>
                </c:pt>
                <c:pt idx="64">
                  <c:v>2.1099437759336251E-3</c:v>
                </c:pt>
                <c:pt idx="65">
                  <c:v>2.11076248311321E-3</c:v>
                </c:pt>
                <c:pt idx="66">
                  <c:v>2.1115755068856642E-3</c:v>
                </c:pt>
                <c:pt idx="67">
                  <c:v>2.1123828824906356E-3</c:v>
                </c:pt>
                <c:pt idx="68">
                  <c:v>2.1147714726971424E-3</c:v>
                </c:pt>
                <c:pt idx="69">
                  <c:v>2.115556608028671E-3</c:v>
                </c:pt>
                <c:pt idx="70">
                  <c:v>2.11633627139096E-3</c:v>
                </c:pt>
                <c:pt idx="71">
                  <c:v>2.1171104980236589E-3</c:v>
                </c:pt>
                <c:pt idx="72">
                  <c:v>2.1178793231664164E-3</c:v>
                </c:pt>
                <c:pt idx="73">
                  <c:v>2.1201537420515231E-3</c:v>
                </c:pt>
                <c:pt idx="74">
                  <c:v>2.1209013136310002E-3</c:v>
                </c:pt>
                <c:pt idx="75">
                  <c:v>2.1216436599187779E-3</c:v>
                </c:pt>
                <c:pt idx="76">
                  <c:v>2.1223808161545061E-3</c:v>
                </c:pt>
                <c:pt idx="77">
                  <c:v>2.1259899799401004E-3</c:v>
                </c:pt>
                <c:pt idx="78">
                  <c:v>2.1266967358961508E-3</c:v>
                </c:pt>
                <c:pt idx="79">
                  <c:v>2.1273985484776912E-3</c:v>
                </c:pt>
                <c:pt idx="80">
                  <c:v>2.1280954529243716E-3</c:v>
                </c:pt>
                <c:pt idx="81">
                  <c:v>2.1301570698517348E-3</c:v>
                </c:pt>
                <c:pt idx="82">
                  <c:v>2.1308346941554582E-3</c:v>
                </c:pt>
                <c:pt idx="83">
                  <c:v>2.1315075865225648E-3</c:v>
                </c:pt>
                <c:pt idx="84">
                  <c:v>2.132175782192703E-3</c:v>
                </c:pt>
                <c:pt idx="85">
                  <c:v>2.1328393164055204E-3</c:v>
                </c:pt>
                <c:pt idx="86">
                  <c:v>2.1348023026965387E-3</c:v>
                </c:pt>
                <c:pt idx="87">
                  <c:v>2.1354475434765628E-3</c:v>
                </c:pt>
                <c:pt idx="88">
                  <c:v>2.136088298997509E-3</c:v>
                </c:pt>
                <c:pt idx="89">
                  <c:v>2.1367246044990272E-3</c:v>
                </c:pt>
                <c:pt idx="90">
                  <c:v>2.1373564952207663E-3</c:v>
                </c:pt>
                <c:pt idx="91">
                  <c:v>2.1392260311037916E-3</c:v>
                </c:pt>
                <c:pt idx="92">
                  <c:v>2.1398406151028988E-3</c:v>
                </c:pt>
                <c:pt idx="93">
                  <c:v>2.1404509605204699E-3</c:v>
                </c:pt>
                <c:pt idx="94">
                  <c:v>2.141057102596153E-3</c:v>
                </c:pt>
                <c:pt idx="95">
                  <c:v>2.1416590765695968E-3</c:v>
                </c:pt>
                <c:pt idx="96">
                  <c:v>2.1434403422729816E-3</c:v>
                </c:pt>
                <c:pt idx="97">
                  <c:v>2.1440259962339559E-3</c:v>
                </c:pt>
                <c:pt idx="98">
                  <c:v>2.1446076582909345E-3</c:v>
                </c:pt>
                <c:pt idx="99">
                  <c:v>2.1451853636835663E-3</c:v>
                </c:pt>
                <c:pt idx="100">
                  <c:v>2.1457591476514997E-3</c:v>
                </c:pt>
                <c:pt idx="101">
                  <c:v>2.1474573234035945E-3</c:v>
                </c:pt>
                <c:pt idx="102">
                  <c:v>2.1480157740692203E-3</c:v>
                </c:pt>
                <c:pt idx="103">
                  <c:v>2.1485704795083911E-3</c:v>
                </c:pt>
                <c:pt idx="104">
                  <c:v>2.1491214749607551E-3</c:v>
                </c:pt>
                <c:pt idx="105">
                  <c:v>2.149668795665961E-3</c:v>
                </c:pt>
                <c:pt idx="106">
                  <c:v>2.1512890616951193E-3</c:v>
                </c:pt>
                <c:pt idx="107">
                  <c:v>2.1518220358081801E-3</c:v>
                </c:pt>
                <c:pt idx="108">
                  <c:v>2.1523515113723263E-3</c:v>
                </c:pt>
                <c:pt idx="109">
                  <c:v>2.1528775236272068E-3</c:v>
                </c:pt>
                <c:pt idx="110">
                  <c:v>2.1534001078124701E-3</c:v>
                </c:pt>
                <c:pt idx="111">
                  <c:v>2.1549476443470418E-3</c:v>
                </c:pt>
                <c:pt idx="112">
                  <c:v>2.1554568686503218E-3</c:v>
                </c:pt>
                <c:pt idx="113">
                  <c:v>2.1559628410822282E-3</c:v>
                </c:pt>
                <c:pt idx="114">
                  <c:v>2.1564655968824087E-3</c:v>
                </c:pt>
                <c:pt idx="115">
                  <c:v>2.1569651712905124E-3</c:v>
                </c:pt>
                <c:pt idx="116">
                  <c:v>2.1584451585588502E-3</c:v>
                </c:pt>
                <c:pt idx="117">
                  <c:v>2.1589323597951335E-3</c:v>
                </c:pt>
                <c:pt idx="118">
                  <c:v>2.1594165558375829E-3</c:v>
                </c:pt>
                <c:pt idx="119">
                  <c:v>2.1598977819258479E-3</c:v>
                </c:pt>
                <c:pt idx="120">
                  <c:v>2.1603760732995768E-3</c:v>
                </c:pt>
                <c:pt idx="121">
                  <c:v>2.1617936915300315E-3</c:v>
                </c:pt>
                <c:pt idx="122">
                  <c:v>2.1622605964421019E-3</c:v>
                </c:pt>
                <c:pt idx="123">
                  <c:v>2.1627247428378793E-3</c:v>
                </c:pt>
                <c:pt idx="124">
                  <c:v>2.1631861659570121E-3</c:v>
                </c:pt>
                <c:pt idx="125">
                  <c:v>2.1636449010391493E-3</c:v>
                </c:pt>
                <c:pt idx="126">
                  <c:v>2.1650053304600736E-3</c:v>
                </c:pt>
                <c:pt idx="127">
                  <c:v>2.165453665790715E-3</c:v>
                </c:pt>
                <c:pt idx="128">
                  <c:v>2.1658994892826034E-3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577408"/>
        <c:axId val="818578944"/>
      </c:scatterChart>
      <c:valAx>
        <c:axId val="8185774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18578944"/>
        <c:crosses val="autoZero"/>
        <c:crossBetween val="midCat"/>
      </c:valAx>
      <c:valAx>
        <c:axId val="81857894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1857740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4341151726895061"/>
          <c:y val="0.39793589936640678"/>
          <c:w val="0.19328056178408162"/>
          <c:h val="0.11319504807091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'6MSynthDepo_allScenario'!$BE$4:$BE$133</c:f>
              <c:numCache>
                <c:formatCode>d\-mmm\-yy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'6MSynthDepo_allScenario'!$BG$4:$BG$133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Linear without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'6MSynthDepo_allScenario'!$BE$4:$BE$133</c:f>
              <c:numCache>
                <c:formatCode>d\-mmm\-yy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'6MSynthDepo_allScenario'!$BH$4:$BH$133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Quadratic with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'6MSynthDepo_allScenario'!$BE$4:$BE$133</c:f>
              <c:numCache>
                <c:formatCode>d\-mmm\-yy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'6MSynthDepo_allScenario'!$BI$4:$BI$133</c:f>
              <c:numCache>
                <c:formatCode>0.0000E+00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'6MSynthDepo_allScenario'!$BE$4:$BE$133</c:f>
              <c:numCache>
                <c:formatCode>d\-mmm\-yy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'6MSynthDepo_allScenario'!$BJ$4:$BJ$133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5579136"/>
        <c:axId val="795580672"/>
      </c:lineChart>
      <c:dateAx>
        <c:axId val="79557913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95580672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7955806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955791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'6MSynthDepo_allScenario'!$BE$4:$BE$133</c:f>
              <c:numCache>
                <c:formatCode>d\-mmm\-yy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'6MSynthDepo_allScenario'!$BK$4:$BK$133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Linear without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'6MSynthDepo_allScenario'!$BE$4:$BE$133</c:f>
              <c:numCache>
                <c:formatCode>d\-mmm\-yy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'6MSynthDepo_allScenario'!$BL$4:$BL$133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Quadratic with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'6MSynthDepo_allScenario'!$BE$4:$BE$133</c:f>
              <c:numCache>
                <c:formatCode>d\-mmm\-yy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'6MSynthDepo_allScenario'!$BM$4:$BM$133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'6MSynthDepo_allScenario'!$BE$4:$BE$133</c:f>
              <c:numCache>
                <c:formatCode>d\-mmm\-yy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'6MSynthDepo_allScenario'!$BN$4:$BN$133</c:f>
              <c:numCache>
                <c:formatCode>0.0000%</c:formatCode>
                <c:ptCount val="1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949760"/>
        <c:axId val="820951296"/>
      </c:lineChart>
      <c:dateAx>
        <c:axId val="8209497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82095129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820951296"/>
        <c:scaling>
          <c:orientation val="minMax"/>
          <c:max val="2.2000000000000006E-3"/>
          <c:min val="1.5000000000000005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20949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5439593049054"/>
          <c:y val="5.523641634347945E-2"/>
          <c:w val="0.83874794302397593"/>
          <c:h val="0.82012849140126143"/>
        </c:manualLayout>
      </c:layout>
      <c:lineChart>
        <c:grouping val="standard"/>
        <c:varyColors val="0"/>
        <c:ser>
          <c:idx val="0"/>
          <c:order val="0"/>
          <c:tx>
            <c:v>Fixing</c:v>
          </c:tx>
          <c:spPr>
            <a:ln>
              <a:noFill/>
            </a:ln>
          </c:spPr>
          <c:cat>
            <c:numRef>
              <c:f>'6MSynthDepo_allScenario'!$E$42</c:f>
              <c:numCache>
                <c:formatCode>d\-mmm\-yy</c:formatCode>
                <c:ptCount val="1"/>
                <c:pt idx="0">
                  <c:v>42160</c:v>
                </c:pt>
              </c:numCache>
            </c:numRef>
          </c:cat>
          <c:val>
            <c:numRef>
              <c:f>'6MSynthDepo_allScenario'!$S$42</c:f>
              <c:numCache>
                <c:formatCode>0.0000%</c:formatCode>
                <c:ptCount val="1"/>
                <c:pt idx="0">
                  <c:v>4.8000000000000001E-4</c:v>
                </c:pt>
              </c:numCache>
            </c:numRef>
          </c:val>
          <c:smooth val="0"/>
        </c:ser>
        <c:ser>
          <c:idx val="1"/>
          <c:order val="1"/>
          <c:tx>
            <c:v>Exact Linear 0X6</c:v>
          </c:tx>
          <c:spPr>
            <a:ln>
              <a:noFill/>
            </a:ln>
          </c:spPr>
          <c:marker>
            <c:symbol val="square"/>
            <c:size val="7"/>
          </c:marker>
          <c:cat>
            <c:numRef>
              <c:f>'6MSynthDepo_allScenario'!$E$42</c:f>
              <c:numCache>
                <c:formatCode>d\-mmm\-yy</c:formatCode>
                <c:ptCount val="1"/>
                <c:pt idx="0">
                  <c:v>42160</c:v>
                </c:pt>
              </c:numCache>
            </c:numRef>
          </c:cat>
          <c:val>
            <c:numRef>
              <c:f>'6MSynthDepo_allScenario'!$G$42</c:f>
              <c:numCache>
                <c:formatCode>0.0000%</c:formatCode>
                <c:ptCount val="1"/>
                <c:pt idx="0">
                  <c:v>5.1798462386715908E-4</c:v>
                </c:pt>
              </c:numCache>
            </c:numRef>
          </c:val>
          <c:smooth val="0"/>
        </c:ser>
        <c:ser>
          <c:idx val="2"/>
          <c:order val="2"/>
          <c:tx>
            <c:v>Exact Linear NO 0X6</c:v>
          </c:tx>
          <c:spPr>
            <a:ln>
              <a:noFill/>
            </a:ln>
          </c:spPr>
          <c:cat>
            <c:numRef>
              <c:f>'6MSynthDepo_allScenario'!$E$42</c:f>
              <c:numCache>
                <c:formatCode>d\-mmm\-yy</c:formatCode>
                <c:ptCount val="1"/>
                <c:pt idx="0">
                  <c:v>42160</c:v>
                </c:pt>
              </c:numCache>
            </c:numRef>
          </c:cat>
          <c:val>
            <c:numRef>
              <c:f>'6MSynthDepo_allScenario'!$H$42</c:f>
              <c:numCache>
                <c:formatCode>0.0000%</c:formatCode>
                <c:ptCount val="1"/>
                <c:pt idx="0">
                  <c:v>5.1659683936449222E-4</c:v>
                </c:pt>
              </c:numCache>
            </c:numRef>
          </c:val>
          <c:smooth val="0"/>
        </c:ser>
        <c:ser>
          <c:idx val="3"/>
          <c:order val="3"/>
          <c:tx>
            <c:v>Exact Quadratic 0X6</c:v>
          </c:tx>
          <c:spPr>
            <a:ln>
              <a:noFill/>
            </a:ln>
          </c:spPr>
          <c:cat>
            <c:numRef>
              <c:f>'6MSynthDepo_allScenario'!$E$42</c:f>
              <c:numCache>
                <c:formatCode>d\-mmm\-yy</c:formatCode>
                <c:ptCount val="1"/>
                <c:pt idx="0">
                  <c:v>42160</c:v>
                </c:pt>
              </c:numCache>
            </c:numRef>
          </c:cat>
          <c:val>
            <c:numRef>
              <c:f>'6MSynthDepo_allScenario'!$I$42</c:f>
              <c:numCache>
                <c:formatCode>0.0000%</c:formatCode>
                <c:ptCount val="1"/>
                <c:pt idx="0">
                  <c:v>5.1417571154734173E-4</c:v>
                </c:pt>
              </c:numCache>
            </c:numRef>
          </c:val>
          <c:smooth val="0"/>
        </c:ser>
        <c:ser>
          <c:idx val="4"/>
          <c:order val="4"/>
          <c:tx>
            <c:v>Exact Quadratic NO 0X6</c:v>
          </c:tx>
          <c:spPr>
            <a:ln>
              <a:noFill/>
            </a:ln>
          </c:spPr>
          <c:cat>
            <c:numRef>
              <c:f>'6MSynthDepo_allScenario'!$E$42</c:f>
              <c:numCache>
                <c:formatCode>d\-mmm\-yy</c:formatCode>
                <c:ptCount val="1"/>
                <c:pt idx="0">
                  <c:v>42160</c:v>
                </c:pt>
              </c:numCache>
            </c:numRef>
          </c:cat>
          <c:val>
            <c:numRef>
              <c:f>'6MSynthDepo_allScenario'!$J$42</c:f>
              <c:numCache>
                <c:formatCode>0.0000%</c:formatCode>
                <c:ptCount val="1"/>
                <c:pt idx="0">
                  <c:v>4.8401981014281842E-4</c:v>
                </c:pt>
              </c:numCache>
            </c:numRef>
          </c:val>
          <c:smooth val="0"/>
        </c:ser>
        <c:ser>
          <c:idx val="5"/>
          <c:order val="5"/>
          <c:tx>
            <c:v>Best Linear 0X6</c:v>
          </c:tx>
          <c:spPr>
            <a:ln>
              <a:noFill/>
            </a:ln>
          </c:spPr>
          <c:marker>
            <c:symbol val="circle"/>
            <c:size val="7"/>
          </c:marker>
          <c:cat>
            <c:numRef>
              <c:f>'6MSynthDepo_allScenario'!$E$42</c:f>
              <c:numCache>
                <c:formatCode>d\-mmm\-yy</c:formatCode>
                <c:ptCount val="1"/>
                <c:pt idx="0">
                  <c:v>42160</c:v>
                </c:pt>
              </c:numCache>
            </c:numRef>
          </c:cat>
          <c:val>
            <c:numRef>
              <c:f>'6MSynthDepo_allScenario'!$O$42</c:f>
              <c:numCache>
                <c:formatCode>0.0000%</c:formatCode>
                <c:ptCount val="1"/>
                <c:pt idx="0">
                  <c:v>5.4591207018663771E-4</c:v>
                </c:pt>
              </c:numCache>
            </c:numRef>
          </c:val>
          <c:smooth val="0"/>
        </c:ser>
        <c:ser>
          <c:idx val="6"/>
          <c:order val="6"/>
          <c:tx>
            <c:v>Best Linear NO 0X6</c:v>
          </c:tx>
          <c:spPr>
            <a:ln>
              <a:noFill/>
            </a:ln>
          </c:spPr>
          <c:cat>
            <c:numRef>
              <c:f>'6MSynthDepo_allScenario'!$E$42</c:f>
              <c:numCache>
                <c:formatCode>d\-mmm\-yy</c:formatCode>
                <c:ptCount val="1"/>
                <c:pt idx="0">
                  <c:v>42160</c:v>
                </c:pt>
              </c:numCache>
            </c:numRef>
          </c:cat>
          <c:val>
            <c:numRef>
              <c:f>'6MSynthDepo_allScenario'!$P$42</c:f>
              <c:numCache>
                <c:formatCode>0.0000%</c:formatCode>
                <c:ptCount val="1"/>
                <c:pt idx="0">
                  <c:v>5.4803239277074556E-4</c:v>
                </c:pt>
              </c:numCache>
            </c:numRef>
          </c:val>
          <c:smooth val="0"/>
        </c:ser>
        <c:ser>
          <c:idx val="7"/>
          <c:order val="7"/>
          <c:tx>
            <c:v>Best Quadratic 0X6</c:v>
          </c:tx>
          <c:spPr>
            <a:ln>
              <a:noFill/>
            </a:ln>
          </c:spPr>
          <c:cat>
            <c:numRef>
              <c:f>'6MSynthDepo_allScenario'!$E$42</c:f>
              <c:numCache>
                <c:formatCode>d\-mmm\-yy</c:formatCode>
                <c:ptCount val="1"/>
                <c:pt idx="0">
                  <c:v>42160</c:v>
                </c:pt>
              </c:numCache>
            </c:numRef>
          </c:cat>
          <c:val>
            <c:numRef>
              <c:f>'6MSynthDepo_allScenario'!$Q$42</c:f>
              <c:numCache>
                <c:formatCode>0.0000%</c:formatCode>
                <c:ptCount val="1"/>
                <c:pt idx="0">
                  <c:v>5.7780167355062865E-4</c:v>
                </c:pt>
              </c:numCache>
            </c:numRef>
          </c:val>
          <c:smooth val="0"/>
        </c:ser>
        <c:ser>
          <c:idx val="8"/>
          <c:order val="8"/>
          <c:tx>
            <c:v>Best Quadratic NO 0X6</c:v>
          </c:tx>
          <c:spPr>
            <a:ln>
              <a:noFill/>
            </a:ln>
          </c:spPr>
          <c:cat>
            <c:numRef>
              <c:f>'6MSynthDepo_allScenario'!$E$42</c:f>
              <c:numCache>
                <c:formatCode>d\-mmm\-yy</c:formatCode>
                <c:ptCount val="1"/>
                <c:pt idx="0">
                  <c:v>42160</c:v>
                </c:pt>
              </c:numCache>
            </c:numRef>
          </c:cat>
          <c:val>
            <c:numRef>
              <c:f>'6MSynthDepo_allScenario'!$R$42</c:f>
              <c:numCache>
                <c:formatCode>0.0000%</c:formatCode>
                <c:ptCount val="1"/>
                <c:pt idx="0">
                  <c:v>5.8313527933963891E-4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667136"/>
        <c:axId val="820668672"/>
      </c:lineChart>
      <c:dateAx>
        <c:axId val="820667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820668672"/>
        <c:crosses val="autoZero"/>
        <c:auto val="1"/>
        <c:lblOffset val="100"/>
        <c:baseTimeUnit val="days"/>
      </c:dateAx>
      <c:valAx>
        <c:axId val="820668672"/>
        <c:scaling>
          <c:orientation val="minMax"/>
          <c:min val="5.0000000000000012E-4"/>
        </c:scaling>
        <c:delete val="0"/>
        <c:axPos val="l"/>
        <c:majorGridlines/>
        <c:numFmt formatCode="0.0000%" sourceLinked="0"/>
        <c:majorTickMark val="out"/>
        <c:minorTickMark val="none"/>
        <c:tickLblPos val="nextTo"/>
        <c:crossAx val="8206671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811054351311058"/>
          <c:y val="4.9763779527559053E-2"/>
          <c:w val="0.38441179844596762"/>
          <c:h val="0.900472440944881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'3MSynthDepo'!$H$3</c:f>
              <c:numCache>
                <c:formatCode>ddd\,\ dd\-mmm\-yyyy</c:formatCode>
                <c:ptCount val="1"/>
                <c:pt idx="0">
                  <c:v>42160</c:v>
                </c:pt>
              </c:numCache>
            </c:numRef>
          </c:xVal>
          <c:yVal>
            <c:numRef>
              <c:f>'3MSynthDepo'!$L$3</c:f>
              <c:numCache>
                <c:formatCode>0.0000%</c:formatCode>
                <c:ptCount val="1"/>
                <c:pt idx="0">
                  <c:v>1.1129986182886783E-3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'3MSynthDepo'!$H$4:$H$9</c:f>
              <c:numCache>
                <c:formatCode>ddd\,\ dd\-mmm\-yyyy</c:formatCode>
                <c:ptCount val="6"/>
                <c:pt idx="0">
                  <c:v>42191</c:v>
                </c:pt>
                <c:pt idx="1">
                  <c:v>42221</c:v>
                </c:pt>
                <c:pt idx="2">
                  <c:v>42254</c:v>
                </c:pt>
                <c:pt idx="3">
                  <c:v>42282</c:v>
                </c:pt>
                <c:pt idx="4">
                  <c:v>42313</c:v>
                </c:pt>
                <c:pt idx="5">
                  <c:v>42345</c:v>
                </c:pt>
              </c:numCache>
            </c:numRef>
          </c:xVal>
          <c:yVal>
            <c:numRef>
              <c:f>'3MSynthDepo'!$L$4:$L$9</c:f>
              <c:numCache>
                <c:formatCode>0.0000%</c:formatCode>
                <c:ptCount val="6"/>
                <c:pt idx="0">
                  <c:v>1.2320644811645003E-3</c:v>
                </c:pt>
                <c:pt idx="1">
                  <c:v>1.3007666746902783E-3</c:v>
                </c:pt>
                <c:pt idx="2">
                  <c:v>1.3150586860603047E-3</c:v>
                </c:pt>
                <c:pt idx="3">
                  <c:v>1.2876773872474814E-3</c:v>
                </c:pt>
                <c:pt idx="4">
                  <c:v>1.3230818997851754E-3</c:v>
                </c:pt>
                <c:pt idx="5">
                  <c:v>1.3579276044152779E-3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'3MSynthDepo'!$X$1</c:f>
              <c:strCache>
                <c:ptCount val="1"/>
                <c:pt idx="0">
                  <c:v>Basis BestFit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'3MSynthDepo'!$W$2:$W$261</c:f>
              <c:numCache>
                <c:formatCode>ddd\,\ dd\-mmm\-yyyy</c:formatCode>
                <c:ptCount val="26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  <c:pt idx="130">
                  <c:v>42342</c:v>
                </c:pt>
                <c:pt idx="131">
                  <c:v>42345</c:v>
                </c:pt>
                <c:pt idx="132">
                  <c:v>42346</c:v>
                </c:pt>
                <c:pt idx="133">
                  <c:v>42347</c:v>
                </c:pt>
                <c:pt idx="134">
                  <c:v>42348</c:v>
                </c:pt>
                <c:pt idx="135">
                  <c:v>42349</c:v>
                </c:pt>
                <c:pt idx="136">
                  <c:v>42352</c:v>
                </c:pt>
                <c:pt idx="137">
                  <c:v>42353</c:v>
                </c:pt>
                <c:pt idx="138">
                  <c:v>42354</c:v>
                </c:pt>
                <c:pt idx="139">
                  <c:v>42355</c:v>
                </c:pt>
                <c:pt idx="140">
                  <c:v>42356</c:v>
                </c:pt>
                <c:pt idx="141">
                  <c:v>42359</c:v>
                </c:pt>
                <c:pt idx="142">
                  <c:v>42360</c:v>
                </c:pt>
                <c:pt idx="143">
                  <c:v>42361</c:v>
                </c:pt>
                <c:pt idx="144">
                  <c:v>42362</c:v>
                </c:pt>
                <c:pt idx="145">
                  <c:v>42366</c:v>
                </c:pt>
                <c:pt idx="146">
                  <c:v>42367</c:v>
                </c:pt>
                <c:pt idx="147">
                  <c:v>42368</c:v>
                </c:pt>
                <c:pt idx="148">
                  <c:v>42369</c:v>
                </c:pt>
                <c:pt idx="149">
                  <c:v>42373</c:v>
                </c:pt>
                <c:pt idx="150">
                  <c:v>42374</c:v>
                </c:pt>
                <c:pt idx="151">
                  <c:v>42375</c:v>
                </c:pt>
                <c:pt idx="152">
                  <c:v>42376</c:v>
                </c:pt>
                <c:pt idx="153">
                  <c:v>42377</c:v>
                </c:pt>
                <c:pt idx="154">
                  <c:v>42380</c:v>
                </c:pt>
                <c:pt idx="155">
                  <c:v>42381</c:v>
                </c:pt>
                <c:pt idx="156">
                  <c:v>42382</c:v>
                </c:pt>
                <c:pt idx="157">
                  <c:v>42383</c:v>
                </c:pt>
                <c:pt idx="158">
                  <c:v>42384</c:v>
                </c:pt>
                <c:pt idx="159">
                  <c:v>42387</c:v>
                </c:pt>
                <c:pt idx="160">
                  <c:v>42388</c:v>
                </c:pt>
                <c:pt idx="161">
                  <c:v>42389</c:v>
                </c:pt>
                <c:pt idx="162">
                  <c:v>42390</c:v>
                </c:pt>
                <c:pt idx="163">
                  <c:v>42391</c:v>
                </c:pt>
                <c:pt idx="164">
                  <c:v>42394</c:v>
                </c:pt>
                <c:pt idx="165">
                  <c:v>42395</c:v>
                </c:pt>
                <c:pt idx="166">
                  <c:v>42396</c:v>
                </c:pt>
                <c:pt idx="167">
                  <c:v>42397</c:v>
                </c:pt>
                <c:pt idx="168">
                  <c:v>42398</c:v>
                </c:pt>
                <c:pt idx="169">
                  <c:v>42401</c:v>
                </c:pt>
                <c:pt idx="170">
                  <c:v>42402</c:v>
                </c:pt>
                <c:pt idx="171">
                  <c:v>42403</c:v>
                </c:pt>
                <c:pt idx="172">
                  <c:v>42404</c:v>
                </c:pt>
                <c:pt idx="173">
                  <c:v>42405</c:v>
                </c:pt>
                <c:pt idx="174">
                  <c:v>42408</c:v>
                </c:pt>
                <c:pt idx="175">
                  <c:v>42409</c:v>
                </c:pt>
                <c:pt idx="176">
                  <c:v>42410</c:v>
                </c:pt>
                <c:pt idx="177">
                  <c:v>42411</c:v>
                </c:pt>
                <c:pt idx="178">
                  <c:v>42412</c:v>
                </c:pt>
                <c:pt idx="179">
                  <c:v>42415</c:v>
                </c:pt>
                <c:pt idx="180">
                  <c:v>42416</c:v>
                </c:pt>
                <c:pt idx="181">
                  <c:v>42417</c:v>
                </c:pt>
                <c:pt idx="182">
                  <c:v>42418</c:v>
                </c:pt>
                <c:pt idx="183">
                  <c:v>42419</c:v>
                </c:pt>
                <c:pt idx="184">
                  <c:v>42422</c:v>
                </c:pt>
                <c:pt idx="185">
                  <c:v>42423</c:v>
                </c:pt>
                <c:pt idx="186">
                  <c:v>42424</c:v>
                </c:pt>
                <c:pt idx="187">
                  <c:v>42425</c:v>
                </c:pt>
                <c:pt idx="188">
                  <c:v>42426</c:v>
                </c:pt>
                <c:pt idx="189">
                  <c:v>42429</c:v>
                </c:pt>
                <c:pt idx="190">
                  <c:v>42430</c:v>
                </c:pt>
                <c:pt idx="191">
                  <c:v>42431</c:v>
                </c:pt>
                <c:pt idx="192">
                  <c:v>42432</c:v>
                </c:pt>
                <c:pt idx="193">
                  <c:v>42433</c:v>
                </c:pt>
                <c:pt idx="194">
                  <c:v>42436</c:v>
                </c:pt>
                <c:pt idx="195">
                  <c:v>42437</c:v>
                </c:pt>
                <c:pt idx="196">
                  <c:v>42438</c:v>
                </c:pt>
                <c:pt idx="197">
                  <c:v>42439</c:v>
                </c:pt>
                <c:pt idx="198">
                  <c:v>42440</c:v>
                </c:pt>
                <c:pt idx="199">
                  <c:v>42443</c:v>
                </c:pt>
                <c:pt idx="200">
                  <c:v>42444</c:v>
                </c:pt>
                <c:pt idx="201">
                  <c:v>42445</c:v>
                </c:pt>
                <c:pt idx="202">
                  <c:v>42446</c:v>
                </c:pt>
                <c:pt idx="203">
                  <c:v>42447</c:v>
                </c:pt>
                <c:pt idx="204">
                  <c:v>42450</c:v>
                </c:pt>
                <c:pt idx="205">
                  <c:v>42451</c:v>
                </c:pt>
                <c:pt idx="206">
                  <c:v>42452</c:v>
                </c:pt>
                <c:pt idx="207">
                  <c:v>42453</c:v>
                </c:pt>
                <c:pt idx="208">
                  <c:v>42458</c:v>
                </c:pt>
                <c:pt idx="209">
                  <c:v>42459</c:v>
                </c:pt>
                <c:pt idx="210">
                  <c:v>42460</c:v>
                </c:pt>
                <c:pt idx="211">
                  <c:v>42461</c:v>
                </c:pt>
                <c:pt idx="212">
                  <c:v>42464</c:v>
                </c:pt>
                <c:pt idx="213">
                  <c:v>42465</c:v>
                </c:pt>
                <c:pt idx="214">
                  <c:v>42466</c:v>
                </c:pt>
                <c:pt idx="215">
                  <c:v>42467</c:v>
                </c:pt>
                <c:pt idx="216">
                  <c:v>42468</c:v>
                </c:pt>
                <c:pt idx="217">
                  <c:v>42471</c:v>
                </c:pt>
                <c:pt idx="218">
                  <c:v>42472</c:v>
                </c:pt>
                <c:pt idx="219">
                  <c:v>42473</c:v>
                </c:pt>
                <c:pt idx="220">
                  <c:v>42474</c:v>
                </c:pt>
                <c:pt idx="221">
                  <c:v>42475</c:v>
                </c:pt>
                <c:pt idx="222">
                  <c:v>42478</c:v>
                </c:pt>
                <c:pt idx="223">
                  <c:v>42479</c:v>
                </c:pt>
                <c:pt idx="224">
                  <c:v>42480</c:v>
                </c:pt>
                <c:pt idx="225">
                  <c:v>42481</c:v>
                </c:pt>
                <c:pt idx="226">
                  <c:v>42482</c:v>
                </c:pt>
                <c:pt idx="227">
                  <c:v>42485</c:v>
                </c:pt>
                <c:pt idx="228">
                  <c:v>42486</c:v>
                </c:pt>
                <c:pt idx="229">
                  <c:v>42487</c:v>
                </c:pt>
                <c:pt idx="230">
                  <c:v>42488</c:v>
                </c:pt>
                <c:pt idx="231">
                  <c:v>42489</c:v>
                </c:pt>
                <c:pt idx="232">
                  <c:v>42492</c:v>
                </c:pt>
                <c:pt idx="233">
                  <c:v>42493</c:v>
                </c:pt>
                <c:pt idx="234">
                  <c:v>42494</c:v>
                </c:pt>
                <c:pt idx="235">
                  <c:v>42495</c:v>
                </c:pt>
                <c:pt idx="236">
                  <c:v>42496</c:v>
                </c:pt>
                <c:pt idx="237">
                  <c:v>42499</c:v>
                </c:pt>
                <c:pt idx="238">
                  <c:v>42500</c:v>
                </c:pt>
                <c:pt idx="239">
                  <c:v>42501</c:v>
                </c:pt>
                <c:pt idx="240">
                  <c:v>42502</c:v>
                </c:pt>
                <c:pt idx="241">
                  <c:v>42503</c:v>
                </c:pt>
                <c:pt idx="242">
                  <c:v>42506</c:v>
                </c:pt>
                <c:pt idx="243">
                  <c:v>42507</c:v>
                </c:pt>
                <c:pt idx="244">
                  <c:v>42508</c:v>
                </c:pt>
                <c:pt idx="245">
                  <c:v>42509</c:v>
                </c:pt>
                <c:pt idx="246">
                  <c:v>42510</c:v>
                </c:pt>
                <c:pt idx="247">
                  <c:v>42513</c:v>
                </c:pt>
                <c:pt idx="248">
                  <c:v>42514</c:v>
                </c:pt>
                <c:pt idx="249">
                  <c:v>42515</c:v>
                </c:pt>
                <c:pt idx="250">
                  <c:v>42516</c:v>
                </c:pt>
                <c:pt idx="251">
                  <c:v>42517</c:v>
                </c:pt>
                <c:pt idx="252">
                  <c:v>42520</c:v>
                </c:pt>
                <c:pt idx="253">
                  <c:v>42521</c:v>
                </c:pt>
                <c:pt idx="254">
                  <c:v>42522</c:v>
                </c:pt>
                <c:pt idx="255">
                  <c:v>42523</c:v>
                </c:pt>
                <c:pt idx="256">
                  <c:v>42524</c:v>
                </c:pt>
                <c:pt idx="257">
                  <c:v>42527</c:v>
                </c:pt>
                <c:pt idx="258">
                  <c:v>42528</c:v>
                </c:pt>
                <c:pt idx="259">
                  <c:v>42529</c:v>
                </c:pt>
              </c:numCache>
            </c:numRef>
          </c:xVal>
          <c:yVal>
            <c:numRef>
              <c:f>'3MSynthDepo'!$X$2:$X$261</c:f>
              <c:numCache>
                <c:formatCode>0.0000%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yVal>
          <c:smooth val="0"/>
        </c:ser>
        <c:ser>
          <c:idx val="2"/>
          <c:order val="3"/>
          <c:tx>
            <c:v>Basis Fut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xVal>
            <c:numRef>
              <c:f>'3MSynthDepo'!$H$10:$H$14</c:f>
              <c:numCache>
                <c:formatCode>ddd\,\ dd\-mmm\-yyyy</c:formatCode>
                <c:ptCount val="5"/>
                <c:pt idx="0">
                  <c:v>42172</c:v>
                </c:pt>
                <c:pt idx="1">
                  <c:v>42200</c:v>
                </c:pt>
                <c:pt idx="2">
                  <c:v>42263</c:v>
                </c:pt>
                <c:pt idx="3">
                  <c:v>42354</c:v>
                </c:pt>
                <c:pt idx="4">
                  <c:v>42445</c:v>
                </c:pt>
              </c:numCache>
            </c:numRef>
          </c:xVal>
          <c:yVal>
            <c:numRef>
              <c:f>'3MSynthDepo'!$L$10:$L$14</c:f>
              <c:numCache>
                <c:formatCode>0.0000%</c:formatCode>
                <c:ptCount val="5"/>
                <c:pt idx="0">
                  <c:v>1.1913017029432952E-3</c:v>
                </c:pt>
                <c:pt idx="1">
                  <c:v>1.2305787390287746E-3</c:v>
                </c:pt>
                <c:pt idx="2">
                  <c:v>1.3589249000280827E-3</c:v>
                </c:pt>
                <c:pt idx="3">
                  <c:v>1.338019880280604E-3</c:v>
                </c:pt>
                <c:pt idx="4">
                  <c:v>1.4083070004506685E-3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39872"/>
        <c:axId val="821041792"/>
      </c:scatterChart>
      <c:valAx>
        <c:axId val="82103987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21041792"/>
        <c:crosses val="autoZero"/>
        <c:crossBetween val="midCat"/>
      </c:valAx>
      <c:valAx>
        <c:axId val="82104179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2103987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4219895360762025"/>
          <c:h val="0.226390096141831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002923725443410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</c:spPr>
          </c:marker>
          <c:xVal>
            <c:numRef>
              <c:f>'Delta 3M'!$F$4</c:f>
              <c:numCache>
                <c:formatCode>ddd\,\ dd\-mmm\-yyyy</c:formatCode>
                <c:ptCount val="1"/>
                <c:pt idx="0">
                  <c:v>42160</c:v>
                </c:pt>
              </c:numCache>
            </c:numRef>
          </c:xVal>
          <c:yVal>
            <c:numRef>
              <c:f>'Delta 3M'!$M$4</c:f>
              <c:numCache>
                <c:formatCode>0.0000%</c:formatCode>
                <c:ptCount val="1"/>
                <c:pt idx="0">
                  <c:v>1.1129986182886783E-3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'Delta 3M'!$F$5:$F$10</c:f>
              <c:numCache>
                <c:formatCode>ddd\,\ dd\-mmm\-yyyy</c:formatCode>
                <c:ptCount val="6"/>
                <c:pt idx="0">
                  <c:v>42191</c:v>
                </c:pt>
                <c:pt idx="1">
                  <c:v>42221</c:v>
                </c:pt>
                <c:pt idx="2">
                  <c:v>42254</c:v>
                </c:pt>
                <c:pt idx="3">
                  <c:v>42282</c:v>
                </c:pt>
                <c:pt idx="4">
                  <c:v>42313</c:v>
                </c:pt>
                <c:pt idx="5">
                  <c:v>42345</c:v>
                </c:pt>
              </c:numCache>
            </c:numRef>
          </c:xVal>
          <c:yVal>
            <c:numRef>
              <c:f>'Delta 3M'!$M$5:$M$10</c:f>
              <c:numCache>
                <c:formatCode>0.0000%</c:formatCode>
                <c:ptCount val="6"/>
                <c:pt idx="0">
                  <c:v>1.2320644811645003E-3</c:v>
                </c:pt>
                <c:pt idx="1">
                  <c:v>1.3007666746902783E-3</c:v>
                </c:pt>
                <c:pt idx="2">
                  <c:v>1.3150586860603047E-3</c:v>
                </c:pt>
                <c:pt idx="3">
                  <c:v>1.2876773872474814E-3</c:v>
                </c:pt>
                <c:pt idx="4">
                  <c:v>1.3230818997851754E-3</c:v>
                </c:pt>
                <c:pt idx="5">
                  <c:v>1.3579276044152779E-3</c:v>
                </c:pt>
              </c:numCache>
            </c:numRef>
          </c:yVal>
          <c:smooth val="0"/>
        </c:ser>
        <c:ser>
          <c:idx val="2"/>
          <c:order val="2"/>
          <c:tx>
            <c:v>Basis Fut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'Delta 3M'!$F$11:$F$15</c:f>
              <c:numCache>
                <c:formatCode>ddd\,\ dd\-mmm\-yyyy</c:formatCode>
                <c:ptCount val="5"/>
                <c:pt idx="0">
                  <c:v>42172</c:v>
                </c:pt>
                <c:pt idx="1">
                  <c:v>42200</c:v>
                </c:pt>
                <c:pt idx="2">
                  <c:v>42263</c:v>
                </c:pt>
                <c:pt idx="3">
                  <c:v>42354</c:v>
                </c:pt>
                <c:pt idx="4">
                  <c:v>42445</c:v>
                </c:pt>
              </c:numCache>
            </c:numRef>
          </c:xVal>
          <c:yVal>
            <c:numRef>
              <c:f>'Delta 3M'!$M$11:$M$15</c:f>
              <c:numCache>
                <c:formatCode>0.0000%</c:formatCode>
                <c:ptCount val="5"/>
                <c:pt idx="0">
                  <c:v>1.1913017029432952E-3</c:v>
                </c:pt>
                <c:pt idx="1">
                  <c:v>1.2305787390287746E-3</c:v>
                </c:pt>
                <c:pt idx="2">
                  <c:v>1.3589249000280827E-3</c:v>
                </c:pt>
                <c:pt idx="3">
                  <c:v>1.338019880280604E-3</c:v>
                </c:pt>
                <c:pt idx="4">
                  <c:v>1.4083070004506685E-3</c:v>
                </c:pt>
              </c:numCache>
            </c:numRef>
          </c:yVal>
          <c:smooth val="0"/>
        </c:ser>
        <c:ser>
          <c:idx val="3"/>
          <c:order val="3"/>
          <c:tx>
            <c:v>Basis Interp</c:v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'Delta 3M'!$S$3:$S$261</c:f>
              <c:numCache>
                <c:formatCode>ddd\,\ dd\-mmm\-yyyy</c:formatCode>
                <c:ptCount val="259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  <c:pt idx="130">
                  <c:v>42342</c:v>
                </c:pt>
                <c:pt idx="131">
                  <c:v>42345</c:v>
                </c:pt>
                <c:pt idx="132">
                  <c:v>42346</c:v>
                </c:pt>
                <c:pt idx="133">
                  <c:v>42347</c:v>
                </c:pt>
                <c:pt idx="134">
                  <c:v>42348</c:v>
                </c:pt>
                <c:pt idx="135">
                  <c:v>42349</c:v>
                </c:pt>
                <c:pt idx="136">
                  <c:v>42352</c:v>
                </c:pt>
                <c:pt idx="137">
                  <c:v>42353</c:v>
                </c:pt>
                <c:pt idx="138">
                  <c:v>42354</c:v>
                </c:pt>
                <c:pt idx="139">
                  <c:v>42355</c:v>
                </c:pt>
                <c:pt idx="140">
                  <c:v>42356</c:v>
                </c:pt>
                <c:pt idx="141">
                  <c:v>42359</c:v>
                </c:pt>
                <c:pt idx="142">
                  <c:v>42360</c:v>
                </c:pt>
                <c:pt idx="143">
                  <c:v>42361</c:v>
                </c:pt>
                <c:pt idx="144">
                  <c:v>42362</c:v>
                </c:pt>
                <c:pt idx="145">
                  <c:v>42366</c:v>
                </c:pt>
                <c:pt idx="146">
                  <c:v>42367</c:v>
                </c:pt>
                <c:pt idx="147">
                  <c:v>42368</c:v>
                </c:pt>
                <c:pt idx="148">
                  <c:v>42369</c:v>
                </c:pt>
                <c:pt idx="149">
                  <c:v>42373</c:v>
                </c:pt>
                <c:pt idx="150">
                  <c:v>42374</c:v>
                </c:pt>
                <c:pt idx="151">
                  <c:v>42375</c:v>
                </c:pt>
                <c:pt idx="152">
                  <c:v>42376</c:v>
                </c:pt>
                <c:pt idx="153">
                  <c:v>42377</c:v>
                </c:pt>
                <c:pt idx="154">
                  <c:v>42380</c:v>
                </c:pt>
                <c:pt idx="155">
                  <c:v>42381</c:v>
                </c:pt>
                <c:pt idx="156">
                  <c:v>42382</c:v>
                </c:pt>
                <c:pt idx="157">
                  <c:v>42383</c:v>
                </c:pt>
                <c:pt idx="158">
                  <c:v>42384</c:v>
                </c:pt>
                <c:pt idx="159">
                  <c:v>42387</c:v>
                </c:pt>
                <c:pt idx="160">
                  <c:v>42388</c:v>
                </c:pt>
                <c:pt idx="161">
                  <c:v>42389</c:v>
                </c:pt>
                <c:pt idx="162">
                  <c:v>42390</c:v>
                </c:pt>
                <c:pt idx="163">
                  <c:v>42391</c:v>
                </c:pt>
                <c:pt idx="164">
                  <c:v>42394</c:v>
                </c:pt>
                <c:pt idx="165">
                  <c:v>42395</c:v>
                </c:pt>
                <c:pt idx="166">
                  <c:v>42396</c:v>
                </c:pt>
                <c:pt idx="167">
                  <c:v>42397</c:v>
                </c:pt>
                <c:pt idx="168">
                  <c:v>42398</c:v>
                </c:pt>
                <c:pt idx="169">
                  <c:v>42401</c:v>
                </c:pt>
                <c:pt idx="170">
                  <c:v>42402</c:v>
                </c:pt>
                <c:pt idx="171">
                  <c:v>42403</c:v>
                </c:pt>
                <c:pt idx="172">
                  <c:v>42404</c:v>
                </c:pt>
                <c:pt idx="173">
                  <c:v>42405</c:v>
                </c:pt>
                <c:pt idx="174">
                  <c:v>42408</c:v>
                </c:pt>
                <c:pt idx="175">
                  <c:v>42409</c:v>
                </c:pt>
                <c:pt idx="176">
                  <c:v>42410</c:v>
                </c:pt>
                <c:pt idx="177">
                  <c:v>42411</c:v>
                </c:pt>
                <c:pt idx="178">
                  <c:v>42412</c:v>
                </c:pt>
                <c:pt idx="179">
                  <c:v>42415</c:v>
                </c:pt>
                <c:pt idx="180">
                  <c:v>42416</c:v>
                </c:pt>
                <c:pt idx="181">
                  <c:v>42417</c:v>
                </c:pt>
                <c:pt idx="182">
                  <c:v>42418</c:v>
                </c:pt>
                <c:pt idx="183">
                  <c:v>42419</c:v>
                </c:pt>
                <c:pt idx="184">
                  <c:v>42422</c:v>
                </c:pt>
                <c:pt idx="185">
                  <c:v>42423</c:v>
                </c:pt>
                <c:pt idx="186">
                  <c:v>42424</c:v>
                </c:pt>
                <c:pt idx="187">
                  <c:v>42425</c:v>
                </c:pt>
                <c:pt idx="188">
                  <c:v>42426</c:v>
                </c:pt>
                <c:pt idx="189">
                  <c:v>42429</c:v>
                </c:pt>
                <c:pt idx="190">
                  <c:v>42430</c:v>
                </c:pt>
                <c:pt idx="191">
                  <c:v>42431</c:v>
                </c:pt>
                <c:pt idx="192">
                  <c:v>42432</c:v>
                </c:pt>
                <c:pt idx="193">
                  <c:v>42433</c:v>
                </c:pt>
                <c:pt idx="194">
                  <c:v>42436</c:v>
                </c:pt>
                <c:pt idx="195">
                  <c:v>42437</c:v>
                </c:pt>
                <c:pt idx="196">
                  <c:v>42438</c:v>
                </c:pt>
                <c:pt idx="197">
                  <c:v>42439</c:v>
                </c:pt>
                <c:pt idx="198">
                  <c:v>42440</c:v>
                </c:pt>
                <c:pt idx="199">
                  <c:v>42443</c:v>
                </c:pt>
                <c:pt idx="200">
                  <c:v>42444</c:v>
                </c:pt>
                <c:pt idx="201">
                  <c:v>42445</c:v>
                </c:pt>
                <c:pt idx="202">
                  <c:v>42446</c:v>
                </c:pt>
                <c:pt idx="203">
                  <c:v>42447</c:v>
                </c:pt>
                <c:pt idx="204">
                  <c:v>42450</c:v>
                </c:pt>
                <c:pt idx="205">
                  <c:v>42451</c:v>
                </c:pt>
                <c:pt idx="206">
                  <c:v>42452</c:v>
                </c:pt>
                <c:pt idx="207">
                  <c:v>42453</c:v>
                </c:pt>
                <c:pt idx="208">
                  <c:v>42458</c:v>
                </c:pt>
                <c:pt idx="209">
                  <c:v>42459</c:v>
                </c:pt>
                <c:pt idx="210">
                  <c:v>42460</c:v>
                </c:pt>
                <c:pt idx="211">
                  <c:v>42461</c:v>
                </c:pt>
                <c:pt idx="212">
                  <c:v>42464</c:v>
                </c:pt>
                <c:pt idx="213">
                  <c:v>42465</c:v>
                </c:pt>
                <c:pt idx="214">
                  <c:v>42466</c:v>
                </c:pt>
                <c:pt idx="215">
                  <c:v>42467</c:v>
                </c:pt>
                <c:pt idx="216">
                  <c:v>42468</c:v>
                </c:pt>
                <c:pt idx="217">
                  <c:v>42471</c:v>
                </c:pt>
                <c:pt idx="218">
                  <c:v>42472</c:v>
                </c:pt>
                <c:pt idx="219">
                  <c:v>42473</c:v>
                </c:pt>
                <c:pt idx="220">
                  <c:v>42474</c:v>
                </c:pt>
                <c:pt idx="221">
                  <c:v>42475</c:v>
                </c:pt>
                <c:pt idx="222">
                  <c:v>42478</c:v>
                </c:pt>
                <c:pt idx="223">
                  <c:v>42479</c:v>
                </c:pt>
                <c:pt idx="224">
                  <c:v>42480</c:v>
                </c:pt>
                <c:pt idx="225">
                  <c:v>42481</c:v>
                </c:pt>
                <c:pt idx="226">
                  <c:v>42482</c:v>
                </c:pt>
                <c:pt idx="227">
                  <c:v>42485</c:v>
                </c:pt>
                <c:pt idx="228">
                  <c:v>42486</c:v>
                </c:pt>
                <c:pt idx="229">
                  <c:v>42487</c:v>
                </c:pt>
                <c:pt idx="230">
                  <c:v>42488</c:v>
                </c:pt>
                <c:pt idx="231">
                  <c:v>42489</c:v>
                </c:pt>
                <c:pt idx="232">
                  <c:v>42492</c:v>
                </c:pt>
                <c:pt idx="233">
                  <c:v>42493</c:v>
                </c:pt>
                <c:pt idx="234">
                  <c:v>42494</c:v>
                </c:pt>
                <c:pt idx="235">
                  <c:v>42495</c:v>
                </c:pt>
                <c:pt idx="236">
                  <c:v>42496</c:v>
                </c:pt>
                <c:pt idx="237">
                  <c:v>42499</c:v>
                </c:pt>
                <c:pt idx="238">
                  <c:v>42500</c:v>
                </c:pt>
                <c:pt idx="239">
                  <c:v>42501</c:v>
                </c:pt>
                <c:pt idx="240">
                  <c:v>42502</c:v>
                </c:pt>
                <c:pt idx="241">
                  <c:v>42503</c:v>
                </c:pt>
                <c:pt idx="242">
                  <c:v>42506</c:v>
                </c:pt>
                <c:pt idx="243">
                  <c:v>42507</c:v>
                </c:pt>
                <c:pt idx="244">
                  <c:v>42508</c:v>
                </c:pt>
                <c:pt idx="245">
                  <c:v>42509</c:v>
                </c:pt>
                <c:pt idx="246">
                  <c:v>42510</c:v>
                </c:pt>
                <c:pt idx="247">
                  <c:v>42513</c:v>
                </c:pt>
                <c:pt idx="248">
                  <c:v>42514</c:v>
                </c:pt>
                <c:pt idx="249">
                  <c:v>42515</c:v>
                </c:pt>
                <c:pt idx="250">
                  <c:v>42516</c:v>
                </c:pt>
                <c:pt idx="251">
                  <c:v>42517</c:v>
                </c:pt>
                <c:pt idx="252">
                  <c:v>42520</c:v>
                </c:pt>
                <c:pt idx="253">
                  <c:v>42521</c:v>
                </c:pt>
                <c:pt idx="254">
                  <c:v>42522</c:v>
                </c:pt>
                <c:pt idx="255">
                  <c:v>42523</c:v>
                </c:pt>
                <c:pt idx="256">
                  <c:v>42524</c:v>
                </c:pt>
                <c:pt idx="257">
                  <c:v>42527</c:v>
                </c:pt>
                <c:pt idx="258">
                  <c:v>42528</c:v>
                </c:pt>
              </c:numCache>
            </c:numRef>
          </c:xVal>
          <c:yVal>
            <c:numRef>
              <c:f>'Delta 3M'!$V$3:$V$261</c:f>
              <c:numCache>
                <c:formatCode>0.0000%</c:formatCode>
                <c:ptCount val="259"/>
                <c:pt idx="0">
                  <c:v>1.1689500287187496E-3</c:v>
                </c:pt>
                <c:pt idx="1">
                  <c:v>1.1746312346007761E-3</c:v>
                </c:pt>
                <c:pt idx="2">
                  <c:v>1.1765058846570366E-3</c:v>
                </c:pt>
                <c:pt idx="3">
                  <c:v>1.1783726373735394E-3</c:v>
                </c:pt>
                <c:pt idx="4">
                  <c:v>1.180232479917754E-3</c:v>
                </c:pt>
                <c:pt idx="5">
                  <c:v>1.18208639945715E-3</c:v>
                </c:pt>
                <c:pt idx="6">
                  <c:v>1.1876224917211253E-3</c:v>
                </c:pt>
                <c:pt idx="7">
                  <c:v>1.1894625909159452E-3</c:v>
                </c:pt>
                <c:pt idx="8">
                  <c:v>1.1913017029432952E-3</c:v>
                </c:pt>
                <c:pt idx="9">
                  <c:v>1.1931408149706453E-3</c:v>
                </c:pt>
                <c:pt idx="10">
                  <c:v>1.1949809141654651E-3</c:v>
                </c:pt>
                <c:pt idx="11">
                  <c:v>1.2005170064294404E-3</c:v>
                </c:pt>
                <c:pt idx="12">
                  <c:v>1.2023709259688365E-3</c:v>
                </c:pt>
                <c:pt idx="13">
                  <c:v>1.2042307685130511E-3</c:v>
                </c:pt>
                <c:pt idx="14">
                  <c:v>1.2060975212295538E-3</c:v>
                </c:pt>
                <c:pt idx="15">
                  <c:v>1.2079721712858144E-3</c:v>
                </c:pt>
                <c:pt idx="16">
                  <c:v>1.2136533771678409E-3</c:v>
                </c:pt>
                <c:pt idx="17">
                  <c:v>1.2155694882578303E-3</c:v>
                </c:pt>
                <c:pt idx="18">
                  <c:v>1.2174984325249265E-3</c:v>
                </c:pt>
                <c:pt idx="19">
                  <c:v>1.2194411971365989E-3</c:v>
                </c:pt>
                <c:pt idx="20">
                  <c:v>1.2213987692603174E-3</c:v>
                </c:pt>
                <c:pt idx="21">
                  <c:v>1.2273702023784462E-3</c:v>
                </c:pt>
                <c:pt idx="22">
                  <c:v>1.2293968762250463E-3</c:v>
                </c:pt>
                <c:pt idx="23">
                  <c:v>1.231443293421041E-3</c:v>
                </c:pt>
                <c:pt idx="24">
                  <c:v>1.2335104411339E-3</c:v>
                </c:pt>
                <c:pt idx="25">
                  <c:v>1.2355993065310935E-3</c:v>
                </c:pt>
                <c:pt idx="26">
                  <c:v>1.242006080503376E-3</c:v>
                </c:pt>
                <c:pt idx="27">
                  <c:v>1.2441916883126035E-3</c:v>
                </c:pt>
                <c:pt idx="28">
                  <c:v>1.2464039496435137E-3</c:v>
                </c:pt>
                <c:pt idx="29">
                  <c:v>1.2486438516635767E-3</c:v>
                </c:pt>
                <c:pt idx="30">
                  <c:v>1.2509123815402621E-3</c:v>
                </c:pt>
                <c:pt idx="31">
                  <c:v>1.2578996099847494E-3</c:v>
                </c:pt>
                <c:pt idx="32">
                  <c:v>1.2602925229626214E-3</c:v>
                </c:pt>
                <c:pt idx="33">
                  <c:v>1.2627189996344645E-3</c:v>
                </c:pt>
                <c:pt idx="34">
                  <c:v>1.2651800271677484E-3</c:v>
                </c:pt>
                <c:pt idx="35">
                  <c:v>1.267676592729943E-3</c:v>
                </c:pt>
                <c:pt idx="36">
                  <c:v>1.2753893892646863E-3</c:v>
                </c:pt>
                <c:pt idx="37">
                  <c:v>1.2780379786172201E-3</c:v>
                </c:pt>
                <c:pt idx="38">
                  <c:v>1.2807270418360129E-3</c:v>
                </c:pt>
                <c:pt idx="39">
                  <c:v>1.2834575660885348E-3</c:v>
                </c:pt>
                <c:pt idx="40">
                  <c:v>1.2862305385422552E-3</c:v>
                </c:pt>
                <c:pt idx="41">
                  <c:v>1.294814016785306E-3</c:v>
                </c:pt>
                <c:pt idx="42">
                  <c:v>1.2977666537185184E-3</c:v>
                </c:pt>
                <c:pt idx="43">
                  <c:v>1.3007666746902783E-3</c:v>
                </c:pt>
                <c:pt idx="44">
                  <c:v>1.3038133971713668E-3</c:v>
                </c:pt>
                <c:pt idx="45">
                  <c:v>1.3068994598458114E-3</c:v>
                </c:pt>
                <c:pt idx="46">
                  <c:v>1.3163033789026725E-3</c:v>
                </c:pt>
                <c:pt idx="47">
                  <c:v>1.3194564922239323E-3</c:v>
                </c:pt>
                <c:pt idx="48">
                  <c:v>1.3226037906752435E-3</c:v>
                </c:pt>
                <c:pt idx="49">
                  <c:v>1.3257362432439451E-3</c:v>
                </c:pt>
                <c:pt idx="50">
                  <c:v>1.3288448189173764E-3</c:v>
                </c:pt>
                <c:pt idx="51">
                  <c:v>1.3379369744394385E-3</c:v>
                </c:pt>
                <c:pt idx="52">
                  <c:v>1.3408597324051788E-3</c:v>
                </c:pt>
                <c:pt idx="53">
                  <c:v>1.343713458412344E-3</c:v>
                </c:pt>
                <c:pt idx="54">
                  <c:v>1.3464891214482733E-3</c:v>
                </c:pt>
                <c:pt idx="55">
                  <c:v>1.3491776905003054E-3</c:v>
                </c:pt>
                <c:pt idx="56">
                  <c:v>1.3566305236264108E-3</c:v>
                </c:pt>
                <c:pt idx="57">
                  <c:v>1.3588804066162459E-3</c:v>
                </c:pt>
                <c:pt idx="58">
                  <c:v>1.3609980405588792E-3</c:v>
                </c:pt>
                <c:pt idx="59">
                  <c:v>1.36297439444165E-3</c:v>
                </c:pt>
                <c:pt idx="60">
                  <c:v>1.3648004372518972E-3</c:v>
                </c:pt>
                <c:pt idx="61">
                  <c:v>1.3692863891208887E-3</c:v>
                </c:pt>
                <c:pt idx="62">
                  <c:v>1.3704208775144324E-3</c:v>
                </c:pt>
                <c:pt idx="63">
                  <c:v>1.371359899772148E-3</c:v>
                </c:pt>
                <c:pt idx="64">
                  <c:v>1.3720944248813746E-3</c:v>
                </c:pt>
                <c:pt idx="65">
                  <c:v>1.3726154218294509E-3</c:v>
                </c:pt>
                <c:pt idx="66">
                  <c:v>1.3728069335801705E-3</c:v>
                </c:pt>
                <c:pt idx="67">
                  <c:v>1.3723835077570374E-3</c:v>
                </c:pt>
                <c:pt idx="68">
                  <c:v>1.3717013987094495E-3</c:v>
                </c:pt>
                <c:pt idx="69">
                  <c:v>1.370751575424746E-3</c:v>
                </c:pt>
                <c:pt idx="70">
                  <c:v>1.3695250068902656E-3</c:v>
                </c:pt>
                <c:pt idx="71">
                  <c:v>1.3640945196615561E-3</c:v>
                </c:pt>
                <c:pt idx="72">
                  <c:v>1.3616706600013601E-3</c:v>
                </c:pt>
                <c:pt idx="73">
                  <c:v>1.3589249000280827E-3</c:v>
                </c:pt>
                <c:pt idx="74">
                  <c:v>1.355856095335425E-3</c:v>
                </c:pt>
                <c:pt idx="75">
                  <c:v>1.3524946479425354E-3</c:v>
                </c:pt>
                <c:pt idx="76">
                  <c:v>1.3410373358175795E-3</c:v>
                </c:pt>
                <c:pt idx="77">
                  <c:v>1.3368882038788661E-3</c:v>
                </c:pt>
                <c:pt idx="78">
                  <c:v>1.3326378723674728E-3</c:v>
                </c:pt>
                <c:pt idx="79">
                  <c:v>1.3283246299089096E-3</c:v>
                </c:pt>
                <c:pt idx="80">
                  <c:v>1.3239867651286873E-3</c:v>
                </c:pt>
                <c:pt idx="81">
                  <c:v>1.3112083231131679E-3</c:v>
                </c:pt>
                <c:pt idx="82">
                  <c:v>1.307154855301412E-3</c:v>
                </c:pt>
                <c:pt idx="83">
                  <c:v>1.3032682082955483E-3</c:v>
                </c:pt>
                <c:pt idx="84">
                  <c:v>1.2995866707210878E-3</c:v>
                </c:pt>
                <c:pt idx="85">
                  <c:v>1.2961485312035404E-3</c:v>
                </c:pt>
                <c:pt idx="86">
                  <c:v>1.2876773872474814E-3</c:v>
                </c:pt>
                <c:pt idx="87">
                  <c:v>1.2856102195159035E-3</c:v>
                </c:pt>
                <c:pt idx="88">
                  <c:v>1.283966879494437E-3</c:v>
                </c:pt>
                <c:pt idx="89">
                  <c:v>1.2827256556874234E-3</c:v>
                </c:pt>
                <c:pt idx="90">
                  <c:v>1.2818648365992042E-3</c:v>
                </c:pt>
                <c:pt idx="91">
                  <c:v>1.281347692690727E-3</c:v>
                </c:pt>
                <c:pt idx="92">
                  <c:v>1.2817913775210995E-3</c:v>
                </c:pt>
                <c:pt idx="93">
                  <c:v>1.2825069095919737E-3</c:v>
                </c:pt>
                <c:pt idx="94">
                  <c:v>1.2834725774076908E-3</c:v>
                </c:pt>
                <c:pt idx="95">
                  <c:v>1.2846666694725924E-3</c:v>
                </c:pt>
                <c:pt idx="96">
                  <c:v>1.2894023762058181E-3</c:v>
                </c:pt>
                <c:pt idx="97">
                  <c:v>1.2912930503108718E-3</c:v>
                </c:pt>
                <c:pt idx="98">
                  <c:v>1.2933035911868172E-3</c:v>
                </c:pt>
                <c:pt idx="99">
                  <c:v>1.2954122873379958E-3</c:v>
                </c:pt>
                <c:pt idx="100">
                  <c:v>1.2975974272687488E-3</c:v>
                </c:pt>
                <c:pt idx="101">
                  <c:v>1.3043943947818693E-3</c:v>
                </c:pt>
                <c:pt idx="102">
                  <c:v>1.3066681948743347E-3</c:v>
                </c:pt>
                <c:pt idx="103">
                  <c:v>1.308909881268082E-3</c:v>
                </c:pt>
                <c:pt idx="104">
                  <c:v>1.3110977424674523E-3</c:v>
                </c:pt>
                <c:pt idx="105">
                  <c:v>1.3132100669767874E-3</c:v>
                </c:pt>
                <c:pt idx="106">
                  <c:v>1.3188767054079947E-3</c:v>
                </c:pt>
                <c:pt idx="107">
                  <c:v>1.3204697682006026E-3</c:v>
                </c:pt>
                <c:pt idx="108">
                  <c:v>1.3218787368248824E-3</c:v>
                </c:pt>
                <c:pt idx="109">
                  <c:v>1.3230818997851754E-3</c:v>
                </c:pt>
                <c:pt idx="110">
                  <c:v>1.3241474324388824E-3</c:v>
                </c:pt>
                <c:pt idx="111">
                  <c:v>1.3270258077814441E-3</c:v>
                </c:pt>
                <c:pt idx="112">
                  <c:v>1.3278840508119112E-3</c:v>
                </c:pt>
                <c:pt idx="113">
                  <c:v>1.3286941155284185E-3</c:v>
                </c:pt>
                <c:pt idx="114">
                  <c:v>1.3294574595677055E-3</c:v>
                </c:pt>
                <c:pt idx="115">
                  <c:v>1.3301755405665124E-3</c:v>
                </c:pt>
                <c:pt idx="116">
                  <c:v>1.332072781687451E-3</c:v>
                </c:pt>
                <c:pt idx="117">
                  <c:v>1.3326243868917362E-3</c:v>
                </c:pt>
                <c:pt idx="118">
                  <c:v>1.3331380172392411E-3</c:v>
                </c:pt>
                <c:pt idx="119">
                  <c:v>1.3336151303667053E-3</c:v>
                </c:pt>
                <c:pt idx="120">
                  <c:v>1.3340571839108688E-3</c:v>
                </c:pt>
                <c:pt idx="121">
                  <c:v>1.3351875634109544E-3</c:v>
                </c:pt>
                <c:pt idx="122">
                  <c:v>1.3355039549893147E-3</c:v>
                </c:pt>
                <c:pt idx="123">
                  <c:v>1.3357925751680737E-3</c:v>
                </c:pt>
                <c:pt idx="124">
                  <c:v>1.3360548815839718E-3</c:v>
                </c:pt>
                <c:pt idx="125">
                  <c:v>1.3362923318737485E-3</c:v>
                </c:pt>
                <c:pt idx="126">
                  <c:v>1.3368701223537517E-3</c:v>
                </c:pt>
                <c:pt idx="127">
                  <c:v>1.3370227245064433E-3</c:v>
                </c:pt>
                <c:pt idx="128">
                  <c:v>1.3371577587167136E-3</c:v>
                </c:pt>
                <c:pt idx="129">
                  <c:v>1.3372766826213022E-3</c:v>
                </c:pt>
                <c:pt idx="130">
                  <c:v>1.3373809538569494E-3</c:v>
                </c:pt>
                <c:pt idx="131">
                  <c:v>1.33762042791764E-3</c:v>
                </c:pt>
                <c:pt idx="132">
                  <c:v>1.3376806648449199E-3</c:v>
                </c:pt>
                <c:pt idx="133">
                  <c:v>1.337733537286958E-3</c:v>
                </c:pt>
                <c:pt idx="134">
                  <c:v>1.337780502880494E-3</c:v>
                </c:pt>
                <c:pt idx="135">
                  <c:v>1.3378230192622679E-3</c:v>
                </c:pt>
                <c:pt idx="136">
                  <c:v>1.3379384495044164E-3</c:v>
                </c:pt>
                <c:pt idx="137">
                  <c:v>1.3379777454065416E-3</c:v>
                </c:pt>
                <c:pt idx="138">
                  <c:v>1.338019880280604E-3</c:v>
                </c:pt>
                <c:pt idx="139">
                  <c:v>1.3380844490028161E-3</c:v>
                </c:pt>
                <c:pt idx="140">
                  <c:v>1.3381895180389232E-3</c:v>
                </c:pt>
                <c:pt idx="141">
                  <c:v>1.3387393772410152E-3</c:v>
                </c:pt>
                <c:pt idx="142">
                  <c:v>1.3389980977431028E-3</c:v>
                </c:pt>
                <c:pt idx="143">
                  <c:v>1.3392931436642854E-3</c:v>
                </c:pt>
                <c:pt idx="144">
                  <c:v>1.3396236800256034E-3</c:v>
                </c:pt>
                <c:pt idx="145">
                  <c:v>1.3412840302930279E-3</c:v>
                </c:pt>
                <c:pt idx="146">
                  <c:v>1.3417794941706226E-3</c:v>
                </c:pt>
                <c:pt idx="147">
                  <c:v>1.3423054386145926E-3</c:v>
                </c:pt>
                <c:pt idx="148">
                  <c:v>1.342861028645978E-3</c:v>
                </c:pt>
                <c:pt idx="149">
                  <c:v>1.3453631450664751E-3</c:v>
                </c:pt>
                <c:pt idx="150">
                  <c:v>1.3460544383505386E-3</c:v>
                </c:pt>
                <c:pt idx="151">
                  <c:v>1.3467703673482577E-3</c:v>
                </c:pt>
                <c:pt idx="152">
                  <c:v>1.3475100970806724E-3</c:v>
                </c:pt>
                <c:pt idx="153">
                  <c:v>1.3482727925688228E-3</c:v>
                </c:pt>
                <c:pt idx="154">
                  <c:v>1.3506903237780891E-3</c:v>
                </c:pt>
                <c:pt idx="155">
                  <c:v>1.351536532499583E-3</c:v>
                </c:pt>
                <c:pt idx="156">
                  <c:v>1.3524015320820126E-3</c:v>
                </c:pt>
                <c:pt idx="157">
                  <c:v>1.3532844875464183E-3</c:v>
                </c:pt>
                <c:pt idx="158">
                  <c:v>1.3541845639138401E-3</c:v>
                </c:pt>
                <c:pt idx="159">
                  <c:v>1.3569791686446017E-3</c:v>
                </c:pt>
                <c:pt idx="160">
                  <c:v>1.3579393788344877E-3</c:v>
                </c:pt>
                <c:pt idx="161">
                  <c:v>1.3589125350325899E-3</c:v>
                </c:pt>
                <c:pt idx="162">
                  <c:v>1.3598978022599485E-3</c:v>
                </c:pt>
                <c:pt idx="163">
                  <c:v>1.3608943455376032E-3</c:v>
                </c:pt>
                <c:pt idx="164">
                  <c:v>1.3639432818827453E-3</c:v>
                </c:pt>
                <c:pt idx="165">
                  <c:v>1.3649765795719852E-3</c:v>
                </c:pt>
                <c:pt idx="166">
                  <c:v>1.3660169784167218E-3</c:v>
                </c:pt>
                <c:pt idx="167">
                  <c:v>1.3670636434379947E-3</c:v>
                </c:pt>
                <c:pt idx="168">
                  <c:v>1.3681157396568441E-3</c:v>
                </c:pt>
                <c:pt idx="169">
                  <c:v>1.3712962657092518E-3</c:v>
                </c:pt>
                <c:pt idx="170">
                  <c:v>1.3723617369288076E-3</c:v>
                </c:pt>
                <c:pt idx="171">
                  <c:v>1.37342846445114E-3</c:v>
                </c:pt>
                <c:pt idx="172">
                  <c:v>1.3744956132972891E-3</c:v>
                </c:pt>
                <c:pt idx="173">
                  <c:v>1.3755623484882952E-3</c:v>
                </c:pt>
                <c:pt idx="174">
                  <c:v>1.3787517223408537E-3</c:v>
                </c:pt>
                <c:pt idx="175">
                  <c:v>1.3798084531216868E-3</c:v>
                </c:pt>
                <c:pt idx="176">
                  <c:v>1.3808605953525769E-3</c:v>
                </c:pt>
                <c:pt idx="177">
                  <c:v>1.3819073140545642E-3</c:v>
                </c:pt>
                <c:pt idx="178">
                  <c:v>1.3829477742486882E-3</c:v>
                </c:pt>
                <c:pt idx="179">
                  <c:v>1.386023253994283E-3</c:v>
                </c:pt>
                <c:pt idx="180">
                  <c:v>1.3870303303673553E-3</c:v>
                </c:pt>
                <c:pt idx="181">
                  <c:v>1.3880269733377649E-3</c:v>
                </c:pt>
                <c:pt idx="182">
                  <c:v>1.3890123479265517E-3</c:v>
                </c:pt>
                <c:pt idx="183">
                  <c:v>1.3899856191547557E-3</c:v>
                </c:pt>
                <c:pt idx="184">
                  <c:v>1.3928244628862716E-3</c:v>
                </c:pt>
                <c:pt idx="185">
                  <c:v>1.393740970882545E-3</c:v>
                </c:pt>
                <c:pt idx="186">
                  <c:v>1.3946412006234359E-3</c:v>
                </c:pt>
                <c:pt idx="187">
                  <c:v>1.3955243171299841E-3</c:v>
                </c:pt>
                <c:pt idx="188">
                  <c:v>1.3963894854232299E-3</c:v>
                </c:pt>
                <c:pt idx="189">
                  <c:v>1.3988689512335522E-3</c:v>
                </c:pt>
                <c:pt idx="190">
                  <c:v>1.3996539768839882E-3</c:v>
                </c:pt>
                <c:pt idx="191">
                  <c:v>1.4004168794263219E-3</c:v>
                </c:pt>
                <c:pt idx="192">
                  <c:v>1.4011568238815933E-3</c:v>
                </c:pt>
                <c:pt idx="193">
                  <c:v>1.4018729752708426E-3</c:v>
                </c:pt>
                <c:pt idx="194">
                  <c:v>1.4038703212528568E-3</c:v>
                </c:pt>
                <c:pt idx="195">
                  <c:v>1.4044829505884171E-3</c:v>
                </c:pt>
                <c:pt idx="196">
                  <c:v>1.4050676119631554E-3</c:v>
                </c:pt>
                <c:pt idx="197">
                  <c:v>1.4056234703981117E-3</c:v>
                </c:pt>
                <c:pt idx="198">
                  <c:v>1.406149690914326E-3</c:v>
                </c:pt>
                <c:pt idx="199">
                  <c:v>1.4075421751609171E-3</c:v>
                </c:pt>
                <c:pt idx="200">
                  <c:v>1.4079414942125637E-3</c:v>
                </c:pt>
                <c:pt idx="201">
                  <c:v>1.4083070004506685E-3</c:v>
                </c:pt>
                <c:pt idx="202">
                  <c:v>1.4086381202270553E-3</c:v>
                </c:pt>
                <c:pt idx="203">
                  <c:v>1.4089353252166839E-3</c:v>
                </c:pt>
                <c:pt idx="204">
                  <c:v>1.4096307815224557E-3</c:v>
                </c:pt>
                <c:pt idx="205">
                  <c:v>1.4097996574224869E-3</c:v>
                </c:pt>
                <c:pt idx="206">
                  <c:v>1.4099382835644774E-3</c:v>
                </c:pt>
                <c:pt idx="207">
                  <c:v>1.4100473929541709E-3</c:v>
                </c:pt>
                <c:pt idx="208">
                  <c:v>1.4101758438192088E-3</c:v>
                </c:pt>
                <c:pt idx="209">
                  <c:v>1.4101232458157351E-3</c:v>
                </c:pt>
                <c:pt idx="210">
                  <c:v>1.4100462621001691E-3</c:v>
                </c:pt>
                <c:pt idx="211">
                  <c:v>1.4099456256782548E-3</c:v>
                </c:pt>
                <c:pt idx="212">
                  <c:v>1.4095091302318557E-3</c:v>
                </c:pt>
                <c:pt idx="213">
                  <c:v>1.4093212130419825E-3</c:v>
                </c:pt>
                <c:pt idx="214">
                  <c:v>1.4091133081744786E-3</c:v>
                </c:pt>
                <c:pt idx="215">
                  <c:v>1.4088861486350871E-3</c:v>
                </c:pt>
                <c:pt idx="216">
                  <c:v>1.4086404674295522E-3</c:v>
                </c:pt>
                <c:pt idx="217">
                  <c:v>1.4077996238735201E-3</c:v>
                </c:pt>
                <c:pt idx="218">
                  <c:v>1.4074871860608456E-3</c:v>
                </c:pt>
                <c:pt idx="219">
                  <c:v>1.4071598916107449E-3</c:v>
                </c:pt>
                <c:pt idx="220">
                  <c:v>1.4068184735289619E-3</c:v>
                </c:pt>
                <c:pt idx="221">
                  <c:v>1.4064636648212401E-3</c:v>
                </c:pt>
                <c:pt idx="222">
                  <c:v>1.4053262249998765E-3</c:v>
                </c:pt>
                <c:pt idx="223">
                  <c:v>1.4049251838458344E-3</c:v>
                </c:pt>
                <c:pt idx="224">
                  <c:v>1.4045144170945713E-3</c:v>
                </c:pt>
                <c:pt idx="225">
                  <c:v>1.4040946577518305E-3</c:v>
                </c:pt>
                <c:pt idx="226">
                  <c:v>1.4036666388233558E-3</c:v>
                </c:pt>
                <c:pt idx="227">
                  <c:v>1.4023403545809624E-3</c:v>
                </c:pt>
                <c:pt idx="228">
                  <c:v>1.4018866273669867E-3</c:v>
                </c:pt>
                <c:pt idx="229">
                  <c:v>1.4014283055959948E-3</c:v>
                </c:pt>
                <c:pt idx="230">
                  <c:v>1.4009661222737302E-3</c:v>
                </c:pt>
                <c:pt idx="231">
                  <c:v>1.4005008104059362E-3</c:v>
                </c:pt>
                <c:pt idx="232">
                  <c:v>1.3990934335868146E-3</c:v>
                </c:pt>
                <c:pt idx="233">
                  <c:v>1.3986229375943394E-3</c:v>
                </c:pt>
                <c:pt idx="234">
                  <c:v>1.3981529780850523E-3</c:v>
                </c:pt>
                <c:pt idx="235">
                  <c:v>1.3976842880646977E-3</c:v>
                </c:pt>
                <c:pt idx="236">
                  <c:v>1.3972176005390185E-3</c:v>
                </c:pt>
                <c:pt idx="237">
                  <c:v>1.3958368829874704E-3</c:v>
                </c:pt>
                <c:pt idx="238">
                  <c:v>1.3953855354979291E-3</c:v>
                </c:pt>
                <c:pt idx="239">
                  <c:v>1.3949398555317813E-3</c:v>
                </c:pt>
                <c:pt idx="240">
                  <c:v>1.3945005760947703E-3</c:v>
                </c:pt>
                <c:pt idx="241">
                  <c:v>1.3940684301926398E-3</c:v>
                </c:pt>
                <c:pt idx="242">
                  <c:v>1.3928221237529666E-3</c:v>
                </c:pt>
                <c:pt idx="243">
                  <c:v>1.3924258420477936E-3</c:v>
                </c:pt>
                <c:pt idx="244">
                  <c:v>1.3920403589062185E-3</c:v>
                </c:pt>
                <c:pt idx="245">
                  <c:v>1.3916664073339853E-3</c:v>
                </c:pt>
                <c:pt idx="246">
                  <c:v>1.3913047203368372E-3</c:v>
                </c:pt>
                <c:pt idx="247">
                  <c:v>1.3903005768533406E-3</c:v>
                </c:pt>
                <c:pt idx="248">
                  <c:v>1.3899952782139692E-3</c:v>
                </c:pt>
                <c:pt idx="249">
                  <c:v>1.3897059091784009E-3</c:v>
                </c:pt>
                <c:pt idx="250">
                  <c:v>1.3894332027523794E-3</c:v>
                </c:pt>
                <c:pt idx="251">
                  <c:v>1.3891778919416478E-3</c:v>
                </c:pt>
                <c:pt idx="252">
                  <c:v>1.3885236632586292E-3</c:v>
                </c:pt>
                <c:pt idx="253">
                  <c:v>1.3883452649664937E-3</c:v>
                </c:pt>
                <c:pt idx="254">
                  <c:v>1.3881879273183659E-3</c:v>
                </c:pt>
                <c:pt idx="255">
                  <c:v>1.3880523833199898E-3</c:v>
                </c:pt>
                <c:pt idx="256">
                  <c:v>1.3879393659771084E-3</c:v>
                </c:pt>
                <c:pt idx="257">
                  <c:v>1.3877428039388697E-3</c:v>
                </c:pt>
                <c:pt idx="258">
                  <c:v>1.3877272232754036E-3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356416"/>
        <c:axId val="821357952"/>
      </c:scatterChart>
      <c:valAx>
        <c:axId val="82135641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21357952"/>
        <c:crosses val="autoZero"/>
        <c:crossBetween val="midCat"/>
      </c:valAx>
      <c:valAx>
        <c:axId val="821357952"/>
        <c:scaling>
          <c:orientation val="minMax"/>
          <c:max val="2.0000000000000005E-3"/>
        </c:scaling>
        <c:delete val="0"/>
        <c:axPos val="l"/>
        <c:majorGridlines/>
        <c:numFmt formatCode="0.0000%" sourceLinked="0"/>
        <c:majorTickMark val="out"/>
        <c:minorTickMark val="none"/>
        <c:tickLblPos val="nextTo"/>
        <c:crossAx val="82135641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84743699461809696"/>
          <c:y val="0.42417488762180589"/>
          <c:w val="0.10430329542140565"/>
          <c:h val="0.2584161085467764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 (2)'!$AV$4:$AV$133</c:f>
              <c:numCache>
                <c:formatCode>ddd\,\ dd\-mmm\-yyyy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'3MSynthDepo (2)'!$AX$4:$AX$133</c:f>
              <c:numCache>
                <c:formatCode>0.0000%</c:formatCode>
                <c:ptCount val="130"/>
                <c:pt idx="0">
                  <c:v>1.0658908373431259E-3</c:v>
                </c:pt>
                <c:pt idx="1">
                  <c:v>1.0724821109660905E-3</c:v>
                </c:pt>
                <c:pt idx="2">
                  <c:v>1.0746792021737452E-3</c:v>
                </c:pt>
                <c:pt idx="3">
                  <c:v>1.0768762933814002E-3</c:v>
                </c:pt>
                <c:pt idx="4">
                  <c:v>1.0790733845890549E-3</c:v>
                </c:pt>
                <c:pt idx="5">
                  <c:v>1.0812704757967098E-3</c:v>
                </c:pt>
                <c:pt idx="6">
                  <c:v>1.0878617494196744E-3</c:v>
                </c:pt>
                <c:pt idx="7">
                  <c:v>1.0900588406273291E-3</c:v>
                </c:pt>
                <c:pt idx="8">
                  <c:v>1.0922559318349841E-3</c:v>
                </c:pt>
                <c:pt idx="9">
                  <c:v>1.094453023042639E-3</c:v>
                </c:pt>
                <c:pt idx="10">
                  <c:v>1.0966501142502937E-3</c:v>
                </c:pt>
                <c:pt idx="11">
                  <c:v>1.1032413878732583E-3</c:v>
                </c:pt>
                <c:pt idx="12">
                  <c:v>1.105438479080913E-3</c:v>
                </c:pt>
                <c:pt idx="13">
                  <c:v>1.1076355702885679E-3</c:v>
                </c:pt>
                <c:pt idx="14">
                  <c:v>1.1098326614962229E-3</c:v>
                </c:pt>
                <c:pt idx="15">
                  <c:v>1.1120297527038776E-3</c:v>
                </c:pt>
                <c:pt idx="16">
                  <c:v>1.1186210263268422E-3</c:v>
                </c:pt>
                <c:pt idx="17">
                  <c:v>1.1208181175344969E-3</c:v>
                </c:pt>
                <c:pt idx="18">
                  <c:v>1.1230152087421518E-3</c:v>
                </c:pt>
                <c:pt idx="19">
                  <c:v>1.1252122999498067E-3</c:v>
                </c:pt>
                <c:pt idx="20">
                  <c:v>1.1274093911574615E-3</c:v>
                </c:pt>
                <c:pt idx="21">
                  <c:v>1.134000664780426E-3</c:v>
                </c:pt>
                <c:pt idx="22">
                  <c:v>1.136197755988081E-3</c:v>
                </c:pt>
                <c:pt idx="23">
                  <c:v>1.1383948471957357E-3</c:v>
                </c:pt>
                <c:pt idx="24">
                  <c:v>1.1405919384033906E-3</c:v>
                </c:pt>
                <c:pt idx="25">
                  <c:v>1.1427890296110453E-3</c:v>
                </c:pt>
                <c:pt idx="26">
                  <c:v>1.1493803032340099E-3</c:v>
                </c:pt>
                <c:pt idx="27">
                  <c:v>1.1515773944416649E-3</c:v>
                </c:pt>
                <c:pt idx="28">
                  <c:v>1.1537744856493196E-3</c:v>
                </c:pt>
                <c:pt idx="29">
                  <c:v>1.1559715768569745E-3</c:v>
                </c:pt>
                <c:pt idx="30">
                  <c:v>1.1581686680646292E-3</c:v>
                </c:pt>
                <c:pt idx="31">
                  <c:v>1.1647599416875938E-3</c:v>
                </c:pt>
                <c:pt idx="32">
                  <c:v>1.1669570328952487E-3</c:v>
                </c:pt>
                <c:pt idx="33">
                  <c:v>1.1691541241029035E-3</c:v>
                </c:pt>
                <c:pt idx="34">
                  <c:v>1.1713512153105584E-3</c:v>
                </c:pt>
                <c:pt idx="35">
                  <c:v>1.1735483065182131E-3</c:v>
                </c:pt>
                <c:pt idx="36">
                  <c:v>1.1801395801411777E-3</c:v>
                </c:pt>
                <c:pt idx="37">
                  <c:v>1.1823366713488326E-3</c:v>
                </c:pt>
                <c:pt idx="38">
                  <c:v>1.1845337625564873E-3</c:v>
                </c:pt>
                <c:pt idx="39">
                  <c:v>1.1867308537641423E-3</c:v>
                </c:pt>
                <c:pt idx="40">
                  <c:v>1.188927944971797E-3</c:v>
                </c:pt>
                <c:pt idx="41">
                  <c:v>1.1955192185947616E-3</c:v>
                </c:pt>
                <c:pt idx="42">
                  <c:v>1.1977163098024165E-3</c:v>
                </c:pt>
                <c:pt idx="43">
                  <c:v>1.1999134010100712E-3</c:v>
                </c:pt>
                <c:pt idx="44">
                  <c:v>1.2021104922177262E-3</c:v>
                </c:pt>
                <c:pt idx="45">
                  <c:v>1.2043075834253809E-3</c:v>
                </c:pt>
                <c:pt idx="46">
                  <c:v>1.2108988570483455E-3</c:v>
                </c:pt>
                <c:pt idx="47">
                  <c:v>1.2130959482560004E-3</c:v>
                </c:pt>
                <c:pt idx="48">
                  <c:v>1.2152930394636551E-3</c:v>
                </c:pt>
                <c:pt idx="49">
                  <c:v>1.21749013067131E-3</c:v>
                </c:pt>
                <c:pt idx="50">
                  <c:v>1.219687221878965E-3</c:v>
                </c:pt>
                <c:pt idx="51">
                  <c:v>1.2262784955019293E-3</c:v>
                </c:pt>
                <c:pt idx="52">
                  <c:v>1.2284755867095843E-3</c:v>
                </c:pt>
                <c:pt idx="53">
                  <c:v>1.230672677917239E-3</c:v>
                </c:pt>
                <c:pt idx="54">
                  <c:v>1.2328697691248939E-3</c:v>
                </c:pt>
                <c:pt idx="55">
                  <c:v>1.2350668603325486E-3</c:v>
                </c:pt>
                <c:pt idx="56">
                  <c:v>1.2416581339555132E-3</c:v>
                </c:pt>
                <c:pt idx="57">
                  <c:v>1.2438552251631681E-3</c:v>
                </c:pt>
                <c:pt idx="58">
                  <c:v>1.2460523163708229E-3</c:v>
                </c:pt>
                <c:pt idx="59">
                  <c:v>1.2482494075784778E-3</c:v>
                </c:pt>
                <c:pt idx="60">
                  <c:v>1.2504464987861327E-3</c:v>
                </c:pt>
                <c:pt idx="61">
                  <c:v>1.2570377724090971E-3</c:v>
                </c:pt>
                <c:pt idx="62">
                  <c:v>1.259234863616752E-3</c:v>
                </c:pt>
                <c:pt idx="63">
                  <c:v>1.261431954824407E-3</c:v>
                </c:pt>
                <c:pt idx="64">
                  <c:v>1.2636290460320617E-3</c:v>
                </c:pt>
                <c:pt idx="65">
                  <c:v>1.2658261372397164E-3</c:v>
                </c:pt>
                <c:pt idx="66">
                  <c:v>1.272417410862681E-3</c:v>
                </c:pt>
                <c:pt idx="67">
                  <c:v>1.2746145020703359E-3</c:v>
                </c:pt>
                <c:pt idx="68">
                  <c:v>1.2768115932779906E-3</c:v>
                </c:pt>
                <c:pt idx="69">
                  <c:v>1.2790086844856456E-3</c:v>
                </c:pt>
                <c:pt idx="70">
                  <c:v>1.2812057756933005E-3</c:v>
                </c:pt>
                <c:pt idx="71">
                  <c:v>1.2877970493162649E-3</c:v>
                </c:pt>
                <c:pt idx="72">
                  <c:v>1.2899941405239198E-3</c:v>
                </c:pt>
                <c:pt idx="73">
                  <c:v>1.2921912317315747E-3</c:v>
                </c:pt>
                <c:pt idx="74">
                  <c:v>1.2943883229392294E-3</c:v>
                </c:pt>
                <c:pt idx="75">
                  <c:v>1.2965854141468844E-3</c:v>
                </c:pt>
                <c:pt idx="76">
                  <c:v>1.3031766877698487E-3</c:v>
                </c:pt>
                <c:pt idx="77">
                  <c:v>1.3053737789775037E-3</c:v>
                </c:pt>
                <c:pt idx="78">
                  <c:v>1.3075708701851586E-3</c:v>
                </c:pt>
                <c:pt idx="79">
                  <c:v>1.3097679613928133E-3</c:v>
                </c:pt>
                <c:pt idx="80">
                  <c:v>1.3119650526004683E-3</c:v>
                </c:pt>
                <c:pt idx="81">
                  <c:v>1.3185563262234326E-3</c:v>
                </c:pt>
                <c:pt idx="82">
                  <c:v>1.3207534174310876E-3</c:v>
                </c:pt>
                <c:pt idx="83">
                  <c:v>1.3229505086387425E-3</c:v>
                </c:pt>
                <c:pt idx="84">
                  <c:v>1.3251475998463972E-3</c:v>
                </c:pt>
                <c:pt idx="85">
                  <c:v>1.3273446910540521E-3</c:v>
                </c:pt>
                <c:pt idx="86">
                  <c:v>1.3339359646770167E-3</c:v>
                </c:pt>
                <c:pt idx="87">
                  <c:v>1.3361330558846714E-3</c:v>
                </c:pt>
                <c:pt idx="88">
                  <c:v>1.3383301470923264E-3</c:v>
                </c:pt>
                <c:pt idx="89">
                  <c:v>1.3405272382999811E-3</c:v>
                </c:pt>
                <c:pt idx="90">
                  <c:v>1.342724329507636E-3</c:v>
                </c:pt>
                <c:pt idx="91">
                  <c:v>1.3493156031306004E-3</c:v>
                </c:pt>
                <c:pt idx="92">
                  <c:v>1.3515126943382553E-3</c:v>
                </c:pt>
                <c:pt idx="93">
                  <c:v>1.3537097855459103E-3</c:v>
                </c:pt>
                <c:pt idx="94">
                  <c:v>1.355906876753565E-3</c:v>
                </c:pt>
                <c:pt idx="95">
                  <c:v>1.3581039679612199E-3</c:v>
                </c:pt>
                <c:pt idx="96">
                  <c:v>1.3646952415841845E-3</c:v>
                </c:pt>
                <c:pt idx="97">
                  <c:v>1.3668923327918392E-3</c:v>
                </c:pt>
                <c:pt idx="98">
                  <c:v>1.3690894239994941E-3</c:v>
                </c:pt>
                <c:pt idx="99">
                  <c:v>1.3712865152071489E-3</c:v>
                </c:pt>
                <c:pt idx="100">
                  <c:v>1.3734836064148038E-3</c:v>
                </c:pt>
                <c:pt idx="101">
                  <c:v>1.3800748800377682E-3</c:v>
                </c:pt>
                <c:pt idx="102">
                  <c:v>1.3822719712454231E-3</c:v>
                </c:pt>
                <c:pt idx="103">
                  <c:v>1.384469062453078E-3</c:v>
                </c:pt>
                <c:pt idx="104">
                  <c:v>1.3866661536607327E-3</c:v>
                </c:pt>
                <c:pt idx="105">
                  <c:v>1.3888632448683877E-3</c:v>
                </c:pt>
                <c:pt idx="106">
                  <c:v>1.3954545184913522E-3</c:v>
                </c:pt>
                <c:pt idx="107">
                  <c:v>1.397651609699007E-3</c:v>
                </c:pt>
                <c:pt idx="108">
                  <c:v>1.3998487009066619E-3</c:v>
                </c:pt>
                <c:pt idx="109">
                  <c:v>1.4020457921143166E-3</c:v>
                </c:pt>
                <c:pt idx="110">
                  <c:v>1.4042428833219715E-3</c:v>
                </c:pt>
                <c:pt idx="111">
                  <c:v>1.4108341569449361E-3</c:v>
                </c:pt>
                <c:pt idx="112">
                  <c:v>1.4130312481525908E-3</c:v>
                </c:pt>
                <c:pt idx="113">
                  <c:v>1.4152283393602458E-3</c:v>
                </c:pt>
                <c:pt idx="114">
                  <c:v>1.4174254305679005E-3</c:v>
                </c:pt>
                <c:pt idx="115">
                  <c:v>1.4196225217755554E-3</c:v>
                </c:pt>
                <c:pt idx="116">
                  <c:v>1.42621379539852E-3</c:v>
                </c:pt>
                <c:pt idx="117">
                  <c:v>1.4284108866061747E-3</c:v>
                </c:pt>
                <c:pt idx="118">
                  <c:v>1.4306079778138297E-3</c:v>
                </c:pt>
                <c:pt idx="119">
                  <c:v>1.4328050690214844E-3</c:v>
                </c:pt>
                <c:pt idx="120">
                  <c:v>1.4350021602291393E-3</c:v>
                </c:pt>
                <c:pt idx="121">
                  <c:v>1.4415934338521039E-3</c:v>
                </c:pt>
                <c:pt idx="122">
                  <c:v>1.4437905250597586E-3</c:v>
                </c:pt>
                <c:pt idx="123">
                  <c:v>1.4459876162674135E-3</c:v>
                </c:pt>
                <c:pt idx="124">
                  <c:v>1.4481847074750685E-3</c:v>
                </c:pt>
                <c:pt idx="125">
                  <c:v>1.4503817986827232E-3</c:v>
                </c:pt>
                <c:pt idx="126">
                  <c:v>1.4569730723056878E-3</c:v>
                </c:pt>
                <c:pt idx="127">
                  <c:v>1.4591701635133427E-3</c:v>
                </c:pt>
                <c:pt idx="128">
                  <c:v>1.4613672547209974E-3</c:v>
                </c:pt>
                <c:pt idx="129">
                  <c:v>1.4635643459286521E-3</c:v>
                </c:pt>
              </c:numCache>
            </c:numRef>
          </c:val>
          <c:smooth val="0"/>
        </c:ser>
        <c:ser>
          <c:idx val="1"/>
          <c:order val="1"/>
          <c:tx>
            <c:v>Linear without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 (2)'!$AV$4:$AV$133</c:f>
              <c:numCache>
                <c:formatCode>ddd\,\ dd\-mmm\-yyyy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'3MSynthDepo (2)'!$AY$4:$AY$133</c:f>
              <c:numCache>
                <c:formatCode>0.0000%</c:formatCode>
                <c:ptCount val="130"/>
                <c:pt idx="0">
                  <c:v>9.7274203555974825E-4</c:v>
                </c:pt>
                <c:pt idx="1">
                  <c:v>9.8194495783084481E-4</c:v>
                </c:pt>
                <c:pt idx="2">
                  <c:v>9.8501259858787714E-4</c:v>
                </c:pt>
                <c:pt idx="3">
                  <c:v>9.8808023934490925E-4</c:v>
                </c:pt>
                <c:pt idx="4">
                  <c:v>9.9114788010194158E-4</c:v>
                </c:pt>
                <c:pt idx="5">
                  <c:v>9.9421552085897369E-4</c:v>
                </c:pt>
                <c:pt idx="6">
                  <c:v>1.0034184431300705E-3</c:v>
                </c:pt>
                <c:pt idx="7">
                  <c:v>1.0064860838871026E-3</c:v>
                </c:pt>
                <c:pt idx="8">
                  <c:v>1.0095537246441349E-3</c:v>
                </c:pt>
                <c:pt idx="9">
                  <c:v>1.012621365401167E-3</c:v>
                </c:pt>
                <c:pt idx="10">
                  <c:v>1.0156890061581993E-3</c:v>
                </c:pt>
                <c:pt idx="11">
                  <c:v>1.0248919284292959E-3</c:v>
                </c:pt>
                <c:pt idx="12">
                  <c:v>1.027959569186328E-3</c:v>
                </c:pt>
                <c:pt idx="13">
                  <c:v>1.0310272099433603E-3</c:v>
                </c:pt>
                <c:pt idx="14">
                  <c:v>1.0340948507003925E-3</c:v>
                </c:pt>
                <c:pt idx="15">
                  <c:v>1.0371624914574248E-3</c:v>
                </c:pt>
                <c:pt idx="16">
                  <c:v>1.0463654137285213E-3</c:v>
                </c:pt>
                <c:pt idx="17">
                  <c:v>1.0494330544855537E-3</c:v>
                </c:pt>
                <c:pt idx="18">
                  <c:v>1.0525006952425858E-3</c:v>
                </c:pt>
                <c:pt idx="19">
                  <c:v>1.0555683359996181E-3</c:v>
                </c:pt>
                <c:pt idx="20">
                  <c:v>1.0586359767566502E-3</c:v>
                </c:pt>
                <c:pt idx="21">
                  <c:v>1.0678388990277468E-3</c:v>
                </c:pt>
                <c:pt idx="22">
                  <c:v>1.0709065397847791E-3</c:v>
                </c:pt>
                <c:pt idx="23">
                  <c:v>1.0739741805418112E-3</c:v>
                </c:pt>
                <c:pt idx="24">
                  <c:v>1.0770418212988435E-3</c:v>
                </c:pt>
                <c:pt idx="25">
                  <c:v>1.0801094620558757E-3</c:v>
                </c:pt>
                <c:pt idx="26">
                  <c:v>1.0893123843269724E-3</c:v>
                </c:pt>
                <c:pt idx="27">
                  <c:v>1.0923800250840045E-3</c:v>
                </c:pt>
                <c:pt idx="28">
                  <c:v>1.0954476658410369E-3</c:v>
                </c:pt>
                <c:pt idx="29">
                  <c:v>1.098515306598069E-3</c:v>
                </c:pt>
                <c:pt idx="30">
                  <c:v>1.1015829473551013E-3</c:v>
                </c:pt>
                <c:pt idx="31">
                  <c:v>1.1107858696261979E-3</c:v>
                </c:pt>
                <c:pt idx="32">
                  <c:v>1.11385351038323E-3</c:v>
                </c:pt>
                <c:pt idx="33">
                  <c:v>1.1169211511402623E-3</c:v>
                </c:pt>
                <c:pt idx="34">
                  <c:v>1.1199887918972944E-3</c:v>
                </c:pt>
                <c:pt idx="35">
                  <c:v>1.1230564326543267E-3</c:v>
                </c:pt>
                <c:pt idx="36">
                  <c:v>1.1322593549254233E-3</c:v>
                </c:pt>
                <c:pt idx="37">
                  <c:v>1.1353269956824556E-3</c:v>
                </c:pt>
                <c:pt idx="38">
                  <c:v>1.1383946364394877E-3</c:v>
                </c:pt>
                <c:pt idx="39">
                  <c:v>1.1414622771965201E-3</c:v>
                </c:pt>
                <c:pt idx="40">
                  <c:v>1.1445299179535522E-3</c:v>
                </c:pt>
                <c:pt idx="41">
                  <c:v>1.1537328402246487E-3</c:v>
                </c:pt>
                <c:pt idx="42">
                  <c:v>1.1568004809816811E-3</c:v>
                </c:pt>
                <c:pt idx="43">
                  <c:v>1.1598681217387134E-3</c:v>
                </c:pt>
                <c:pt idx="44">
                  <c:v>1.1629357624957455E-3</c:v>
                </c:pt>
                <c:pt idx="45">
                  <c:v>1.1660034032527776E-3</c:v>
                </c:pt>
                <c:pt idx="46">
                  <c:v>1.1752063255238744E-3</c:v>
                </c:pt>
                <c:pt idx="47">
                  <c:v>1.1782739662809065E-3</c:v>
                </c:pt>
                <c:pt idx="48">
                  <c:v>1.1813416070379388E-3</c:v>
                </c:pt>
                <c:pt idx="49">
                  <c:v>1.1844092477949709E-3</c:v>
                </c:pt>
                <c:pt idx="50">
                  <c:v>1.1874768885520033E-3</c:v>
                </c:pt>
                <c:pt idx="51">
                  <c:v>1.1966798108230998E-3</c:v>
                </c:pt>
                <c:pt idx="52">
                  <c:v>1.1997474515801319E-3</c:v>
                </c:pt>
                <c:pt idx="53">
                  <c:v>1.2028150923371643E-3</c:v>
                </c:pt>
                <c:pt idx="54">
                  <c:v>1.2058827330941966E-3</c:v>
                </c:pt>
                <c:pt idx="55">
                  <c:v>1.2089503738512287E-3</c:v>
                </c:pt>
                <c:pt idx="56">
                  <c:v>1.2181532961223253E-3</c:v>
                </c:pt>
                <c:pt idx="57">
                  <c:v>1.2212209368793576E-3</c:v>
                </c:pt>
                <c:pt idx="58">
                  <c:v>1.2242885776363897E-3</c:v>
                </c:pt>
                <c:pt idx="59">
                  <c:v>1.227356218393422E-3</c:v>
                </c:pt>
                <c:pt idx="60">
                  <c:v>1.2304238591504541E-3</c:v>
                </c:pt>
                <c:pt idx="61">
                  <c:v>1.2396267814215509E-3</c:v>
                </c:pt>
                <c:pt idx="62">
                  <c:v>1.242694422178583E-3</c:v>
                </c:pt>
                <c:pt idx="63">
                  <c:v>1.2457620629356151E-3</c:v>
                </c:pt>
                <c:pt idx="64">
                  <c:v>1.2488297036926475E-3</c:v>
                </c:pt>
                <c:pt idx="65">
                  <c:v>1.2518973444496798E-3</c:v>
                </c:pt>
                <c:pt idx="66">
                  <c:v>1.2611002667207763E-3</c:v>
                </c:pt>
                <c:pt idx="67">
                  <c:v>1.2641679074778085E-3</c:v>
                </c:pt>
                <c:pt idx="68">
                  <c:v>1.2672355482348408E-3</c:v>
                </c:pt>
                <c:pt idx="69">
                  <c:v>1.2703031889918729E-3</c:v>
                </c:pt>
                <c:pt idx="70">
                  <c:v>1.2733708297489052E-3</c:v>
                </c:pt>
                <c:pt idx="71">
                  <c:v>1.2825737520200018E-3</c:v>
                </c:pt>
                <c:pt idx="72">
                  <c:v>1.2856413927770341E-3</c:v>
                </c:pt>
                <c:pt idx="73">
                  <c:v>1.2887090335340662E-3</c:v>
                </c:pt>
                <c:pt idx="74">
                  <c:v>1.2917766742910983E-3</c:v>
                </c:pt>
                <c:pt idx="75">
                  <c:v>1.2948443150481307E-3</c:v>
                </c:pt>
                <c:pt idx="76">
                  <c:v>1.3040472373192272E-3</c:v>
                </c:pt>
                <c:pt idx="77">
                  <c:v>1.3071148780762596E-3</c:v>
                </c:pt>
                <c:pt idx="78">
                  <c:v>1.3101825188332919E-3</c:v>
                </c:pt>
                <c:pt idx="79">
                  <c:v>1.313250159590324E-3</c:v>
                </c:pt>
                <c:pt idx="80">
                  <c:v>1.3163178003473561E-3</c:v>
                </c:pt>
                <c:pt idx="81">
                  <c:v>1.3255207226184527E-3</c:v>
                </c:pt>
                <c:pt idx="82">
                  <c:v>1.328588363375485E-3</c:v>
                </c:pt>
                <c:pt idx="83">
                  <c:v>1.3316560041325173E-3</c:v>
                </c:pt>
                <c:pt idx="84">
                  <c:v>1.3347236448895494E-3</c:v>
                </c:pt>
                <c:pt idx="85">
                  <c:v>1.3377912856465815E-3</c:v>
                </c:pt>
                <c:pt idx="86">
                  <c:v>1.3469942079176783E-3</c:v>
                </c:pt>
                <c:pt idx="87">
                  <c:v>1.3500618486747104E-3</c:v>
                </c:pt>
                <c:pt idx="88">
                  <c:v>1.3531294894317428E-3</c:v>
                </c:pt>
                <c:pt idx="89">
                  <c:v>1.3561971301887749E-3</c:v>
                </c:pt>
                <c:pt idx="90">
                  <c:v>1.3592647709458072E-3</c:v>
                </c:pt>
                <c:pt idx="91">
                  <c:v>1.3684676932169037E-3</c:v>
                </c:pt>
                <c:pt idx="92">
                  <c:v>1.3715353339739361E-3</c:v>
                </c:pt>
                <c:pt idx="93">
                  <c:v>1.3746029747309682E-3</c:v>
                </c:pt>
                <c:pt idx="94">
                  <c:v>1.3776706154880005E-3</c:v>
                </c:pt>
                <c:pt idx="95">
                  <c:v>1.3807382562450326E-3</c:v>
                </c:pt>
                <c:pt idx="96">
                  <c:v>1.3899411785161294E-3</c:v>
                </c:pt>
                <c:pt idx="97">
                  <c:v>1.3930088192731615E-3</c:v>
                </c:pt>
                <c:pt idx="98">
                  <c:v>1.3960764600301936E-3</c:v>
                </c:pt>
                <c:pt idx="99">
                  <c:v>1.399144100787226E-3</c:v>
                </c:pt>
                <c:pt idx="100">
                  <c:v>1.4022117415442581E-3</c:v>
                </c:pt>
                <c:pt idx="101">
                  <c:v>1.4114146638153548E-3</c:v>
                </c:pt>
                <c:pt idx="102">
                  <c:v>1.414482304572387E-3</c:v>
                </c:pt>
                <c:pt idx="103">
                  <c:v>1.4175499453294193E-3</c:v>
                </c:pt>
                <c:pt idx="104">
                  <c:v>1.4206175860864514E-3</c:v>
                </c:pt>
                <c:pt idx="105">
                  <c:v>1.4236852268434837E-3</c:v>
                </c:pt>
                <c:pt idx="106">
                  <c:v>1.4328881491145803E-3</c:v>
                </c:pt>
                <c:pt idx="107">
                  <c:v>1.4359557898716126E-3</c:v>
                </c:pt>
                <c:pt idx="108">
                  <c:v>1.4390234306286447E-3</c:v>
                </c:pt>
                <c:pt idx="109">
                  <c:v>1.4420910713856768E-3</c:v>
                </c:pt>
                <c:pt idx="110">
                  <c:v>1.4451587121427092E-3</c:v>
                </c:pt>
                <c:pt idx="111">
                  <c:v>1.4543616344138057E-3</c:v>
                </c:pt>
                <c:pt idx="112">
                  <c:v>1.457429275170838E-3</c:v>
                </c:pt>
                <c:pt idx="113">
                  <c:v>1.4604969159278702E-3</c:v>
                </c:pt>
                <c:pt idx="114">
                  <c:v>1.4635645566849023E-3</c:v>
                </c:pt>
                <c:pt idx="115">
                  <c:v>1.4666321974419346E-3</c:v>
                </c:pt>
                <c:pt idx="116">
                  <c:v>1.4758351197130311E-3</c:v>
                </c:pt>
                <c:pt idx="117">
                  <c:v>1.4789027604700635E-3</c:v>
                </c:pt>
                <c:pt idx="118">
                  <c:v>1.4819704012270958E-3</c:v>
                </c:pt>
                <c:pt idx="119">
                  <c:v>1.4850380419841279E-3</c:v>
                </c:pt>
                <c:pt idx="120">
                  <c:v>1.48810568274116E-3</c:v>
                </c:pt>
                <c:pt idx="121">
                  <c:v>1.4973086050122566E-3</c:v>
                </c:pt>
                <c:pt idx="122">
                  <c:v>1.5003762457692889E-3</c:v>
                </c:pt>
                <c:pt idx="123">
                  <c:v>1.5034438865263212E-3</c:v>
                </c:pt>
                <c:pt idx="124">
                  <c:v>1.5065115272833534E-3</c:v>
                </c:pt>
                <c:pt idx="125">
                  <c:v>1.5095791680403855E-3</c:v>
                </c:pt>
                <c:pt idx="126">
                  <c:v>1.5187820903114822E-3</c:v>
                </c:pt>
                <c:pt idx="127">
                  <c:v>1.5218497310685144E-3</c:v>
                </c:pt>
                <c:pt idx="128">
                  <c:v>1.5249173718255467E-3</c:v>
                </c:pt>
                <c:pt idx="129">
                  <c:v>1.527985012582579E-3</c:v>
                </c:pt>
              </c:numCache>
            </c:numRef>
          </c:val>
          <c:smooth val="0"/>
        </c:ser>
        <c:ser>
          <c:idx val="2"/>
          <c:order val="2"/>
          <c:tx>
            <c:v>Quadratic with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 (2)'!$AV$4:$AV$133</c:f>
              <c:numCache>
                <c:formatCode>ddd\,\ dd\-mmm\-yyyy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'3MSynthDepo (2)'!$AZ$4:$AZ$133</c:f>
              <c:numCache>
                <c:formatCode>0.0000%</c:formatCode>
                <c:ptCount val="130"/>
                <c:pt idx="0">
                  <c:v>1.115756717737712E-3</c:v>
                </c:pt>
                <c:pt idx="1">
                  <c:v>1.1170738746878997E-3</c:v>
                </c:pt>
                <c:pt idx="2">
                  <c:v>1.1175596574657897E-3</c:v>
                </c:pt>
                <c:pt idx="3">
                  <c:v>1.1180688054742605E-3</c:v>
                </c:pt>
                <c:pt idx="4">
                  <c:v>1.1186013187133115E-3</c:v>
                </c:pt>
                <c:pt idx="5">
                  <c:v>1.1191571971829431E-3</c:v>
                </c:pt>
                <c:pt idx="6">
                  <c:v>1.1209650239753207E-3</c:v>
                </c:pt>
                <c:pt idx="7">
                  <c:v>1.1216143633672741E-3</c:v>
                </c:pt>
                <c:pt idx="8">
                  <c:v>1.122287067989808E-3</c:v>
                </c:pt>
                <c:pt idx="9">
                  <c:v>1.1229831378429225E-3</c:v>
                </c:pt>
                <c:pt idx="10">
                  <c:v>1.1237025729266173E-3</c:v>
                </c:pt>
                <c:pt idx="11">
                  <c:v>1.1260010695611847E-3</c:v>
                </c:pt>
                <c:pt idx="12">
                  <c:v>1.1268139655672014E-3</c:v>
                </c:pt>
                <c:pt idx="13">
                  <c:v>1.1276502268037988E-3</c:v>
                </c:pt>
                <c:pt idx="14">
                  <c:v>1.1285098532709764E-3</c:v>
                </c:pt>
                <c:pt idx="15">
                  <c:v>1.1293928449687344E-3</c:v>
                </c:pt>
                <c:pt idx="16">
                  <c:v>1.1321820114454919E-3</c:v>
                </c:pt>
                <c:pt idx="17">
                  <c:v>1.133158464065572E-3</c:v>
                </c:pt>
                <c:pt idx="18">
                  <c:v>1.1341582819162325E-3</c:v>
                </c:pt>
                <c:pt idx="19">
                  <c:v>1.1351814649974735E-3</c:v>
                </c:pt>
                <c:pt idx="20">
                  <c:v>1.136228013309295E-3</c:v>
                </c:pt>
                <c:pt idx="21">
                  <c:v>1.1395078496282422E-3</c:v>
                </c:pt>
                <c:pt idx="22">
                  <c:v>1.1406478588623853E-3</c:v>
                </c:pt>
                <c:pt idx="23">
                  <c:v>1.1418112333271093E-3</c:v>
                </c:pt>
                <c:pt idx="24">
                  <c:v>1.1429979730224137E-3</c:v>
                </c:pt>
                <c:pt idx="25">
                  <c:v>1.1442080779482983E-3</c:v>
                </c:pt>
                <c:pt idx="26">
                  <c:v>1.1479785841094355E-3</c:v>
                </c:pt>
                <c:pt idx="27">
                  <c:v>1.1492821499576422E-3</c:v>
                </c:pt>
                <c:pt idx="28">
                  <c:v>1.1506090810364292E-3</c:v>
                </c:pt>
                <c:pt idx="29">
                  <c:v>1.1519593773457969E-3</c:v>
                </c:pt>
                <c:pt idx="30">
                  <c:v>1.153333038885745E-3</c:v>
                </c:pt>
                <c:pt idx="31">
                  <c:v>1.1575942148890719E-3</c:v>
                </c:pt>
                <c:pt idx="32">
                  <c:v>1.1590613373513418E-3</c:v>
                </c:pt>
                <c:pt idx="33">
                  <c:v>1.1605518250441924E-3</c:v>
                </c:pt>
                <c:pt idx="34">
                  <c:v>1.1620656779676231E-3</c:v>
                </c:pt>
                <c:pt idx="35">
                  <c:v>1.1636028961216343E-3</c:v>
                </c:pt>
                <c:pt idx="36">
                  <c:v>1.1683547419671513E-3</c:v>
                </c:pt>
                <c:pt idx="37">
                  <c:v>1.1699854210434847E-3</c:v>
                </c:pt>
                <c:pt idx="38">
                  <c:v>1.1716394653503983E-3</c:v>
                </c:pt>
                <c:pt idx="39">
                  <c:v>1.1733168748878926E-3</c:v>
                </c:pt>
                <c:pt idx="40">
                  <c:v>1.1750176496559672E-3</c:v>
                </c:pt>
                <c:pt idx="41">
                  <c:v>1.1802601653436739E-3</c:v>
                </c:pt>
                <c:pt idx="42">
                  <c:v>1.1820544010340704E-3</c:v>
                </c:pt>
                <c:pt idx="43">
                  <c:v>1.1838720019550475E-3</c:v>
                </c:pt>
                <c:pt idx="44">
                  <c:v>1.1857129681066049E-3</c:v>
                </c:pt>
                <c:pt idx="45">
                  <c:v>1.1875772994887428E-3</c:v>
                </c:pt>
                <c:pt idx="46">
                  <c:v>1.1933104850186393E-3</c:v>
                </c:pt>
                <c:pt idx="47">
                  <c:v>1.1952682773230994E-3</c:v>
                </c:pt>
                <c:pt idx="48">
                  <c:v>1.1972494348581396E-3</c:v>
                </c:pt>
                <c:pt idx="49">
                  <c:v>1.1992539576237606E-3</c:v>
                </c:pt>
                <c:pt idx="50">
                  <c:v>1.2012818456199616E-3</c:v>
                </c:pt>
                <c:pt idx="51">
                  <c:v>1.2075057009920483E-3</c:v>
                </c:pt>
                <c:pt idx="52">
                  <c:v>1.2096270499105713E-3</c:v>
                </c:pt>
                <c:pt idx="53">
                  <c:v>1.2117717640596751E-3</c:v>
                </c:pt>
                <c:pt idx="54">
                  <c:v>1.213939843439359E-3</c:v>
                </c:pt>
                <c:pt idx="55">
                  <c:v>1.2161312880496235E-3</c:v>
                </c:pt>
                <c:pt idx="56">
                  <c:v>1.2228458132639E-3</c:v>
                </c:pt>
                <c:pt idx="57">
                  <c:v>1.2251307187964864E-3</c:v>
                </c:pt>
                <c:pt idx="58">
                  <c:v>1.2274389895596534E-3</c:v>
                </c:pt>
                <c:pt idx="59">
                  <c:v>1.2297706255534008E-3</c:v>
                </c:pt>
                <c:pt idx="60">
                  <c:v>1.2321256267777286E-3</c:v>
                </c:pt>
                <c:pt idx="61">
                  <c:v>1.2393308218341947E-3</c:v>
                </c:pt>
                <c:pt idx="62">
                  <c:v>1.2417792839808444E-3</c:v>
                </c:pt>
                <c:pt idx="63">
                  <c:v>1.2442511113580749E-3</c:v>
                </c:pt>
                <c:pt idx="64">
                  <c:v>1.2467463039658854E-3</c:v>
                </c:pt>
                <c:pt idx="65">
                  <c:v>1.2492648618042765E-3</c:v>
                </c:pt>
                <c:pt idx="66">
                  <c:v>1.2569607267029327E-3</c:v>
                </c:pt>
                <c:pt idx="67">
                  <c:v>1.2595727454636459E-3</c:v>
                </c:pt>
                <c:pt idx="68">
                  <c:v>1.2622081294549393E-3</c:v>
                </c:pt>
                <c:pt idx="69">
                  <c:v>1.2648668786768131E-3</c:v>
                </c:pt>
                <c:pt idx="70">
                  <c:v>1.2675489931292677E-3</c:v>
                </c:pt>
                <c:pt idx="71">
                  <c:v>1.2757355278701138E-3</c:v>
                </c:pt>
                <c:pt idx="72">
                  <c:v>1.27851110324489E-3</c:v>
                </c:pt>
                <c:pt idx="73">
                  <c:v>1.2813100438502469E-3</c:v>
                </c:pt>
                <c:pt idx="74">
                  <c:v>1.284132349686184E-3</c:v>
                </c:pt>
                <c:pt idx="75">
                  <c:v>1.2869780207527019E-3</c:v>
                </c:pt>
                <c:pt idx="76">
                  <c:v>1.2956552253357376E-3</c:v>
                </c:pt>
                <c:pt idx="77">
                  <c:v>1.2985943573245774E-3</c:v>
                </c:pt>
                <c:pt idx="78">
                  <c:v>1.3015568545439976E-3</c:v>
                </c:pt>
                <c:pt idx="79">
                  <c:v>1.3045427169939979E-3</c:v>
                </c:pt>
                <c:pt idx="80">
                  <c:v>1.3075519446745791E-3</c:v>
                </c:pt>
                <c:pt idx="81">
                  <c:v>1.316719819099805E-3</c:v>
                </c:pt>
                <c:pt idx="82">
                  <c:v>1.3198225077027078E-3</c:v>
                </c:pt>
                <c:pt idx="83">
                  <c:v>1.3229485615361915E-3</c:v>
                </c:pt>
                <c:pt idx="84">
                  <c:v>1.3260979806002551E-3</c:v>
                </c:pt>
                <c:pt idx="85">
                  <c:v>1.3292707648948994E-3</c:v>
                </c:pt>
                <c:pt idx="86">
                  <c:v>1.3389293091623151E-3</c:v>
                </c:pt>
                <c:pt idx="87">
                  <c:v>1.3421955543792814E-3</c:v>
                </c:pt>
                <c:pt idx="88">
                  <c:v>1.345485164826828E-3</c:v>
                </c:pt>
                <c:pt idx="89">
                  <c:v>1.3487981405049551E-3</c:v>
                </c:pt>
                <c:pt idx="90">
                  <c:v>1.3521344814136629E-3</c:v>
                </c:pt>
                <c:pt idx="91">
                  <c:v>1.3622836955232685E-3</c:v>
                </c:pt>
                <c:pt idx="92">
                  <c:v>1.3657134973542979E-3</c:v>
                </c:pt>
                <c:pt idx="93">
                  <c:v>1.3691666644159081E-3</c:v>
                </c:pt>
                <c:pt idx="94">
                  <c:v>1.3726431967080984E-3</c:v>
                </c:pt>
                <c:pt idx="95">
                  <c:v>1.3761430942308694E-3</c:v>
                </c:pt>
                <c:pt idx="96">
                  <c:v>1.3867829781826649E-3</c:v>
                </c:pt>
                <c:pt idx="97">
                  <c:v>1.3903763366277578E-3</c:v>
                </c:pt>
                <c:pt idx="98">
                  <c:v>1.3939930603034309E-3</c:v>
                </c:pt>
                <c:pt idx="99">
                  <c:v>1.3976331492096847E-3</c:v>
                </c:pt>
                <c:pt idx="100">
                  <c:v>1.401296603346519E-3</c:v>
                </c:pt>
                <c:pt idx="101">
                  <c:v>1.4124271571405043E-3</c:v>
                </c:pt>
                <c:pt idx="102">
                  <c:v>1.4161840721996605E-3</c:v>
                </c:pt>
                <c:pt idx="103">
                  <c:v>1.4199643524893972E-3</c:v>
                </c:pt>
                <c:pt idx="104">
                  <c:v>1.4237679980097142E-3</c:v>
                </c:pt>
                <c:pt idx="105">
                  <c:v>1.4275950087606114E-3</c:v>
                </c:pt>
                <c:pt idx="106">
                  <c:v>1.4392162323967868E-3</c:v>
                </c:pt>
                <c:pt idx="107">
                  <c:v>1.4431367040700063E-3</c:v>
                </c:pt>
                <c:pt idx="108">
                  <c:v>1.447080540973806E-3</c:v>
                </c:pt>
                <c:pt idx="109">
                  <c:v>1.4510477431081863E-3</c:v>
                </c:pt>
                <c:pt idx="110">
                  <c:v>1.4550383104731473E-3</c:v>
                </c:pt>
                <c:pt idx="111">
                  <c:v>1.4671502039515125E-3</c:v>
                </c:pt>
                <c:pt idx="112">
                  <c:v>1.4712342322387951E-3</c:v>
                </c:pt>
                <c:pt idx="113">
                  <c:v>1.4753416257566581E-3</c:v>
                </c:pt>
                <c:pt idx="114">
                  <c:v>1.4794723845051019E-3</c:v>
                </c:pt>
                <c:pt idx="115">
                  <c:v>1.4836265084841259E-3</c:v>
                </c:pt>
                <c:pt idx="116">
                  <c:v>1.4962290718046811E-3</c:v>
                </c:pt>
                <c:pt idx="117">
                  <c:v>1.5004766567060272E-3</c:v>
                </c:pt>
                <c:pt idx="118">
                  <c:v>1.5047476068379537E-3</c:v>
                </c:pt>
                <c:pt idx="119">
                  <c:v>1.5090419222004606E-3</c:v>
                </c:pt>
                <c:pt idx="120">
                  <c:v>1.5133596027935481E-3</c:v>
                </c:pt>
                <c:pt idx="121">
                  <c:v>1.5264528359562931E-3</c:v>
                </c:pt>
                <c:pt idx="122">
                  <c:v>1.5308639774717022E-3</c:v>
                </c:pt>
                <c:pt idx="123">
                  <c:v>1.535298484217692E-3</c:v>
                </c:pt>
                <c:pt idx="124">
                  <c:v>1.5397563561942622E-3</c:v>
                </c:pt>
                <c:pt idx="125">
                  <c:v>1.5442375934014128E-3</c:v>
                </c:pt>
                <c:pt idx="126">
                  <c:v>1.5578214964063479E-3</c:v>
                </c:pt>
                <c:pt idx="127">
                  <c:v>1.5623961945358204E-3</c:v>
                </c:pt>
                <c:pt idx="128">
                  <c:v>1.5669942578958734E-3</c:v>
                </c:pt>
                <c:pt idx="129">
                  <c:v>1.5716156864865069E-3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 (2)'!$AV$4:$AV$133</c:f>
              <c:numCache>
                <c:formatCode>ddd\,\ dd\-mmm\-yyyy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'3MSynthDepo (2)'!$BA$4:$BA$133</c:f>
              <c:numCache>
                <c:formatCode>0.0000%</c:formatCode>
                <c:ptCount val="130"/>
                <c:pt idx="0">
                  <c:v>3.9477929470492501E-4</c:v>
                </c:pt>
                <c:pt idx="1">
                  <c:v>4.3585082283663509E-4</c:v>
                </c:pt>
                <c:pt idx="2">
                  <c:v>4.4935248121617919E-4</c:v>
                </c:pt>
                <c:pt idx="3">
                  <c:v>4.6275971409687709E-4</c:v>
                </c:pt>
                <c:pt idx="4">
                  <c:v>4.7607252147872871E-4</c:v>
                </c:pt>
                <c:pt idx="5">
                  <c:v>4.8929090336173402E-4</c:v>
                </c:pt>
                <c:pt idx="6">
                  <c:v>5.2837949601767262E-4</c:v>
                </c:pt>
                <c:pt idx="7">
                  <c:v>5.4122017590529296E-4</c:v>
                </c:pt>
                <c:pt idx="8">
                  <c:v>5.5396643029406701E-4</c:v>
                </c:pt>
                <c:pt idx="9">
                  <c:v>5.6661825918399476E-4</c:v>
                </c:pt>
                <c:pt idx="10">
                  <c:v>5.7917566257507632E-4</c:v>
                </c:pt>
                <c:pt idx="11">
                  <c:v>6.1628131975524322E-4</c:v>
                </c:pt>
                <c:pt idx="12">
                  <c:v>6.284610211509397E-4</c:v>
                </c:pt>
                <c:pt idx="13">
                  <c:v>6.4054629704778999E-4</c:v>
                </c:pt>
                <c:pt idx="14">
                  <c:v>6.5253714744579387E-4</c:v>
                </c:pt>
                <c:pt idx="15">
                  <c:v>6.6443357234495157E-4</c:v>
                </c:pt>
                <c:pt idx="16">
                  <c:v>6.995562940493471E-4</c:v>
                </c:pt>
                <c:pt idx="17">
                  <c:v>7.1107501695311971E-4</c:v>
                </c:pt>
                <c:pt idx="18">
                  <c:v>7.2249931435804614E-4</c:v>
                </c:pt>
                <c:pt idx="19">
                  <c:v>7.3382918626412627E-4</c:v>
                </c:pt>
                <c:pt idx="20">
                  <c:v>7.4506463267136011E-4</c:v>
                </c:pt>
                <c:pt idx="21">
                  <c:v>7.7820441889998404E-4</c:v>
                </c:pt>
                <c:pt idx="22">
                  <c:v>7.890621633118329E-4</c:v>
                </c:pt>
                <c:pt idx="23">
                  <c:v>7.9982548222483536E-4</c:v>
                </c:pt>
                <c:pt idx="24">
                  <c:v>8.1049437563899163E-4</c:v>
                </c:pt>
                <c:pt idx="25">
                  <c:v>8.210688435543016E-4</c:v>
                </c:pt>
                <c:pt idx="26">
                  <c:v>8.5222569430715416E-4</c:v>
                </c:pt>
                <c:pt idx="27">
                  <c:v>8.6242246022707905E-4</c:v>
                </c:pt>
                <c:pt idx="28">
                  <c:v>8.7252480064815765E-4</c:v>
                </c:pt>
                <c:pt idx="29">
                  <c:v>8.8253271557039016E-4</c:v>
                </c:pt>
                <c:pt idx="30">
                  <c:v>8.9244620499377627E-4</c:v>
                </c:pt>
                <c:pt idx="31">
                  <c:v>9.2162012027085724E-4</c:v>
                </c:pt>
                <c:pt idx="32">
                  <c:v>9.3115590769885838E-4</c:v>
                </c:pt>
                <c:pt idx="33">
                  <c:v>9.4059726962801321E-4</c:v>
                </c:pt>
                <c:pt idx="34">
                  <c:v>9.4994420605832186E-4</c:v>
                </c:pt>
                <c:pt idx="35">
                  <c:v>9.5919671698978422E-4</c:v>
                </c:pt>
                <c:pt idx="36">
                  <c:v>9.863876967910936E-4</c:v>
                </c:pt>
                <c:pt idx="37">
                  <c:v>9.9526250572717087E-4</c:v>
                </c:pt>
                <c:pt idx="38">
                  <c:v>1.004042889164402E-3</c:v>
                </c:pt>
                <c:pt idx="39">
                  <c:v>1.0127288471027866E-3</c:v>
                </c:pt>
                <c:pt idx="40">
                  <c:v>1.0213203795423251E-3</c:v>
                </c:pt>
                <c:pt idx="41">
                  <c:v>1.046528423867863E-3</c:v>
                </c:pt>
                <c:pt idx="42">
                  <c:v>1.0547422543120163E-3</c:v>
                </c:pt>
                <c:pt idx="43">
                  <c:v>1.0628616592573237E-3</c:v>
                </c:pt>
                <c:pt idx="44">
                  <c:v>1.0708866387037844E-3</c:v>
                </c:pt>
                <c:pt idx="45">
                  <c:v>1.0788171926513991E-3</c:v>
                </c:pt>
                <c:pt idx="46">
                  <c:v>1.1020423015011655E-3</c:v>
                </c:pt>
                <c:pt idx="47">
                  <c:v>1.1095951534533951E-3</c:v>
                </c:pt>
                <c:pt idx="48">
                  <c:v>1.1170535799067784E-3</c:v>
                </c:pt>
                <c:pt idx="49">
                  <c:v>1.1244175808613154E-3</c:v>
                </c:pt>
                <c:pt idx="50">
                  <c:v>1.1316871563170064E-3</c:v>
                </c:pt>
                <c:pt idx="51">
                  <c:v>1.1529293296910011E-3</c:v>
                </c:pt>
                <c:pt idx="52">
                  <c:v>1.1598212031513071E-3</c:v>
                </c:pt>
                <c:pt idx="53">
                  <c:v>1.1666186511127665E-3</c:v>
                </c:pt>
                <c:pt idx="54">
                  <c:v>1.1733216735753797E-3</c:v>
                </c:pt>
                <c:pt idx="55">
                  <c:v>1.1799302705391465E-3</c:v>
                </c:pt>
                <c:pt idx="56">
                  <c:v>1.1991895084373697E-3</c:v>
                </c:pt>
                <c:pt idx="57">
                  <c:v>1.205420403405752E-3</c:v>
                </c:pt>
                <c:pt idx="58">
                  <c:v>1.2115568728752874E-3</c:v>
                </c:pt>
                <c:pt idx="59">
                  <c:v>1.217598916845977E-3</c:v>
                </c:pt>
                <c:pt idx="60">
                  <c:v>1.2235465353178199E-3</c:v>
                </c:pt>
                <c:pt idx="61">
                  <c:v>1.2408228377402718E-3</c:v>
                </c:pt>
                <c:pt idx="62">
                  <c:v>1.2463927542167299E-3</c:v>
                </c:pt>
                <c:pt idx="63">
                  <c:v>1.2518682451943416E-3</c:v>
                </c:pt>
                <c:pt idx="64">
                  <c:v>1.2572493106731072E-3</c:v>
                </c:pt>
                <c:pt idx="65">
                  <c:v>1.2625359506530265E-3</c:v>
                </c:pt>
                <c:pt idx="66">
                  <c:v>1.2778293175997068E-3</c:v>
                </c:pt>
                <c:pt idx="67">
                  <c:v>1.2827382555842411E-3</c:v>
                </c:pt>
                <c:pt idx="68">
                  <c:v>1.287552768069929E-3</c:v>
                </c:pt>
                <c:pt idx="69">
                  <c:v>1.2922728550567707E-3</c:v>
                </c:pt>
                <c:pt idx="70">
                  <c:v>1.296898516544766E-3</c:v>
                </c:pt>
                <c:pt idx="71">
                  <c:v>1.3102089480156751E-3</c:v>
                </c:pt>
                <c:pt idx="72">
                  <c:v>1.3144569075082854E-3</c:v>
                </c:pt>
                <c:pt idx="73">
                  <c:v>1.3186104415020493E-3</c:v>
                </c:pt>
                <c:pt idx="74">
                  <c:v>1.3226695499969675E-3</c:v>
                </c:pt>
                <c:pt idx="75">
                  <c:v>1.3266342329930391E-3</c:v>
                </c:pt>
                <c:pt idx="76">
                  <c:v>1.3379617289881762E-3</c:v>
                </c:pt>
                <c:pt idx="77">
                  <c:v>1.341548709988863E-3</c:v>
                </c:pt>
                <c:pt idx="78">
                  <c:v>1.3450412654907032E-3</c:v>
                </c:pt>
                <c:pt idx="79">
                  <c:v>1.3484393954936971E-3</c:v>
                </c:pt>
                <c:pt idx="80">
                  <c:v>1.3517430999978449E-3</c:v>
                </c:pt>
                <c:pt idx="81">
                  <c:v>1.3610876605172106E-3</c:v>
                </c:pt>
                <c:pt idx="82">
                  <c:v>1.3640136630259734E-3</c:v>
                </c:pt>
                <c:pt idx="83">
                  <c:v>1.3668452400358894E-3</c:v>
                </c:pt>
                <c:pt idx="84">
                  <c:v>1.3695823915469603E-3</c:v>
                </c:pt>
                <c:pt idx="85">
                  <c:v>1.3722251175591837E-3</c:v>
                </c:pt>
                <c:pt idx="86">
                  <c:v>1.3795867426027782E-3</c:v>
                </c:pt>
                <c:pt idx="87">
                  <c:v>1.3818517666196169E-3</c:v>
                </c:pt>
                <c:pt idx="88">
                  <c:v>1.3840223651376095E-3</c:v>
                </c:pt>
                <c:pt idx="89">
                  <c:v>1.3860985381567558E-3</c:v>
                </c:pt>
                <c:pt idx="90">
                  <c:v>1.3880802856770561E-3</c:v>
                </c:pt>
                <c:pt idx="91">
                  <c:v>1.3934589752448785E-3</c:v>
                </c:pt>
                <c:pt idx="92">
                  <c:v>1.3950630207697936E-3</c:v>
                </c:pt>
                <c:pt idx="93">
                  <c:v>1.3965726407958626E-3</c:v>
                </c:pt>
                <c:pt idx="94">
                  <c:v>1.3979878353230853E-3</c:v>
                </c:pt>
                <c:pt idx="95">
                  <c:v>1.3993086043514612E-3</c:v>
                </c:pt>
                <c:pt idx="96">
                  <c:v>1.4027043584435126E-3</c:v>
                </c:pt>
                <c:pt idx="97">
                  <c:v>1.4036474254765037E-3</c:v>
                </c:pt>
                <c:pt idx="98">
                  <c:v>1.4044960670106486E-3</c:v>
                </c:pt>
                <c:pt idx="99">
                  <c:v>1.4052502830459472E-3</c:v>
                </c:pt>
                <c:pt idx="100">
                  <c:v>1.4059100735823997E-3</c:v>
                </c:pt>
                <c:pt idx="101">
                  <c:v>1.4073228921986794E-3</c:v>
                </c:pt>
                <c:pt idx="102">
                  <c:v>1.4076049807397466E-3</c:v>
                </c:pt>
                <c:pt idx="103">
                  <c:v>1.4077926437819678E-3</c:v>
                </c:pt>
                <c:pt idx="104">
                  <c:v>1.4078858813253428E-3</c:v>
                </c:pt>
                <c:pt idx="105">
                  <c:v>1.4078846933698714E-3</c:v>
                </c:pt>
                <c:pt idx="106">
                  <c:v>1.4073145765103794E-3</c:v>
                </c:pt>
                <c:pt idx="107">
                  <c:v>1.406935686559523E-3</c:v>
                </c:pt>
                <c:pt idx="108">
                  <c:v>1.4064623711098204E-3</c:v>
                </c:pt>
                <c:pt idx="109">
                  <c:v>1.405894630161271E-3</c:v>
                </c:pt>
                <c:pt idx="110">
                  <c:v>1.4052324637138756E-3</c:v>
                </c:pt>
                <c:pt idx="111">
                  <c:v>1.4026794113786126E-3</c:v>
                </c:pt>
                <c:pt idx="112">
                  <c:v>1.4016395429358318E-3</c:v>
                </c:pt>
                <c:pt idx="113">
                  <c:v>1.4005052489942055E-3</c:v>
                </c:pt>
                <c:pt idx="114">
                  <c:v>1.3992765295537325E-3</c:v>
                </c:pt>
                <c:pt idx="115">
                  <c:v>1.3979533846144138E-3</c:v>
                </c:pt>
                <c:pt idx="116">
                  <c:v>1.3934173968033784E-3</c:v>
                </c:pt>
                <c:pt idx="117">
                  <c:v>1.3917165498686746E-3</c:v>
                </c:pt>
                <c:pt idx="118">
                  <c:v>1.3899212774351243E-3</c:v>
                </c:pt>
                <c:pt idx="119">
                  <c:v>1.3880315795027271E-3</c:v>
                </c:pt>
                <c:pt idx="120">
                  <c:v>1.3860474560714842E-3</c:v>
                </c:pt>
                <c:pt idx="121">
                  <c:v>1.379528532784678E-3</c:v>
                </c:pt>
                <c:pt idx="122">
                  <c:v>1.3771667073580499E-3</c:v>
                </c:pt>
                <c:pt idx="123">
                  <c:v>1.3747104564325757E-3</c:v>
                </c:pt>
                <c:pt idx="124">
                  <c:v>1.3721597800082552E-3</c:v>
                </c:pt>
                <c:pt idx="125">
                  <c:v>1.3695146780850886E-3</c:v>
                </c:pt>
                <c:pt idx="126">
                  <c:v>1.3610128193225104E-3</c:v>
                </c:pt>
                <c:pt idx="127">
                  <c:v>1.3579900154039586E-3</c:v>
                </c:pt>
                <c:pt idx="128">
                  <c:v>1.3548727859865606E-3</c:v>
                </c:pt>
                <c:pt idx="129">
                  <c:v>1.3516611310703164E-3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413376"/>
        <c:axId val="823431552"/>
      </c:lineChart>
      <c:dateAx>
        <c:axId val="82341337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823431552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823431552"/>
        <c:scaling>
          <c:orientation val="minMax"/>
          <c:max val="2.0000000000000005E-3"/>
          <c:min val="1.0000000000000002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234133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 (2)'!$AV$4:$AV$133</c:f>
              <c:numCache>
                <c:formatCode>ddd\,\ dd\-mmm\-yyyy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'3MSynthDepo (2)'!$BB$4:$BB$133</c:f>
              <c:numCache>
                <c:formatCode>0.0000%</c:formatCode>
                <c:ptCount val="130"/>
                <c:pt idx="0">
                  <c:v>1.2436902222940699E-3</c:v>
                </c:pt>
                <c:pt idx="1">
                  <c:v>1.2456020778560137E-3</c:v>
                </c:pt>
                <c:pt idx="2">
                  <c:v>1.2462393630433284E-3</c:v>
                </c:pt>
                <c:pt idx="3">
                  <c:v>1.2468766482306431E-3</c:v>
                </c:pt>
                <c:pt idx="4">
                  <c:v>1.2475139334179577E-3</c:v>
                </c:pt>
                <c:pt idx="5">
                  <c:v>1.2481512186052724E-3</c:v>
                </c:pt>
                <c:pt idx="6">
                  <c:v>1.2500630741672162E-3</c:v>
                </c:pt>
                <c:pt idx="7">
                  <c:v>1.2507003593545309E-3</c:v>
                </c:pt>
                <c:pt idx="8">
                  <c:v>1.2513376445418456E-3</c:v>
                </c:pt>
                <c:pt idx="9">
                  <c:v>1.2519749297291603E-3</c:v>
                </c:pt>
                <c:pt idx="10">
                  <c:v>1.2526122149164748E-3</c:v>
                </c:pt>
                <c:pt idx="11">
                  <c:v>1.2545240704784188E-3</c:v>
                </c:pt>
                <c:pt idx="12">
                  <c:v>1.2551613556657335E-3</c:v>
                </c:pt>
                <c:pt idx="13">
                  <c:v>1.255798640853048E-3</c:v>
                </c:pt>
                <c:pt idx="14">
                  <c:v>1.2564359260403626E-3</c:v>
                </c:pt>
                <c:pt idx="15">
                  <c:v>1.2570732112276773E-3</c:v>
                </c:pt>
                <c:pt idx="16">
                  <c:v>1.2589850667896214E-3</c:v>
                </c:pt>
                <c:pt idx="17">
                  <c:v>1.2596223519769358E-3</c:v>
                </c:pt>
                <c:pt idx="18">
                  <c:v>1.2602596371642505E-3</c:v>
                </c:pt>
                <c:pt idx="19">
                  <c:v>1.2608969223515652E-3</c:v>
                </c:pt>
                <c:pt idx="20">
                  <c:v>1.2615342075388799E-3</c:v>
                </c:pt>
                <c:pt idx="21">
                  <c:v>1.2634460631008237E-3</c:v>
                </c:pt>
                <c:pt idx="22">
                  <c:v>1.2640833482881384E-3</c:v>
                </c:pt>
                <c:pt idx="23">
                  <c:v>1.2647206334754531E-3</c:v>
                </c:pt>
                <c:pt idx="24">
                  <c:v>1.2653579186627678E-3</c:v>
                </c:pt>
                <c:pt idx="25">
                  <c:v>1.2659952038500824E-3</c:v>
                </c:pt>
                <c:pt idx="26">
                  <c:v>1.2679070594120263E-3</c:v>
                </c:pt>
                <c:pt idx="27">
                  <c:v>1.268544344599341E-3</c:v>
                </c:pt>
                <c:pt idx="28">
                  <c:v>1.2691816297866556E-3</c:v>
                </c:pt>
                <c:pt idx="29">
                  <c:v>1.2698189149739701E-3</c:v>
                </c:pt>
                <c:pt idx="30">
                  <c:v>1.2704562001612848E-3</c:v>
                </c:pt>
                <c:pt idx="31">
                  <c:v>1.2723680557232288E-3</c:v>
                </c:pt>
                <c:pt idx="32">
                  <c:v>1.2730053409105433E-3</c:v>
                </c:pt>
                <c:pt idx="33">
                  <c:v>1.273642626097858E-3</c:v>
                </c:pt>
                <c:pt idx="34">
                  <c:v>1.2742799112851727E-3</c:v>
                </c:pt>
                <c:pt idx="35">
                  <c:v>1.2749171964724873E-3</c:v>
                </c:pt>
                <c:pt idx="36">
                  <c:v>1.2768290520344312E-3</c:v>
                </c:pt>
                <c:pt idx="37">
                  <c:v>1.2774663372217459E-3</c:v>
                </c:pt>
                <c:pt idx="38">
                  <c:v>1.2781036224090605E-3</c:v>
                </c:pt>
                <c:pt idx="39">
                  <c:v>1.2787409075963752E-3</c:v>
                </c:pt>
                <c:pt idx="40">
                  <c:v>1.2793781927836899E-3</c:v>
                </c:pt>
                <c:pt idx="41">
                  <c:v>1.2812900483456337E-3</c:v>
                </c:pt>
                <c:pt idx="42">
                  <c:v>1.2819273335329484E-3</c:v>
                </c:pt>
                <c:pt idx="43">
                  <c:v>1.2825646187202631E-3</c:v>
                </c:pt>
                <c:pt idx="44">
                  <c:v>1.2832019039075776E-3</c:v>
                </c:pt>
                <c:pt idx="45">
                  <c:v>1.2838391890948922E-3</c:v>
                </c:pt>
                <c:pt idx="46">
                  <c:v>1.2857510446568363E-3</c:v>
                </c:pt>
                <c:pt idx="47">
                  <c:v>1.286388329844151E-3</c:v>
                </c:pt>
                <c:pt idx="48">
                  <c:v>1.2870256150314654E-3</c:v>
                </c:pt>
                <c:pt idx="49">
                  <c:v>1.2876629002187801E-3</c:v>
                </c:pt>
                <c:pt idx="50">
                  <c:v>1.2883001854060948E-3</c:v>
                </c:pt>
                <c:pt idx="51">
                  <c:v>1.2902120409680386E-3</c:v>
                </c:pt>
                <c:pt idx="52">
                  <c:v>1.2908493261553533E-3</c:v>
                </c:pt>
                <c:pt idx="53">
                  <c:v>1.291486611342668E-3</c:v>
                </c:pt>
                <c:pt idx="54">
                  <c:v>1.2921238965299827E-3</c:v>
                </c:pt>
                <c:pt idx="55">
                  <c:v>1.2927611817172974E-3</c:v>
                </c:pt>
                <c:pt idx="56">
                  <c:v>1.2946730372792412E-3</c:v>
                </c:pt>
                <c:pt idx="57">
                  <c:v>1.2953103224665559E-3</c:v>
                </c:pt>
                <c:pt idx="58">
                  <c:v>1.2959476076538706E-3</c:v>
                </c:pt>
                <c:pt idx="59">
                  <c:v>1.2965848928411852E-3</c:v>
                </c:pt>
                <c:pt idx="60">
                  <c:v>1.2972221780284997E-3</c:v>
                </c:pt>
                <c:pt idx="61">
                  <c:v>1.2991340335904438E-3</c:v>
                </c:pt>
                <c:pt idx="62">
                  <c:v>1.2997713187777584E-3</c:v>
                </c:pt>
                <c:pt idx="63">
                  <c:v>1.3004086039650731E-3</c:v>
                </c:pt>
                <c:pt idx="64">
                  <c:v>1.3010458891523876E-3</c:v>
                </c:pt>
                <c:pt idx="65">
                  <c:v>1.3016831743397023E-3</c:v>
                </c:pt>
                <c:pt idx="66">
                  <c:v>1.3035950299016463E-3</c:v>
                </c:pt>
                <c:pt idx="67">
                  <c:v>1.3042323150889608E-3</c:v>
                </c:pt>
                <c:pt idx="68">
                  <c:v>1.3048696002762755E-3</c:v>
                </c:pt>
                <c:pt idx="69">
                  <c:v>1.3055068854635902E-3</c:v>
                </c:pt>
                <c:pt idx="70">
                  <c:v>1.3061441706509048E-3</c:v>
                </c:pt>
                <c:pt idx="71">
                  <c:v>1.3080560262128487E-3</c:v>
                </c:pt>
                <c:pt idx="72">
                  <c:v>1.3086933114001633E-3</c:v>
                </c:pt>
                <c:pt idx="73">
                  <c:v>1.309330596587478E-3</c:v>
                </c:pt>
                <c:pt idx="74">
                  <c:v>1.3099678817747927E-3</c:v>
                </c:pt>
                <c:pt idx="75">
                  <c:v>1.3106051669621074E-3</c:v>
                </c:pt>
                <c:pt idx="76">
                  <c:v>1.3125170225240512E-3</c:v>
                </c:pt>
                <c:pt idx="77">
                  <c:v>1.3131543077113659E-3</c:v>
                </c:pt>
                <c:pt idx="78">
                  <c:v>1.3137915928986806E-3</c:v>
                </c:pt>
                <c:pt idx="79">
                  <c:v>1.3144288780859951E-3</c:v>
                </c:pt>
                <c:pt idx="80">
                  <c:v>1.3150661632733097E-3</c:v>
                </c:pt>
                <c:pt idx="81">
                  <c:v>1.3169780188352538E-3</c:v>
                </c:pt>
                <c:pt idx="82">
                  <c:v>1.3176153040225683E-3</c:v>
                </c:pt>
                <c:pt idx="83">
                  <c:v>1.3182525892098829E-3</c:v>
                </c:pt>
                <c:pt idx="84">
                  <c:v>1.3188898743971976E-3</c:v>
                </c:pt>
                <c:pt idx="85">
                  <c:v>1.3195271595845123E-3</c:v>
                </c:pt>
                <c:pt idx="86">
                  <c:v>1.3214390151464561E-3</c:v>
                </c:pt>
                <c:pt idx="87">
                  <c:v>1.3220763003337708E-3</c:v>
                </c:pt>
                <c:pt idx="88">
                  <c:v>1.3227135855210855E-3</c:v>
                </c:pt>
                <c:pt idx="89">
                  <c:v>1.3233508707084002E-3</c:v>
                </c:pt>
                <c:pt idx="90">
                  <c:v>1.3239881558957149E-3</c:v>
                </c:pt>
                <c:pt idx="91">
                  <c:v>1.3259000114576587E-3</c:v>
                </c:pt>
                <c:pt idx="92">
                  <c:v>1.3265372966449734E-3</c:v>
                </c:pt>
                <c:pt idx="93">
                  <c:v>1.3271745818322881E-3</c:v>
                </c:pt>
                <c:pt idx="94">
                  <c:v>1.3278118670196027E-3</c:v>
                </c:pt>
                <c:pt idx="95">
                  <c:v>1.3284491522069172E-3</c:v>
                </c:pt>
                <c:pt idx="96">
                  <c:v>1.3303610077688612E-3</c:v>
                </c:pt>
                <c:pt idx="97">
                  <c:v>1.3309982929561759E-3</c:v>
                </c:pt>
                <c:pt idx="98">
                  <c:v>1.3316355781434904E-3</c:v>
                </c:pt>
                <c:pt idx="99">
                  <c:v>1.3322728633308051E-3</c:v>
                </c:pt>
                <c:pt idx="100">
                  <c:v>1.3329101485181198E-3</c:v>
                </c:pt>
                <c:pt idx="101">
                  <c:v>1.3348220040800636E-3</c:v>
                </c:pt>
                <c:pt idx="102">
                  <c:v>1.3354592892673783E-3</c:v>
                </c:pt>
                <c:pt idx="103">
                  <c:v>1.336096574454693E-3</c:v>
                </c:pt>
                <c:pt idx="104">
                  <c:v>1.3367338596420076E-3</c:v>
                </c:pt>
                <c:pt idx="105">
                  <c:v>1.3373711448293223E-3</c:v>
                </c:pt>
                <c:pt idx="106">
                  <c:v>1.3392830003912662E-3</c:v>
                </c:pt>
                <c:pt idx="107">
                  <c:v>1.3399202855785808E-3</c:v>
                </c:pt>
                <c:pt idx="108">
                  <c:v>1.3405575707658955E-3</c:v>
                </c:pt>
                <c:pt idx="109">
                  <c:v>1.3411948559532102E-3</c:v>
                </c:pt>
                <c:pt idx="110">
                  <c:v>1.3418321411405247E-3</c:v>
                </c:pt>
                <c:pt idx="111">
                  <c:v>1.3437439967024687E-3</c:v>
                </c:pt>
                <c:pt idx="112">
                  <c:v>1.3443812818897834E-3</c:v>
                </c:pt>
                <c:pt idx="113">
                  <c:v>1.3450185670770979E-3</c:v>
                </c:pt>
                <c:pt idx="114">
                  <c:v>1.3456558522644125E-3</c:v>
                </c:pt>
                <c:pt idx="115">
                  <c:v>1.3462931374517272E-3</c:v>
                </c:pt>
                <c:pt idx="116">
                  <c:v>1.3482049930136713E-3</c:v>
                </c:pt>
                <c:pt idx="117">
                  <c:v>1.3488422782009857E-3</c:v>
                </c:pt>
                <c:pt idx="118">
                  <c:v>1.3494795633883004E-3</c:v>
                </c:pt>
                <c:pt idx="119">
                  <c:v>1.3501168485756151E-3</c:v>
                </c:pt>
                <c:pt idx="120">
                  <c:v>1.3507541337629298E-3</c:v>
                </c:pt>
                <c:pt idx="121">
                  <c:v>1.3526659893248736E-3</c:v>
                </c:pt>
                <c:pt idx="122">
                  <c:v>1.3533032745121883E-3</c:v>
                </c:pt>
                <c:pt idx="123">
                  <c:v>1.353940559699503E-3</c:v>
                </c:pt>
                <c:pt idx="124">
                  <c:v>1.3545778448868177E-3</c:v>
                </c:pt>
                <c:pt idx="125">
                  <c:v>1.3552151300741323E-3</c:v>
                </c:pt>
                <c:pt idx="126">
                  <c:v>1.3571269856360762E-3</c:v>
                </c:pt>
                <c:pt idx="127">
                  <c:v>1.3577642708233909E-3</c:v>
                </c:pt>
                <c:pt idx="128">
                  <c:v>1.3584015560107055E-3</c:v>
                </c:pt>
                <c:pt idx="129">
                  <c:v>1.35903884119802E-3</c:v>
                </c:pt>
              </c:numCache>
            </c:numRef>
          </c:val>
          <c:smooth val="0"/>
        </c:ser>
        <c:ser>
          <c:idx val="1"/>
          <c:order val="1"/>
          <c:tx>
            <c:v>Linear without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 (2)'!$AV$4:$AV$133</c:f>
              <c:numCache>
                <c:formatCode>ddd\,\ dd\-mmm\-yyyy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'3MSynthDepo (2)'!$BC$4:$BC$133</c:f>
              <c:numCache>
                <c:formatCode>0.0000%</c:formatCode>
                <c:ptCount val="130"/>
                <c:pt idx="0">
                  <c:v>1.2654357550731655E-3</c:v>
                </c:pt>
                <c:pt idx="1">
                  <c:v>1.2678459430137598E-3</c:v>
                </c:pt>
                <c:pt idx="2">
                  <c:v>1.2686493389939579E-3</c:v>
                </c:pt>
                <c:pt idx="3">
                  <c:v>1.2694527349741559E-3</c:v>
                </c:pt>
                <c:pt idx="4">
                  <c:v>1.2702561309543541E-3</c:v>
                </c:pt>
                <c:pt idx="5">
                  <c:v>1.2710595269345521E-3</c:v>
                </c:pt>
                <c:pt idx="6">
                  <c:v>1.2734697148751464E-3</c:v>
                </c:pt>
                <c:pt idx="7">
                  <c:v>1.2742731108553445E-3</c:v>
                </c:pt>
                <c:pt idx="8">
                  <c:v>1.2750765068355425E-3</c:v>
                </c:pt>
                <c:pt idx="9">
                  <c:v>1.2758799028157407E-3</c:v>
                </c:pt>
                <c:pt idx="10">
                  <c:v>1.2766832987959388E-3</c:v>
                </c:pt>
                <c:pt idx="11">
                  <c:v>1.279093486736533E-3</c:v>
                </c:pt>
                <c:pt idx="12">
                  <c:v>1.2798968827167311E-3</c:v>
                </c:pt>
                <c:pt idx="13">
                  <c:v>1.2807002786969291E-3</c:v>
                </c:pt>
                <c:pt idx="14">
                  <c:v>1.2815036746771273E-3</c:v>
                </c:pt>
                <c:pt idx="15">
                  <c:v>1.2823070706573254E-3</c:v>
                </c:pt>
                <c:pt idx="16">
                  <c:v>1.2847172585979197E-3</c:v>
                </c:pt>
                <c:pt idx="17">
                  <c:v>1.2855206545781177E-3</c:v>
                </c:pt>
                <c:pt idx="18">
                  <c:v>1.2863240505583157E-3</c:v>
                </c:pt>
                <c:pt idx="19">
                  <c:v>1.287127446538514E-3</c:v>
                </c:pt>
                <c:pt idx="20">
                  <c:v>1.287930842518712E-3</c:v>
                </c:pt>
                <c:pt idx="21">
                  <c:v>1.2903410304593063E-3</c:v>
                </c:pt>
                <c:pt idx="22">
                  <c:v>1.2911444264395043E-3</c:v>
                </c:pt>
                <c:pt idx="23">
                  <c:v>1.2919478224197023E-3</c:v>
                </c:pt>
                <c:pt idx="24">
                  <c:v>1.2927512183999003E-3</c:v>
                </c:pt>
                <c:pt idx="25">
                  <c:v>1.2935546143800986E-3</c:v>
                </c:pt>
                <c:pt idx="26">
                  <c:v>1.2959648023206929E-3</c:v>
                </c:pt>
                <c:pt idx="27">
                  <c:v>1.2967681983008909E-3</c:v>
                </c:pt>
                <c:pt idx="28">
                  <c:v>1.2975715942810889E-3</c:v>
                </c:pt>
                <c:pt idx="29">
                  <c:v>1.298374990261287E-3</c:v>
                </c:pt>
                <c:pt idx="30">
                  <c:v>1.2991783862414852E-3</c:v>
                </c:pt>
                <c:pt idx="31">
                  <c:v>1.3015885741820793E-3</c:v>
                </c:pt>
                <c:pt idx="32">
                  <c:v>1.3023919701622775E-3</c:v>
                </c:pt>
                <c:pt idx="33">
                  <c:v>1.3031953661424755E-3</c:v>
                </c:pt>
                <c:pt idx="34">
                  <c:v>1.3039987621226736E-3</c:v>
                </c:pt>
                <c:pt idx="35">
                  <c:v>1.3048021581028718E-3</c:v>
                </c:pt>
                <c:pt idx="36">
                  <c:v>1.3072123460434659E-3</c:v>
                </c:pt>
                <c:pt idx="37">
                  <c:v>1.3080157420236641E-3</c:v>
                </c:pt>
                <c:pt idx="38">
                  <c:v>1.3088191380038622E-3</c:v>
                </c:pt>
                <c:pt idx="39">
                  <c:v>1.3096225339840602E-3</c:v>
                </c:pt>
                <c:pt idx="40">
                  <c:v>1.3104259299642584E-3</c:v>
                </c:pt>
                <c:pt idx="41">
                  <c:v>1.3128361179048525E-3</c:v>
                </c:pt>
                <c:pt idx="42">
                  <c:v>1.3136395138850507E-3</c:v>
                </c:pt>
                <c:pt idx="43">
                  <c:v>1.3144429098652488E-3</c:v>
                </c:pt>
                <c:pt idx="44">
                  <c:v>1.3152463058454468E-3</c:v>
                </c:pt>
                <c:pt idx="45">
                  <c:v>1.316049701825645E-3</c:v>
                </c:pt>
                <c:pt idx="46">
                  <c:v>1.3184598897662391E-3</c:v>
                </c:pt>
                <c:pt idx="47">
                  <c:v>1.3192632857464374E-3</c:v>
                </c:pt>
                <c:pt idx="48">
                  <c:v>1.3200666817266354E-3</c:v>
                </c:pt>
                <c:pt idx="49">
                  <c:v>1.3208700777068334E-3</c:v>
                </c:pt>
                <c:pt idx="50">
                  <c:v>1.3216734736870314E-3</c:v>
                </c:pt>
                <c:pt idx="51">
                  <c:v>1.3240836616276257E-3</c:v>
                </c:pt>
                <c:pt idx="52">
                  <c:v>1.324887057607824E-3</c:v>
                </c:pt>
                <c:pt idx="53">
                  <c:v>1.325690453588022E-3</c:v>
                </c:pt>
                <c:pt idx="54">
                  <c:v>1.32649384956822E-3</c:v>
                </c:pt>
                <c:pt idx="55">
                  <c:v>1.327297245548418E-3</c:v>
                </c:pt>
                <c:pt idx="56">
                  <c:v>1.3297074334890123E-3</c:v>
                </c:pt>
                <c:pt idx="57">
                  <c:v>1.3305108294692104E-3</c:v>
                </c:pt>
                <c:pt idx="58">
                  <c:v>1.3313142254494086E-3</c:v>
                </c:pt>
                <c:pt idx="59">
                  <c:v>1.3321176214296066E-3</c:v>
                </c:pt>
                <c:pt idx="60">
                  <c:v>1.3329210174098046E-3</c:v>
                </c:pt>
                <c:pt idx="61">
                  <c:v>1.3353312053503989E-3</c:v>
                </c:pt>
                <c:pt idx="62">
                  <c:v>1.336134601330597E-3</c:v>
                </c:pt>
                <c:pt idx="63">
                  <c:v>1.3369379973107952E-3</c:v>
                </c:pt>
                <c:pt idx="64">
                  <c:v>1.3377413932909932E-3</c:v>
                </c:pt>
                <c:pt idx="65">
                  <c:v>1.3385447892711913E-3</c:v>
                </c:pt>
                <c:pt idx="66">
                  <c:v>1.3409549772117856E-3</c:v>
                </c:pt>
                <c:pt idx="67">
                  <c:v>1.3417583731919836E-3</c:v>
                </c:pt>
                <c:pt idx="68">
                  <c:v>1.3425617691721818E-3</c:v>
                </c:pt>
                <c:pt idx="69">
                  <c:v>1.3433651651523798E-3</c:v>
                </c:pt>
                <c:pt idx="70">
                  <c:v>1.3441685611325779E-3</c:v>
                </c:pt>
                <c:pt idx="71">
                  <c:v>1.3465787490731722E-3</c:v>
                </c:pt>
                <c:pt idx="72">
                  <c:v>1.3473821450533702E-3</c:v>
                </c:pt>
                <c:pt idx="73">
                  <c:v>1.3481855410335684E-3</c:v>
                </c:pt>
                <c:pt idx="74">
                  <c:v>1.3489889370137665E-3</c:v>
                </c:pt>
                <c:pt idx="75">
                  <c:v>1.3497923329939645E-3</c:v>
                </c:pt>
                <c:pt idx="76">
                  <c:v>1.3522025209345588E-3</c:v>
                </c:pt>
                <c:pt idx="77">
                  <c:v>1.3530059169147568E-3</c:v>
                </c:pt>
                <c:pt idx="78">
                  <c:v>1.353809312894955E-3</c:v>
                </c:pt>
                <c:pt idx="79">
                  <c:v>1.3546127088751531E-3</c:v>
                </c:pt>
                <c:pt idx="80">
                  <c:v>1.3554161048553511E-3</c:v>
                </c:pt>
                <c:pt idx="81">
                  <c:v>1.3578262927959454E-3</c:v>
                </c:pt>
                <c:pt idx="82">
                  <c:v>1.3586296887761434E-3</c:v>
                </c:pt>
                <c:pt idx="83">
                  <c:v>1.3594330847563414E-3</c:v>
                </c:pt>
                <c:pt idx="84">
                  <c:v>1.3602364807365397E-3</c:v>
                </c:pt>
                <c:pt idx="85">
                  <c:v>1.3610398767167377E-3</c:v>
                </c:pt>
                <c:pt idx="86">
                  <c:v>1.363450064657332E-3</c:v>
                </c:pt>
                <c:pt idx="87">
                  <c:v>1.36425346063753E-3</c:v>
                </c:pt>
                <c:pt idx="88">
                  <c:v>1.365056856617728E-3</c:v>
                </c:pt>
                <c:pt idx="89">
                  <c:v>1.3658602525979263E-3</c:v>
                </c:pt>
                <c:pt idx="90">
                  <c:v>1.3666636485781243E-3</c:v>
                </c:pt>
                <c:pt idx="91">
                  <c:v>1.3690738365187186E-3</c:v>
                </c:pt>
                <c:pt idx="92">
                  <c:v>1.3698772324989166E-3</c:v>
                </c:pt>
                <c:pt idx="93">
                  <c:v>1.3706806284791147E-3</c:v>
                </c:pt>
                <c:pt idx="94">
                  <c:v>1.3714840244593129E-3</c:v>
                </c:pt>
                <c:pt idx="95">
                  <c:v>1.3722874204395109E-3</c:v>
                </c:pt>
                <c:pt idx="96">
                  <c:v>1.3746976083801052E-3</c:v>
                </c:pt>
                <c:pt idx="97">
                  <c:v>1.3755010043603032E-3</c:v>
                </c:pt>
                <c:pt idx="98">
                  <c:v>1.3763044003405013E-3</c:v>
                </c:pt>
                <c:pt idx="99">
                  <c:v>1.3771077963206995E-3</c:v>
                </c:pt>
                <c:pt idx="100">
                  <c:v>1.3779111923008975E-3</c:v>
                </c:pt>
                <c:pt idx="101">
                  <c:v>1.3803213802414918E-3</c:v>
                </c:pt>
                <c:pt idx="102">
                  <c:v>1.3811247762216899E-3</c:v>
                </c:pt>
                <c:pt idx="103">
                  <c:v>1.3819281722018879E-3</c:v>
                </c:pt>
                <c:pt idx="104">
                  <c:v>1.3827315681820861E-3</c:v>
                </c:pt>
                <c:pt idx="105">
                  <c:v>1.3835349641622841E-3</c:v>
                </c:pt>
                <c:pt idx="106">
                  <c:v>1.3859451521028784E-3</c:v>
                </c:pt>
                <c:pt idx="107">
                  <c:v>1.3867485480830765E-3</c:v>
                </c:pt>
                <c:pt idx="108">
                  <c:v>1.3875519440632745E-3</c:v>
                </c:pt>
                <c:pt idx="109">
                  <c:v>1.3883553400434725E-3</c:v>
                </c:pt>
                <c:pt idx="110">
                  <c:v>1.3891587360236708E-3</c:v>
                </c:pt>
                <c:pt idx="111">
                  <c:v>1.3915689239642651E-3</c:v>
                </c:pt>
                <c:pt idx="112">
                  <c:v>1.3923723199444631E-3</c:v>
                </c:pt>
                <c:pt idx="113">
                  <c:v>1.3931757159246611E-3</c:v>
                </c:pt>
                <c:pt idx="114">
                  <c:v>1.3939791119048591E-3</c:v>
                </c:pt>
                <c:pt idx="115">
                  <c:v>1.3947825078850574E-3</c:v>
                </c:pt>
                <c:pt idx="116">
                  <c:v>1.3971926958256517E-3</c:v>
                </c:pt>
                <c:pt idx="117">
                  <c:v>1.3979960918058497E-3</c:v>
                </c:pt>
                <c:pt idx="118">
                  <c:v>1.3987994877860477E-3</c:v>
                </c:pt>
                <c:pt idx="119">
                  <c:v>1.3996028837662457E-3</c:v>
                </c:pt>
                <c:pt idx="120">
                  <c:v>1.400406279746444E-3</c:v>
                </c:pt>
                <c:pt idx="121">
                  <c:v>1.4028164676870383E-3</c:v>
                </c:pt>
                <c:pt idx="122">
                  <c:v>1.4036198636672363E-3</c:v>
                </c:pt>
                <c:pt idx="123">
                  <c:v>1.4044232596474343E-3</c:v>
                </c:pt>
                <c:pt idx="124">
                  <c:v>1.4052266556276324E-3</c:v>
                </c:pt>
                <c:pt idx="125">
                  <c:v>1.4060300516078306E-3</c:v>
                </c:pt>
                <c:pt idx="126">
                  <c:v>1.4084402395484249E-3</c:v>
                </c:pt>
                <c:pt idx="127">
                  <c:v>1.4092436355286229E-3</c:v>
                </c:pt>
                <c:pt idx="128">
                  <c:v>1.4100470315088209E-3</c:v>
                </c:pt>
                <c:pt idx="129">
                  <c:v>1.410850427489019E-3</c:v>
                </c:pt>
              </c:numCache>
            </c:numRef>
          </c:val>
          <c:smooth val="0"/>
        </c:ser>
        <c:ser>
          <c:idx val="2"/>
          <c:order val="2"/>
          <c:tx>
            <c:v>Quadratic with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 (2)'!$AV$4:$AV$133</c:f>
              <c:numCache>
                <c:formatCode>ddd\,\ dd\-mmm\-yyyy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'3MSynthDepo (2)'!$BD$4:$BD$133</c:f>
              <c:numCache>
                <c:formatCode>0.0000%</c:formatCode>
                <c:ptCount val="130"/>
                <c:pt idx="0">
                  <c:v>1.2415457889911143E-3</c:v>
                </c:pt>
                <c:pt idx="1">
                  <c:v>1.2434580585035419E-3</c:v>
                </c:pt>
                <c:pt idx="2">
                  <c:v>1.2440971176099944E-3</c:v>
                </c:pt>
                <c:pt idx="3">
                  <c:v>1.2447369946842692E-3</c:v>
                </c:pt>
                <c:pt idx="4">
                  <c:v>1.2453776897263656E-3</c:v>
                </c:pt>
                <c:pt idx="5">
                  <c:v>1.246019202736284E-3</c:v>
                </c:pt>
                <c:pt idx="6">
                  <c:v>1.2479486495729703E-3</c:v>
                </c:pt>
                <c:pt idx="7">
                  <c:v>1.2485934344541761E-3</c:v>
                </c:pt>
                <c:pt idx="8">
                  <c:v>1.2492390373032034E-3</c:v>
                </c:pt>
                <c:pt idx="9">
                  <c:v>1.2498854581200528E-3</c:v>
                </c:pt>
                <c:pt idx="10">
                  <c:v>1.250532696904724E-3</c:v>
                </c:pt>
                <c:pt idx="11">
                  <c:v>1.252479321065669E-3</c:v>
                </c:pt>
                <c:pt idx="12">
                  <c:v>1.2531298317216275E-3</c:v>
                </c:pt>
                <c:pt idx="13">
                  <c:v>1.2537811603454078E-3</c:v>
                </c:pt>
                <c:pt idx="14">
                  <c:v>1.2544333069370102E-3</c:v>
                </c:pt>
                <c:pt idx="15">
                  <c:v>1.2550862714964344E-3</c:v>
                </c:pt>
                <c:pt idx="16">
                  <c:v>1.2570500729816379E-3</c:v>
                </c:pt>
                <c:pt idx="17">
                  <c:v>1.2577063094123494E-3</c:v>
                </c:pt>
                <c:pt idx="18">
                  <c:v>1.2583633638108824E-3</c:v>
                </c:pt>
                <c:pt idx="19">
                  <c:v>1.2590212361772378E-3</c:v>
                </c:pt>
                <c:pt idx="20">
                  <c:v>1.2596799265114148E-3</c:v>
                </c:pt>
                <c:pt idx="21">
                  <c:v>1.261660905320877E-3</c:v>
                </c:pt>
                <c:pt idx="22">
                  <c:v>1.2623228675263415E-3</c:v>
                </c:pt>
                <c:pt idx="23">
                  <c:v>1.2629856476996278E-3</c:v>
                </c:pt>
                <c:pt idx="24">
                  <c:v>1.2636492458407357E-3</c:v>
                </c:pt>
                <c:pt idx="25">
                  <c:v>1.2643136619496656E-3</c:v>
                </c:pt>
                <c:pt idx="26">
                  <c:v>1.2663118180833864E-3</c:v>
                </c:pt>
                <c:pt idx="27">
                  <c:v>1.2669795060636039E-3</c:v>
                </c:pt>
                <c:pt idx="28">
                  <c:v>1.2676480120116429E-3</c:v>
                </c:pt>
                <c:pt idx="29">
                  <c:v>1.2683173359275038E-3</c:v>
                </c:pt>
                <c:pt idx="30">
                  <c:v>1.2689874778111865E-3</c:v>
                </c:pt>
                <c:pt idx="31">
                  <c:v>1.2710028112691662E-3</c:v>
                </c:pt>
                <c:pt idx="32">
                  <c:v>1.2716762250241365E-3</c:v>
                </c:pt>
                <c:pt idx="33">
                  <c:v>1.2723504567469285E-3</c:v>
                </c:pt>
                <c:pt idx="34">
                  <c:v>1.2730255064375424E-3</c:v>
                </c:pt>
                <c:pt idx="35">
                  <c:v>1.2737013740959778E-3</c:v>
                </c:pt>
                <c:pt idx="36">
                  <c:v>1.2757338848782163E-3</c:v>
                </c:pt>
                <c:pt idx="37">
                  <c:v>1.2764130244079393E-3</c:v>
                </c:pt>
                <c:pt idx="38">
                  <c:v>1.2770929819054843E-3</c:v>
                </c:pt>
                <c:pt idx="39">
                  <c:v>1.277773757370851E-3</c:v>
                </c:pt>
                <c:pt idx="40">
                  <c:v>1.2784553508040394E-3</c:v>
                </c:pt>
                <c:pt idx="41">
                  <c:v>1.2805050389105364E-3</c:v>
                </c:pt>
                <c:pt idx="42">
                  <c:v>1.2811899042150124E-3</c:v>
                </c:pt>
                <c:pt idx="43">
                  <c:v>1.2818755874873103E-3</c:v>
                </c:pt>
                <c:pt idx="44">
                  <c:v>1.28256208872743E-3</c:v>
                </c:pt>
                <c:pt idx="45">
                  <c:v>1.2832494079353714E-3</c:v>
                </c:pt>
                <c:pt idx="46">
                  <c:v>1.2853162733661269E-3</c:v>
                </c:pt>
                <c:pt idx="47">
                  <c:v>1.2860068644453559E-3</c:v>
                </c:pt>
                <c:pt idx="48">
                  <c:v>1.2866982734924066E-3</c:v>
                </c:pt>
                <c:pt idx="49">
                  <c:v>1.2873905005072793E-3</c:v>
                </c:pt>
                <c:pt idx="50">
                  <c:v>1.2880835454899737E-3</c:v>
                </c:pt>
                <c:pt idx="51">
                  <c:v>1.2901675882449877E-3</c:v>
                </c:pt>
                <c:pt idx="52">
                  <c:v>1.2908639050989697E-3</c:v>
                </c:pt>
                <c:pt idx="53">
                  <c:v>1.2915610399207732E-3</c:v>
                </c:pt>
                <c:pt idx="54">
                  <c:v>1.2922589927103988E-3</c:v>
                </c:pt>
                <c:pt idx="55">
                  <c:v>1.292957763467846E-3</c:v>
                </c:pt>
                <c:pt idx="56">
                  <c:v>1.2950589835471189E-3</c:v>
                </c:pt>
                <c:pt idx="57">
                  <c:v>1.2957610261758537E-3</c:v>
                </c:pt>
                <c:pt idx="58">
                  <c:v>1.2964638867724101E-3</c:v>
                </c:pt>
                <c:pt idx="59">
                  <c:v>1.2971675653367886E-3</c:v>
                </c:pt>
                <c:pt idx="60">
                  <c:v>1.2978720618689887E-3</c:v>
                </c:pt>
                <c:pt idx="61">
                  <c:v>1.2999904592725202E-3</c:v>
                </c:pt>
                <c:pt idx="62">
                  <c:v>1.3006982276760077E-3</c:v>
                </c:pt>
                <c:pt idx="63">
                  <c:v>1.3014068140473171E-3</c:v>
                </c:pt>
                <c:pt idx="64">
                  <c:v>1.3021162183864485E-3</c:v>
                </c:pt>
                <c:pt idx="65">
                  <c:v>1.3028264406934017E-3</c:v>
                </c:pt>
                <c:pt idx="66">
                  <c:v>1.3049620154211919E-3</c:v>
                </c:pt>
                <c:pt idx="67">
                  <c:v>1.3056755095994324E-3</c:v>
                </c:pt>
                <c:pt idx="68">
                  <c:v>1.3063898217454946E-3</c:v>
                </c:pt>
                <c:pt idx="69">
                  <c:v>1.3071049518593788E-3</c:v>
                </c:pt>
                <c:pt idx="70">
                  <c:v>1.3078208999410849E-3</c:v>
                </c:pt>
                <c:pt idx="71">
                  <c:v>1.3099736519931336E-3</c:v>
                </c:pt>
                <c:pt idx="72">
                  <c:v>1.3106928719461271E-3</c:v>
                </c:pt>
                <c:pt idx="73">
                  <c:v>1.3114129098669423E-3</c:v>
                </c:pt>
                <c:pt idx="74">
                  <c:v>1.3121337657555794E-3</c:v>
                </c:pt>
                <c:pt idx="75">
                  <c:v>1.3128554396120383E-3</c:v>
                </c:pt>
                <c:pt idx="76">
                  <c:v>1.3150253689883458E-3</c:v>
                </c:pt>
                <c:pt idx="77">
                  <c:v>1.315750314716092E-3</c:v>
                </c:pt>
                <c:pt idx="78">
                  <c:v>1.3164760784116602E-3</c:v>
                </c:pt>
                <c:pt idx="79">
                  <c:v>1.3172026600750501E-3</c:v>
                </c:pt>
                <c:pt idx="80">
                  <c:v>1.317930059706262E-3</c:v>
                </c:pt>
                <c:pt idx="81">
                  <c:v>1.3201171664068284E-3</c:v>
                </c:pt>
                <c:pt idx="82">
                  <c:v>1.3208478379093274E-3</c:v>
                </c:pt>
                <c:pt idx="83">
                  <c:v>1.3215793273796484E-3</c:v>
                </c:pt>
                <c:pt idx="84">
                  <c:v>1.3223116348177913E-3</c:v>
                </c:pt>
                <c:pt idx="85">
                  <c:v>1.3230447602237559E-3</c:v>
                </c:pt>
                <c:pt idx="86">
                  <c:v>1.3252490442485811E-3</c:v>
                </c:pt>
                <c:pt idx="87">
                  <c:v>1.3259854415258328E-3</c:v>
                </c:pt>
                <c:pt idx="88">
                  <c:v>1.3267226567709068E-3</c:v>
                </c:pt>
                <c:pt idx="89">
                  <c:v>1.3274606899838027E-3</c:v>
                </c:pt>
                <c:pt idx="90">
                  <c:v>1.3281995411645201E-3</c:v>
                </c:pt>
                <c:pt idx="91">
                  <c:v>1.3304210025136039E-3</c:v>
                </c:pt>
                <c:pt idx="92">
                  <c:v>1.3311631255656087E-3</c:v>
                </c:pt>
                <c:pt idx="93">
                  <c:v>1.3319060665854356E-3</c:v>
                </c:pt>
                <c:pt idx="94">
                  <c:v>1.3326498255730843E-3</c:v>
                </c:pt>
                <c:pt idx="95">
                  <c:v>1.3333944025285547E-3</c:v>
                </c:pt>
                <c:pt idx="96">
                  <c:v>1.3356330412018973E-3</c:v>
                </c:pt>
                <c:pt idx="97">
                  <c:v>1.3363808900286548E-3</c:v>
                </c:pt>
                <c:pt idx="98">
                  <c:v>1.3371295568232345E-3</c:v>
                </c:pt>
                <c:pt idx="99">
                  <c:v>1.3378790415856361E-3</c:v>
                </c:pt>
                <c:pt idx="100">
                  <c:v>1.3386293443158595E-3</c:v>
                </c:pt>
                <c:pt idx="101">
                  <c:v>1.3408851603134606E-3</c:v>
                </c:pt>
                <c:pt idx="102">
                  <c:v>1.3416387349149714E-3</c:v>
                </c:pt>
                <c:pt idx="103">
                  <c:v>1.342393127484304E-3</c:v>
                </c:pt>
                <c:pt idx="104">
                  <c:v>1.3431483380214582E-3</c:v>
                </c:pt>
                <c:pt idx="105">
                  <c:v>1.3439043665264346E-3</c:v>
                </c:pt>
                <c:pt idx="106">
                  <c:v>1.3461773598482944E-3</c:v>
                </c:pt>
                <c:pt idx="107">
                  <c:v>1.3469366602245579E-3</c:v>
                </c:pt>
                <c:pt idx="108">
                  <c:v>1.3476967785686436E-3</c:v>
                </c:pt>
                <c:pt idx="109">
                  <c:v>1.3484577148805505E-3</c:v>
                </c:pt>
                <c:pt idx="110">
                  <c:v>1.3492194691602799E-3</c:v>
                </c:pt>
                <c:pt idx="111">
                  <c:v>1.3515096398063983E-3</c:v>
                </c:pt>
                <c:pt idx="112">
                  <c:v>1.352274665957415E-3</c:v>
                </c:pt>
                <c:pt idx="113">
                  <c:v>1.3530405100762534E-3</c:v>
                </c:pt>
                <c:pt idx="114">
                  <c:v>1.3538071721629133E-3</c:v>
                </c:pt>
                <c:pt idx="115">
                  <c:v>1.3545746522173954E-3</c:v>
                </c:pt>
                <c:pt idx="116">
                  <c:v>1.3568820001877726E-3</c:v>
                </c:pt>
                <c:pt idx="117">
                  <c:v>1.357652752113542E-3</c:v>
                </c:pt>
                <c:pt idx="118">
                  <c:v>1.3584243220071334E-3</c:v>
                </c:pt>
                <c:pt idx="119">
                  <c:v>1.3591967098685463E-3</c:v>
                </c:pt>
                <c:pt idx="120">
                  <c:v>1.3599699156977812E-3</c:v>
                </c:pt>
                <c:pt idx="121">
                  <c:v>1.3622944409924171E-3</c:v>
                </c:pt>
                <c:pt idx="122">
                  <c:v>1.3630709186929395E-3</c:v>
                </c:pt>
                <c:pt idx="123">
                  <c:v>1.3638482143612837E-3</c:v>
                </c:pt>
                <c:pt idx="124">
                  <c:v>1.3646263279974496E-3</c:v>
                </c:pt>
                <c:pt idx="125">
                  <c:v>1.3654052596014372E-3</c:v>
                </c:pt>
                <c:pt idx="126">
                  <c:v>1.367746962220332E-3</c:v>
                </c:pt>
                <c:pt idx="127">
                  <c:v>1.3685291656956072E-3</c:v>
                </c:pt>
                <c:pt idx="128">
                  <c:v>1.3693121871387042E-3</c:v>
                </c:pt>
                <c:pt idx="129">
                  <c:v>1.3700960265496231E-3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 (2)'!$AV$4:$AV$133</c:f>
              <c:numCache>
                <c:formatCode>ddd\,\ dd\-mmm\-yyyy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</c:numCache>
            </c:numRef>
          </c:cat>
          <c:val>
            <c:numRef>
              <c:f>'3MSynthDepo (2)'!$BE$4:$BE$133</c:f>
              <c:numCache>
                <c:formatCode>0.0000%</c:formatCode>
                <c:ptCount val="130"/>
                <c:pt idx="0">
                  <c:v>1.2594069834604899E-3</c:v>
                </c:pt>
                <c:pt idx="1">
                  <c:v>1.2617640969616389E-3</c:v>
                </c:pt>
                <c:pt idx="2">
                  <c:v>1.2625520177581334E-3</c:v>
                </c:pt>
                <c:pt idx="3">
                  <c:v>1.2633410467026835E-3</c:v>
                </c:pt>
                <c:pt idx="4">
                  <c:v>1.264131183795289E-3</c:v>
                </c:pt>
                <c:pt idx="5">
                  <c:v>1.2649224290359504E-3</c:v>
                </c:pt>
                <c:pt idx="6">
                  <c:v>1.2673028136462687E-3</c:v>
                </c:pt>
                <c:pt idx="7">
                  <c:v>1.2680984914791528E-3</c:v>
                </c:pt>
                <c:pt idx="8">
                  <c:v>1.2688952774600926E-3</c:v>
                </c:pt>
                <c:pt idx="9">
                  <c:v>1.2696931715890881E-3</c:v>
                </c:pt>
                <c:pt idx="10">
                  <c:v>1.2704921738661392E-3</c:v>
                </c:pt>
                <c:pt idx="11">
                  <c:v>1.2728958295856268E-3</c:v>
                </c:pt>
                <c:pt idx="12">
                  <c:v>1.2736992644549004E-3</c:v>
                </c:pt>
                <c:pt idx="13">
                  <c:v>1.2745038074722301E-3</c:v>
                </c:pt>
                <c:pt idx="14">
                  <c:v>1.2753094586376152E-3</c:v>
                </c:pt>
                <c:pt idx="15">
                  <c:v>1.2761162179510562E-3</c:v>
                </c:pt>
                <c:pt idx="16">
                  <c:v>1.2785431447797128E-3</c:v>
                </c:pt>
                <c:pt idx="17">
                  <c:v>1.2793543366853765E-3</c:v>
                </c:pt>
                <c:pt idx="18">
                  <c:v>1.2801666367390956E-3</c:v>
                </c:pt>
                <c:pt idx="19">
                  <c:v>1.2809800449408706E-3</c:v>
                </c:pt>
                <c:pt idx="20">
                  <c:v>1.2817945612907011E-3</c:v>
                </c:pt>
                <c:pt idx="21">
                  <c:v>1.284244759228527E-3</c:v>
                </c:pt>
                <c:pt idx="22">
                  <c:v>1.2850637081705805E-3</c:v>
                </c:pt>
                <c:pt idx="23">
                  <c:v>1.2858837652606895E-3</c:v>
                </c:pt>
                <c:pt idx="24">
                  <c:v>1.286704930498854E-3</c:v>
                </c:pt>
                <c:pt idx="25">
                  <c:v>1.2875272038850743E-3</c:v>
                </c:pt>
                <c:pt idx="26">
                  <c:v>1.2900006729320694E-3</c:v>
                </c:pt>
                <c:pt idx="27">
                  <c:v>1.2908273789105126E-3</c:v>
                </c:pt>
                <c:pt idx="28">
                  <c:v>1.2916551930370113E-3</c:v>
                </c:pt>
                <c:pt idx="29">
                  <c:v>1.2924841153115658E-3</c:v>
                </c:pt>
                <c:pt idx="30">
                  <c:v>1.2933141457341756E-3</c:v>
                </c:pt>
                <c:pt idx="31">
                  <c:v>1.2958108858903399E-3</c:v>
                </c:pt>
                <c:pt idx="32">
                  <c:v>1.2966453489051729E-3</c:v>
                </c:pt>
                <c:pt idx="33">
                  <c:v>1.2974809200680614E-3</c:v>
                </c:pt>
                <c:pt idx="34">
                  <c:v>1.2983175993790056E-3</c:v>
                </c:pt>
                <c:pt idx="35">
                  <c:v>1.2991553868380052E-3</c:v>
                </c:pt>
                <c:pt idx="36">
                  <c:v>1.3016753981033389E-3</c:v>
                </c:pt>
                <c:pt idx="37">
                  <c:v>1.3025176181545614E-3</c:v>
                </c:pt>
                <c:pt idx="38">
                  <c:v>1.3033609463538396E-3</c:v>
                </c:pt>
                <c:pt idx="39">
                  <c:v>1.3042053827011736E-3</c:v>
                </c:pt>
                <c:pt idx="40">
                  <c:v>1.3050509271965631E-3</c:v>
                </c:pt>
                <c:pt idx="41">
                  <c:v>1.3075942095710658E-3</c:v>
                </c:pt>
                <c:pt idx="42">
                  <c:v>1.3084441866586781E-3</c:v>
                </c:pt>
                <c:pt idx="43">
                  <c:v>1.3092952718943458E-3</c:v>
                </c:pt>
                <c:pt idx="44">
                  <c:v>1.3101474652780695E-3</c:v>
                </c:pt>
                <c:pt idx="45">
                  <c:v>1.311000766809849E-3</c:v>
                </c:pt>
                <c:pt idx="46">
                  <c:v>1.3135673202935209E-3</c:v>
                </c:pt>
                <c:pt idx="47">
                  <c:v>1.3144250544175229E-3</c:v>
                </c:pt>
                <c:pt idx="48">
                  <c:v>1.3152838966895807E-3</c:v>
                </c:pt>
                <c:pt idx="49">
                  <c:v>1.3161438471096939E-3</c:v>
                </c:pt>
                <c:pt idx="50">
                  <c:v>1.3170049056778629E-3</c:v>
                </c:pt>
                <c:pt idx="51">
                  <c:v>1.319594730270704E-3</c:v>
                </c:pt>
                <c:pt idx="52">
                  <c:v>1.320460221431096E-3</c:v>
                </c:pt>
                <c:pt idx="53">
                  <c:v>1.3213268207395434E-3</c:v>
                </c:pt>
                <c:pt idx="54">
                  <c:v>1.3221945281960464E-3</c:v>
                </c:pt>
                <c:pt idx="55">
                  <c:v>1.3230633438006051E-3</c:v>
                </c:pt>
                <c:pt idx="56">
                  <c:v>1.3256764395026157E-3</c:v>
                </c:pt>
                <c:pt idx="57">
                  <c:v>1.326549687699397E-3</c:v>
                </c:pt>
                <c:pt idx="58">
                  <c:v>1.3274240440442342E-3</c:v>
                </c:pt>
                <c:pt idx="59">
                  <c:v>1.3282995085371271E-3</c:v>
                </c:pt>
                <c:pt idx="60">
                  <c:v>1.3291760811780754E-3</c:v>
                </c:pt>
                <c:pt idx="61">
                  <c:v>1.3318124479892552E-3</c:v>
                </c:pt>
                <c:pt idx="62">
                  <c:v>1.3326934532224262E-3</c:v>
                </c:pt>
                <c:pt idx="63">
                  <c:v>1.3335755666036531E-3</c:v>
                </c:pt>
                <c:pt idx="64">
                  <c:v>1.3344587881329358E-3</c:v>
                </c:pt>
                <c:pt idx="65">
                  <c:v>1.3353431178102742E-3</c:v>
                </c:pt>
                <c:pt idx="66">
                  <c:v>1.3380027557306229E-3</c:v>
                </c:pt>
                <c:pt idx="67">
                  <c:v>1.338891518000184E-3</c:v>
                </c:pt>
                <c:pt idx="68">
                  <c:v>1.3397813884178005E-3</c:v>
                </c:pt>
                <c:pt idx="69">
                  <c:v>1.3406723669834727E-3</c:v>
                </c:pt>
                <c:pt idx="70">
                  <c:v>1.3415644536972009E-3</c:v>
                </c:pt>
                <c:pt idx="71">
                  <c:v>1.3442473627267189E-3</c:v>
                </c:pt>
                <c:pt idx="72">
                  <c:v>1.3451438820326696E-3</c:v>
                </c:pt>
                <c:pt idx="73">
                  <c:v>1.346041509486676E-3</c:v>
                </c:pt>
                <c:pt idx="74">
                  <c:v>1.346940245088738E-3</c:v>
                </c:pt>
                <c:pt idx="75">
                  <c:v>1.3478400888388556E-3</c:v>
                </c:pt>
                <c:pt idx="76">
                  <c:v>1.3505462689775429E-3</c:v>
                </c:pt>
                <c:pt idx="77">
                  <c:v>1.3514505453198834E-3</c:v>
                </c:pt>
                <c:pt idx="78">
                  <c:v>1.3523559298102795E-3</c:v>
                </c:pt>
                <c:pt idx="79">
                  <c:v>1.3532624224487314E-3</c:v>
                </c:pt>
                <c:pt idx="80">
                  <c:v>1.3541700232352386E-3</c:v>
                </c:pt>
                <c:pt idx="81">
                  <c:v>1.3568994744830951E-3</c:v>
                </c:pt>
                <c:pt idx="82">
                  <c:v>1.3578115078618253E-3</c:v>
                </c:pt>
                <c:pt idx="83">
                  <c:v>1.3587246493886112E-3</c:v>
                </c:pt>
                <c:pt idx="84">
                  <c:v>1.3596388990634528E-3</c:v>
                </c:pt>
                <c:pt idx="85">
                  <c:v>1.36055425688635E-3</c:v>
                </c:pt>
                <c:pt idx="86">
                  <c:v>1.3633069792433757E-3</c:v>
                </c:pt>
                <c:pt idx="87">
                  <c:v>1.3642267696584954E-3</c:v>
                </c:pt>
                <c:pt idx="88">
                  <c:v>1.3651476682216711E-3</c:v>
                </c:pt>
                <c:pt idx="89">
                  <c:v>1.3660696749329025E-3</c:v>
                </c:pt>
                <c:pt idx="90">
                  <c:v>1.3669927897921894E-3</c:v>
                </c:pt>
                <c:pt idx="91">
                  <c:v>1.3697687832583843E-3</c:v>
                </c:pt>
                <c:pt idx="92">
                  <c:v>1.370696330709894E-3</c:v>
                </c:pt>
                <c:pt idx="93">
                  <c:v>1.3716249863094591E-3</c:v>
                </c:pt>
                <c:pt idx="94">
                  <c:v>1.37255475005708E-3</c:v>
                </c:pt>
                <c:pt idx="95">
                  <c:v>1.3734856219527569E-3</c:v>
                </c:pt>
                <c:pt idx="96">
                  <c:v>1.3762848865281208E-3</c:v>
                </c:pt>
                <c:pt idx="97">
                  <c:v>1.3772201910160205E-3</c:v>
                </c:pt>
                <c:pt idx="98">
                  <c:v>1.3781566036519754E-3</c:v>
                </c:pt>
                <c:pt idx="99">
                  <c:v>1.379094124435986E-3</c:v>
                </c:pt>
                <c:pt idx="100">
                  <c:v>1.3800327533680526E-3</c:v>
                </c:pt>
                <c:pt idx="101">
                  <c:v>1.3828552890525858E-3</c:v>
                </c:pt>
                <c:pt idx="102">
                  <c:v>1.3837983505768749E-3</c:v>
                </c:pt>
                <c:pt idx="103">
                  <c:v>1.3847425202492198E-3</c:v>
                </c:pt>
                <c:pt idx="104">
                  <c:v>1.3856877980696204E-3</c:v>
                </c:pt>
                <c:pt idx="105">
                  <c:v>1.3866341840380763E-3</c:v>
                </c:pt>
                <c:pt idx="106">
                  <c:v>1.3894799908317791E-3</c:v>
                </c:pt>
                <c:pt idx="107">
                  <c:v>1.3904308093924578E-3</c:v>
                </c:pt>
                <c:pt idx="108">
                  <c:v>1.3913827361011924E-3</c:v>
                </c:pt>
                <c:pt idx="109">
                  <c:v>1.3923357709579825E-3</c:v>
                </c:pt>
                <c:pt idx="110">
                  <c:v>1.3932899139628284E-3</c:v>
                </c:pt>
                <c:pt idx="111">
                  <c:v>1.3961589918657002E-3</c:v>
                </c:pt>
                <c:pt idx="112">
                  <c:v>1.3971175674627689E-3</c:v>
                </c:pt>
                <c:pt idx="113">
                  <c:v>1.398077251207893E-3</c:v>
                </c:pt>
                <c:pt idx="114">
                  <c:v>1.3990380431010731E-3</c:v>
                </c:pt>
                <c:pt idx="115">
                  <c:v>1.3999999431423087E-3</c:v>
                </c:pt>
                <c:pt idx="116">
                  <c:v>1.4028922921543495E-3</c:v>
                </c:pt>
                <c:pt idx="117">
                  <c:v>1.4038586247878081E-3</c:v>
                </c:pt>
                <c:pt idx="118">
                  <c:v>1.404826065569322E-3</c:v>
                </c:pt>
                <c:pt idx="119">
                  <c:v>1.4057946144988916E-3</c:v>
                </c:pt>
                <c:pt idx="120">
                  <c:v>1.4067642715765169E-3</c:v>
                </c:pt>
                <c:pt idx="121">
                  <c:v>1.4096798916977272E-3</c:v>
                </c:pt>
                <c:pt idx="122">
                  <c:v>1.4106539813675753E-3</c:v>
                </c:pt>
                <c:pt idx="123">
                  <c:v>1.4116291791854791E-3</c:v>
                </c:pt>
                <c:pt idx="124">
                  <c:v>1.4126054851514383E-3</c:v>
                </c:pt>
                <c:pt idx="125">
                  <c:v>1.4135828992654536E-3</c:v>
                </c:pt>
                <c:pt idx="126">
                  <c:v>1.4165217904958329E-3</c:v>
                </c:pt>
                <c:pt idx="127">
                  <c:v>1.4175036372020707E-3</c:v>
                </c:pt>
                <c:pt idx="128">
                  <c:v>1.4184865920563643E-3</c:v>
                </c:pt>
                <c:pt idx="129">
                  <c:v>1.4194706550587134E-3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458432"/>
        <c:axId val="823529856"/>
      </c:lineChart>
      <c:dateAx>
        <c:axId val="82345843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82352985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823529856"/>
        <c:scaling>
          <c:orientation val="minMax"/>
          <c:max val="2.0000000000000005E-3"/>
          <c:min val="1.0000000000000002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23458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18110236220472"/>
          <c:y val="5.1400554097404488E-2"/>
          <c:w val="0.83889238845144354"/>
          <c:h val="0.76201625838436848"/>
        </c:manualLayout>
      </c:layout>
      <c:lineChart>
        <c:grouping val="standard"/>
        <c:varyColors val="0"/>
        <c:ser>
          <c:idx val="0"/>
          <c:order val="0"/>
          <c:tx>
            <c:strRef>
              <c:f>'3MSynthDepo (1)'!$AH$2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numRef>
              <c:f>'3MSynthDepo (1)'!$AF$3:$AF$132</c:f>
              <c:numCache>
                <c:formatCode>ddd\,\ dd\-mmm\-yyyy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</c:numCache>
            </c:numRef>
          </c:cat>
          <c:val>
            <c:numRef>
              <c:f>'3MSynthDepo (1)'!$AH$3:$AH$132</c:f>
              <c:numCache>
                <c:formatCode>0.0000%</c:formatCode>
                <c:ptCount val="130"/>
                <c:pt idx="0">
                  <c:v>1.1691541241029039E-3</c:v>
                </c:pt>
                <c:pt idx="1">
                  <c:v>1.1691541241029039E-3</c:v>
                </c:pt>
                <c:pt idx="2">
                  <c:v>1.1691541241029039E-3</c:v>
                </c:pt>
                <c:pt idx="3">
                  <c:v>1.1691541241029039E-3</c:v>
                </c:pt>
                <c:pt idx="4">
                  <c:v>1.1691541241029039E-3</c:v>
                </c:pt>
                <c:pt idx="5">
                  <c:v>1.1691541241029039E-3</c:v>
                </c:pt>
                <c:pt idx="6">
                  <c:v>1.1691541241029039E-3</c:v>
                </c:pt>
                <c:pt idx="7">
                  <c:v>1.1691541241029039E-3</c:v>
                </c:pt>
                <c:pt idx="8">
                  <c:v>1.1691541241029039E-3</c:v>
                </c:pt>
                <c:pt idx="9">
                  <c:v>1.1691541241029039E-3</c:v>
                </c:pt>
                <c:pt idx="10">
                  <c:v>1.1691541241029039E-3</c:v>
                </c:pt>
                <c:pt idx="11">
                  <c:v>1.1691541241029039E-3</c:v>
                </c:pt>
                <c:pt idx="12">
                  <c:v>1.1691541241029039E-3</c:v>
                </c:pt>
                <c:pt idx="13">
                  <c:v>1.1691541241029039E-3</c:v>
                </c:pt>
                <c:pt idx="14">
                  <c:v>1.1691541241029039E-3</c:v>
                </c:pt>
                <c:pt idx="15">
                  <c:v>1.1691541241029039E-3</c:v>
                </c:pt>
                <c:pt idx="16">
                  <c:v>1.1691541241029039E-3</c:v>
                </c:pt>
                <c:pt idx="17">
                  <c:v>1.1691541241029039E-3</c:v>
                </c:pt>
                <c:pt idx="18">
                  <c:v>1.1691541241029039E-3</c:v>
                </c:pt>
                <c:pt idx="19">
                  <c:v>1.1691541241029039E-3</c:v>
                </c:pt>
                <c:pt idx="20">
                  <c:v>1.1691541241029039E-3</c:v>
                </c:pt>
                <c:pt idx="21">
                  <c:v>1.1691541241029039E-3</c:v>
                </c:pt>
                <c:pt idx="22">
                  <c:v>1.1691541241029039E-3</c:v>
                </c:pt>
                <c:pt idx="23">
                  <c:v>1.1691541241029039E-3</c:v>
                </c:pt>
                <c:pt idx="24">
                  <c:v>1.1691541241029039E-3</c:v>
                </c:pt>
                <c:pt idx="25">
                  <c:v>1.1691541241029039E-3</c:v>
                </c:pt>
                <c:pt idx="26">
                  <c:v>1.1691541241029039E-3</c:v>
                </c:pt>
                <c:pt idx="27">
                  <c:v>1.1691541241029039E-3</c:v>
                </c:pt>
                <c:pt idx="28">
                  <c:v>1.1691541241029039E-3</c:v>
                </c:pt>
                <c:pt idx="29">
                  <c:v>1.1691541241029039E-3</c:v>
                </c:pt>
                <c:pt idx="30">
                  <c:v>1.1691541241029039E-3</c:v>
                </c:pt>
                <c:pt idx="31">
                  <c:v>1.1691541241029039E-3</c:v>
                </c:pt>
                <c:pt idx="32">
                  <c:v>1.1691541241029039E-3</c:v>
                </c:pt>
                <c:pt idx="33">
                  <c:v>1.1691541241029039E-3</c:v>
                </c:pt>
                <c:pt idx="34">
                  <c:v>1.1691541241029039E-3</c:v>
                </c:pt>
                <c:pt idx="35">
                  <c:v>1.1691541241029039E-3</c:v>
                </c:pt>
                <c:pt idx="36">
                  <c:v>1.1691541241029039E-3</c:v>
                </c:pt>
                <c:pt idx="37">
                  <c:v>1.1691541241029039E-3</c:v>
                </c:pt>
                <c:pt idx="38">
                  <c:v>1.1691541241029039E-3</c:v>
                </c:pt>
                <c:pt idx="39">
                  <c:v>1.1691541241029039E-3</c:v>
                </c:pt>
                <c:pt idx="40">
                  <c:v>1.1691541241029039E-3</c:v>
                </c:pt>
                <c:pt idx="41">
                  <c:v>1.1691541241029039E-3</c:v>
                </c:pt>
                <c:pt idx="42">
                  <c:v>1.1691541241029039E-3</c:v>
                </c:pt>
                <c:pt idx="43">
                  <c:v>1.1691541241029039E-3</c:v>
                </c:pt>
                <c:pt idx="44">
                  <c:v>1.1691541241029039E-3</c:v>
                </c:pt>
                <c:pt idx="45">
                  <c:v>1.1691541241029039E-3</c:v>
                </c:pt>
                <c:pt idx="46">
                  <c:v>1.1691541241029039E-3</c:v>
                </c:pt>
                <c:pt idx="47">
                  <c:v>1.1691541241029039E-3</c:v>
                </c:pt>
                <c:pt idx="48">
                  <c:v>1.1691541241029039E-3</c:v>
                </c:pt>
                <c:pt idx="49">
                  <c:v>1.1691541241029039E-3</c:v>
                </c:pt>
                <c:pt idx="50">
                  <c:v>1.1691541241029039E-3</c:v>
                </c:pt>
                <c:pt idx="51">
                  <c:v>1.1691541241029039E-3</c:v>
                </c:pt>
                <c:pt idx="52">
                  <c:v>1.1691541241029039E-3</c:v>
                </c:pt>
                <c:pt idx="53">
                  <c:v>1.1691541241029039E-3</c:v>
                </c:pt>
                <c:pt idx="54">
                  <c:v>1.1691541241029039E-3</c:v>
                </c:pt>
                <c:pt idx="55">
                  <c:v>1.1691541241029039E-3</c:v>
                </c:pt>
                <c:pt idx="56">
                  <c:v>1.1691541241029039E-3</c:v>
                </c:pt>
                <c:pt idx="57">
                  <c:v>1.1691541241029039E-3</c:v>
                </c:pt>
                <c:pt idx="58">
                  <c:v>1.1691541241029039E-3</c:v>
                </c:pt>
                <c:pt idx="59">
                  <c:v>1.1691541241029039E-3</c:v>
                </c:pt>
                <c:pt idx="60">
                  <c:v>1.1691541241029039E-3</c:v>
                </c:pt>
                <c:pt idx="61">
                  <c:v>1.1691541241029039E-3</c:v>
                </c:pt>
                <c:pt idx="62">
                  <c:v>1.1691541241029039E-3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'3MSynthDepo (1)'!$AI$2</c:f>
              <c:strCache>
                <c:ptCount val="1"/>
                <c:pt idx="0">
                  <c:v>Linear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 (1)'!$AF$3:$AF$132</c:f>
              <c:numCache>
                <c:formatCode>ddd\,\ dd\-mmm\-yyyy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</c:numCache>
            </c:numRef>
          </c:cat>
          <c:val>
            <c:numRef>
              <c:f>'3MSynthDepo (1)'!$AI$3:$AI$132</c:f>
              <c:numCache>
                <c:formatCode>0.0000%</c:formatCode>
                <c:ptCount val="130"/>
                <c:pt idx="0">
                  <c:v>1.0736509849772089E-3</c:v>
                </c:pt>
                <c:pt idx="1">
                  <c:v>1.0797469300277854E-3</c:v>
                </c:pt>
                <c:pt idx="2">
                  <c:v>1.0817789117113107E-3</c:v>
                </c:pt>
                <c:pt idx="3">
                  <c:v>1.0838108933948361E-3</c:v>
                </c:pt>
                <c:pt idx="4">
                  <c:v>1.0858428750783616E-3</c:v>
                </c:pt>
                <c:pt idx="5">
                  <c:v>1.0878748567618871E-3</c:v>
                </c:pt>
                <c:pt idx="6">
                  <c:v>1.0939708018124633E-3</c:v>
                </c:pt>
                <c:pt idx="7">
                  <c:v>1.0960027834959888E-3</c:v>
                </c:pt>
                <c:pt idx="8">
                  <c:v>1.0980347651795143E-3</c:v>
                </c:pt>
                <c:pt idx="9">
                  <c:v>1.1000667468630398E-3</c:v>
                </c:pt>
                <c:pt idx="10">
                  <c:v>1.1020987285465652E-3</c:v>
                </c:pt>
                <c:pt idx="11">
                  <c:v>1.1081946735971415E-3</c:v>
                </c:pt>
                <c:pt idx="12">
                  <c:v>1.1102266552806669E-3</c:v>
                </c:pt>
                <c:pt idx="13">
                  <c:v>1.1122586369641924E-3</c:v>
                </c:pt>
                <c:pt idx="14">
                  <c:v>1.1142906186477179E-3</c:v>
                </c:pt>
                <c:pt idx="15">
                  <c:v>1.1163226003312434E-3</c:v>
                </c:pt>
                <c:pt idx="16">
                  <c:v>1.1224185453818196E-3</c:v>
                </c:pt>
                <c:pt idx="17">
                  <c:v>1.1244505270653451E-3</c:v>
                </c:pt>
                <c:pt idx="18">
                  <c:v>1.1264825087488706E-3</c:v>
                </c:pt>
                <c:pt idx="19">
                  <c:v>1.128514490432396E-3</c:v>
                </c:pt>
                <c:pt idx="20">
                  <c:v>1.1305464721159215E-3</c:v>
                </c:pt>
                <c:pt idx="21">
                  <c:v>1.1366424171664977E-3</c:v>
                </c:pt>
                <c:pt idx="22">
                  <c:v>1.1386743988500232E-3</c:v>
                </c:pt>
                <c:pt idx="23">
                  <c:v>1.1407063805335487E-3</c:v>
                </c:pt>
                <c:pt idx="24">
                  <c:v>1.1427383622170742E-3</c:v>
                </c:pt>
                <c:pt idx="25">
                  <c:v>1.1447703439005997E-3</c:v>
                </c:pt>
                <c:pt idx="26">
                  <c:v>1.1508662889511759E-3</c:v>
                </c:pt>
                <c:pt idx="27">
                  <c:v>1.1528982706347014E-3</c:v>
                </c:pt>
                <c:pt idx="28">
                  <c:v>1.1549302523182268E-3</c:v>
                </c:pt>
                <c:pt idx="29">
                  <c:v>1.1569622340017523E-3</c:v>
                </c:pt>
                <c:pt idx="30">
                  <c:v>1.1589942156852778E-3</c:v>
                </c:pt>
                <c:pt idx="31">
                  <c:v>1.165090160735854E-3</c:v>
                </c:pt>
                <c:pt idx="32">
                  <c:v>1.1671221424193795E-3</c:v>
                </c:pt>
                <c:pt idx="33">
                  <c:v>1.169154124102905E-3</c:v>
                </c:pt>
                <c:pt idx="34">
                  <c:v>1.1711861057864302E-3</c:v>
                </c:pt>
                <c:pt idx="35">
                  <c:v>1.1732180874699557E-3</c:v>
                </c:pt>
                <c:pt idx="36">
                  <c:v>1.1793140325205322E-3</c:v>
                </c:pt>
                <c:pt idx="37">
                  <c:v>1.1813460142040576E-3</c:v>
                </c:pt>
                <c:pt idx="38">
                  <c:v>1.1833779958875831E-3</c:v>
                </c:pt>
                <c:pt idx="39">
                  <c:v>1.1854099775711084E-3</c:v>
                </c:pt>
                <c:pt idx="40">
                  <c:v>1.1874419592546339E-3</c:v>
                </c:pt>
                <c:pt idx="41">
                  <c:v>1.1935379043052103E-3</c:v>
                </c:pt>
                <c:pt idx="42">
                  <c:v>1.1955698859887358E-3</c:v>
                </c:pt>
                <c:pt idx="43">
                  <c:v>1.1976018676722613E-3</c:v>
                </c:pt>
                <c:pt idx="44">
                  <c:v>1.1996338493557865E-3</c:v>
                </c:pt>
                <c:pt idx="45">
                  <c:v>1.201665831039312E-3</c:v>
                </c:pt>
                <c:pt idx="46">
                  <c:v>1.2077617760898884E-3</c:v>
                </c:pt>
                <c:pt idx="47">
                  <c:v>1.2097937577734139E-3</c:v>
                </c:pt>
                <c:pt idx="48">
                  <c:v>1.2118257394569392E-3</c:v>
                </c:pt>
                <c:pt idx="49">
                  <c:v>1.2138577211404647E-3</c:v>
                </c:pt>
                <c:pt idx="50">
                  <c:v>1.2158897028239901E-3</c:v>
                </c:pt>
                <c:pt idx="51">
                  <c:v>1.2219856478745666E-3</c:v>
                </c:pt>
                <c:pt idx="52">
                  <c:v>1.2240176295580918E-3</c:v>
                </c:pt>
                <c:pt idx="53">
                  <c:v>1.2260496112416173E-3</c:v>
                </c:pt>
                <c:pt idx="54">
                  <c:v>1.2280815929251428E-3</c:v>
                </c:pt>
                <c:pt idx="55">
                  <c:v>1.2301135746086683E-3</c:v>
                </c:pt>
                <c:pt idx="56">
                  <c:v>1.2362095196592447E-3</c:v>
                </c:pt>
                <c:pt idx="57">
                  <c:v>1.23824150134277E-3</c:v>
                </c:pt>
                <c:pt idx="58">
                  <c:v>1.2402734830262955E-3</c:v>
                </c:pt>
                <c:pt idx="59">
                  <c:v>1.2423054647098209E-3</c:v>
                </c:pt>
                <c:pt idx="60">
                  <c:v>1.2443374463933464E-3</c:v>
                </c:pt>
                <c:pt idx="61">
                  <c:v>1.2504333914439229E-3</c:v>
                </c:pt>
                <c:pt idx="62">
                  <c:v>1.2524653731274481E-3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'3MSynthDepo (1)'!$AJ$2</c:f>
              <c:strCache>
                <c:ptCount val="1"/>
                <c:pt idx="0">
                  <c:v>Quadratic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 (1)'!$AF$3:$AF$132</c:f>
              <c:numCache>
                <c:formatCode>ddd\,\ dd\-mmm\-yyyy</c:formatCode>
                <c:ptCount val="130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</c:numCache>
            </c:numRef>
          </c:cat>
          <c:val>
            <c:numRef>
              <c:f>'3MSynthDepo (1)'!$AJ$3:$AJ$132</c:f>
              <c:numCache>
                <c:formatCode>0.0000%</c:formatCode>
                <c:ptCount val="130"/>
                <c:pt idx="0">
                  <c:v>1.0708149507297074E-3</c:v>
                </c:pt>
                <c:pt idx="1">
                  <c:v>1.0773652591185593E-3</c:v>
                </c:pt>
                <c:pt idx="2">
                  <c:v>1.0795425870945305E-3</c:v>
                </c:pt>
                <c:pt idx="3">
                  <c:v>1.0817168609936784E-3</c:v>
                </c:pt>
                <c:pt idx="4">
                  <c:v>1.0838880808160033E-3</c:v>
                </c:pt>
                <c:pt idx="5">
                  <c:v>1.0860562465615051E-3</c:v>
                </c:pt>
                <c:pt idx="6">
                  <c:v>1.0925424193370715E-3</c:v>
                </c:pt>
                <c:pt idx="7">
                  <c:v>1.0946983687752808E-3</c:v>
                </c:pt>
                <c:pt idx="8">
                  <c:v>1.0968512641366672E-3</c:v>
                </c:pt>
                <c:pt idx="9">
                  <c:v>1.0990011054212302E-3</c:v>
                </c:pt>
                <c:pt idx="10">
                  <c:v>1.1011478926289701E-3</c:v>
                </c:pt>
                <c:pt idx="11">
                  <c:v>1.1075699297912512E-3</c:v>
                </c:pt>
                <c:pt idx="12">
                  <c:v>1.1097045006916986E-3</c:v>
                </c:pt>
                <c:pt idx="13">
                  <c:v>1.1118360175153229E-3</c:v>
                </c:pt>
                <c:pt idx="14">
                  <c:v>1.1139644802621242E-3</c:v>
                </c:pt>
                <c:pt idx="15">
                  <c:v>1.1160898889321022E-3</c:v>
                </c:pt>
                <c:pt idx="16">
                  <c:v>1.1224477904810978E-3</c:v>
                </c:pt>
                <c:pt idx="17">
                  <c:v>1.1245609828437835E-3</c:v>
                </c:pt>
                <c:pt idx="18">
                  <c:v>1.1266711211296459E-3</c:v>
                </c:pt>
                <c:pt idx="19">
                  <c:v>1.1287782053386853E-3</c:v>
                </c:pt>
                <c:pt idx="20">
                  <c:v>1.1308822354709016E-3</c:v>
                </c:pt>
                <c:pt idx="21">
                  <c:v>1.1371760014066117E-3</c:v>
                </c:pt>
                <c:pt idx="22">
                  <c:v>1.1392678152315355E-3</c:v>
                </c:pt>
                <c:pt idx="23">
                  <c:v>1.1413565749796362E-3</c:v>
                </c:pt>
                <c:pt idx="24">
                  <c:v>1.1434422806509139E-3</c:v>
                </c:pt>
                <c:pt idx="25">
                  <c:v>1.1455249322453683E-3</c:v>
                </c:pt>
                <c:pt idx="26">
                  <c:v>1.151754562567793E-3</c:v>
                </c:pt>
                <c:pt idx="27">
                  <c:v>1.153824997854955E-3</c:v>
                </c:pt>
                <c:pt idx="28">
                  <c:v>1.1558923790652939E-3</c:v>
                </c:pt>
                <c:pt idx="29">
                  <c:v>1.1579567061988096E-3</c:v>
                </c:pt>
                <c:pt idx="30">
                  <c:v>1.1600179792555022E-3</c:v>
                </c:pt>
                <c:pt idx="31">
                  <c:v>1.1661834739646413E-3</c:v>
                </c:pt>
                <c:pt idx="32">
                  <c:v>1.1682325307140415E-3</c:v>
                </c:pt>
                <c:pt idx="33">
                  <c:v>1.1702785333866184E-3</c:v>
                </c:pt>
                <c:pt idx="34">
                  <c:v>1.1723214819823725E-3</c:v>
                </c:pt>
                <c:pt idx="35">
                  <c:v>1.1743613765013031E-3</c:v>
                </c:pt>
                <c:pt idx="36">
                  <c:v>1.1804627355971569E-3</c:v>
                </c:pt>
                <c:pt idx="37">
                  <c:v>1.1824904138087952E-3</c:v>
                </c:pt>
                <c:pt idx="38">
                  <c:v>1.1845150379436104E-3</c:v>
                </c:pt>
                <c:pt idx="39">
                  <c:v>1.1865366080016024E-3</c:v>
                </c:pt>
                <c:pt idx="40">
                  <c:v>1.1885551239827715E-3</c:v>
                </c:pt>
                <c:pt idx="41">
                  <c:v>1.1945923474653399E-3</c:v>
                </c:pt>
                <c:pt idx="42">
                  <c:v>1.1965986471392162E-3</c:v>
                </c:pt>
                <c:pt idx="43">
                  <c:v>1.1986018927362698E-3</c:v>
                </c:pt>
                <c:pt idx="44">
                  <c:v>1.2006020842565E-3</c:v>
                </c:pt>
                <c:pt idx="45">
                  <c:v>1.2025992216999071E-3</c:v>
                </c:pt>
                <c:pt idx="46">
                  <c:v>1.2085723095691899E-3</c:v>
                </c:pt>
                <c:pt idx="47">
                  <c:v>1.2105572307053046E-3</c:v>
                </c:pt>
                <c:pt idx="48">
                  <c:v>1.212539097764596E-3</c:v>
                </c:pt>
                <c:pt idx="49">
                  <c:v>1.2145179107470646E-3</c:v>
                </c:pt>
                <c:pt idx="50">
                  <c:v>1.2164936696527097E-3</c:v>
                </c:pt>
                <c:pt idx="51">
                  <c:v>1.2224026219087071E-3</c:v>
                </c:pt>
                <c:pt idx="52">
                  <c:v>1.2243661645070598E-3</c:v>
                </c:pt>
                <c:pt idx="53">
                  <c:v>1.2263266530285896E-3</c:v>
                </c:pt>
                <c:pt idx="54">
                  <c:v>1.2282840874732962E-3</c:v>
                </c:pt>
                <c:pt idx="55">
                  <c:v>1.2302384678411797E-3</c:v>
                </c:pt>
                <c:pt idx="56">
                  <c:v>1.2360832844838918E-3</c:v>
                </c:pt>
                <c:pt idx="57">
                  <c:v>1.2380254485444828E-3</c:v>
                </c:pt>
                <c:pt idx="58">
                  <c:v>1.2399645585282506E-3</c:v>
                </c:pt>
                <c:pt idx="59">
                  <c:v>1.2419006144351954E-3</c:v>
                </c:pt>
                <c:pt idx="60">
                  <c:v>1.2438336162653172E-3</c:v>
                </c:pt>
                <c:pt idx="61">
                  <c:v>1.2496142972947435E-3</c:v>
                </c:pt>
                <c:pt idx="62">
                  <c:v>1.2515350828175727E-3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162944"/>
        <c:axId val="823918976"/>
      </c:lineChart>
      <c:dateAx>
        <c:axId val="824162944"/>
        <c:scaling>
          <c:orientation val="minMax"/>
        </c:scaling>
        <c:delete val="0"/>
        <c:axPos val="b"/>
        <c:numFmt formatCode="[$-409]d\-mmm\-yy;@" sourceLinked="0"/>
        <c:majorTickMark val="out"/>
        <c:minorTickMark val="none"/>
        <c:tickLblPos val="nextTo"/>
        <c:spPr>
          <a:ln>
            <a:prstDash val="sysDash"/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823918976"/>
        <c:crosses val="autoZero"/>
        <c:auto val="1"/>
        <c:lblOffset val="100"/>
        <c:baseTimeUnit val="days"/>
      </c:dateAx>
      <c:valAx>
        <c:axId val="82391897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24162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307068387284927"/>
          <c:y val="0.54172915885514306"/>
          <c:w val="0.17981517935258093"/>
          <c:h val="0.287030371203599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18110236220472"/>
          <c:y val="5.1400554097404488E-2"/>
          <c:w val="0.83889238845144354"/>
          <c:h val="0.76201625838436848"/>
        </c:manualLayout>
      </c:layout>
      <c:lineChart>
        <c:grouping val="standard"/>
        <c:varyColors val="0"/>
        <c:ser>
          <c:idx val="0"/>
          <c:order val="0"/>
          <c:tx>
            <c:strRef>
              <c:f>'1MSynthDepo'!$AD$2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numRef>
              <c:f>'1MSynthDepo'!$AB$3:$AB$90</c:f>
              <c:numCache>
                <c:formatCode>ddd\,\ dd\-mmm\-yyyy</c:formatCode>
                <c:ptCount val="88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</c:numCache>
            </c:numRef>
          </c:cat>
          <c:val>
            <c:numRef>
              <c:f>'1MSynthDepo'!$AD$3:$AD$90</c:f>
              <c:numCache>
                <c:formatCode>0.0000%</c:formatCode>
                <c:ptCount val="88"/>
                <c:pt idx="0">
                  <c:v>5.7938274945566672E-4</c:v>
                </c:pt>
                <c:pt idx="1">
                  <c:v>5.7938274945566672E-4</c:v>
                </c:pt>
                <c:pt idx="2">
                  <c:v>5.7938274945566672E-4</c:v>
                </c:pt>
                <c:pt idx="3">
                  <c:v>5.7938274945566672E-4</c:v>
                </c:pt>
                <c:pt idx="4">
                  <c:v>5.7938274945566672E-4</c:v>
                </c:pt>
                <c:pt idx="5">
                  <c:v>5.7938274945566672E-4</c:v>
                </c:pt>
                <c:pt idx="6">
                  <c:v>5.7938274945566672E-4</c:v>
                </c:pt>
                <c:pt idx="7">
                  <c:v>5.7938274945566672E-4</c:v>
                </c:pt>
                <c:pt idx="8">
                  <c:v>5.7938274945566672E-4</c:v>
                </c:pt>
                <c:pt idx="9">
                  <c:v>5.7938274945566672E-4</c:v>
                </c:pt>
                <c:pt idx="10">
                  <c:v>5.7938274945566672E-4</c:v>
                </c:pt>
                <c:pt idx="11">
                  <c:v>5.7938274945566672E-4</c:v>
                </c:pt>
                <c:pt idx="12">
                  <c:v>5.7938274945566672E-4</c:v>
                </c:pt>
                <c:pt idx="13">
                  <c:v>5.7938274945566672E-4</c:v>
                </c:pt>
                <c:pt idx="14">
                  <c:v>5.7938274945566672E-4</c:v>
                </c:pt>
                <c:pt idx="15">
                  <c:v>5.7938274945566672E-4</c:v>
                </c:pt>
                <c:pt idx="16">
                  <c:v>5.7938274945566672E-4</c:v>
                </c:pt>
                <c:pt idx="17">
                  <c:v>5.7938274945566672E-4</c:v>
                </c:pt>
                <c:pt idx="18">
                  <c:v>5.7938274945566672E-4</c:v>
                </c:pt>
                <c:pt idx="19">
                  <c:v>5.7938274945566672E-4</c:v>
                </c:pt>
                <c:pt idx="20">
                  <c:v>5.7938274945566672E-4</c:v>
                </c:pt>
                <c:pt idx="21">
                  <c:v>5.7938274945566672E-4</c:v>
                </c:pt>
                <c:pt idx="22">
                  <c:v>5.7938274945566672E-4</c:v>
                </c:pt>
                <c:pt idx="23">
                  <c:v>5.7938274945566672E-4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'1MSynthDepo'!$AE$2</c:f>
              <c:strCache>
                <c:ptCount val="1"/>
                <c:pt idx="0">
                  <c:v>Linear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'1MSynthDepo'!$AB$3:$AB$90</c:f>
              <c:numCache>
                <c:formatCode>ddd\,\ dd\-mmm\-yyyy</c:formatCode>
                <c:ptCount val="88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</c:numCache>
            </c:numRef>
          </c:cat>
          <c:val>
            <c:numRef>
              <c:f>'1MSynthDepo'!$AE$3:$AE$90</c:f>
              <c:numCache>
                <c:formatCode>0.0000%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'1MSynthDepo'!$AF$2</c:f>
              <c:strCache>
                <c:ptCount val="1"/>
                <c:pt idx="0">
                  <c:v>Quadratic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numRef>
              <c:f>'1MSynthDepo'!$AB$3:$AB$90</c:f>
              <c:numCache>
                <c:formatCode>ddd\,\ dd\-mmm\-yyyy</c:formatCode>
                <c:ptCount val="88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</c:numCache>
            </c:numRef>
          </c:cat>
          <c:val>
            <c:numRef>
              <c:f>'1MSynthDepo'!$AF$3:$AF$90</c:f>
              <c:numCache>
                <c:formatCode>0.0000%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062720"/>
        <c:axId val="824064256"/>
      </c:lineChart>
      <c:dateAx>
        <c:axId val="824062720"/>
        <c:scaling>
          <c:orientation val="minMax"/>
        </c:scaling>
        <c:delete val="0"/>
        <c:axPos val="b"/>
        <c:numFmt formatCode="[$-409]d\-mmm\-yy;@" sourceLinked="0"/>
        <c:majorTickMark val="out"/>
        <c:minorTickMark val="none"/>
        <c:tickLblPos val="nextTo"/>
        <c:spPr>
          <a:ln>
            <a:prstDash val="sysDash"/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824064256"/>
        <c:crosses val="autoZero"/>
        <c:auto val="1"/>
        <c:lblOffset val="100"/>
        <c:baseTimeUnit val="days"/>
      </c:dateAx>
      <c:valAx>
        <c:axId val="82406425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2406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307068387284927"/>
          <c:y val="0.54172915885514306"/>
          <c:w val="0.17981517935258093"/>
          <c:h val="0.287030371203599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18110236220472"/>
          <c:y val="5.1400554097404488E-2"/>
          <c:w val="0.83889238845144354"/>
          <c:h val="0.76201625838436848"/>
        </c:manualLayout>
      </c:layout>
      <c:lineChart>
        <c:grouping val="standard"/>
        <c:varyColors val="0"/>
        <c:ser>
          <c:idx val="0"/>
          <c:order val="0"/>
          <c:tx>
            <c:strRef>
              <c:f>'1YSynthDepo'!$AD$2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numRef>
              <c:f>'1YSynthDepo'!$AB$3:$AB$257</c:f>
              <c:numCache>
                <c:formatCode>ddd\,\ dd\-mmm\-yyyy</c:formatCode>
                <c:ptCount val="255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  <c:pt idx="130">
                  <c:v>42342</c:v>
                </c:pt>
                <c:pt idx="131">
                  <c:v>42345</c:v>
                </c:pt>
                <c:pt idx="132">
                  <c:v>42346</c:v>
                </c:pt>
                <c:pt idx="133">
                  <c:v>42347</c:v>
                </c:pt>
                <c:pt idx="134">
                  <c:v>42348</c:v>
                </c:pt>
                <c:pt idx="135">
                  <c:v>42349</c:v>
                </c:pt>
                <c:pt idx="136">
                  <c:v>42352</c:v>
                </c:pt>
                <c:pt idx="137">
                  <c:v>42353</c:v>
                </c:pt>
                <c:pt idx="138">
                  <c:v>42354</c:v>
                </c:pt>
                <c:pt idx="139">
                  <c:v>42355</c:v>
                </c:pt>
                <c:pt idx="140">
                  <c:v>42356</c:v>
                </c:pt>
                <c:pt idx="141">
                  <c:v>42359</c:v>
                </c:pt>
                <c:pt idx="142">
                  <c:v>42360</c:v>
                </c:pt>
                <c:pt idx="143">
                  <c:v>42361</c:v>
                </c:pt>
                <c:pt idx="144">
                  <c:v>42362</c:v>
                </c:pt>
                <c:pt idx="145">
                  <c:v>42366</c:v>
                </c:pt>
                <c:pt idx="146">
                  <c:v>42367</c:v>
                </c:pt>
                <c:pt idx="147">
                  <c:v>42368</c:v>
                </c:pt>
                <c:pt idx="148">
                  <c:v>42369</c:v>
                </c:pt>
                <c:pt idx="149">
                  <c:v>42373</c:v>
                </c:pt>
                <c:pt idx="150">
                  <c:v>42374</c:v>
                </c:pt>
                <c:pt idx="151">
                  <c:v>42375</c:v>
                </c:pt>
                <c:pt idx="152">
                  <c:v>42376</c:v>
                </c:pt>
                <c:pt idx="153">
                  <c:v>42377</c:v>
                </c:pt>
                <c:pt idx="154">
                  <c:v>42380</c:v>
                </c:pt>
                <c:pt idx="155">
                  <c:v>42381</c:v>
                </c:pt>
                <c:pt idx="156">
                  <c:v>42382</c:v>
                </c:pt>
                <c:pt idx="157">
                  <c:v>42383</c:v>
                </c:pt>
                <c:pt idx="158">
                  <c:v>42384</c:v>
                </c:pt>
                <c:pt idx="159">
                  <c:v>42387</c:v>
                </c:pt>
                <c:pt idx="160">
                  <c:v>42388</c:v>
                </c:pt>
                <c:pt idx="161">
                  <c:v>42389</c:v>
                </c:pt>
                <c:pt idx="162">
                  <c:v>42390</c:v>
                </c:pt>
                <c:pt idx="163">
                  <c:v>42391</c:v>
                </c:pt>
                <c:pt idx="164">
                  <c:v>42394</c:v>
                </c:pt>
                <c:pt idx="165">
                  <c:v>42395</c:v>
                </c:pt>
                <c:pt idx="166">
                  <c:v>42396</c:v>
                </c:pt>
                <c:pt idx="167">
                  <c:v>42397</c:v>
                </c:pt>
                <c:pt idx="168">
                  <c:v>42398</c:v>
                </c:pt>
                <c:pt idx="169">
                  <c:v>42401</c:v>
                </c:pt>
                <c:pt idx="170">
                  <c:v>42402</c:v>
                </c:pt>
                <c:pt idx="171">
                  <c:v>42403</c:v>
                </c:pt>
                <c:pt idx="172">
                  <c:v>42404</c:v>
                </c:pt>
                <c:pt idx="173">
                  <c:v>42405</c:v>
                </c:pt>
                <c:pt idx="174">
                  <c:v>42408</c:v>
                </c:pt>
                <c:pt idx="175">
                  <c:v>42409</c:v>
                </c:pt>
                <c:pt idx="176">
                  <c:v>42410</c:v>
                </c:pt>
                <c:pt idx="177">
                  <c:v>42411</c:v>
                </c:pt>
                <c:pt idx="178">
                  <c:v>42412</c:v>
                </c:pt>
                <c:pt idx="179">
                  <c:v>42415</c:v>
                </c:pt>
                <c:pt idx="180">
                  <c:v>42416</c:v>
                </c:pt>
                <c:pt idx="181">
                  <c:v>42417</c:v>
                </c:pt>
                <c:pt idx="182">
                  <c:v>42418</c:v>
                </c:pt>
                <c:pt idx="183">
                  <c:v>42419</c:v>
                </c:pt>
                <c:pt idx="184">
                  <c:v>42422</c:v>
                </c:pt>
                <c:pt idx="185">
                  <c:v>42423</c:v>
                </c:pt>
                <c:pt idx="186">
                  <c:v>42424</c:v>
                </c:pt>
                <c:pt idx="187">
                  <c:v>42425</c:v>
                </c:pt>
                <c:pt idx="188">
                  <c:v>42426</c:v>
                </c:pt>
                <c:pt idx="189">
                  <c:v>42429</c:v>
                </c:pt>
                <c:pt idx="190">
                  <c:v>42430</c:v>
                </c:pt>
                <c:pt idx="191">
                  <c:v>42431</c:v>
                </c:pt>
                <c:pt idx="192">
                  <c:v>42432</c:v>
                </c:pt>
                <c:pt idx="193">
                  <c:v>42433</c:v>
                </c:pt>
                <c:pt idx="194">
                  <c:v>42436</c:v>
                </c:pt>
                <c:pt idx="195">
                  <c:v>42437</c:v>
                </c:pt>
                <c:pt idx="196">
                  <c:v>42438</c:v>
                </c:pt>
                <c:pt idx="197">
                  <c:v>42439</c:v>
                </c:pt>
                <c:pt idx="198">
                  <c:v>42440</c:v>
                </c:pt>
                <c:pt idx="199">
                  <c:v>42443</c:v>
                </c:pt>
                <c:pt idx="200">
                  <c:v>42444</c:v>
                </c:pt>
                <c:pt idx="201">
                  <c:v>42445</c:v>
                </c:pt>
                <c:pt idx="202">
                  <c:v>42446</c:v>
                </c:pt>
                <c:pt idx="203">
                  <c:v>42447</c:v>
                </c:pt>
                <c:pt idx="204">
                  <c:v>42450</c:v>
                </c:pt>
                <c:pt idx="205">
                  <c:v>42451</c:v>
                </c:pt>
                <c:pt idx="206">
                  <c:v>42452</c:v>
                </c:pt>
                <c:pt idx="207">
                  <c:v>42453</c:v>
                </c:pt>
                <c:pt idx="208">
                  <c:v>42458</c:v>
                </c:pt>
                <c:pt idx="209">
                  <c:v>42459</c:v>
                </c:pt>
                <c:pt idx="210">
                  <c:v>42460</c:v>
                </c:pt>
                <c:pt idx="211">
                  <c:v>42461</c:v>
                </c:pt>
                <c:pt idx="212">
                  <c:v>42464</c:v>
                </c:pt>
                <c:pt idx="213">
                  <c:v>42465</c:v>
                </c:pt>
                <c:pt idx="214">
                  <c:v>42466</c:v>
                </c:pt>
                <c:pt idx="215">
                  <c:v>42467</c:v>
                </c:pt>
                <c:pt idx="216">
                  <c:v>42468</c:v>
                </c:pt>
                <c:pt idx="217">
                  <c:v>42471</c:v>
                </c:pt>
                <c:pt idx="218">
                  <c:v>42472</c:v>
                </c:pt>
                <c:pt idx="219">
                  <c:v>42473</c:v>
                </c:pt>
                <c:pt idx="220">
                  <c:v>42474</c:v>
                </c:pt>
                <c:pt idx="221">
                  <c:v>42475</c:v>
                </c:pt>
                <c:pt idx="222">
                  <c:v>42478</c:v>
                </c:pt>
                <c:pt idx="223">
                  <c:v>42479</c:v>
                </c:pt>
                <c:pt idx="224">
                  <c:v>42480</c:v>
                </c:pt>
                <c:pt idx="225">
                  <c:v>42481</c:v>
                </c:pt>
                <c:pt idx="226">
                  <c:v>42482</c:v>
                </c:pt>
                <c:pt idx="227">
                  <c:v>42485</c:v>
                </c:pt>
                <c:pt idx="228">
                  <c:v>42486</c:v>
                </c:pt>
                <c:pt idx="229">
                  <c:v>42487</c:v>
                </c:pt>
                <c:pt idx="230">
                  <c:v>42488</c:v>
                </c:pt>
                <c:pt idx="231">
                  <c:v>42489</c:v>
                </c:pt>
                <c:pt idx="232">
                  <c:v>42492</c:v>
                </c:pt>
                <c:pt idx="233">
                  <c:v>42493</c:v>
                </c:pt>
                <c:pt idx="234">
                  <c:v>42494</c:v>
                </c:pt>
                <c:pt idx="235">
                  <c:v>42495</c:v>
                </c:pt>
                <c:pt idx="236">
                  <c:v>42496</c:v>
                </c:pt>
                <c:pt idx="237">
                  <c:v>42499</c:v>
                </c:pt>
                <c:pt idx="238">
                  <c:v>42500</c:v>
                </c:pt>
                <c:pt idx="239">
                  <c:v>42501</c:v>
                </c:pt>
                <c:pt idx="240">
                  <c:v>42502</c:v>
                </c:pt>
                <c:pt idx="241">
                  <c:v>42503</c:v>
                </c:pt>
                <c:pt idx="242">
                  <c:v>42506</c:v>
                </c:pt>
                <c:pt idx="243">
                  <c:v>42507</c:v>
                </c:pt>
                <c:pt idx="244">
                  <c:v>42508</c:v>
                </c:pt>
                <c:pt idx="245">
                  <c:v>42509</c:v>
                </c:pt>
                <c:pt idx="246">
                  <c:v>42510</c:v>
                </c:pt>
                <c:pt idx="247">
                  <c:v>42513</c:v>
                </c:pt>
                <c:pt idx="248">
                  <c:v>42514</c:v>
                </c:pt>
                <c:pt idx="249">
                  <c:v>42515</c:v>
                </c:pt>
                <c:pt idx="250">
                  <c:v>42516</c:v>
                </c:pt>
                <c:pt idx="251">
                  <c:v>42517</c:v>
                </c:pt>
                <c:pt idx="252">
                  <c:v>42520</c:v>
                </c:pt>
                <c:pt idx="253">
                  <c:v>42521</c:v>
                </c:pt>
                <c:pt idx="254">
                  <c:v>42522</c:v>
                </c:pt>
              </c:numCache>
            </c:numRef>
          </c:cat>
          <c:val>
            <c:numRef>
              <c:f>'1YSynthDepo'!$AD$3:$AD$257</c:f>
              <c:numCache>
                <c:formatCode>0.0000%</c:formatCode>
                <c:ptCount val="255"/>
                <c:pt idx="0">
                  <c:v>2.8005420474306623E-3</c:v>
                </c:pt>
                <c:pt idx="1">
                  <c:v>2.8005420474306623E-3</c:v>
                </c:pt>
                <c:pt idx="2">
                  <c:v>2.8005420474306623E-3</c:v>
                </c:pt>
                <c:pt idx="3">
                  <c:v>2.8005420474306623E-3</c:v>
                </c:pt>
                <c:pt idx="4">
                  <c:v>2.8005420474306623E-3</c:v>
                </c:pt>
                <c:pt idx="5">
                  <c:v>2.8005420474306623E-3</c:v>
                </c:pt>
                <c:pt idx="6">
                  <c:v>2.8005420474306623E-3</c:v>
                </c:pt>
                <c:pt idx="7">
                  <c:v>2.8005420474306623E-3</c:v>
                </c:pt>
                <c:pt idx="8">
                  <c:v>2.8005420474306623E-3</c:v>
                </c:pt>
                <c:pt idx="9">
                  <c:v>2.8005420474306623E-3</c:v>
                </c:pt>
                <c:pt idx="10">
                  <c:v>2.8005420474306623E-3</c:v>
                </c:pt>
                <c:pt idx="11">
                  <c:v>2.8005420474306623E-3</c:v>
                </c:pt>
                <c:pt idx="12">
                  <c:v>2.8005420474306623E-3</c:v>
                </c:pt>
                <c:pt idx="13">
                  <c:v>2.8005420474306623E-3</c:v>
                </c:pt>
                <c:pt idx="14">
                  <c:v>2.8005420474306623E-3</c:v>
                </c:pt>
                <c:pt idx="15">
                  <c:v>2.8005420474306623E-3</c:v>
                </c:pt>
                <c:pt idx="16">
                  <c:v>2.8005420474306623E-3</c:v>
                </c:pt>
                <c:pt idx="17">
                  <c:v>2.8005420474306623E-3</c:v>
                </c:pt>
                <c:pt idx="18">
                  <c:v>2.8005420474306623E-3</c:v>
                </c:pt>
                <c:pt idx="19">
                  <c:v>2.8005420474306623E-3</c:v>
                </c:pt>
                <c:pt idx="20">
                  <c:v>2.8005420474306623E-3</c:v>
                </c:pt>
                <c:pt idx="21">
                  <c:v>2.8005420474306623E-3</c:v>
                </c:pt>
                <c:pt idx="22">
                  <c:v>2.8005420474306623E-3</c:v>
                </c:pt>
                <c:pt idx="23">
                  <c:v>2.8005420474306623E-3</c:v>
                </c:pt>
                <c:pt idx="24">
                  <c:v>2.8005420474306623E-3</c:v>
                </c:pt>
                <c:pt idx="25">
                  <c:v>2.8005420474306623E-3</c:v>
                </c:pt>
                <c:pt idx="26">
                  <c:v>2.8005420474306623E-3</c:v>
                </c:pt>
                <c:pt idx="27">
                  <c:v>2.8005420474306623E-3</c:v>
                </c:pt>
                <c:pt idx="28">
                  <c:v>2.8005420474306623E-3</c:v>
                </c:pt>
                <c:pt idx="29">
                  <c:v>2.8005420474306623E-3</c:v>
                </c:pt>
                <c:pt idx="30">
                  <c:v>2.8005420474306623E-3</c:v>
                </c:pt>
                <c:pt idx="31">
                  <c:v>2.8005420474306623E-3</c:v>
                </c:pt>
                <c:pt idx="32">
                  <c:v>2.8005420474306623E-3</c:v>
                </c:pt>
                <c:pt idx="33">
                  <c:v>2.8005420474306623E-3</c:v>
                </c:pt>
                <c:pt idx="34">
                  <c:v>2.8005420474306623E-3</c:v>
                </c:pt>
                <c:pt idx="35">
                  <c:v>2.8005420474306623E-3</c:v>
                </c:pt>
                <c:pt idx="36">
                  <c:v>2.8005420474306623E-3</c:v>
                </c:pt>
                <c:pt idx="37">
                  <c:v>2.8005420474306623E-3</c:v>
                </c:pt>
                <c:pt idx="38">
                  <c:v>2.8005420474306623E-3</c:v>
                </c:pt>
                <c:pt idx="39">
                  <c:v>2.8005420474306623E-3</c:v>
                </c:pt>
                <c:pt idx="40">
                  <c:v>2.8005420474306623E-3</c:v>
                </c:pt>
                <c:pt idx="41">
                  <c:v>2.8005420474306623E-3</c:v>
                </c:pt>
                <c:pt idx="42">
                  <c:v>2.8005420474306623E-3</c:v>
                </c:pt>
                <c:pt idx="43">
                  <c:v>2.8005420474306623E-3</c:v>
                </c:pt>
                <c:pt idx="44">
                  <c:v>2.8005420474306623E-3</c:v>
                </c:pt>
                <c:pt idx="45">
                  <c:v>2.8005420474306623E-3</c:v>
                </c:pt>
                <c:pt idx="46">
                  <c:v>2.8005420474306623E-3</c:v>
                </c:pt>
                <c:pt idx="47">
                  <c:v>2.8005420474306623E-3</c:v>
                </c:pt>
                <c:pt idx="48">
                  <c:v>2.8005420474306623E-3</c:v>
                </c:pt>
                <c:pt idx="49">
                  <c:v>2.8005420474306623E-3</c:v>
                </c:pt>
                <c:pt idx="50">
                  <c:v>2.8005420474306623E-3</c:v>
                </c:pt>
                <c:pt idx="51">
                  <c:v>2.8005420474306623E-3</c:v>
                </c:pt>
                <c:pt idx="52">
                  <c:v>2.8005420474306623E-3</c:v>
                </c:pt>
                <c:pt idx="53">
                  <c:v>2.8005420474306623E-3</c:v>
                </c:pt>
                <c:pt idx="54">
                  <c:v>2.8005420474306623E-3</c:v>
                </c:pt>
                <c:pt idx="55">
                  <c:v>2.8005420474306623E-3</c:v>
                </c:pt>
                <c:pt idx="56">
                  <c:v>2.8005420474306623E-3</c:v>
                </c:pt>
                <c:pt idx="57">
                  <c:v>2.8005420474306623E-3</c:v>
                </c:pt>
                <c:pt idx="58">
                  <c:v>2.8005420474306623E-3</c:v>
                </c:pt>
                <c:pt idx="59">
                  <c:v>2.8005420474306623E-3</c:v>
                </c:pt>
                <c:pt idx="60">
                  <c:v>2.8005420474306623E-3</c:v>
                </c:pt>
                <c:pt idx="61">
                  <c:v>2.8005420474306623E-3</c:v>
                </c:pt>
                <c:pt idx="62">
                  <c:v>2.8005420474306623E-3</c:v>
                </c:pt>
                <c:pt idx="63">
                  <c:v>2.8005420474306623E-3</c:v>
                </c:pt>
                <c:pt idx="64">
                  <c:v>2.8005420474306623E-3</c:v>
                </c:pt>
                <c:pt idx="65">
                  <c:v>2.8005420474306623E-3</c:v>
                </c:pt>
                <c:pt idx="66">
                  <c:v>2.8005420474306623E-3</c:v>
                </c:pt>
                <c:pt idx="67">
                  <c:v>2.8005420474306623E-3</c:v>
                </c:pt>
                <c:pt idx="68">
                  <c:v>2.8005420474306623E-3</c:v>
                </c:pt>
                <c:pt idx="69">
                  <c:v>2.8005420474306623E-3</c:v>
                </c:pt>
                <c:pt idx="70">
                  <c:v>2.8005420474306623E-3</c:v>
                </c:pt>
                <c:pt idx="71">
                  <c:v>2.8005420474306623E-3</c:v>
                </c:pt>
                <c:pt idx="72">
                  <c:v>2.8005420474306623E-3</c:v>
                </c:pt>
                <c:pt idx="73">
                  <c:v>2.8005420474306623E-3</c:v>
                </c:pt>
                <c:pt idx="74">
                  <c:v>2.8005420474306623E-3</c:v>
                </c:pt>
                <c:pt idx="75">
                  <c:v>2.8005420474306623E-3</c:v>
                </c:pt>
                <c:pt idx="76">
                  <c:v>2.8005420474306623E-3</c:v>
                </c:pt>
                <c:pt idx="77">
                  <c:v>2.8005420474306623E-3</c:v>
                </c:pt>
                <c:pt idx="78">
                  <c:v>2.8005420474306623E-3</c:v>
                </c:pt>
                <c:pt idx="79">
                  <c:v>2.8005420474306623E-3</c:v>
                </c:pt>
                <c:pt idx="80">
                  <c:v>2.8005420474306623E-3</c:v>
                </c:pt>
                <c:pt idx="81">
                  <c:v>2.8005420474306623E-3</c:v>
                </c:pt>
                <c:pt idx="82">
                  <c:v>2.8005420474306623E-3</c:v>
                </c:pt>
                <c:pt idx="83">
                  <c:v>2.8005420474306623E-3</c:v>
                </c:pt>
                <c:pt idx="84">
                  <c:v>2.8005420474306623E-3</c:v>
                </c:pt>
                <c:pt idx="85">
                  <c:v>2.8005420474306623E-3</c:v>
                </c:pt>
                <c:pt idx="86">
                  <c:v>2.8005420474306623E-3</c:v>
                </c:pt>
                <c:pt idx="87">
                  <c:v>2.8005420474306623E-3</c:v>
                </c:pt>
                <c:pt idx="88">
                  <c:v>2.8005420474306623E-3</c:v>
                </c:pt>
                <c:pt idx="89">
                  <c:v>2.8005420474306623E-3</c:v>
                </c:pt>
                <c:pt idx="90">
                  <c:v>2.8005420474306623E-3</c:v>
                </c:pt>
                <c:pt idx="91">
                  <c:v>2.8005420474306623E-3</c:v>
                </c:pt>
                <c:pt idx="92">
                  <c:v>2.8005420474306623E-3</c:v>
                </c:pt>
                <c:pt idx="93">
                  <c:v>2.8005420474306623E-3</c:v>
                </c:pt>
                <c:pt idx="94">
                  <c:v>2.8005420474306623E-3</c:v>
                </c:pt>
                <c:pt idx="95">
                  <c:v>2.8005420474306623E-3</c:v>
                </c:pt>
                <c:pt idx="96">
                  <c:v>2.8005420474306623E-3</c:v>
                </c:pt>
                <c:pt idx="97">
                  <c:v>2.8005420474306623E-3</c:v>
                </c:pt>
                <c:pt idx="98">
                  <c:v>2.8005420474306623E-3</c:v>
                </c:pt>
                <c:pt idx="99">
                  <c:v>2.8005420474306623E-3</c:v>
                </c:pt>
                <c:pt idx="100">
                  <c:v>2.8005420474306623E-3</c:v>
                </c:pt>
                <c:pt idx="101">
                  <c:v>2.8005420474306623E-3</c:v>
                </c:pt>
                <c:pt idx="102">
                  <c:v>2.8005420474306623E-3</c:v>
                </c:pt>
                <c:pt idx="103">
                  <c:v>2.8005420474306623E-3</c:v>
                </c:pt>
                <c:pt idx="104">
                  <c:v>2.8005420474306623E-3</c:v>
                </c:pt>
                <c:pt idx="105">
                  <c:v>2.8005420474306623E-3</c:v>
                </c:pt>
                <c:pt idx="106">
                  <c:v>2.8005420474306623E-3</c:v>
                </c:pt>
                <c:pt idx="107">
                  <c:v>2.8005420474306623E-3</c:v>
                </c:pt>
                <c:pt idx="108">
                  <c:v>2.8005420474306623E-3</c:v>
                </c:pt>
                <c:pt idx="109">
                  <c:v>2.8005420474306623E-3</c:v>
                </c:pt>
                <c:pt idx="110">
                  <c:v>2.8005420474306623E-3</c:v>
                </c:pt>
                <c:pt idx="111">
                  <c:v>2.8005420474306623E-3</c:v>
                </c:pt>
                <c:pt idx="112">
                  <c:v>2.8005420474306623E-3</c:v>
                </c:pt>
                <c:pt idx="113">
                  <c:v>2.8005420474306623E-3</c:v>
                </c:pt>
                <c:pt idx="114">
                  <c:v>2.8005420474306623E-3</c:v>
                </c:pt>
                <c:pt idx="115">
                  <c:v>2.8005420474306623E-3</c:v>
                </c:pt>
                <c:pt idx="116">
                  <c:v>2.8005420474306623E-3</c:v>
                </c:pt>
                <c:pt idx="117">
                  <c:v>2.8005420474306623E-3</c:v>
                </c:pt>
                <c:pt idx="118">
                  <c:v>2.8005420474306623E-3</c:v>
                </c:pt>
                <c:pt idx="119">
                  <c:v>2.8005420474306623E-3</c:v>
                </c:pt>
                <c:pt idx="120">
                  <c:v>2.8005420474306623E-3</c:v>
                </c:pt>
                <c:pt idx="121">
                  <c:v>2.8005420474306623E-3</c:v>
                </c:pt>
                <c:pt idx="122">
                  <c:v>2.8005420474306623E-3</c:v>
                </c:pt>
                <c:pt idx="123">
                  <c:v>2.8005420474306623E-3</c:v>
                </c:pt>
                <c:pt idx="124">
                  <c:v>2.8005420474306623E-3</c:v>
                </c:pt>
                <c:pt idx="125">
                  <c:v>2.8005420474306623E-3</c:v>
                </c:pt>
                <c:pt idx="126">
                  <c:v>2.8005420474306623E-3</c:v>
                </c:pt>
                <c:pt idx="127">
                  <c:v>2.8005420474306623E-3</c:v>
                </c:pt>
                <c:pt idx="128">
                  <c:v>2.8005420474306623E-3</c:v>
                </c:pt>
                <c:pt idx="129">
                  <c:v>2.8005420474306623E-3</c:v>
                </c:pt>
                <c:pt idx="130">
                  <c:v>2.8005420474306623E-3</c:v>
                </c:pt>
                <c:pt idx="131">
                  <c:v>2.8005420474306623E-3</c:v>
                </c:pt>
                <c:pt idx="132">
                  <c:v>2.8005420474306623E-3</c:v>
                </c:pt>
                <c:pt idx="133">
                  <c:v>2.8005420474306623E-3</c:v>
                </c:pt>
                <c:pt idx="134">
                  <c:v>2.8005420474306623E-3</c:v>
                </c:pt>
                <c:pt idx="135">
                  <c:v>2.8005420474306623E-3</c:v>
                </c:pt>
                <c:pt idx="136">
                  <c:v>2.8005420474306623E-3</c:v>
                </c:pt>
                <c:pt idx="137">
                  <c:v>2.8005420474306623E-3</c:v>
                </c:pt>
                <c:pt idx="138">
                  <c:v>2.8005420474306623E-3</c:v>
                </c:pt>
                <c:pt idx="139">
                  <c:v>2.8005420474306623E-3</c:v>
                </c:pt>
                <c:pt idx="140">
                  <c:v>2.8005420474306623E-3</c:v>
                </c:pt>
                <c:pt idx="141">
                  <c:v>2.8005420474306623E-3</c:v>
                </c:pt>
                <c:pt idx="142">
                  <c:v>2.8005420474306623E-3</c:v>
                </c:pt>
                <c:pt idx="143">
                  <c:v>2.8005420474306623E-3</c:v>
                </c:pt>
                <c:pt idx="144">
                  <c:v>2.8005420474306623E-3</c:v>
                </c:pt>
                <c:pt idx="145">
                  <c:v>2.8005420474306623E-3</c:v>
                </c:pt>
                <c:pt idx="146">
                  <c:v>2.8005420474306623E-3</c:v>
                </c:pt>
                <c:pt idx="147">
                  <c:v>2.8005420474306623E-3</c:v>
                </c:pt>
                <c:pt idx="148">
                  <c:v>2.8005420474306623E-3</c:v>
                </c:pt>
                <c:pt idx="149">
                  <c:v>2.8005420474306623E-3</c:v>
                </c:pt>
                <c:pt idx="150">
                  <c:v>2.8005420474306623E-3</c:v>
                </c:pt>
                <c:pt idx="151">
                  <c:v>2.8005420474306623E-3</c:v>
                </c:pt>
                <c:pt idx="152">
                  <c:v>2.8005420474306623E-3</c:v>
                </c:pt>
                <c:pt idx="153">
                  <c:v>2.8005420474306623E-3</c:v>
                </c:pt>
                <c:pt idx="154">
                  <c:v>2.8005420474306623E-3</c:v>
                </c:pt>
                <c:pt idx="155">
                  <c:v>2.8005420474306623E-3</c:v>
                </c:pt>
                <c:pt idx="156">
                  <c:v>2.8005420474306623E-3</c:v>
                </c:pt>
                <c:pt idx="157">
                  <c:v>2.8005420474306623E-3</c:v>
                </c:pt>
                <c:pt idx="158">
                  <c:v>2.8005420474306623E-3</c:v>
                </c:pt>
                <c:pt idx="159">
                  <c:v>2.8005420474306623E-3</c:v>
                </c:pt>
                <c:pt idx="160">
                  <c:v>2.8005420474306623E-3</c:v>
                </c:pt>
                <c:pt idx="161">
                  <c:v>2.8005420474306623E-3</c:v>
                </c:pt>
                <c:pt idx="162">
                  <c:v>2.8005420474306623E-3</c:v>
                </c:pt>
                <c:pt idx="163">
                  <c:v>2.8005420474306623E-3</c:v>
                </c:pt>
                <c:pt idx="164">
                  <c:v>2.8005420474306623E-3</c:v>
                </c:pt>
                <c:pt idx="165">
                  <c:v>2.8005420474306623E-3</c:v>
                </c:pt>
                <c:pt idx="166">
                  <c:v>2.8005420474306623E-3</c:v>
                </c:pt>
                <c:pt idx="167">
                  <c:v>2.8005420474306623E-3</c:v>
                </c:pt>
                <c:pt idx="168">
                  <c:v>2.8005420474306623E-3</c:v>
                </c:pt>
                <c:pt idx="169">
                  <c:v>2.8005420474306623E-3</c:v>
                </c:pt>
                <c:pt idx="170">
                  <c:v>2.8005420474306623E-3</c:v>
                </c:pt>
                <c:pt idx="171">
                  <c:v>2.8005420474306623E-3</c:v>
                </c:pt>
                <c:pt idx="172">
                  <c:v>2.8005420474306623E-3</c:v>
                </c:pt>
                <c:pt idx="173">
                  <c:v>2.8005420474306623E-3</c:v>
                </c:pt>
                <c:pt idx="174">
                  <c:v>2.8005420474306623E-3</c:v>
                </c:pt>
                <c:pt idx="175">
                  <c:v>2.8005420474306623E-3</c:v>
                </c:pt>
                <c:pt idx="176">
                  <c:v>2.8005420474306623E-3</c:v>
                </c:pt>
                <c:pt idx="177">
                  <c:v>2.8005420474306623E-3</c:v>
                </c:pt>
                <c:pt idx="178">
                  <c:v>2.8005420474306623E-3</c:v>
                </c:pt>
                <c:pt idx="179">
                  <c:v>2.8005420474306623E-3</c:v>
                </c:pt>
                <c:pt idx="180">
                  <c:v>2.8005420474306623E-3</c:v>
                </c:pt>
                <c:pt idx="181">
                  <c:v>2.8005420474306623E-3</c:v>
                </c:pt>
                <c:pt idx="182">
                  <c:v>2.8005420474306623E-3</c:v>
                </c:pt>
                <c:pt idx="183">
                  <c:v>2.8005420474306623E-3</c:v>
                </c:pt>
                <c:pt idx="184">
                  <c:v>2.8005420474306623E-3</c:v>
                </c:pt>
                <c:pt idx="185">
                  <c:v>2.8005420474306623E-3</c:v>
                </c:pt>
                <c:pt idx="186">
                  <c:v>2.8005420474306623E-3</c:v>
                </c:pt>
                <c:pt idx="187">
                  <c:v>2.8005420474306623E-3</c:v>
                </c:pt>
                <c:pt idx="188">
                  <c:v>2.8005420474306623E-3</c:v>
                </c:pt>
                <c:pt idx="189">
                  <c:v>2.8005420474306623E-3</c:v>
                </c:pt>
                <c:pt idx="190">
                  <c:v>2.8005420474306623E-3</c:v>
                </c:pt>
                <c:pt idx="191">
                  <c:v>2.8005420474306623E-3</c:v>
                </c:pt>
                <c:pt idx="192">
                  <c:v>2.8005420474306623E-3</c:v>
                </c:pt>
                <c:pt idx="193">
                  <c:v>2.8005420474306623E-3</c:v>
                </c:pt>
                <c:pt idx="194">
                  <c:v>2.8005420474306623E-3</c:v>
                </c:pt>
                <c:pt idx="195">
                  <c:v>2.8005420474306623E-3</c:v>
                </c:pt>
                <c:pt idx="196">
                  <c:v>2.8005420474306623E-3</c:v>
                </c:pt>
                <c:pt idx="197">
                  <c:v>2.8005420474306623E-3</c:v>
                </c:pt>
                <c:pt idx="198">
                  <c:v>2.8005420474306623E-3</c:v>
                </c:pt>
                <c:pt idx="199">
                  <c:v>2.8005420474306623E-3</c:v>
                </c:pt>
                <c:pt idx="200">
                  <c:v>2.8005420474306623E-3</c:v>
                </c:pt>
                <c:pt idx="201">
                  <c:v>2.8005420474306623E-3</c:v>
                </c:pt>
                <c:pt idx="202">
                  <c:v>2.8005420474306623E-3</c:v>
                </c:pt>
                <c:pt idx="203">
                  <c:v>2.8005420474306623E-3</c:v>
                </c:pt>
                <c:pt idx="204">
                  <c:v>2.8005420474306623E-3</c:v>
                </c:pt>
                <c:pt idx="205">
                  <c:v>2.8005420474306623E-3</c:v>
                </c:pt>
                <c:pt idx="206">
                  <c:v>2.8005420474306623E-3</c:v>
                </c:pt>
                <c:pt idx="207">
                  <c:v>2.8005420474306623E-3</c:v>
                </c:pt>
                <c:pt idx="208">
                  <c:v>2.8005420474306623E-3</c:v>
                </c:pt>
                <c:pt idx="209">
                  <c:v>2.8005420474306623E-3</c:v>
                </c:pt>
                <c:pt idx="210">
                  <c:v>2.8005420474306623E-3</c:v>
                </c:pt>
                <c:pt idx="211">
                  <c:v>2.8005420474306623E-3</c:v>
                </c:pt>
                <c:pt idx="212">
                  <c:v>2.8005420474306623E-3</c:v>
                </c:pt>
                <c:pt idx="213">
                  <c:v>2.8005420474306623E-3</c:v>
                </c:pt>
                <c:pt idx="214">
                  <c:v>2.8005420474306623E-3</c:v>
                </c:pt>
                <c:pt idx="215">
                  <c:v>2.8005420474306623E-3</c:v>
                </c:pt>
                <c:pt idx="216">
                  <c:v>2.8005420474306623E-3</c:v>
                </c:pt>
                <c:pt idx="217">
                  <c:v>2.8005420474306623E-3</c:v>
                </c:pt>
                <c:pt idx="218">
                  <c:v>2.8005420474306623E-3</c:v>
                </c:pt>
                <c:pt idx="219">
                  <c:v>2.8005420474306623E-3</c:v>
                </c:pt>
                <c:pt idx="220">
                  <c:v>2.8005420474306623E-3</c:v>
                </c:pt>
                <c:pt idx="221">
                  <c:v>2.8005420474306623E-3</c:v>
                </c:pt>
                <c:pt idx="222">
                  <c:v>2.8005420474306623E-3</c:v>
                </c:pt>
                <c:pt idx="223">
                  <c:v>2.8005420474306623E-3</c:v>
                </c:pt>
                <c:pt idx="224">
                  <c:v>2.8005420474306623E-3</c:v>
                </c:pt>
                <c:pt idx="225">
                  <c:v>2.8005420474306623E-3</c:v>
                </c:pt>
                <c:pt idx="226">
                  <c:v>2.8005420474306623E-3</c:v>
                </c:pt>
                <c:pt idx="227">
                  <c:v>2.8005420474306623E-3</c:v>
                </c:pt>
                <c:pt idx="228">
                  <c:v>2.8005420474306623E-3</c:v>
                </c:pt>
                <c:pt idx="229">
                  <c:v>2.8005420474306623E-3</c:v>
                </c:pt>
                <c:pt idx="230">
                  <c:v>2.8005420474306623E-3</c:v>
                </c:pt>
                <c:pt idx="231">
                  <c:v>2.8005420474306623E-3</c:v>
                </c:pt>
                <c:pt idx="232">
                  <c:v>2.8005420474306623E-3</c:v>
                </c:pt>
                <c:pt idx="233">
                  <c:v>2.8005420474306623E-3</c:v>
                </c:pt>
                <c:pt idx="234">
                  <c:v>2.8005420474306623E-3</c:v>
                </c:pt>
                <c:pt idx="235">
                  <c:v>2.8005420474306623E-3</c:v>
                </c:pt>
                <c:pt idx="236">
                  <c:v>2.8005420474306623E-3</c:v>
                </c:pt>
                <c:pt idx="237">
                  <c:v>2.8005420474306623E-3</c:v>
                </c:pt>
                <c:pt idx="238">
                  <c:v>2.8005420474306623E-3</c:v>
                </c:pt>
                <c:pt idx="239">
                  <c:v>2.8005420474306623E-3</c:v>
                </c:pt>
                <c:pt idx="240">
                  <c:v>2.8005420474306623E-3</c:v>
                </c:pt>
                <c:pt idx="241">
                  <c:v>2.8005420474306623E-3</c:v>
                </c:pt>
                <c:pt idx="242">
                  <c:v>2.8005420474306623E-3</c:v>
                </c:pt>
                <c:pt idx="243">
                  <c:v>2.8005420474306623E-3</c:v>
                </c:pt>
                <c:pt idx="244">
                  <c:v>2.8005420474306623E-3</c:v>
                </c:pt>
                <c:pt idx="245">
                  <c:v>2.8005420474306623E-3</c:v>
                </c:pt>
                <c:pt idx="246">
                  <c:v>2.8005420474306623E-3</c:v>
                </c:pt>
                <c:pt idx="247">
                  <c:v>2.8005420474306623E-3</c:v>
                </c:pt>
                <c:pt idx="248">
                  <c:v>2.8005420474306623E-3</c:v>
                </c:pt>
                <c:pt idx="249">
                  <c:v>2.8005420474306623E-3</c:v>
                </c:pt>
                <c:pt idx="250">
                  <c:v>2.8005420474306623E-3</c:v>
                </c:pt>
                <c:pt idx="251">
                  <c:v>2.8005420474306623E-3</c:v>
                </c:pt>
                <c:pt idx="252">
                  <c:v>2.8005420474306623E-3</c:v>
                </c:pt>
                <c:pt idx="253">
                  <c:v>2.8005420474306623E-3</c:v>
                </c:pt>
                <c:pt idx="254">
                  <c:v>2.8005420474306623E-3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'1YSynthDepo'!$AE$2</c:f>
              <c:strCache>
                <c:ptCount val="1"/>
                <c:pt idx="0">
                  <c:v>Linear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'1YSynthDepo'!$AB$3:$AB$257</c:f>
              <c:numCache>
                <c:formatCode>ddd\,\ dd\-mmm\-yyyy</c:formatCode>
                <c:ptCount val="255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  <c:pt idx="130">
                  <c:v>42342</c:v>
                </c:pt>
                <c:pt idx="131">
                  <c:v>42345</c:v>
                </c:pt>
                <c:pt idx="132">
                  <c:v>42346</c:v>
                </c:pt>
                <c:pt idx="133">
                  <c:v>42347</c:v>
                </c:pt>
                <c:pt idx="134">
                  <c:v>42348</c:v>
                </c:pt>
                <c:pt idx="135">
                  <c:v>42349</c:v>
                </c:pt>
                <c:pt idx="136">
                  <c:v>42352</c:v>
                </c:pt>
                <c:pt idx="137">
                  <c:v>42353</c:v>
                </c:pt>
                <c:pt idx="138">
                  <c:v>42354</c:v>
                </c:pt>
                <c:pt idx="139">
                  <c:v>42355</c:v>
                </c:pt>
                <c:pt idx="140">
                  <c:v>42356</c:v>
                </c:pt>
                <c:pt idx="141">
                  <c:v>42359</c:v>
                </c:pt>
                <c:pt idx="142">
                  <c:v>42360</c:v>
                </c:pt>
                <c:pt idx="143">
                  <c:v>42361</c:v>
                </c:pt>
                <c:pt idx="144">
                  <c:v>42362</c:v>
                </c:pt>
                <c:pt idx="145">
                  <c:v>42366</c:v>
                </c:pt>
                <c:pt idx="146">
                  <c:v>42367</c:v>
                </c:pt>
                <c:pt idx="147">
                  <c:v>42368</c:v>
                </c:pt>
                <c:pt idx="148">
                  <c:v>42369</c:v>
                </c:pt>
                <c:pt idx="149">
                  <c:v>42373</c:v>
                </c:pt>
                <c:pt idx="150">
                  <c:v>42374</c:v>
                </c:pt>
                <c:pt idx="151">
                  <c:v>42375</c:v>
                </c:pt>
                <c:pt idx="152">
                  <c:v>42376</c:v>
                </c:pt>
                <c:pt idx="153">
                  <c:v>42377</c:v>
                </c:pt>
                <c:pt idx="154">
                  <c:v>42380</c:v>
                </c:pt>
                <c:pt idx="155">
                  <c:v>42381</c:v>
                </c:pt>
                <c:pt idx="156">
                  <c:v>42382</c:v>
                </c:pt>
                <c:pt idx="157">
                  <c:v>42383</c:v>
                </c:pt>
                <c:pt idx="158">
                  <c:v>42384</c:v>
                </c:pt>
                <c:pt idx="159">
                  <c:v>42387</c:v>
                </c:pt>
                <c:pt idx="160">
                  <c:v>42388</c:v>
                </c:pt>
                <c:pt idx="161">
                  <c:v>42389</c:v>
                </c:pt>
                <c:pt idx="162">
                  <c:v>42390</c:v>
                </c:pt>
                <c:pt idx="163">
                  <c:v>42391</c:v>
                </c:pt>
                <c:pt idx="164">
                  <c:v>42394</c:v>
                </c:pt>
                <c:pt idx="165">
                  <c:v>42395</c:v>
                </c:pt>
                <c:pt idx="166">
                  <c:v>42396</c:v>
                </c:pt>
                <c:pt idx="167">
                  <c:v>42397</c:v>
                </c:pt>
                <c:pt idx="168">
                  <c:v>42398</c:v>
                </c:pt>
                <c:pt idx="169">
                  <c:v>42401</c:v>
                </c:pt>
                <c:pt idx="170">
                  <c:v>42402</c:v>
                </c:pt>
                <c:pt idx="171">
                  <c:v>42403</c:v>
                </c:pt>
                <c:pt idx="172">
                  <c:v>42404</c:v>
                </c:pt>
                <c:pt idx="173">
                  <c:v>42405</c:v>
                </c:pt>
                <c:pt idx="174">
                  <c:v>42408</c:v>
                </c:pt>
                <c:pt idx="175">
                  <c:v>42409</c:v>
                </c:pt>
                <c:pt idx="176">
                  <c:v>42410</c:v>
                </c:pt>
                <c:pt idx="177">
                  <c:v>42411</c:v>
                </c:pt>
                <c:pt idx="178">
                  <c:v>42412</c:v>
                </c:pt>
                <c:pt idx="179">
                  <c:v>42415</c:v>
                </c:pt>
                <c:pt idx="180">
                  <c:v>42416</c:v>
                </c:pt>
                <c:pt idx="181">
                  <c:v>42417</c:v>
                </c:pt>
                <c:pt idx="182">
                  <c:v>42418</c:v>
                </c:pt>
                <c:pt idx="183">
                  <c:v>42419</c:v>
                </c:pt>
                <c:pt idx="184">
                  <c:v>42422</c:v>
                </c:pt>
                <c:pt idx="185">
                  <c:v>42423</c:v>
                </c:pt>
                <c:pt idx="186">
                  <c:v>42424</c:v>
                </c:pt>
                <c:pt idx="187">
                  <c:v>42425</c:v>
                </c:pt>
                <c:pt idx="188">
                  <c:v>42426</c:v>
                </c:pt>
                <c:pt idx="189">
                  <c:v>42429</c:v>
                </c:pt>
                <c:pt idx="190">
                  <c:v>42430</c:v>
                </c:pt>
                <c:pt idx="191">
                  <c:v>42431</c:v>
                </c:pt>
                <c:pt idx="192">
                  <c:v>42432</c:v>
                </c:pt>
                <c:pt idx="193">
                  <c:v>42433</c:v>
                </c:pt>
                <c:pt idx="194">
                  <c:v>42436</c:v>
                </c:pt>
                <c:pt idx="195">
                  <c:v>42437</c:v>
                </c:pt>
                <c:pt idx="196">
                  <c:v>42438</c:v>
                </c:pt>
                <c:pt idx="197">
                  <c:v>42439</c:v>
                </c:pt>
                <c:pt idx="198">
                  <c:v>42440</c:v>
                </c:pt>
                <c:pt idx="199">
                  <c:v>42443</c:v>
                </c:pt>
                <c:pt idx="200">
                  <c:v>42444</c:v>
                </c:pt>
                <c:pt idx="201">
                  <c:v>42445</c:v>
                </c:pt>
                <c:pt idx="202">
                  <c:v>42446</c:v>
                </c:pt>
                <c:pt idx="203">
                  <c:v>42447</c:v>
                </c:pt>
                <c:pt idx="204">
                  <c:v>42450</c:v>
                </c:pt>
                <c:pt idx="205">
                  <c:v>42451</c:v>
                </c:pt>
                <c:pt idx="206">
                  <c:v>42452</c:v>
                </c:pt>
                <c:pt idx="207">
                  <c:v>42453</c:v>
                </c:pt>
                <c:pt idx="208">
                  <c:v>42458</c:v>
                </c:pt>
                <c:pt idx="209">
                  <c:v>42459</c:v>
                </c:pt>
                <c:pt idx="210">
                  <c:v>42460</c:v>
                </c:pt>
                <c:pt idx="211">
                  <c:v>42461</c:v>
                </c:pt>
                <c:pt idx="212">
                  <c:v>42464</c:v>
                </c:pt>
                <c:pt idx="213">
                  <c:v>42465</c:v>
                </c:pt>
                <c:pt idx="214">
                  <c:v>42466</c:v>
                </c:pt>
                <c:pt idx="215">
                  <c:v>42467</c:v>
                </c:pt>
                <c:pt idx="216">
                  <c:v>42468</c:v>
                </c:pt>
                <c:pt idx="217">
                  <c:v>42471</c:v>
                </c:pt>
                <c:pt idx="218">
                  <c:v>42472</c:v>
                </c:pt>
                <c:pt idx="219">
                  <c:v>42473</c:v>
                </c:pt>
                <c:pt idx="220">
                  <c:v>42474</c:v>
                </c:pt>
                <c:pt idx="221">
                  <c:v>42475</c:v>
                </c:pt>
                <c:pt idx="222">
                  <c:v>42478</c:v>
                </c:pt>
                <c:pt idx="223">
                  <c:v>42479</c:v>
                </c:pt>
                <c:pt idx="224">
                  <c:v>42480</c:v>
                </c:pt>
                <c:pt idx="225">
                  <c:v>42481</c:v>
                </c:pt>
                <c:pt idx="226">
                  <c:v>42482</c:v>
                </c:pt>
                <c:pt idx="227">
                  <c:v>42485</c:v>
                </c:pt>
                <c:pt idx="228">
                  <c:v>42486</c:v>
                </c:pt>
                <c:pt idx="229">
                  <c:v>42487</c:v>
                </c:pt>
                <c:pt idx="230">
                  <c:v>42488</c:v>
                </c:pt>
                <c:pt idx="231">
                  <c:v>42489</c:v>
                </c:pt>
                <c:pt idx="232">
                  <c:v>42492</c:v>
                </c:pt>
                <c:pt idx="233">
                  <c:v>42493</c:v>
                </c:pt>
                <c:pt idx="234">
                  <c:v>42494</c:v>
                </c:pt>
                <c:pt idx="235">
                  <c:v>42495</c:v>
                </c:pt>
                <c:pt idx="236">
                  <c:v>42496</c:v>
                </c:pt>
                <c:pt idx="237">
                  <c:v>42499</c:v>
                </c:pt>
                <c:pt idx="238">
                  <c:v>42500</c:v>
                </c:pt>
                <c:pt idx="239">
                  <c:v>42501</c:v>
                </c:pt>
                <c:pt idx="240">
                  <c:v>42502</c:v>
                </c:pt>
                <c:pt idx="241">
                  <c:v>42503</c:v>
                </c:pt>
                <c:pt idx="242">
                  <c:v>42506</c:v>
                </c:pt>
                <c:pt idx="243">
                  <c:v>42507</c:v>
                </c:pt>
                <c:pt idx="244">
                  <c:v>42508</c:v>
                </c:pt>
                <c:pt idx="245">
                  <c:v>42509</c:v>
                </c:pt>
                <c:pt idx="246">
                  <c:v>42510</c:v>
                </c:pt>
                <c:pt idx="247">
                  <c:v>42513</c:v>
                </c:pt>
                <c:pt idx="248">
                  <c:v>42514</c:v>
                </c:pt>
                <c:pt idx="249">
                  <c:v>42515</c:v>
                </c:pt>
                <c:pt idx="250">
                  <c:v>42516</c:v>
                </c:pt>
                <c:pt idx="251">
                  <c:v>42517</c:v>
                </c:pt>
                <c:pt idx="252">
                  <c:v>42520</c:v>
                </c:pt>
                <c:pt idx="253">
                  <c:v>42521</c:v>
                </c:pt>
                <c:pt idx="254">
                  <c:v>42522</c:v>
                </c:pt>
              </c:numCache>
            </c:numRef>
          </c:cat>
          <c:val>
            <c:numRef>
              <c:f>'1YSynthDepo'!$AE$3:$AE$257</c:f>
              <c:numCache>
                <c:formatCode>0.0000%</c:formatCode>
                <c:ptCount val="255"/>
                <c:pt idx="0">
                  <c:v>1.8770964036538612E-3</c:v>
                </c:pt>
                <c:pt idx="1">
                  <c:v>1.8921936076393129E-3</c:v>
                </c:pt>
                <c:pt idx="2">
                  <c:v>1.8972260089677969E-3</c:v>
                </c:pt>
                <c:pt idx="3">
                  <c:v>1.9022584102962809E-3</c:v>
                </c:pt>
                <c:pt idx="4">
                  <c:v>1.9072908116247646E-3</c:v>
                </c:pt>
                <c:pt idx="5">
                  <c:v>1.9123232129532486E-3</c:v>
                </c:pt>
                <c:pt idx="6">
                  <c:v>1.9274204169387004E-3</c:v>
                </c:pt>
                <c:pt idx="7">
                  <c:v>1.9324528182671843E-3</c:v>
                </c:pt>
                <c:pt idx="8">
                  <c:v>1.9374852195956683E-3</c:v>
                </c:pt>
                <c:pt idx="9">
                  <c:v>1.9425176209241523E-3</c:v>
                </c:pt>
                <c:pt idx="10">
                  <c:v>1.9475500222526361E-3</c:v>
                </c:pt>
                <c:pt idx="11">
                  <c:v>1.9626472262380878E-3</c:v>
                </c:pt>
                <c:pt idx="12">
                  <c:v>1.967679627566572E-3</c:v>
                </c:pt>
                <c:pt idx="13">
                  <c:v>1.9727120288950558E-3</c:v>
                </c:pt>
                <c:pt idx="14">
                  <c:v>1.9777444302235395E-3</c:v>
                </c:pt>
                <c:pt idx="15">
                  <c:v>1.9827768315520237E-3</c:v>
                </c:pt>
                <c:pt idx="16">
                  <c:v>1.9978740355374755E-3</c:v>
                </c:pt>
                <c:pt idx="17">
                  <c:v>2.0029064368659593E-3</c:v>
                </c:pt>
                <c:pt idx="18">
                  <c:v>2.0079388381944435E-3</c:v>
                </c:pt>
                <c:pt idx="19">
                  <c:v>2.0129712395229272E-3</c:v>
                </c:pt>
                <c:pt idx="20">
                  <c:v>2.018003640851411E-3</c:v>
                </c:pt>
                <c:pt idx="21">
                  <c:v>2.0331008448368627E-3</c:v>
                </c:pt>
                <c:pt idx="22">
                  <c:v>2.0381332461653469E-3</c:v>
                </c:pt>
                <c:pt idx="23">
                  <c:v>2.0431656474938307E-3</c:v>
                </c:pt>
                <c:pt idx="24">
                  <c:v>2.0481980488223145E-3</c:v>
                </c:pt>
                <c:pt idx="25">
                  <c:v>2.0532304501507987E-3</c:v>
                </c:pt>
                <c:pt idx="26">
                  <c:v>2.0683276541362504E-3</c:v>
                </c:pt>
                <c:pt idx="27">
                  <c:v>2.0733600554647342E-3</c:v>
                </c:pt>
                <c:pt idx="28">
                  <c:v>2.0783924567932184E-3</c:v>
                </c:pt>
                <c:pt idx="29">
                  <c:v>2.0834248581217021E-3</c:v>
                </c:pt>
                <c:pt idx="30">
                  <c:v>2.0884572594501859E-3</c:v>
                </c:pt>
                <c:pt idx="31">
                  <c:v>2.1035544634356376E-3</c:v>
                </c:pt>
                <c:pt idx="32">
                  <c:v>2.1085868647641218E-3</c:v>
                </c:pt>
                <c:pt idx="33">
                  <c:v>2.1136192660926056E-3</c:v>
                </c:pt>
                <c:pt idx="34">
                  <c:v>2.1186516674210898E-3</c:v>
                </c:pt>
                <c:pt idx="35">
                  <c:v>2.1236840687495736E-3</c:v>
                </c:pt>
                <c:pt idx="36">
                  <c:v>2.1387812727350253E-3</c:v>
                </c:pt>
                <c:pt idx="37">
                  <c:v>2.1438136740635095E-3</c:v>
                </c:pt>
                <c:pt idx="38">
                  <c:v>2.1488460753919933E-3</c:v>
                </c:pt>
                <c:pt idx="39">
                  <c:v>2.153878476720477E-3</c:v>
                </c:pt>
                <c:pt idx="40">
                  <c:v>2.1589108780489608E-3</c:v>
                </c:pt>
                <c:pt idx="41">
                  <c:v>2.174008082034413E-3</c:v>
                </c:pt>
                <c:pt idx="42">
                  <c:v>2.1790404833628967E-3</c:v>
                </c:pt>
                <c:pt idx="43">
                  <c:v>2.1840728846913805E-3</c:v>
                </c:pt>
                <c:pt idx="44">
                  <c:v>2.1891052860198647E-3</c:v>
                </c:pt>
                <c:pt idx="45">
                  <c:v>2.1941376873483485E-3</c:v>
                </c:pt>
                <c:pt idx="46">
                  <c:v>2.2092348913338002E-3</c:v>
                </c:pt>
                <c:pt idx="47">
                  <c:v>2.2142672926622844E-3</c:v>
                </c:pt>
                <c:pt idx="48">
                  <c:v>2.2192996939907682E-3</c:v>
                </c:pt>
                <c:pt idx="49">
                  <c:v>2.2243320953192519E-3</c:v>
                </c:pt>
                <c:pt idx="50">
                  <c:v>2.2293644966477361E-3</c:v>
                </c:pt>
                <c:pt idx="51">
                  <c:v>2.2444617006331879E-3</c:v>
                </c:pt>
                <c:pt idx="52">
                  <c:v>2.2494941019616716E-3</c:v>
                </c:pt>
                <c:pt idx="53">
                  <c:v>2.2545265032901558E-3</c:v>
                </c:pt>
                <c:pt idx="54">
                  <c:v>2.2595589046186396E-3</c:v>
                </c:pt>
                <c:pt idx="55">
                  <c:v>2.2645913059471234E-3</c:v>
                </c:pt>
                <c:pt idx="56">
                  <c:v>2.2796885099325751E-3</c:v>
                </c:pt>
                <c:pt idx="57">
                  <c:v>2.2847209112610593E-3</c:v>
                </c:pt>
                <c:pt idx="58">
                  <c:v>2.2897533125895431E-3</c:v>
                </c:pt>
                <c:pt idx="59">
                  <c:v>2.2947857139180268E-3</c:v>
                </c:pt>
                <c:pt idx="60">
                  <c:v>2.299818115246511E-3</c:v>
                </c:pt>
                <c:pt idx="61">
                  <c:v>2.3149153192319628E-3</c:v>
                </c:pt>
                <c:pt idx="62">
                  <c:v>2.3199477205604465E-3</c:v>
                </c:pt>
                <c:pt idx="63">
                  <c:v>2.3249801218889307E-3</c:v>
                </c:pt>
                <c:pt idx="64">
                  <c:v>2.3300125232174145E-3</c:v>
                </c:pt>
                <c:pt idx="65">
                  <c:v>2.3350449245458983E-3</c:v>
                </c:pt>
                <c:pt idx="66">
                  <c:v>2.35014212853135E-3</c:v>
                </c:pt>
                <c:pt idx="67">
                  <c:v>2.3551745298598342E-3</c:v>
                </c:pt>
                <c:pt idx="68">
                  <c:v>2.360206931188318E-3</c:v>
                </c:pt>
                <c:pt idx="69">
                  <c:v>2.3652393325168022E-3</c:v>
                </c:pt>
                <c:pt idx="70">
                  <c:v>2.3702717338452859E-3</c:v>
                </c:pt>
                <c:pt idx="71">
                  <c:v>2.3853689378307377E-3</c:v>
                </c:pt>
                <c:pt idx="72">
                  <c:v>2.3904013391592214E-3</c:v>
                </c:pt>
                <c:pt idx="73">
                  <c:v>2.3954337404877056E-3</c:v>
                </c:pt>
                <c:pt idx="74">
                  <c:v>2.4004661418161894E-3</c:v>
                </c:pt>
                <c:pt idx="75">
                  <c:v>2.4054985431446732E-3</c:v>
                </c:pt>
                <c:pt idx="76">
                  <c:v>2.4205957471301253E-3</c:v>
                </c:pt>
                <c:pt idx="77">
                  <c:v>2.4256281484586091E-3</c:v>
                </c:pt>
                <c:pt idx="78">
                  <c:v>2.4306605497870929E-3</c:v>
                </c:pt>
                <c:pt idx="79">
                  <c:v>2.4356929511155771E-3</c:v>
                </c:pt>
                <c:pt idx="80">
                  <c:v>2.4407253524440608E-3</c:v>
                </c:pt>
                <c:pt idx="81">
                  <c:v>2.4558225564295126E-3</c:v>
                </c:pt>
                <c:pt idx="82">
                  <c:v>2.4608549577579963E-3</c:v>
                </c:pt>
                <c:pt idx="83">
                  <c:v>2.4658873590864805E-3</c:v>
                </c:pt>
                <c:pt idx="84">
                  <c:v>2.4709197604149643E-3</c:v>
                </c:pt>
                <c:pt idx="85">
                  <c:v>2.4759521617434485E-3</c:v>
                </c:pt>
                <c:pt idx="86">
                  <c:v>2.4910493657289002E-3</c:v>
                </c:pt>
                <c:pt idx="87">
                  <c:v>2.496081767057384E-3</c:v>
                </c:pt>
                <c:pt idx="88">
                  <c:v>2.5011141683858682E-3</c:v>
                </c:pt>
                <c:pt idx="89">
                  <c:v>2.506146569714352E-3</c:v>
                </c:pt>
                <c:pt idx="90">
                  <c:v>2.5111789710428357E-3</c:v>
                </c:pt>
                <c:pt idx="91">
                  <c:v>2.5262761750282875E-3</c:v>
                </c:pt>
                <c:pt idx="92">
                  <c:v>2.5313085763567717E-3</c:v>
                </c:pt>
                <c:pt idx="93">
                  <c:v>2.5363409776852554E-3</c:v>
                </c:pt>
                <c:pt idx="94">
                  <c:v>2.5413733790137392E-3</c:v>
                </c:pt>
                <c:pt idx="95">
                  <c:v>2.5464057803422234E-3</c:v>
                </c:pt>
                <c:pt idx="96">
                  <c:v>2.5615029843276751E-3</c:v>
                </c:pt>
                <c:pt idx="97">
                  <c:v>2.5665353856561589E-3</c:v>
                </c:pt>
                <c:pt idx="98">
                  <c:v>2.5715677869846431E-3</c:v>
                </c:pt>
                <c:pt idx="99">
                  <c:v>2.5766001883131269E-3</c:v>
                </c:pt>
                <c:pt idx="100">
                  <c:v>2.5816325896416106E-3</c:v>
                </c:pt>
                <c:pt idx="101">
                  <c:v>2.5967297936270624E-3</c:v>
                </c:pt>
                <c:pt idx="102">
                  <c:v>2.6017621949555466E-3</c:v>
                </c:pt>
                <c:pt idx="103">
                  <c:v>2.6067945962840303E-3</c:v>
                </c:pt>
                <c:pt idx="104">
                  <c:v>2.6118269976125146E-3</c:v>
                </c:pt>
                <c:pt idx="105">
                  <c:v>2.6168593989409983E-3</c:v>
                </c:pt>
                <c:pt idx="106">
                  <c:v>2.6319566029264501E-3</c:v>
                </c:pt>
                <c:pt idx="107">
                  <c:v>2.6369890042549343E-3</c:v>
                </c:pt>
                <c:pt idx="108">
                  <c:v>2.642021405583418E-3</c:v>
                </c:pt>
                <c:pt idx="109">
                  <c:v>2.6470538069119018E-3</c:v>
                </c:pt>
                <c:pt idx="110">
                  <c:v>2.6520862082403856E-3</c:v>
                </c:pt>
                <c:pt idx="111">
                  <c:v>2.6671834122258377E-3</c:v>
                </c:pt>
                <c:pt idx="112">
                  <c:v>2.6722158135543215E-3</c:v>
                </c:pt>
                <c:pt idx="113">
                  <c:v>2.6772482148828053E-3</c:v>
                </c:pt>
                <c:pt idx="114">
                  <c:v>2.682280616211289E-3</c:v>
                </c:pt>
                <c:pt idx="115">
                  <c:v>2.6873130175397732E-3</c:v>
                </c:pt>
                <c:pt idx="116">
                  <c:v>2.702410221525225E-3</c:v>
                </c:pt>
                <c:pt idx="117">
                  <c:v>2.7074426228537087E-3</c:v>
                </c:pt>
                <c:pt idx="118">
                  <c:v>2.7124750241821929E-3</c:v>
                </c:pt>
                <c:pt idx="119">
                  <c:v>2.7175074255106767E-3</c:v>
                </c:pt>
                <c:pt idx="120">
                  <c:v>2.7225398268391609E-3</c:v>
                </c:pt>
                <c:pt idx="121">
                  <c:v>2.7376370308246122E-3</c:v>
                </c:pt>
                <c:pt idx="122">
                  <c:v>2.7426694321530964E-3</c:v>
                </c:pt>
                <c:pt idx="123">
                  <c:v>2.7477018334815806E-3</c:v>
                </c:pt>
                <c:pt idx="124">
                  <c:v>2.7527342348100644E-3</c:v>
                </c:pt>
                <c:pt idx="125">
                  <c:v>2.7577666361385481E-3</c:v>
                </c:pt>
                <c:pt idx="126">
                  <c:v>2.7728638401239999E-3</c:v>
                </c:pt>
                <c:pt idx="127">
                  <c:v>2.7778962414524841E-3</c:v>
                </c:pt>
                <c:pt idx="128">
                  <c:v>2.7829286427809678E-3</c:v>
                </c:pt>
                <c:pt idx="129">
                  <c:v>2.7879610441094516E-3</c:v>
                </c:pt>
                <c:pt idx="130">
                  <c:v>2.7929934454379358E-3</c:v>
                </c:pt>
                <c:pt idx="131">
                  <c:v>2.8080906494233875E-3</c:v>
                </c:pt>
                <c:pt idx="132">
                  <c:v>2.8131230507518713E-3</c:v>
                </c:pt>
                <c:pt idx="133">
                  <c:v>2.8181554520803555E-3</c:v>
                </c:pt>
                <c:pt idx="134">
                  <c:v>2.8231878534088393E-3</c:v>
                </c:pt>
                <c:pt idx="135">
                  <c:v>2.8282202547373235E-3</c:v>
                </c:pt>
                <c:pt idx="136">
                  <c:v>2.8433174587227748E-3</c:v>
                </c:pt>
                <c:pt idx="137">
                  <c:v>2.848349860051259E-3</c:v>
                </c:pt>
                <c:pt idx="138">
                  <c:v>2.8533822613797427E-3</c:v>
                </c:pt>
                <c:pt idx="139">
                  <c:v>2.8584146627082269E-3</c:v>
                </c:pt>
                <c:pt idx="140">
                  <c:v>2.8634470640367107E-3</c:v>
                </c:pt>
                <c:pt idx="141">
                  <c:v>2.8785442680221624E-3</c:v>
                </c:pt>
                <c:pt idx="142">
                  <c:v>2.8835766693506466E-3</c:v>
                </c:pt>
                <c:pt idx="143">
                  <c:v>2.8886090706791304E-3</c:v>
                </c:pt>
                <c:pt idx="144">
                  <c:v>2.8936414720076142E-3</c:v>
                </c:pt>
                <c:pt idx="145">
                  <c:v>2.9137710773215501E-3</c:v>
                </c:pt>
                <c:pt idx="146">
                  <c:v>2.9188034786500339E-3</c:v>
                </c:pt>
                <c:pt idx="147">
                  <c:v>2.9238358799785176E-3</c:v>
                </c:pt>
                <c:pt idx="148">
                  <c:v>2.9288682813070018E-3</c:v>
                </c:pt>
                <c:pt idx="149">
                  <c:v>2.9489978866209373E-3</c:v>
                </c:pt>
                <c:pt idx="150">
                  <c:v>2.9540302879494211E-3</c:v>
                </c:pt>
                <c:pt idx="151">
                  <c:v>2.9590626892779053E-3</c:v>
                </c:pt>
                <c:pt idx="152">
                  <c:v>2.9640950906063891E-3</c:v>
                </c:pt>
                <c:pt idx="153">
                  <c:v>2.9691274919348733E-3</c:v>
                </c:pt>
                <c:pt idx="154">
                  <c:v>2.984224695920325E-3</c:v>
                </c:pt>
                <c:pt idx="155">
                  <c:v>2.9892570972488088E-3</c:v>
                </c:pt>
                <c:pt idx="156">
                  <c:v>2.994289498577293E-3</c:v>
                </c:pt>
                <c:pt idx="157">
                  <c:v>2.9993218999057767E-3</c:v>
                </c:pt>
                <c:pt idx="158">
                  <c:v>3.0043543012342605E-3</c:v>
                </c:pt>
                <c:pt idx="159">
                  <c:v>3.0194515052197122E-3</c:v>
                </c:pt>
                <c:pt idx="160">
                  <c:v>3.0244839065481964E-3</c:v>
                </c:pt>
                <c:pt idx="161">
                  <c:v>3.0295163078766802E-3</c:v>
                </c:pt>
                <c:pt idx="162">
                  <c:v>3.034548709205164E-3</c:v>
                </c:pt>
                <c:pt idx="163">
                  <c:v>3.0395811105336482E-3</c:v>
                </c:pt>
                <c:pt idx="164">
                  <c:v>3.0546783145190999E-3</c:v>
                </c:pt>
                <c:pt idx="165">
                  <c:v>3.0597107158475837E-3</c:v>
                </c:pt>
                <c:pt idx="166">
                  <c:v>3.0647431171760674E-3</c:v>
                </c:pt>
                <c:pt idx="167">
                  <c:v>3.0697755185045516E-3</c:v>
                </c:pt>
                <c:pt idx="168">
                  <c:v>3.0748079198330354E-3</c:v>
                </c:pt>
                <c:pt idx="169">
                  <c:v>3.0899051238184871E-3</c:v>
                </c:pt>
                <c:pt idx="170">
                  <c:v>3.0949375251469713E-3</c:v>
                </c:pt>
                <c:pt idx="171">
                  <c:v>3.0999699264754555E-3</c:v>
                </c:pt>
                <c:pt idx="172">
                  <c:v>3.1050023278039393E-3</c:v>
                </c:pt>
                <c:pt idx="173">
                  <c:v>3.1100347291324231E-3</c:v>
                </c:pt>
                <c:pt idx="174">
                  <c:v>3.1251319331178748E-3</c:v>
                </c:pt>
                <c:pt idx="175">
                  <c:v>3.1301643344463586E-3</c:v>
                </c:pt>
                <c:pt idx="176">
                  <c:v>3.1351967357748428E-3</c:v>
                </c:pt>
                <c:pt idx="177">
                  <c:v>3.1402291371033265E-3</c:v>
                </c:pt>
                <c:pt idx="178">
                  <c:v>3.1452615384318103E-3</c:v>
                </c:pt>
                <c:pt idx="179">
                  <c:v>3.1603587424172625E-3</c:v>
                </c:pt>
                <c:pt idx="180">
                  <c:v>3.1653911437457462E-3</c:v>
                </c:pt>
                <c:pt idx="181">
                  <c:v>3.17042354507423E-3</c:v>
                </c:pt>
                <c:pt idx="182">
                  <c:v>3.1754559464027138E-3</c:v>
                </c:pt>
                <c:pt idx="183">
                  <c:v>3.180488347731198E-3</c:v>
                </c:pt>
                <c:pt idx="184">
                  <c:v>3.1955855517166497E-3</c:v>
                </c:pt>
                <c:pt idx="185">
                  <c:v>3.2006179530451335E-3</c:v>
                </c:pt>
                <c:pt idx="186">
                  <c:v>3.2056503543736172E-3</c:v>
                </c:pt>
                <c:pt idx="187">
                  <c:v>3.2106827557021019E-3</c:v>
                </c:pt>
                <c:pt idx="188">
                  <c:v>3.2157151570305856E-3</c:v>
                </c:pt>
                <c:pt idx="189">
                  <c:v>3.230812361016037E-3</c:v>
                </c:pt>
                <c:pt idx="190">
                  <c:v>3.2358447623445212E-3</c:v>
                </c:pt>
                <c:pt idx="191">
                  <c:v>3.2408771636730054E-3</c:v>
                </c:pt>
                <c:pt idx="192">
                  <c:v>3.2459095650014891E-3</c:v>
                </c:pt>
                <c:pt idx="193">
                  <c:v>3.2509419663299729E-3</c:v>
                </c:pt>
                <c:pt idx="194">
                  <c:v>3.2660391703154251E-3</c:v>
                </c:pt>
                <c:pt idx="195">
                  <c:v>3.2710715716439088E-3</c:v>
                </c:pt>
                <c:pt idx="196">
                  <c:v>3.2761039729723926E-3</c:v>
                </c:pt>
                <c:pt idx="197">
                  <c:v>3.2811363743008764E-3</c:v>
                </c:pt>
                <c:pt idx="198">
                  <c:v>3.2861687756293601E-3</c:v>
                </c:pt>
                <c:pt idx="199">
                  <c:v>3.3012659796148123E-3</c:v>
                </c:pt>
                <c:pt idx="200">
                  <c:v>3.3062983809432961E-3</c:v>
                </c:pt>
                <c:pt idx="201">
                  <c:v>3.3113307822717798E-3</c:v>
                </c:pt>
                <c:pt idx="202">
                  <c:v>3.3163631836002636E-3</c:v>
                </c:pt>
                <c:pt idx="203">
                  <c:v>3.3213955849287482E-3</c:v>
                </c:pt>
                <c:pt idx="204">
                  <c:v>3.3364927889141995E-3</c:v>
                </c:pt>
                <c:pt idx="205">
                  <c:v>3.3415251902426837E-3</c:v>
                </c:pt>
                <c:pt idx="206">
                  <c:v>3.3465575915711675E-3</c:v>
                </c:pt>
                <c:pt idx="207">
                  <c:v>3.3515899928996517E-3</c:v>
                </c:pt>
                <c:pt idx="208">
                  <c:v>3.376751999542071E-3</c:v>
                </c:pt>
                <c:pt idx="209">
                  <c:v>3.3817844008705552E-3</c:v>
                </c:pt>
                <c:pt idx="210">
                  <c:v>3.3868168021990389E-3</c:v>
                </c:pt>
                <c:pt idx="211">
                  <c:v>3.3918492035275227E-3</c:v>
                </c:pt>
                <c:pt idx="212">
                  <c:v>3.4069464075129749E-3</c:v>
                </c:pt>
                <c:pt idx="213">
                  <c:v>3.4119788088414586E-3</c:v>
                </c:pt>
                <c:pt idx="214">
                  <c:v>3.4170112101699424E-3</c:v>
                </c:pt>
                <c:pt idx="215">
                  <c:v>3.4220436114984262E-3</c:v>
                </c:pt>
                <c:pt idx="216">
                  <c:v>3.4270760128269104E-3</c:v>
                </c:pt>
                <c:pt idx="217">
                  <c:v>3.4421732168123621E-3</c:v>
                </c:pt>
                <c:pt idx="218">
                  <c:v>3.4472056181408459E-3</c:v>
                </c:pt>
                <c:pt idx="219">
                  <c:v>3.4522380194693301E-3</c:v>
                </c:pt>
                <c:pt idx="220">
                  <c:v>3.4572704207978138E-3</c:v>
                </c:pt>
                <c:pt idx="221">
                  <c:v>3.462302822126298E-3</c:v>
                </c:pt>
                <c:pt idx="222">
                  <c:v>3.4774000261117493E-3</c:v>
                </c:pt>
                <c:pt idx="223">
                  <c:v>3.4824324274402335E-3</c:v>
                </c:pt>
                <c:pt idx="224">
                  <c:v>3.4874648287687173E-3</c:v>
                </c:pt>
                <c:pt idx="225">
                  <c:v>3.4924972300972015E-3</c:v>
                </c:pt>
                <c:pt idx="226">
                  <c:v>3.4975296314256853E-3</c:v>
                </c:pt>
                <c:pt idx="227">
                  <c:v>3.512626835411137E-3</c:v>
                </c:pt>
                <c:pt idx="228">
                  <c:v>3.5176592367396212E-3</c:v>
                </c:pt>
                <c:pt idx="229">
                  <c:v>3.522691638068105E-3</c:v>
                </c:pt>
                <c:pt idx="230">
                  <c:v>3.5277240393965887E-3</c:v>
                </c:pt>
                <c:pt idx="231">
                  <c:v>3.5327564407250725E-3</c:v>
                </c:pt>
                <c:pt idx="232">
                  <c:v>3.5478536447105247E-3</c:v>
                </c:pt>
                <c:pt idx="233">
                  <c:v>3.5528860460390084E-3</c:v>
                </c:pt>
                <c:pt idx="234">
                  <c:v>3.5579184473674922E-3</c:v>
                </c:pt>
                <c:pt idx="235">
                  <c:v>3.5629508486959764E-3</c:v>
                </c:pt>
                <c:pt idx="236">
                  <c:v>3.5679832500244606E-3</c:v>
                </c:pt>
                <c:pt idx="237">
                  <c:v>3.5830804540099119E-3</c:v>
                </c:pt>
                <c:pt idx="238">
                  <c:v>3.5881128553383957E-3</c:v>
                </c:pt>
                <c:pt idx="239">
                  <c:v>3.5931452566668799E-3</c:v>
                </c:pt>
                <c:pt idx="240">
                  <c:v>3.5981776579953636E-3</c:v>
                </c:pt>
                <c:pt idx="241">
                  <c:v>3.6032100593238478E-3</c:v>
                </c:pt>
                <c:pt idx="242">
                  <c:v>3.6183072633092996E-3</c:v>
                </c:pt>
                <c:pt idx="243">
                  <c:v>3.6233396646377838E-3</c:v>
                </c:pt>
                <c:pt idx="244">
                  <c:v>3.6283720659662675E-3</c:v>
                </c:pt>
                <c:pt idx="245">
                  <c:v>3.6334044672947513E-3</c:v>
                </c:pt>
                <c:pt idx="246">
                  <c:v>3.6384368686232351E-3</c:v>
                </c:pt>
                <c:pt idx="247">
                  <c:v>3.6535340726086872E-3</c:v>
                </c:pt>
                <c:pt idx="248">
                  <c:v>3.658566473937171E-3</c:v>
                </c:pt>
                <c:pt idx="249">
                  <c:v>3.6635988752656548E-3</c:v>
                </c:pt>
                <c:pt idx="250">
                  <c:v>3.6686312765941385E-3</c:v>
                </c:pt>
                <c:pt idx="251">
                  <c:v>3.6736636779226227E-3</c:v>
                </c:pt>
                <c:pt idx="252">
                  <c:v>3.6887608819080745E-3</c:v>
                </c:pt>
                <c:pt idx="253">
                  <c:v>3.6937932832365582E-3</c:v>
                </c:pt>
                <c:pt idx="254">
                  <c:v>3.698825684565042E-3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'1YSynthDepo'!$AF$2</c:f>
              <c:strCache>
                <c:ptCount val="1"/>
                <c:pt idx="0">
                  <c:v>Quadratic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numRef>
              <c:f>'1YSynthDepo'!$AB$3:$AB$257</c:f>
              <c:numCache>
                <c:formatCode>ddd\,\ dd\-mmm\-yyyy</c:formatCode>
                <c:ptCount val="255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  <c:pt idx="130">
                  <c:v>42342</c:v>
                </c:pt>
                <c:pt idx="131">
                  <c:v>42345</c:v>
                </c:pt>
                <c:pt idx="132">
                  <c:v>42346</c:v>
                </c:pt>
                <c:pt idx="133">
                  <c:v>42347</c:v>
                </c:pt>
                <c:pt idx="134">
                  <c:v>42348</c:v>
                </c:pt>
                <c:pt idx="135">
                  <c:v>42349</c:v>
                </c:pt>
                <c:pt idx="136">
                  <c:v>42352</c:v>
                </c:pt>
                <c:pt idx="137">
                  <c:v>42353</c:v>
                </c:pt>
                <c:pt idx="138">
                  <c:v>42354</c:v>
                </c:pt>
                <c:pt idx="139">
                  <c:v>42355</c:v>
                </c:pt>
                <c:pt idx="140">
                  <c:v>42356</c:v>
                </c:pt>
                <c:pt idx="141">
                  <c:v>42359</c:v>
                </c:pt>
                <c:pt idx="142">
                  <c:v>42360</c:v>
                </c:pt>
                <c:pt idx="143">
                  <c:v>42361</c:v>
                </c:pt>
                <c:pt idx="144">
                  <c:v>42362</c:v>
                </c:pt>
                <c:pt idx="145">
                  <c:v>42366</c:v>
                </c:pt>
                <c:pt idx="146">
                  <c:v>42367</c:v>
                </c:pt>
                <c:pt idx="147">
                  <c:v>42368</c:v>
                </c:pt>
                <c:pt idx="148">
                  <c:v>42369</c:v>
                </c:pt>
                <c:pt idx="149">
                  <c:v>42373</c:v>
                </c:pt>
                <c:pt idx="150">
                  <c:v>42374</c:v>
                </c:pt>
                <c:pt idx="151">
                  <c:v>42375</c:v>
                </c:pt>
                <c:pt idx="152">
                  <c:v>42376</c:v>
                </c:pt>
                <c:pt idx="153">
                  <c:v>42377</c:v>
                </c:pt>
                <c:pt idx="154">
                  <c:v>42380</c:v>
                </c:pt>
                <c:pt idx="155">
                  <c:v>42381</c:v>
                </c:pt>
                <c:pt idx="156">
                  <c:v>42382</c:v>
                </c:pt>
                <c:pt idx="157">
                  <c:v>42383</c:v>
                </c:pt>
                <c:pt idx="158">
                  <c:v>42384</c:v>
                </c:pt>
                <c:pt idx="159">
                  <c:v>42387</c:v>
                </c:pt>
                <c:pt idx="160">
                  <c:v>42388</c:v>
                </c:pt>
                <c:pt idx="161">
                  <c:v>42389</c:v>
                </c:pt>
                <c:pt idx="162">
                  <c:v>42390</c:v>
                </c:pt>
                <c:pt idx="163">
                  <c:v>42391</c:v>
                </c:pt>
                <c:pt idx="164">
                  <c:v>42394</c:v>
                </c:pt>
                <c:pt idx="165">
                  <c:v>42395</c:v>
                </c:pt>
                <c:pt idx="166">
                  <c:v>42396</c:v>
                </c:pt>
                <c:pt idx="167">
                  <c:v>42397</c:v>
                </c:pt>
                <c:pt idx="168">
                  <c:v>42398</c:v>
                </c:pt>
                <c:pt idx="169">
                  <c:v>42401</c:v>
                </c:pt>
                <c:pt idx="170">
                  <c:v>42402</c:v>
                </c:pt>
                <c:pt idx="171">
                  <c:v>42403</c:v>
                </c:pt>
                <c:pt idx="172">
                  <c:v>42404</c:v>
                </c:pt>
                <c:pt idx="173">
                  <c:v>42405</c:v>
                </c:pt>
                <c:pt idx="174">
                  <c:v>42408</c:v>
                </c:pt>
                <c:pt idx="175">
                  <c:v>42409</c:v>
                </c:pt>
                <c:pt idx="176">
                  <c:v>42410</c:v>
                </c:pt>
                <c:pt idx="177">
                  <c:v>42411</c:v>
                </c:pt>
                <c:pt idx="178">
                  <c:v>42412</c:v>
                </c:pt>
                <c:pt idx="179">
                  <c:v>42415</c:v>
                </c:pt>
                <c:pt idx="180">
                  <c:v>42416</c:v>
                </c:pt>
                <c:pt idx="181">
                  <c:v>42417</c:v>
                </c:pt>
                <c:pt idx="182">
                  <c:v>42418</c:v>
                </c:pt>
                <c:pt idx="183">
                  <c:v>42419</c:v>
                </c:pt>
                <c:pt idx="184">
                  <c:v>42422</c:v>
                </c:pt>
                <c:pt idx="185">
                  <c:v>42423</c:v>
                </c:pt>
                <c:pt idx="186">
                  <c:v>42424</c:v>
                </c:pt>
                <c:pt idx="187">
                  <c:v>42425</c:v>
                </c:pt>
                <c:pt idx="188">
                  <c:v>42426</c:v>
                </c:pt>
                <c:pt idx="189">
                  <c:v>42429</c:v>
                </c:pt>
                <c:pt idx="190">
                  <c:v>42430</c:v>
                </c:pt>
                <c:pt idx="191">
                  <c:v>42431</c:v>
                </c:pt>
                <c:pt idx="192">
                  <c:v>42432</c:v>
                </c:pt>
                <c:pt idx="193">
                  <c:v>42433</c:v>
                </c:pt>
                <c:pt idx="194">
                  <c:v>42436</c:v>
                </c:pt>
                <c:pt idx="195">
                  <c:v>42437</c:v>
                </c:pt>
                <c:pt idx="196">
                  <c:v>42438</c:v>
                </c:pt>
                <c:pt idx="197">
                  <c:v>42439</c:v>
                </c:pt>
                <c:pt idx="198">
                  <c:v>42440</c:v>
                </c:pt>
                <c:pt idx="199">
                  <c:v>42443</c:v>
                </c:pt>
                <c:pt idx="200">
                  <c:v>42444</c:v>
                </c:pt>
                <c:pt idx="201">
                  <c:v>42445</c:v>
                </c:pt>
                <c:pt idx="202">
                  <c:v>42446</c:v>
                </c:pt>
                <c:pt idx="203">
                  <c:v>42447</c:v>
                </c:pt>
                <c:pt idx="204">
                  <c:v>42450</c:v>
                </c:pt>
                <c:pt idx="205">
                  <c:v>42451</c:v>
                </c:pt>
                <c:pt idx="206">
                  <c:v>42452</c:v>
                </c:pt>
                <c:pt idx="207">
                  <c:v>42453</c:v>
                </c:pt>
                <c:pt idx="208">
                  <c:v>42458</c:v>
                </c:pt>
                <c:pt idx="209">
                  <c:v>42459</c:v>
                </c:pt>
                <c:pt idx="210">
                  <c:v>42460</c:v>
                </c:pt>
                <c:pt idx="211">
                  <c:v>42461</c:v>
                </c:pt>
                <c:pt idx="212">
                  <c:v>42464</c:v>
                </c:pt>
                <c:pt idx="213">
                  <c:v>42465</c:v>
                </c:pt>
                <c:pt idx="214">
                  <c:v>42466</c:v>
                </c:pt>
                <c:pt idx="215">
                  <c:v>42467</c:v>
                </c:pt>
                <c:pt idx="216">
                  <c:v>42468</c:v>
                </c:pt>
                <c:pt idx="217">
                  <c:v>42471</c:v>
                </c:pt>
                <c:pt idx="218">
                  <c:v>42472</c:v>
                </c:pt>
                <c:pt idx="219">
                  <c:v>42473</c:v>
                </c:pt>
                <c:pt idx="220">
                  <c:v>42474</c:v>
                </c:pt>
                <c:pt idx="221">
                  <c:v>42475</c:v>
                </c:pt>
                <c:pt idx="222">
                  <c:v>42478</c:v>
                </c:pt>
                <c:pt idx="223">
                  <c:v>42479</c:v>
                </c:pt>
                <c:pt idx="224">
                  <c:v>42480</c:v>
                </c:pt>
                <c:pt idx="225">
                  <c:v>42481</c:v>
                </c:pt>
                <c:pt idx="226">
                  <c:v>42482</c:v>
                </c:pt>
                <c:pt idx="227">
                  <c:v>42485</c:v>
                </c:pt>
                <c:pt idx="228">
                  <c:v>42486</c:v>
                </c:pt>
                <c:pt idx="229">
                  <c:v>42487</c:v>
                </c:pt>
                <c:pt idx="230">
                  <c:v>42488</c:v>
                </c:pt>
                <c:pt idx="231">
                  <c:v>42489</c:v>
                </c:pt>
                <c:pt idx="232">
                  <c:v>42492</c:v>
                </c:pt>
                <c:pt idx="233">
                  <c:v>42493</c:v>
                </c:pt>
                <c:pt idx="234">
                  <c:v>42494</c:v>
                </c:pt>
                <c:pt idx="235">
                  <c:v>42495</c:v>
                </c:pt>
                <c:pt idx="236">
                  <c:v>42496</c:v>
                </c:pt>
                <c:pt idx="237">
                  <c:v>42499</c:v>
                </c:pt>
                <c:pt idx="238">
                  <c:v>42500</c:v>
                </c:pt>
                <c:pt idx="239">
                  <c:v>42501</c:v>
                </c:pt>
                <c:pt idx="240">
                  <c:v>42502</c:v>
                </c:pt>
                <c:pt idx="241">
                  <c:v>42503</c:v>
                </c:pt>
                <c:pt idx="242">
                  <c:v>42506</c:v>
                </c:pt>
                <c:pt idx="243">
                  <c:v>42507</c:v>
                </c:pt>
                <c:pt idx="244">
                  <c:v>42508</c:v>
                </c:pt>
                <c:pt idx="245">
                  <c:v>42509</c:v>
                </c:pt>
                <c:pt idx="246">
                  <c:v>42510</c:v>
                </c:pt>
                <c:pt idx="247">
                  <c:v>42513</c:v>
                </c:pt>
                <c:pt idx="248">
                  <c:v>42514</c:v>
                </c:pt>
                <c:pt idx="249">
                  <c:v>42515</c:v>
                </c:pt>
                <c:pt idx="250">
                  <c:v>42516</c:v>
                </c:pt>
                <c:pt idx="251">
                  <c:v>42517</c:v>
                </c:pt>
                <c:pt idx="252">
                  <c:v>42520</c:v>
                </c:pt>
                <c:pt idx="253">
                  <c:v>42521</c:v>
                </c:pt>
                <c:pt idx="254">
                  <c:v>42522</c:v>
                </c:pt>
              </c:numCache>
            </c:numRef>
          </c:cat>
          <c:val>
            <c:numRef>
              <c:f>'1YSynthDepo'!$AF$3:$AF$257</c:f>
              <c:numCache>
                <c:formatCode>0.0000%</c:formatCode>
                <c:ptCount val="255"/>
                <c:pt idx="0">
                  <c:v>-4.4249566271067717E-3</c:v>
                </c:pt>
                <c:pt idx="1">
                  <c:v>-4.1911156199155057E-3</c:v>
                </c:pt>
                <c:pt idx="2">
                  <c:v>-4.1138070338685743E-3</c:v>
                </c:pt>
                <c:pt idx="3">
                  <c:v>-4.0368176559967203E-3</c:v>
                </c:pt>
                <c:pt idx="4">
                  <c:v>-3.9601474862999446E-3</c:v>
                </c:pt>
                <c:pt idx="5">
                  <c:v>-3.883796524778247E-3</c:v>
                </c:pt>
                <c:pt idx="6">
                  <c:v>-3.6566588892636242E-3</c:v>
                </c:pt>
                <c:pt idx="7">
                  <c:v>-3.5815847604422401E-3</c:v>
                </c:pt>
                <c:pt idx="8">
                  <c:v>-3.5068298397959337E-3</c:v>
                </c:pt>
                <c:pt idx="9">
                  <c:v>-3.4323941273247055E-3</c:v>
                </c:pt>
                <c:pt idx="10">
                  <c:v>-3.3582776230285556E-3</c:v>
                </c:pt>
                <c:pt idx="11">
                  <c:v>-3.1378433591905757E-3</c:v>
                </c:pt>
                <c:pt idx="12">
                  <c:v>-3.0650036875947387E-3</c:v>
                </c:pt>
                <c:pt idx="13">
                  <c:v>-2.9924832241739799E-3</c:v>
                </c:pt>
                <c:pt idx="14">
                  <c:v>-2.9202819689282994E-3</c:v>
                </c:pt>
                <c:pt idx="15">
                  <c:v>-2.8483999218576971E-3</c:v>
                </c:pt>
                <c:pt idx="16">
                  <c:v>-2.6346690296963605E-3</c:v>
                </c:pt>
                <c:pt idx="17">
                  <c:v>-2.5640638153260707E-3</c:v>
                </c:pt>
                <c:pt idx="18">
                  <c:v>-2.4937778091308599E-3</c:v>
                </c:pt>
                <c:pt idx="19">
                  <c:v>-2.423811011110727E-3</c:v>
                </c:pt>
                <c:pt idx="20">
                  <c:v>-2.3541634212656723E-3</c:v>
                </c:pt>
                <c:pt idx="21">
                  <c:v>-2.1471359007809781E-3</c:v>
                </c:pt>
                <c:pt idx="22">
                  <c:v>-2.0787651436362359E-3</c:v>
                </c:pt>
                <c:pt idx="23">
                  <c:v>-2.0107135946665728E-3</c:v>
                </c:pt>
                <c:pt idx="24">
                  <c:v>-1.9429812538719875E-3</c:v>
                </c:pt>
                <c:pt idx="25">
                  <c:v>-1.8755681212524805E-3</c:v>
                </c:pt>
                <c:pt idx="26">
                  <c:v>-1.6752439724444289E-3</c:v>
                </c:pt>
                <c:pt idx="27">
                  <c:v>-1.6091076725252345E-3</c:v>
                </c:pt>
                <c:pt idx="28">
                  <c:v>-1.5432905807811191E-3</c:v>
                </c:pt>
                <c:pt idx="29">
                  <c:v>-1.4777926972120814E-3</c:v>
                </c:pt>
                <c:pt idx="30">
                  <c:v>-1.4126140218181217E-3</c:v>
                </c:pt>
                <c:pt idx="31">
                  <c:v>-1.218993244686713E-3</c:v>
                </c:pt>
                <c:pt idx="32">
                  <c:v>-1.1550914019930667E-3</c:v>
                </c:pt>
                <c:pt idx="33">
                  <c:v>-1.0915087674744979E-3</c:v>
                </c:pt>
                <c:pt idx="34">
                  <c:v>-1.0282453411310081E-3</c:v>
                </c:pt>
                <c:pt idx="35">
                  <c:v>-9.653011229625966E-4</c:v>
                </c:pt>
                <c:pt idx="36">
                  <c:v>-7.7838371750783104E-4</c:v>
                </c:pt>
                <c:pt idx="37">
                  <c:v>-7.1671633203973127E-4</c:v>
                </c:pt>
                <c:pt idx="38">
                  <c:v>-6.5536815474671124E-4</c:v>
                </c:pt>
                <c:pt idx="39">
                  <c:v>-5.9433918562876793E-4</c:v>
                </c:pt>
                <c:pt idx="40">
                  <c:v>-5.3362942468590437E-4</c:v>
                </c:pt>
                <c:pt idx="41">
                  <c:v>-3.534153909077808E-4</c:v>
                </c:pt>
                <c:pt idx="42">
                  <c:v>-2.9398246266523016E-4</c:v>
                </c:pt>
                <c:pt idx="43">
                  <c:v>-2.3486874259775624E-4</c:v>
                </c:pt>
                <c:pt idx="44">
                  <c:v>-1.7607423070536206E-4</c:v>
                </c:pt>
                <c:pt idx="45">
                  <c:v>-1.1759892698804525E-4</c:v>
                </c:pt>
                <c:pt idx="46">
                  <c:v>5.5911735113434711E-5</c:v>
                </c:pt>
                <c:pt idx="47">
                  <c:v>1.1311020613043925E-4</c:v>
                </c:pt>
                <c:pt idx="48">
                  <c:v>1.6998946897236404E-4</c:v>
                </c:pt>
                <c:pt idx="49">
                  <c:v>2.2654952363921211E-4</c:v>
                </c:pt>
                <c:pt idx="50">
                  <c:v>2.8279037013098044E-4</c:v>
                </c:pt>
                <c:pt idx="51">
                  <c:v>4.4959766055581842E-4</c:v>
                </c:pt>
                <c:pt idx="52">
                  <c:v>5.0456167434727393E-4</c:v>
                </c:pt>
                <c:pt idx="53">
                  <c:v>5.5920647996365262E-4</c:v>
                </c:pt>
                <c:pt idx="54">
                  <c:v>6.1353207740495166E-4</c:v>
                </c:pt>
                <c:pt idx="55">
                  <c:v>6.6753846667117324E-4</c:v>
                </c:pt>
                <c:pt idx="56">
                  <c:v>8.2764238541936761E-4</c:v>
                </c:pt>
                <c:pt idx="57">
                  <c:v>8.8037194198527691E-4</c:v>
                </c:pt>
                <c:pt idx="58">
                  <c:v>9.3278229037610646E-4</c:v>
                </c:pt>
                <c:pt idx="59">
                  <c:v>9.848734305918593E-4</c:v>
                </c:pt>
                <c:pt idx="60">
                  <c:v>1.0366453626325324E-3</c:v>
                </c:pt>
                <c:pt idx="61">
                  <c:v>1.1900459097040851E-3</c:v>
                </c:pt>
                <c:pt idx="62">
                  <c:v>1.2405410090444451E-3</c:v>
                </c:pt>
                <c:pt idx="63">
                  <c:v>1.2907169002097276E-3</c:v>
                </c:pt>
                <c:pt idx="64">
                  <c:v>1.3405735831999324E-3</c:v>
                </c:pt>
                <c:pt idx="65">
                  <c:v>1.390111058015059E-3</c:v>
                </c:pt>
                <c:pt idx="66">
                  <c:v>1.5368082334099682E-3</c:v>
                </c:pt>
                <c:pt idx="67">
                  <c:v>1.5850688755247807E-3</c:v>
                </c:pt>
                <c:pt idx="68">
                  <c:v>1.6330103094645161E-3</c:v>
                </c:pt>
                <c:pt idx="69">
                  <c:v>1.6806325352291724E-3</c:v>
                </c:pt>
                <c:pt idx="70">
                  <c:v>1.7279355528187512E-3</c:v>
                </c:pt>
                <c:pt idx="71">
                  <c:v>1.8679293565370177E-3</c:v>
                </c:pt>
                <c:pt idx="72">
                  <c:v>1.9139555414262838E-3</c:v>
                </c:pt>
                <c:pt idx="73">
                  <c:v>1.9596625181404715E-3</c:v>
                </c:pt>
                <c:pt idx="74">
                  <c:v>2.0050502866795789E-3</c:v>
                </c:pt>
                <c:pt idx="75">
                  <c:v>2.0501188470436111E-3</c:v>
                </c:pt>
                <c:pt idx="76">
                  <c:v>2.183409279085234E-3</c:v>
                </c:pt>
                <c:pt idx="77">
                  <c:v>2.2272010067489519E-3</c:v>
                </c:pt>
                <c:pt idx="78">
                  <c:v>2.2706735262375934E-3</c:v>
                </c:pt>
                <c:pt idx="79">
                  <c:v>2.3138268375511553E-3</c:v>
                </c:pt>
                <c:pt idx="80">
                  <c:v>2.3566609406896373E-3</c:v>
                </c:pt>
                <c:pt idx="81">
                  <c:v>2.4832480010546186E-3</c:v>
                </c:pt>
                <c:pt idx="82">
                  <c:v>2.5248052714927885E-3</c:v>
                </c:pt>
                <c:pt idx="83">
                  <c:v>2.5660433337558811E-3</c:v>
                </c:pt>
                <c:pt idx="84">
                  <c:v>2.6069621878438954E-3</c:v>
                </c:pt>
                <c:pt idx="85">
                  <c:v>2.6475618337568315E-3</c:v>
                </c:pt>
                <c:pt idx="86">
                  <c:v>2.7674455224451695E-3</c:v>
                </c:pt>
                <c:pt idx="87">
                  <c:v>2.8067683356577926E-3</c:v>
                </c:pt>
                <c:pt idx="88">
                  <c:v>2.8457719406953358E-3</c:v>
                </c:pt>
                <c:pt idx="89">
                  <c:v>2.8844563375578025E-3</c:v>
                </c:pt>
                <c:pt idx="90">
                  <c:v>2.922821526245191E-3</c:v>
                </c:pt>
                <c:pt idx="91">
                  <c:v>3.0360018432568862E-3</c:v>
                </c:pt>
                <c:pt idx="92">
                  <c:v>3.0730901992439617E-3</c:v>
                </c:pt>
                <c:pt idx="93">
                  <c:v>3.109859347055959E-3</c:v>
                </c:pt>
                <c:pt idx="94">
                  <c:v>3.1463092866928764E-3</c:v>
                </c:pt>
                <c:pt idx="95">
                  <c:v>3.1824400181547181E-3</c:v>
                </c:pt>
                <c:pt idx="96">
                  <c:v>3.2889169634897695E-3</c:v>
                </c:pt>
                <c:pt idx="97">
                  <c:v>3.3237708622512975E-3</c:v>
                </c:pt>
                <c:pt idx="98">
                  <c:v>3.358305552837748E-3</c:v>
                </c:pt>
                <c:pt idx="99">
                  <c:v>3.3925210352491182E-3</c:v>
                </c:pt>
                <c:pt idx="100">
                  <c:v>3.426417309485411E-3</c:v>
                </c:pt>
                <c:pt idx="101">
                  <c:v>3.52619088314382E-3</c:v>
                </c:pt>
                <c:pt idx="102">
                  <c:v>3.5588103246798008E-3</c:v>
                </c:pt>
                <c:pt idx="103">
                  <c:v>3.5911105580407033E-3</c:v>
                </c:pt>
                <c:pt idx="104">
                  <c:v>3.6230915832265267E-3</c:v>
                </c:pt>
                <c:pt idx="105">
                  <c:v>3.654753400237271E-3</c:v>
                </c:pt>
                <c:pt idx="106">
                  <c:v>3.7478236022190393E-3</c:v>
                </c:pt>
                <c:pt idx="107">
                  <c:v>3.7782085865294707E-3</c:v>
                </c:pt>
                <c:pt idx="108">
                  <c:v>3.8082743626648252E-3</c:v>
                </c:pt>
                <c:pt idx="109">
                  <c:v>3.8380209306251014E-3</c:v>
                </c:pt>
                <c:pt idx="110">
                  <c:v>3.8674482904102994E-3</c:v>
                </c:pt>
                <c:pt idx="111">
                  <c:v>3.9538151207154232E-3</c:v>
                </c:pt>
                <c:pt idx="112">
                  <c:v>3.9819656478003078E-3</c:v>
                </c:pt>
                <c:pt idx="113">
                  <c:v>4.0097969667101134E-3</c:v>
                </c:pt>
                <c:pt idx="114">
                  <c:v>4.0373090774448424E-3</c:v>
                </c:pt>
                <c:pt idx="115">
                  <c:v>4.0645019800044941E-3</c:v>
                </c:pt>
                <c:pt idx="116">
                  <c:v>4.1441654386329737E-3</c:v>
                </c:pt>
                <c:pt idx="117">
                  <c:v>4.1700815084923116E-3</c:v>
                </c:pt>
                <c:pt idx="118">
                  <c:v>4.1956783701765712E-3</c:v>
                </c:pt>
                <c:pt idx="119">
                  <c:v>4.2209560236857509E-3</c:v>
                </c:pt>
                <c:pt idx="120">
                  <c:v>4.2459144690198533E-3</c:v>
                </c:pt>
                <c:pt idx="121">
                  <c:v>4.3188745559716909E-3</c:v>
                </c:pt>
                <c:pt idx="122">
                  <c:v>4.342556168605482E-3</c:v>
                </c:pt>
                <c:pt idx="123">
                  <c:v>4.3659185730641932E-3</c:v>
                </c:pt>
                <c:pt idx="124">
                  <c:v>4.3889617693478279E-3</c:v>
                </c:pt>
                <c:pt idx="125">
                  <c:v>4.4116857574563809E-3</c:v>
                </c:pt>
                <c:pt idx="126">
                  <c:v>4.4779424727315756E-3</c:v>
                </c:pt>
                <c:pt idx="127">
                  <c:v>4.4993896281398183E-3</c:v>
                </c:pt>
                <c:pt idx="128">
                  <c:v>4.5205175753729827E-3</c:v>
                </c:pt>
                <c:pt idx="129">
                  <c:v>4.5413263144310689E-3</c:v>
                </c:pt>
                <c:pt idx="130">
                  <c:v>4.5618158453140769E-3</c:v>
                </c:pt>
                <c:pt idx="131">
                  <c:v>4.6213691889126288E-3</c:v>
                </c:pt>
                <c:pt idx="132">
                  <c:v>4.6405818870953229E-3</c:v>
                </c:pt>
                <c:pt idx="133">
                  <c:v>4.6594753771029397E-3</c:v>
                </c:pt>
                <c:pt idx="134">
                  <c:v>4.6780496589354775E-3</c:v>
                </c:pt>
                <c:pt idx="135">
                  <c:v>4.6963047325929378E-3</c:v>
                </c:pt>
                <c:pt idx="136">
                  <c:v>4.7491547045148469E-3</c:v>
                </c:pt>
                <c:pt idx="137">
                  <c:v>4.7661329454719943E-3</c:v>
                </c:pt>
                <c:pt idx="138">
                  <c:v>4.7827919782540617E-3</c:v>
                </c:pt>
                <c:pt idx="139">
                  <c:v>4.7991318028610518E-3</c:v>
                </c:pt>
                <c:pt idx="140">
                  <c:v>4.8151524192929646E-3</c:v>
                </c:pt>
                <c:pt idx="141">
                  <c:v>4.8612990195382325E-3</c:v>
                </c:pt>
                <c:pt idx="142">
                  <c:v>4.8760428032698297E-3</c:v>
                </c:pt>
                <c:pt idx="143">
                  <c:v>4.890467378826353E-3</c:v>
                </c:pt>
                <c:pt idx="144">
                  <c:v>4.9045727462077946E-3</c:v>
                </c:pt>
                <c:pt idx="145">
                  <c:v>4.9578021339827848E-3</c:v>
                </c:pt>
                <c:pt idx="146">
                  <c:v>4.9703114604888344E-3</c:v>
                </c:pt>
                <c:pt idx="147">
                  <c:v>4.9825015788198066E-3</c:v>
                </c:pt>
                <c:pt idx="148">
                  <c:v>4.9943724889757049E-3</c:v>
                </c:pt>
                <c:pt idx="149">
                  <c:v>5.0386640478485021E-3</c:v>
                </c:pt>
                <c:pt idx="150">
                  <c:v>5.0489389171290075E-3</c:v>
                </c:pt>
                <c:pt idx="151">
                  <c:v>5.0588945782344321E-3</c:v>
                </c:pt>
                <c:pt idx="152">
                  <c:v>5.0685310311647776E-3</c:v>
                </c:pt>
                <c:pt idx="153">
                  <c:v>5.0778482759200501E-3</c:v>
                </c:pt>
                <c:pt idx="154">
                  <c:v>5.1038847611353886E-3</c:v>
                </c:pt>
                <c:pt idx="155">
                  <c:v>5.1119251731903438E-3</c:v>
                </c:pt>
                <c:pt idx="156">
                  <c:v>5.1196463770702243E-3</c:v>
                </c:pt>
                <c:pt idx="157">
                  <c:v>5.127048372775023E-3</c:v>
                </c:pt>
                <c:pt idx="158">
                  <c:v>5.1341311603047435E-3</c:v>
                </c:pt>
                <c:pt idx="159">
                  <c:v>5.1534642738434427E-3</c:v>
                </c:pt>
                <c:pt idx="160">
                  <c:v>5.1592702286728485E-3</c:v>
                </c:pt>
                <c:pt idx="161">
                  <c:v>5.1647569753271796E-3</c:v>
                </c:pt>
                <c:pt idx="162">
                  <c:v>5.1699245138064325E-3</c:v>
                </c:pt>
                <c:pt idx="163">
                  <c:v>5.1747728441106054E-3</c:v>
                </c:pt>
                <c:pt idx="164">
                  <c:v>5.1874025859726582E-3</c:v>
                </c:pt>
                <c:pt idx="165">
                  <c:v>5.1909740835765199E-3</c:v>
                </c:pt>
                <c:pt idx="166">
                  <c:v>5.1942263730053034E-3</c:v>
                </c:pt>
                <c:pt idx="167">
                  <c:v>5.197159454259007E-3</c:v>
                </c:pt>
                <c:pt idx="168">
                  <c:v>5.1997733273376357E-3</c:v>
                </c:pt>
                <c:pt idx="169">
                  <c:v>5.2056996975230457E-3</c:v>
                </c:pt>
                <c:pt idx="170">
                  <c:v>5.207036737901358E-3</c:v>
                </c:pt>
                <c:pt idx="171">
                  <c:v>5.2080545701045922E-3</c:v>
                </c:pt>
                <c:pt idx="172">
                  <c:v>5.2087531941327515E-3</c:v>
                </c:pt>
                <c:pt idx="173">
                  <c:v>5.2091326099858292E-3</c:v>
                </c:pt>
                <c:pt idx="174">
                  <c:v>5.2083556084945963E-3</c:v>
                </c:pt>
                <c:pt idx="175">
                  <c:v>5.2074581916473645E-3</c:v>
                </c:pt>
                <c:pt idx="176">
                  <c:v>5.206241566625051E-3</c:v>
                </c:pt>
                <c:pt idx="177">
                  <c:v>5.2047057334276593E-3</c:v>
                </c:pt>
                <c:pt idx="178">
                  <c:v>5.2028506920551928E-3</c:v>
                </c:pt>
                <c:pt idx="179">
                  <c:v>5.1953703188873171E-3</c:v>
                </c:pt>
                <c:pt idx="180">
                  <c:v>5.192238444814536E-3</c:v>
                </c:pt>
                <c:pt idx="181">
                  <c:v>5.1887873625666766E-3</c:v>
                </c:pt>
                <c:pt idx="182">
                  <c:v>5.1850170721437355E-3</c:v>
                </c:pt>
                <c:pt idx="183">
                  <c:v>5.1809275735457232E-3</c:v>
                </c:pt>
                <c:pt idx="184">
                  <c:v>5.1667438287012028E-3</c:v>
                </c:pt>
                <c:pt idx="185">
                  <c:v>5.1613774974028758E-3</c:v>
                </c:pt>
                <c:pt idx="186">
                  <c:v>5.1556919579294636E-3</c:v>
                </c:pt>
                <c:pt idx="187">
                  <c:v>5.1496872102809836E-3</c:v>
                </c:pt>
                <c:pt idx="188">
                  <c:v>5.143363254457415E-3</c:v>
                </c:pt>
                <c:pt idx="189">
                  <c:v>5.1224761379362535E-3</c:v>
                </c:pt>
                <c:pt idx="190">
                  <c:v>5.1148753494123789E-3</c:v>
                </c:pt>
                <c:pt idx="191">
                  <c:v>5.106955352713426E-3</c:v>
                </c:pt>
                <c:pt idx="192">
                  <c:v>5.098716147839388E-3</c:v>
                </c:pt>
                <c:pt idx="193">
                  <c:v>5.0901577347902786E-3</c:v>
                </c:pt>
                <c:pt idx="194">
                  <c:v>5.0625672465924778E-3</c:v>
                </c:pt>
                <c:pt idx="195">
                  <c:v>5.0527320008430503E-3</c:v>
                </c:pt>
                <c:pt idx="196">
                  <c:v>5.0425775469185499E-3</c:v>
                </c:pt>
                <c:pt idx="197">
                  <c:v>5.0321038848189694E-3</c:v>
                </c:pt>
                <c:pt idx="198">
                  <c:v>5.0213110145443055E-3</c:v>
                </c:pt>
                <c:pt idx="199">
                  <c:v>4.9870171546698584E-3</c:v>
                </c:pt>
                <c:pt idx="200">
                  <c:v>4.9749474516948902E-3</c:v>
                </c:pt>
                <c:pt idx="201">
                  <c:v>4.9625585405448421E-3</c:v>
                </c:pt>
                <c:pt idx="202">
                  <c:v>4.9498504212197088E-3</c:v>
                </c:pt>
                <c:pt idx="203">
                  <c:v>4.9368230937195078E-3</c:v>
                </c:pt>
                <c:pt idx="204">
                  <c:v>4.8958258621684177E-3</c:v>
                </c:pt>
                <c:pt idx="205">
                  <c:v>4.8815217019678933E-3</c:v>
                </c:pt>
                <c:pt idx="206">
                  <c:v>4.8668983335922959E-3</c:v>
                </c:pt>
                <c:pt idx="207">
                  <c:v>4.8519557570416236E-3</c:v>
                </c:pt>
                <c:pt idx="208">
                  <c:v>4.7724547516620665E-3</c:v>
                </c:pt>
                <c:pt idx="209">
                  <c:v>4.7555969260609197E-3</c:v>
                </c:pt>
                <c:pt idx="210">
                  <c:v>4.7384198922846982E-3</c:v>
                </c:pt>
                <c:pt idx="211">
                  <c:v>4.7209236503333984E-3</c:v>
                </c:pt>
                <c:pt idx="212">
                  <c:v>4.6665196754290244E-3</c:v>
                </c:pt>
                <c:pt idx="213">
                  <c:v>4.6477466007774099E-3</c:v>
                </c:pt>
                <c:pt idx="214">
                  <c:v>4.6286543179507138E-3</c:v>
                </c:pt>
                <c:pt idx="215">
                  <c:v>4.6092428269489446E-3</c:v>
                </c:pt>
                <c:pt idx="216">
                  <c:v>4.5895121277720972E-3</c:v>
                </c:pt>
                <c:pt idx="217">
                  <c:v>4.5284047811910734E-3</c:v>
                </c:pt>
                <c:pt idx="218">
                  <c:v>4.5073972493139148E-3</c:v>
                </c:pt>
                <c:pt idx="219">
                  <c:v>4.4860705092616693E-3</c:v>
                </c:pt>
                <c:pt idx="220">
                  <c:v>4.4644245610343525E-3</c:v>
                </c:pt>
                <c:pt idx="221">
                  <c:v>4.4424594046319592E-3</c:v>
                </c:pt>
                <c:pt idx="222">
                  <c:v>4.374648686374296E-3</c:v>
                </c:pt>
                <c:pt idx="223">
                  <c:v>4.3514066972715898E-3</c:v>
                </c:pt>
                <c:pt idx="224">
                  <c:v>4.3278454999937967E-3</c:v>
                </c:pt>
                <c:pt idx="225">
                  <c:v>4.3039650945409305E-3</c:v>
                </c:pt>
                <c:pt idx="226">
                  <c:v>4.2797654809129879E-3</c:v>
                </c:pt>
                <c:pt idx="227">
                  <c:v>4.2052513909786836E-3</c:v>
                </c:pt>
                <c:pt idx="228">
                  <c:v>4.1797749446504245E-3</c:v>
                </c:pt>
                <c:pt idx="229">
                  <c:v>4.1539792901470925E-3</c:v>
                </c:pt>
                <c:pt idx="230">
                  <c:v>4.1278644274686735E-3</c:v>
                </c:pt>
                <c:pt idx="231">
                  <c:v>4.101430356615185E-3</c:v>
                </c:pt>
                <c:pt idx="232">
                  <c:v>4.0202128950042396E-3</c:v>
                </c:pt>
                <c:pt idx="233">
                  <c:v>3.9925019914504312E-3</c:v>
                </c:pt>
                <c:pt idx="234">
                  <c:v>3.9644718797215497E-3</c:v>
                </c:pt>
                <c:pt idx="235">
                  <c:v>3.9361225598175918E-3</c:v>
                </c:pt>
                <c:pt idx="236">
                  <c:v>3.9074540317385435E-3</c:v>
                </c:pt>
                <c:pt idx="237">
                  <c:v>3.819533198450957E-3</c:v>
                </c:pt>
                <c:pt idx="238">
                  <c:v>3.7895878376716062E-3</c:v>
                </c:pt>
                <c:pt idx="239">
                  <c:v>3.7593232687171754E-3</c:v>
                </c:pt>
                <c:pt idx="240">
                  <c:v>3.7287394915876612E-3</c:v>
                </c:pt>
                <c:pt idx="241">
                  <c:v>3.6978365062830774E-3</c:v>
                </c:pt>
                <c:pt idx="242">
                  <c:v>3.6032123013188463E-3</c:v>
                </c:pt>
                <c:pt idx="243">
                  <c:v>3.5710324833139427E-3</c:v>
                </c:pt>
                <c:pt idx="244">
                  <c:v>3.5385334571339695E-3</c:v>
                </c:pt>
                <c:pt idx="245">
                  <c:v>3.5057152227789129E-3</c:v>
                </c:pt>
                <c:pt idx="246">
                  <c:v>3.4725777802487728E-3</c:v>
                </c:pt>
                <c:pt idx="247">
                  <c:v>3.3712502036078972E-3</c:v>
                </c:pt>
                <c:pt idx="248">
                  <c:v>3.3368359283774511E-3</c:v>
                </c:pt>
                <c:pt idx="249">
                  <c:v>3.3021024449719216E-3</c:v>
                </c:pt>
                <c:pt idx="250">
                  <c:v>3.2670497533913191E-3</c:v>
                </c:pt>
                <c:pt idx="251">
                  <c:v>3.2316778536356401E-3</c:v>
                </c:pt>
                <c:pt idx="252">
                  <c:v>3.1236469053181233E-3</c:v>
                </c:pt>
                <c:pt idx="253">
                  <c:v>3.086998172862121E-3</c:v>
                </c:pt>
                <c:pt idx="254">
                  <c:v>3.0500302322310525E-3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0944"/>
        <c:axId val="823732480"/>
      </c:lineChart>
      <c:dateAx>
        <c:axId val="823730944"/>
        <c:scaling>
          <c:orientation val="minMax"/>
        </c:scaling>
        <c:delete val="0"/>
        <c:axPos val="b"/>
        <c:numFmt formatCode="[$-409]d\-mmm\-yy;@" sourceLinked="0"/>
        <c:majorTickMark val="out"/>
        <c:minorTickMark val="none"/>
        <c:tickLblPos val="nextTo"/>
        <c:spPr>
          <a:ln>
            <a:prstDash val="sysDash"/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823732480"/>
        <c:crosses val="autoZero"/>
        <c:auto val="1"/>
        <c:lblOffset val="100"/>
        <c:baseTimeUnit val="days"/>
      </c:dateAx>
      <c:valAx>
        <c:axId val="82373248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23730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307068387284927"/>
          <c:y val="0.54172915885514306"/>
          <c:w val="0.17981517935258093"/>
          <c:h val="0.287030371203599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57149</xdr:rowOff>
    </xdr:from>
    <xdr:to>
      <xdr:col>15</xdr:col>
      <xdr:colOff>104775</xdr:colOff>
      <xdr:row>50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51</xdr:row>
      <xdr:rowOff>38100</xdr:rowOff>
    </xdr:from>
    <xdr:to>
      <xdr:col>15</xdr:col>
      <xdr:colOff>104775</xdr:colOff>
      <xdr:row>79</xdr:row>
      <xdr:rowOff>95251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57150</xdr:colOff>
      <xdr:row>27</xdr:row>
      <xdr:rowOff>47625</xdr:rowOff>
    </xdr:from>
    <xdr:to>
      <xdr:col>68</xdr:col>
      <xdr:colOff>123825</xdr:colOff>
      <xdr:row>53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200025</xdr:colOff>
      <xdr:row>72</xdr:row>
      <xdr:rowOff>133350</xdr:rowOff>
    </xdr:from>
    <xdr:to>
      <xdr:col>29</xdr:col>
      <xdr:colOff>161925</xdr:colOff>
      <xdr:row>99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62</xdr:col>
      <xdr:colOff>142874</xdr:colOff>
      <xdr:row>5</xdr:row>
      <xdr:rowOff>28574</xdr:rowOff>
    </xdr:from>
    <xdr:to>
      <xdr:col>70</xdr:col>
      <xdr:colOff>409575</xdr:colOff>
      <xdr:row>25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27</xdr:row>
          <xdr:rowOff>76200</xdr:rowOff>
        </xdr:from>
        <xdr:to>
          <xdr:col>2</xdr:col>
          <xdr:colOff>942975</xdr:colOff>
          <xdr:row>30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Instantaneous Basis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21</xdr:row>
      <xdr:rowOff>47624</xdr:rowOff>
    </xdr:from>
    <xdr:to>
      <xdr:col>13</xdr:col>
      <xdr:colOff>552450</xdr:colOff>
      <xdr:row>49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76199</xdr:rowOff>
    </xdr:from>
    <xdr:to>
      <xdr:col>11</xdr:col>
      <xdr:colOff>595275</xdr:colOff>
      <xdr:row>44</xdr:row>
      <xdr:rowOff>104324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50</xdr:row>
      <xdr:rowOff>28575</xdr:rowOff>
    </xdr:from>
    <xdr:to>
      <xdr:col>13</xdr:col>
      <xdr:colOff>704850</xdr:colOff>
      <xdr:row>73</xdr:row>
      <xdr:rowOff>23813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47625</xdr:colOff>
      <xdr:row>50</xdr:row>
      <xdr:rowOff>19050</xdr:rowOff>
    </xdr:from>
    <xdr:to>
      <xdr:col>22</xdr:col>
      <xdr:colOff>171450</xdr:colOff>
      <xdr:row>73</xdr:row>
      <xdr:rowOff>14288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666750</xdr:colOff>
          <xdr:row>24</xdr:row>
          <xdr:rowOff>142875</xdr:rowOff>
        </xdr:from>
        <xdr:to>
          <xdr:col>33</xdr:col>
          <xdr:colOff>57150</xdr:colOff>
          <xdr:row>28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66676</xdr:colOff>
      <xdr:row>13</xdr:row>
      <xdr:rowOff>95249</xdr:rowOff>
    </xdr:from>
    <xdr:to>
      <xdr:col>30</xdr:col>
      <xdr:colOff>76200</xdr:colOff>
      <xdr:row>40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57151</xdr:colOff>
      <xdr:row>13</xdr:row>
      <xdr:rowOff>85724</xdr:rowOff>
    </xdr:from>
    <xdr:to>
      <xdr:col>26</xdr:col>
      <xdr:colOff>66675</xdr:colOff>
      <xdr:row>40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85726</xdr:colOff>
      <xdr:row>13</xdr:row>
      <xdr:rowOff>66674</xdr:rowOff>
    </xdr:from>
    <xdr:to>
      <xdr:col>26</xdr:col>
      <xdr:colOff>95250</xdr:colOff>
      <xdr:row>40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UR_SynthQuotesFe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ECB OIS"/>
      <sheetName val="IMM OIS"/>
      <sheetName val="Swaps1M(&lt;1Y)"/>
      <sheetName val="Swap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</sheetNames>
    <definedNames>
      <definedName name="LastFixingsTrigger" refersTo="='General Settings'!$D$7"/>
      <definedName name="TriggerCounter" refersTo="='General Settings'!$D$6"/>
    </definedNames>
    <sheetDataSet>
      <sheetData sheetId="0">
        <row r="6">
          <cell r="D6">
            <v>130</v>
          </cell>
        </row>
        <row r="7">
          <cell r="D7">
            <v>1</v>
          </cell>
        </row>
      </sheetData>
      <sheetData sheetId="1">
        <row r="7">
          <cell r="D7" t="str">
            <v>EURSTD</v>
          </cell>
        </row>
      </sheetData>
      <sheetData sheetId="2">
        <row r="6">
          <cell r="D6" t="str">
            <v>EUR6M#0000</v>
          </cell>
        </row>
        <row r="7">
          <cell r="D7" t="str">
            <v>EUR6M#0000</v>
          </cell>
        </row>
      </sheetData>
      <sheetData sheetId="3">
        <row r="6">
          <cell r="D6" t="str">
            <v>6E</v>
          </cell>
        </row>
        <row r="7">
          <cell r="D7" t="str">
            <v>6E</v>
          </cell>
        </row>
      </sheetData>
      <sheetData sheetId="4">
        <row r="6">
          <cell r="D6" t="str">
            <v>6E</v>
          </cell>
        </row>
        <row r="7">
          <cell r="D7" t="str">
            <v>6E</v>
          </cell>
        </row>
      </sheetData>
      <sheetData sheetId="5">
        <row r="6">
          <cell r="D6" t="str">
            <v>3E</v>
          </cell>
        </row>
        <row r="7">
          <cell r="D7" t="str">
            <v>3E</v>
          </cell>
        </row>
      </sheetData>
      <sheetData sheetId="6">
        <row r="6">
          <cell r="D6" t="str">
            <v>12E</v>
          </cell>
        </row>
        <row r="7">
          <cell r="D7" t="str">
            <v>12E</v>
          </cell>
        </row>
      </sheetData>
      <sheetData sheetId="7">
        <row r="6">
          <cell r="D6" t="str">
            <v>EURTND_Quote#0000</v>
          </cell>
        </row>
        <row r="7">
          <cell r="D7" t="str">
            <v>EURSND_Quote#0000</v>
          </cell>
        </row>
      </sheetData>
      <sheetData sheetId="8">
        <row r="6">
          <cell r="D6" t="str">
            <v>EUR2x5F_Quote</v>
          </cell>
        </row>
        <row r="7">
          <cell r="D7" t="str">
            <v>EUR3x6F_Quote</v>
          </cell>
        </row>
      </sheetData>
      <sheetData sheetId="9">
        <row r="6">
          <cell r="D6" t="str">
            <v>M5</v>
          </cell>
        </row>
        <row r="7">
          <cell r="D7" t="str">
            <v>N5</v>
          </cell>
        </row>
      </sheetData>
      <sheetData sheetId="10">
        <row r="6">
          <cell r="D6" t="str">
            <v>Future Code</v>
          </cell>
        </row>
        <row r="7">
          <cell r="D7" t="str">
            <v>M5</v>
          </cell>
        </row>
      </sheetData>
      <sheetData sheetId="11">
        <row r="6">
          <cell r="D6" t="str">
            <v>M5</v>
          </cell>
        </row>
        <row r="7">
          <cell r="D7" t="str">
            <v>N5</v>
          </cell>
        </row>
      </sheetData>
      <sheetData sheetId="12">
        <row r="6">
          <cell r="D6" t="str">
            <v/>
          </cell>
        </row>
      </sheetData>
      <sheetData sheetId="13">
        <row r="6">
          <cell r="D6" t="str">
            <v>2W</v>
          </cell>
        </row>
        <row r="7">
          <cell r="D7" t="str">
            <v>3W</v>
          </cell>
        </row>
      </sheetData>
      <sheetData sheetId="14">
        <row r="6">
          <cell r="D6" t="str">
            <v>OIS</v>
          </cell>
        </row>
        <row r="7">
          <cell r="D7" t="str">
            <v>OIS</v>
          </cell>
        </row>
      </sheetData>
      <sheetData sheetId="15">
        <row r="6">
          <cell r="D6" t="str">
            <v>Z5</v>
          </cell>
        </row>
        <row r="7">
          <cell r="D7" t="str">
            <v>H6</v>
          </cell>
        </row>
      </sheetData>
      <sheetData sheetId="16">
        <row r="6">
          <cell r="D6" t="str">
            <v>X1S</v>
          </cell>
        </row>
        <row r="7">
          <cell r="D7" t="str">
            <v>X1S</v>
          </cell>
        </row>
      </sheetData>
      <sheetData sheetId="17">
        <row r="6">
          <cell r="D6" t="str">
            <v>1E</v>
          </cell>
        </row>
        <row r="7">
          <cell r="D7" t="str">
            <v>1E</v>
          </cell>
        </row>
      </sheetData>
      <sheetData sheetId="18">
        <row r="6">
          <cell r="D6">
            <v>12</v>
          </cell>
        </row>
        <row r="7">
          <cell r="D7">
            <v>12</v>
          </cell>
        </row>
      </sheetData>
      <sheetData sheetId="19">
        <row r="6">
          <cell r="D6" t="str">
            <v>3E</v>
          </cell>
        </row>
        <row r="7">
          <cell r="D7" t="str">
            <v>3E</v>
          </cell>
        </row>
      </sheetData>
      <sheetData sheetId="20"/>
      <sheetData sheetId="21">
        <row r="6">
          <cell r="D6" t="str">
            <v>6E</v>
          </cell>
        </row>
        <row r="7">
          <cell r="D7" t="str">
            <v>6E</v>
          </cell>
        </row>
      </sheetData>
      <sheetData sheetId="22">
        <row r="6">
          <cell r="D6" t="str">
            <v>EUR1F2Y_Quote</v>
          </cell>
        </row>
        <row r="7">
          <cell r="D7" t="str">
            <v>EUR1F3Y_Quote</v>
          </cell>
        </row>
      </sheetData>
      <sheetData sheetId="23">
        <row r="6">
          <cell r="D6" t="str">
            <v>1E</v>
          </cell>
        </row>
        <row r="7">
          <cell r="D7" t="str">
            <v>1E</v>
          </cell>
        </row>
      </sheetData>
      <sheetData sheetId="24">
        <row r="6">
          <cell r="D6" t="str">
            <v>3E</v>
          </cell>
        </row>
        <row r="7">
          <cell r="D7" t="str">
            <v>3E</v>
          </cell>
        </row>
      </sheetData>
      <sheetData sheetId="25">
        <row r="6">
          <cell r="D6" t="str">
            <v>3E</v>
          </cell>
        </row>
        <row r="7">
          <cell r="D7" t="str">
            <v>3E</v>
          </cell>
        </row>
      </sheetData>
      <sheetData sheetId="26">
        <row r="6">
          <cell r="D6" t="str">
            <v>6E</v>
          </cell>
        </row>
        <row r="7">
          <cell r="D7" t="str">
            <v>6E</v>
          </cell>
        </row>
      </sheetData>
      <sheetData sheetId="27">
        <row r="6">
          <cell r="D6" t="str">
            <v>12E</v>
          </cell>
        </row>
        <row r="7">
          <cell r="D7" t="str">
            <v>12E</v>
          </cell>
        </row>
      </sheetData>
      <sheetData sheetId="28">
        <row r="6">
          <cell r="D6">
            <v>42157</v>
          </cell>
        </row>
        <row r="7">
          <cell r="D7">
            <v>42156</v>
          </cell>
        </row>
      </sheetData>
      <sheetData sheetId="29">
        <row r="6">
          <cell r="D6">
            <v>42157</v>
          </cell>
        </row>
        <row r="7">
          <cell r="D7">
            <v>42156</v>
          </cell>
        </row>
      </sheetData>
      <sheetData sheetId="30">
        <row r="6">
          <cell r="D6">
            <v>42158</v>
          </cell>
        </row>
        <row r="7">
          <cell r="D7">
            <v>42157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1MSynthDepo"/>
      <sheetName val="3MSynthDepo"/>
      <sheetName val="6MSynthDepo"/>
      <sheetName val="1YSynthDepo"/>
      <sheetName val="SynthFra"/>
      <sheetName val="Contribution"/>
    </sheetNames>
    <definedNames>
      <definedName name="TenorBasis6M" refersTo="='6MSynthDepo'!$R$18"/>
    </definedNames>
    <sheetDataSet>
      <sheetData sheetId="0"/>
      <sheetData sheetId="1"/>
      <sheetData sheetId="2">
        <row r="18">
          <cell r="R18" t="str">
            <v>obj_00843#0106</v>
          </cell>
        </row>
      </sheetData>
      <sheetData sheetId="3">
        <row r="18">
          <cell r="R18" t="str">
            <v>obj_00844#0100</v>
          </cell>
        </row>
      </sheetData>
      <sheetData sheetId="4">
        <row r="18">
          <cell r="R18" t="str">
            <v>obj_00845#0094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42"/>
  <sheetViews>
    <sheetView workbookViewId="0">
      <selection activeCell="I22" sqref="I22"/>
    </sheetView>
  </sheetViews>
  <sheetFormatPr defaultColWidth="10.6640625" defaultRowHeight="11.25" x14ac:dyDescent="0.2"/>
  <cols>
    <col min="1" max="2" width="2.83203125" style="105" customWidth="1"/>
    <col min="3" max="3" width="24.33203125" style="105" customWidth="1"/>
    <col min="4" max="4" width="35.83203125" style="105" customWidth="1"/>
    <col min="5" max="7" width="2.83203125" style="105" customWidth="1"/>
    <col min="8" max="8" width="27.5" style="105" bestFit="1" customWidth="1"/>
    <col min="9" max="9" width="39.33203125" style="105" bestFit="1" customWidth="1"/>
    <col min="10" max="10" width="2.83203125" style="105" customWidth="1"/>
    <col min="11" max="16384" width="10.6640625" style="105"/>
  </cols>
  <sheetData>
    <row r="1" spans="1:34" x14ac:dyDescent="0.2">
      <c r="B1" s="105" t="str">
        <f>_xll.qlxlVersion(TRUE,EvaluationDate)</f>
        <v>QuantLibXL 1.6.0 - MS VC++ (version unknown) - Multithreaded Dynamic Runtime library - Release Configuration - Jun  1 2015 10:45:27</v>
      </c>
    </row>
    <row r="2" spans="1:34" ht="19.5" thickBot="1" x14ac:dyDescent="0.25">
      <c r="B2" s="299" t="s">
        <v>0</v>
      </c>
      <c r="C2" s="300"/>
      <c r="D2" s="300"/>
      <c r="E2" s="301"/>
      <c r="G2" s="299" t="s">
        <v>121</v>
      </c>
      <c r="H2" s="300"/>
      <c r="I2" s="300"/>
      <c r="J2" s="301"/>
    </row>
    <row r="3" spans="1:34" x14ac:dyDescent="0.2">
      <c r="B3" s="302"/>
      <c r="C3" s="1"/>
      <c r="D3" s="1"/>
      <c r="E3" s="303"/>
      <c r="G3" s="310"/>
      <c r="H3" s="5"/>
      <c r="I3" s="5"/>
      <c r="J3" s="311"/>
    </row>
    <row r="4" spans="1:34" x14ac:dyDescent="0.2">
      <c r="B4" s="302"/>
      <c r="C4" s="2" t="s">
        <v>1</v>
      </c>
      <c r="D4" s="3" t="s">
        <v>2</v>
      </c>
      <c r="E4" s="303"/>
      <c r="G4" s="310"/>
      <c r="H4" s="7" t="s">
        <v>8</v>
      </c>
      <c r="I4" s="108" t="b">
        <v>1</v>
      </c>
      <c r="J4" s="312"/>
    </row>
    <row r="5" spans="1:34" s="106" customFormat="1" x14ac:dyDescent="0.2">
      <c r="A5" s="105"/>
      <c r="B5" s="302"/>
      <c r="C5" s="2" t="s">
        <v>3</v>
      </c>
      <c r="D5" s="4" t="s">
        <v>4</v>
      </c>
      <c r="E5" s="303"/>
      <c r="F5" s="105"/>
      <c r="G5" s="310"/>
      <c r="H5" s="7" t="s">
        <v>9</v>
      </c>
      <c r="I5" s="108" t="b">
        <v>1</v>
      </c>
      <c r="J5" s="312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105"/>
    </row>
    <row r="6" spans="1:34" s="106" customFormat="1" x14ac:dyDescent="0.2">
      <c r="A6" s="105"/>
      <c r="B6" s="302"/>
      <c r="C6" s="2" t="s">
        <v>5</v>
      </c>
      <c r="D6" s="4" t="str">
        <f>IF(UPPER(Currency)&lt;&gt;"EUR","L","")&amp;"ibor"</f>
        <v>ibor</v>
      </c>
      <c r="E6" s="303"/>
      <c r="F6" s="105"/>
      <c r="G6" s="310"/>
      <c r="H6" s="7" t="s">
        <v>11</v>
      </c>
      <c r="I6" s="108" t="b">
        <v>0</v>
      </c>
      <c r="J6" s="312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5"/>
    </row>
    <row r="7" spans="1:34" x14ac:dyDescent="0.2">
      <c r="B7" s="302"/>
      <c r="C7" s="2" t="s">
        <v>6</v>
      </c>
      <c r="D7" s="6" t="s">
        <v>7</v>
      </c>
      <c r="E7" s="303"/>
      <c r="G7" s="310"/>
      <c r="H7" s="7" t="s">
        <v>12</v>
      </c>
      <c r="I7" s="109"/>
      <c r="J7" s="312"/>
    </row>
    <row r="8" spans="1:34" x14ac:dyDescent="0.2">
      <c r="B8" s="302"/>
      <c r="C8" s="2" t="s">
        <v>98</v>
      </c>
      <c r="D8" s="9" t="s">
        <v>99</v>
      </c>
      <c r="E8" s="303"/>
      <c r="G8" s="310"/>
      <c r="H8" s="7" t="s">
        <v>14</v>
      </c>
      <c r="I8" s="110" t="b">
        <v>1</v>
      </c>
      <c r="J8" s="312"/>
    </row>
    <row r="9" spans="1:34" x14ac:dyDescent="0.2">
      <c r="B9" s="302"/>
      <c r="C9" s="2" t="s">
        <v>127</v>
      </c>
      <c r="D9" s="9" t="s">
        <v>15</v>
      </c>
      <c r="E9" s="303"/>
      <c r="G9" s="310"/>
      <c r="H9" s="5"/>
      <c r="I9" s="5"/>
      <c r="J9" s="311"/>
    </row>
    <row r="10" spans="1:34" x14ac:dyDescent="0.2">
      <c r="B10" s="304"/>
      <c r="C10" s="305"/>
      <c r="D10" s="305"/>
      <c r="E10" s="303"/>
      <c r="G10" s="310"/>
      <c r="H10" s="7" t="s">
        <v>16</v>
      </c>
      <c r="I10" s="110" t="s">
        <v>17</v>
      </c>
      <c r="J10" s="312"/>
    </row>
    <row r="11" spans="1:34" x14ac:dyDescent="0.2">
      <c r="B11" s="302"/>
      <c r="C11" s="26" t="s">
        <v>20</v>
      </c>
      <c r="D11" s="27">
        <v>42121.73238425926</v>
      </c>
      <c r="E11" s="303"/>
      <c r="G11" s="310"/>
      <c r="H11" s="7" t="s">
        <v>18</v>
      </c>
      <c r="I11" s="111">
        <v>1E-4</v>
      </c>
      <c r="J11" s="312"/>
    </row>
    <row r="12" spans="1:34" x14ac:dyDescent="0.2">
      <c r="B12" s="302"/>
      <c r="C12" s="26" t="s">
        <v>21</v>
      </c>
      <c r="D12" s="28" t="b">
        <v>1</v>
      </c>
      <c r="E12" s="303"/>
      <c r="G12" s="310"/>
      <c r="H12" s="7" t="s">
        <v>19</v>
      </c>
      <c r="I12" s="112">
        <v>-0.01</v>
      </c>
      <c r="J12" s="312"/>
    </row>
    <row r="13" spans="1:34" x14ac:dyDescent="0.2">
      <c r="B13" s="306"/>
      <c r="C13" s="307"/>
      <c r="D13" s="308"/>
      <c r="E13" s="309"/>
      <c r="G13" s="313"/>
      <c r="H13" s="314"/>
      <c r="I13" s="314"/>
      <c r="J13" s="315"/>
    </row>
    <row r="14" spans="1:34" x14ac:dyDescent="0.2">
      <c r="C14" s="107"/>
      <c r="D14" s="107"/>
      <c r="E14" s="107"/>
    </row>
    <row r="15" spans="1:34" ht="18.75" x14ac:dyDescent="0.2">
      <c r="B15" s="321" t="s">
        <v>74</v>
      </c>
      <c r="C15" s="322"/>
      <c r="D15" s="322"/>
      <c r="E15" s="323"/>
      <c r="G15" s="321" t="s">
        <v>82</v>
      </c>
      <c r="H15" s="322"/>
      <c r="I15" s="322"/>
      <c r="J15" s="323"/>
    </row>
    <row r="16" spans="1:34" x14ac:dyDescent="0.2">
      <c r="B16" s="304"/>
      <c r="C16" s="13"/>
      <c r="D16" s="14"/>
      <c r="E16" s="318"/>
      <c r="G16" s="316"/>
      <c r="H16" s="10"/>
      <c r="I16" s="10"/>
      <c r="J16" s="219"/>
    </row>
    <row r="17" spans="2:10" x14ac:dyDescent="0.2">
      <c r="B17" s="302"/>
      <c r="C17" s="17" t="s">
        <v>10</v>
      </c>
      <c r="D17" s="8">
        <f>_xll.qlCalendarAdvance(Calendar,_xll.qlCalendarAdjust(Calendar,EvaluationDate,"f",Trigger),"2D","f")</f>
        <v>42160</v>
      </c>
      <c r="E17" s="303"/>
      <c r="G17" s="316"/>
      <c r="H17" s="2" t="s">
        <v>22</v>
      </c>
      <c r="I17" s="324">
        <v>42158.742997685185</v>
      </c>
      <c r="J17" s="219"/>
    </row>
    <row r="18" spans="2:10" x14ac:dyDescent="0.2">
      <c r="B18" s="302"/>
      <c r="C18" s="17" t="s">
        <v>13</v>
      </c>
      <c r="D18" s="9" t="str">
        <f>_xll.qlDiscountingSwapEngine(,OisCurve,,,,,EvaluationDate)</f>
        <v>obj_00876#0000</v>
      </c>
      <c r="E18" s="303"/>
      <c r="G18" s="316"/>
      <c r="H18" s="2" t="s">
        <v>23</v>
      </c>
      <c r="I18" s="30">
        <f>_xll.qlSettingsEvaluationDate(Trigger)</f>
        <v>42158</v>
      </c>
      <c r="J18" s="219"/>
    </row>
    <row r="19" spans="2:10" x14ac:dyDescent="0.2">
      <c r="B19" s="302"/>
      <c r="C19" s="29"/>
      <c r="D19" s="29"/>
      <c r="E19" s="303"/>
      <c r="G19" s="316"/>
      <c r="H19" s="2" t="s">
        <v>24</v>
      </c>
      <c r="I19" s="31">
        <f>[1]!TriggerCounter</f>
        <v>130</v>
      </c>
      <c r="J19" s="219"/>
    </row>
    <row r="20" spans="2:10" x14ac:dyDescent="0.2">
      <c r="B20" s="302"/>
      <c r="C20" s="29"/>
      <c r="D20" s="29"/>
      <c r="E20" s="303"/>
      <c r="G20" s="316"/>
      <c r="H20" s="2" t="s">
        <v>25</v>
      </c>
      <c r="I20" s="32">
        <f>[1]!LastFixingsTrigger</f>
        <v>1</v>
      </c>
      <c r="J20" s="219"/>
    </row>
    <row r="21" spans="2:10" x14ac:dyDescent="0.2">
      <c r="B21" s="302"/>
      <c r="C21" s="29"/>
      <c r="D21" s="29"/>
      <c r="E21" s="303"/>
      <c r="G21" s="316"/>
      <c r="H21" s="2" t="s">
        <v>28</v>
      </c>
      <c r="I21" s="3">
        <v>0</v>
      </c>
      <c r="J21" s="219"/>
    </row>
    <row r="22" spans="2:10" x14ac:dyDescent="0.2">
      <c r="B22" s="306"/>
      <c r="C22" s="319"/>
      <c r="D22" s="319"/>
      <c r="E22" s="309"/>
      <c r="G22" s="317"/>
      <c r="H22" s="220"/>
      <c r="I22" s="220"/>
      <c r="J22" s="221"/>
    </row>
    <row r="24" spans="2:10" ht="18.75" x14ac:dyDescent="0.2">
      <c r="B24" s="321" t="str">
        <f>IborTenor&amp;" Curve Settings"</f>
        <v>1Y Curve Settings</v>
      </c>
      <c r="C24" s="322"/>
      <c r="D24" s="322"/>
      <c r="E24" s="323"/>
      <c r="G24" s="321" t="str">
        <f>I26&amp;" Curve Settings"</f>
        <v>1M Curve Settings</v>
      </c>
      <c r="H24" s="322"/>
      <c r="I24" s="322"/>
      <c r="J24" s="323"/>
    </row>
    <row r="25" spans="2:10" x14ac:dyDescent="0.2">
      <c r="B25" s="302"/>
      <c r="C25" s="1"/>
      <c r="D25" s="1"/>
      <c r="E25" s="303"/>
      <c r="G25" s="302"/>
      <c r="H25" s="1"/>
      <c r="I25" s="1"/>
      <c r="J25" s="303"/>
    </row>
    <row r="26" spans="2:10" x14ac:dyDescent="0.2">
      <c r="B26" s="302"/>
      <c r="C26" s="17" t="s">
        <v>26</v>
      </c>
      <c r="D26" s="3" t="s">
        <v>27</v>
      </c>
      <c r="E26" s="303"/>
      <c r="G26" s="302"/>
      <c r="H26" s="17" t="s">
        <v>26</v>
      </c>
      <c r="I26" s="3" t="s">
        <v>40</v>
      </c>
      <c r="J26" s="303"/>
    </row>
    <row r="27" spans="2:10" x14ac:dyDescent="0.2">
      <c r="B27" s="302"/>
      <c r="C27" s="17" t="s">
        <v>29</v>
      </c>
      <c r="D27" s="15">
        <v>2</v>
      </c>
      <c r="E27" s="303"/>
      <c r="G27" s="302"/>
      <c r="H27" s="17" t="s">
        <v>29</v>
      </c>
      <c r="I27" s="15">
        <v>2</v>
      </c>
      <c r="J27" s="303"/>
    </row>
    <row r="28" spans="2:10" x14ac:dyDescent="0.2">
      <c r="B28" s="302"/>
      <c r="C28" s="2" t="s">
        <v>76</v>
      </c>
      <c r="D28" s="18" t="str">
        <f>_xll.qlEuribor(,IborTenor,YieldCurve,,D33)</f>
        <v>obj_0087b#0000</v>
      </c>
      <c r="E28" s="303"/>
      <c r="G28" s="302"/>
      <c r="H28" s="2" t="s">
        <v>76</v>
      </c>
      <c r="I28" s="57" t="str">
        <f>_xll.qlEuribor(,"1M",I34,,Trigger)</f>
        <v>obj_0087a#0000</v>
      </c>
      <c r="J28" s="303"/>
    </row>
    <row r="29" spans="2:10" x14ac:dyDescent="0.2">
      <c r="B29" s="304"/>
      <c r="C29" s="305"/>
      <c r="D29" s="305"/>
      <c r="E29" s="318"/>
      <c r="G29" s="304"/>
      <c r="H29" s="305"/>
      <c r="I29" s="305"/>
      <c r="J29" s="318"/>
    </row>
    <row r="30" spans="2:10" x14ac:dyDescent="0.2">
      <c r="B30" s="302"/>
      <c r="C30" s="17" t="s">
        <v>30</v>
      </c>
      <c r="D30" s="4" t="e">
        <v>#N/A</v>
      </c>
      <c r="E30" s="303"/>
      <c r="G30" s="302"/>
      <c r="H30" s="17" t="s">
        <v>30</v>
      </c>
      <c r="I30" s="4" t="e">
        <v>#N/A</v>
      </c>
      <c r="J30" s="303"/>
    </row>
    <row r="31" spans="2:10" x14ac:dyDescent="0.2">
      <c r="B31" s="302"/>
      <c r="C31" s="17" t="s">
        <v>31</v>
      </c>
      <c r="D31" s="6" t="s">
        <v>32</v>
      </c>
      <c r="E31" s="303"/>
      <c r="G31" s="302"/>
      <c r="H31" s="17" t="s">
        <v>31</v>
      </c>
      <c r="I31" s="6" t="s">
        <v>32</v>
      </c>
      <c r="J31" s="303"/>
    </row>
    <row r="32" spans="2:10" x14ac:dyDescent="0.2">
      <c r="B32" s="302"/>
      <c r="C32" s="17" t="s">
        <v>33</v>
      </c>
      <c r="D32" s="9" t="s">
        <v>115</v>
      </c>
      <c r="E32" s="303"/>
      <c r="G32" s="302"/>
      <c r="H32" s="17" t="s">
        <v>33</v>
      </c>
      <c r="I32" s="9" t="s">
        <v>115</v>
      </c>
      <c r="J32" s="303"/>
    </row>
    <row r="33" spans="2:10" x14ac:dyDescent="0.2">
      <c r="B33" s="302"/>
      <c r="C33" s="17" t="s">
        <v>75</v>
      </c>
      <c r="D33" s="16" t="b">
        <f>_xll.qlExtrapolatorEnableExtrapolation(YieldCurve,TRUE)</f>
        <v>1</v>
      </c>
      <c r="E33" s="303"/>
      <c r="G33" s="304"/>
      <c r="H33" s="100"/>
      <c r="I33" s="101"/>
      <c r="J33" s="303"/>
    </row>
    <row r="34" spans="2:10" x14ac:dyDescent="0.2">
      <c r="B34" s="302"/>
      <c r="C34" s="24" t="s">
        <v>80</v>
      </c>
      <c r="D34" s="113" t="str">
        <f>_xll.qlPiecewiseYieldCurve(,NDays,Calendar,_xll.ohPack('1Y Delta'!L14:L27),DayCounter,,,Accuracy,TraitsID,InterpolatorID)</f>
        <v>obj_00879#0000</v>
      </c>
      <c r="E34" s="303"/>
      <c r="G34" s="302"/>
      <c r="H34" s="24" t="s">
        <v>80</v>
      </c>
      <c r="I34" s="113" t="str">
        <f>_xll.qlPiecewiseYieldCurve(,NDays,Calendar,_xll.ohPack('Delta 1M'!L13:L21),"actual/365",,,Accuracy,I31,I32,,Trigger)</f>
        <v>obj_00878#0000</v>
      </c>
      <c r="J34" s="303"/>
    </row>
    <row r="35" spans="2:10" x14ac:dyDescent="0.2">
      <c r="B35" s="302"/>
      <c r="C35" s="25" t="s">
        <v>81</v>
      </c>
      <c r="D35" s="114" t="str">
        <f>_xll.ohRangeRetrieveError(YieldCurve)</f>
        <v/>
      </c>
      <c r="E35" s="303"/>
      <c r="G35" s="302"/>
      <c r="H35" s="25" t="s">
        <v>81</v>
      </c>
      <c r="I35" s="114" t="str">
        <f>_xll.ohRangeRetrieveError(YieldCurve)</f>
        <v/>
      </c>
      <c r="J35" s="320"/>
    </row>
    <row r="36" spans="2:10" x14ac:dyDescent="0.2">
      <c r="B36" s="304"/>
      <c r="C36" s="305"/>
      <c r="D36" s="305"/>
      <c r="E36" s="318"/>
      <c r="G36" s="304"/>
      <c r="H36" s="305"/>
      <c r="I36" s="305"/>
      <c r="J36" s="320"/>
    </row>
    <row r="37" spans="2:10" x14ac:dyDescent="0.2">
      <c r="B37" s="302"/>
      <c r="C37" s="20">
        <f>_xll.qlTermStructureReferenceDate(YieldCurve)</f>
        <v>42160</v>
      </c>
      <c r="D37" s="21">
        <f>_xll.qlYieldTSDiscount(YieldCurve,C37,,Trigger)</f>
        <v>1</v>
      </c>
      <c r="E37" s="303"/>
      <c r="G37" s="302"/>
      <c r="H37" s="20">
        <f>_xll.qlTermStructureReferenceDate(I34)</f>
        <v>42160</v>
      </c>
      <c r="I37" s="73">
        <f>_xll.qlYieldTSDiscount(I34,H37,,Trigger)</f>
        <v>1</v>
      </c>
      <c r="J37" s="320"/>
    </row>
    <row r="38" spans="2:10" x14ac:dyDescent="0.2">
      <c r="B38" s="302"/>
      <c r="C38" s="22">
        <f>_xll.qlTermStructureMaxDate(D34)</f>
        <v>42892</v>
      </c>
      <c r="D38" s="23">
        <f>_xll.qlYieldTSDiscount(YieldCurve,C38,,Trigger)</f>
        <v>0.99556543328770064</v>
      </c>
      <c r="E38" s="303"/>
      <c r="G38" s="302"/>
      <c r="H38" s="22">
        <f>_xll.qlTermStructureMaxDate(I34)</f>
        <v>42191</v>
      </c>
      <c r="I38" s="74">
        <f>_xll.qlYieldTSDiscount(I34,H38,,Trigger)</f>
        <v>1.0000525305370902</v>
      </c>
      <c r="J38" s="320"/>
    </row>
    <row r="39" spans="2:10" x14ac:dyDescent="0.2">
      <c r="B39" s="304"/>
      <c r="C39" s="305"/>
      <c r="D39" s="305"/>
      <c r="E39" s="318"/>
      <c r="G39" s="306"/>
      <c r="H39" s="319"/>
      <c r="I39" s="319"/>
      <c r="J39" s="309"/>
    </row>
    <row r="40" spans="2:10" x14ac:dyDescent="0.2">
      <c r="B40" s="302"/>
      <c r="C40" s="2" t="s">
        <v>77</v>
      </c>
      <c r="D40" s="16" t="s">
        <v>79</v>
      </c>
      <c r="E40" s="303"/>
    </row>
    <row r="41" spans="2:10" x14ac:dyDescent="0.2">
      <c r="B41" s="302"/>
      <c r="C41" s="2" t="s">
        <v>78</v>
      </c>
      <c r="D41" s="19" t="str">
        <f>_xll.qlInterpolation(,BasisInterpolation,'1Y Delta'!P31:P36,'1Y Delta'!X31:X36)</f>
        <v>obj_008ad#0066</v>
      </c>
      <c r="E41" s="303"/>
    </row>
    <row r="42" spans="2:10" x14ac:dyDescent="0.2">
      <c r="B42" s="306"/>
      <c r="C42" s="319"/>
      <c r="D42" s="319"/>
      <c r="E42" s="309"/>
    </row>
  </sheetData>
  <conditionalFormatting sqref="D12">
    <cfRule type="cellIs" dxfId="0" priority="3" stopIfTrue="1" operator="equal">
      <formula>TRUE</formula>
    </cfRule>
  </conditionalFormatting>
  <dataValidations count="6"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32 I32:I33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31 I31">
      <formula1>"Discount,ZeroYield,ForwardRate"</formula1>
    </dataValidation>
    <dataValidation type="list" allowBlank="1" showInputMessage="1" showErrorMessage="1" sqref="D40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84"/>
  <sheetViews>
    <sheetView workbookViewId="0">
      <selection activeCell="O50" sqref="O50"/>
    </sheetView>
  </sheetViews>
  <sheetFormatPr defaultRowHeight="11.25" outlineLevelCol="1" x14ac:dyDescent="0.2"/>
  <cols>
    <col min="1" max="1" width="3.1640625" style="115" customWidth="1"/>
    <col min="2" max="2" width="2.33203125" style="115" customWidth="1"/>
    <col min="3" max="3" width="3.1640625" style="115" customWidth="1"/>
    <col min="4" max="4" width="23.1640625" style="115" customWidth="1"/>
    <col min="5" max="5" width="34.83203125" style="115" hidden="1" customWidth="1" outlineLevel="1"/>
    <col min="6" max="6" width="9.33203125" style="115" hidden="1" customWidth="1" outlineLevel="1"/>
    <col min="7" max="7" width="12.83203125" style="115" bestFit="1" customWidth="1" collapsed="1"/>
    <col min="8" max="8" width="12.83203125" style="115" customWidth="1"/>
    <col min="9" max="10" width="11.33203125" style="115" customWidth="1"/>
    <col min="11" max="12" width="9.33203125" style="115" bestFit="1" customWidth="1"/>
    <col min="13" max="13" width="8.1640625" style="115" bestFit="1" customWidth="1"/>
    <col min="14" max="14" width="2.83203125" style="115" customWidth="1"/>
    <col min="15" max="15" width="14.1640625" style="115" bestFit="1" customWidth="1"/>
    <col min="16" max="16" width="17.83203125" style="115" bestFit="1" customWidth="1"/>
    <col min="17" max="17" width="2.83203125" style="115" customWidth="1"/>
    <col min="18" max="18" width="12.83203125" style="115" bestFit="1" customWidth="1"/>
    <col min="19" max="19" width="9.33203125" style="115"/>
    <col min="20" max="20" width="0" style="115" hidden="1" customWidth="1" outlineLevel="1"/>
    <col min="21" max="21" width="9.33203125" style="115" collapsed="1"/>
    <col min="22" max="22" width="3.5" style="115" bestFit="1" customWidth="1"/>
    <col min="23" max="23" width="20.5" style="115" customWidth="1"/>
    <col min="24" max="24" width="9.33203125" style="115"/>
    <col min="25" max="25" width="17.83203125" style="115" bestFit="1" customWidth="1"/>
    <col min="26" max="27" width="9.33203125" style="115"/>
    <col min="28" max="28" width="12.83203125" style="115" bestFit="1" customWidth="1"/>
    <col min="29" max="29" width="16.5" style="115" bestFit="1" customWidth="1"/>
    <col min="30" max="16384" width="9.33203125" style="115"/>
  </cols>
  <sheetData>
    <row r="1" spans="1:30" x14ac:dyDescent="0.2">
      <c r="G1" s="386" t="s">
        <v>95</v>
      </c>
      <c r="H1" s="387" t="s">
        <v>42</v>
      </c>
    </row>
    <row r="2" spans="1:30" ht="26.25" customHeight="1" x14ac:dyDescent="0.2">
      <c r="D2" s="142" t="str">
        <f>H1&amp;" Instruments"</f>
        <v>6M Instruments</v>
      </c>
      <c r="E2" s="142" t="s">
        <v>173</v>
      </c>
      <c r="F2" s="142" t="s">
        <v>174</v>
      </c>
      <c r="G2" s="142" t="s">
        <v>96</v>
      </c>
      <c r="H2" s="142" t="s">
        <v>191</v>
      </c>
      <c r="I2" s="142" t="str">
        <f>"F "&amp;H1</f>
        <v>F 6M</v>
      </c>
      <c r="J2" s="142" t="s">
        <v>125</v>
      </c>
      <c r="K2" s="142" t="s">
        <v>135</v>
      </c>
      <c r="L2" s="142" t="s">
        <v>168</v>
      </c>
      <c r="M2" s="142" t="s">
        <v>138</v>
      </c>
      <c r="N2" s="117"/>
      <c r="R2" s="142" t="s">
        <v>156</v>
      </c>
      <c r="S2" s="142" t="s">
        <v>193</v>
      </c>
      <c r="T2" s="142" t="s">
        <v>178</v>
      </c>
      <c r="U2" s="142" t="s">
        <v>192</v>
      </c>
    </row>
    <row r="3" spans="1:30" ht="11.25" customHeight="1" x14ac:dyDescent="0.2">
      <c r="A3" s="356">
        <v>0</v>
      </c>
      <c r="B3" s="357" t="s">
        <v>37</v>
      </c>
      <c r="C3" s="358" t="str">
        <f>SUBSTITUTE($H$1,"M","")</f>
        <v>6</v>
      </c>
      <c r="D3" s="361" t="str">
        <f>Currency&amp;A3&amp;B3&amp;C3&amp;"F"&amp;"_Estimated"</f>
        <v>EUR0x6F_Estimated</v>
      </c>
      <c r="E3" s="361" t="str">
        <f>_xll.qlSimpleQuote(UPPER("B"&amp;$H$1&amp;"_"&amp;A3&amp;B3&amp;C3&amp;"Estimated"),,,Permanent,Trigger,ObjectOverwrite)</f>
        <v>B6M_0X6ESTIMATED#0000</v>
      </c>
      <c r="F3" s="517">
        <f>_xll.qlSimpleQuoteSetValue(E3,L3,AllTriggers)</f>
        <v>1.1681388179963365E-6</v>
      </c>
      <c r="G3" s="536">
        <f>SettlementDate</f>
        <v>42160</v>
      </c>
      <c r="H3" s="536">
        <f>_xll.qlInterestRateIndexMaturity(PROPER(Currency)&amp;"ibor"&amp;$H$1,G3)</f>
        <v>42345</v>
      </c>
      <c r="I3" s="360">
        <f>L3+$J$4</f>
        <v>5.4582614246208067E-4</v>
      </c>
      <c r="J3" s="332"/>
      <c r="K3" s="332"/>
      <c r="L3" s="258">
        <f>_xll.qlTenorBasisValue($P$3,G3,Trigger)</f>
        <v>1.8094707299657023E-3</v>
      </c>
      <c r="M3" s="332"/>
      <c r="N3" s="117"/>
      <c r="O3" s="504" t="s">
        <v>167</v>
      </c>
      <c r="P3" s="258" t="str">
        <f>[2]!TenorBasis6M</f>
        <v>obj_00844#0100</v>
      </c>
      <c r="R3" s="537">
        <f>SettlementDate</f>
        <v>42160</v>
      </c>
      <c r="S3" s="180">
        <f>_xll.qlTenorBasisValue($P$3,R3,AllTriggers)</f>
        <v>1.8094707299657023E-3</v>
      </c>
      <c r="T3" s="165">
        <f>_xll.qlDayCounterYearFraction("actual/365 (fixed)",SettlementDate,R3,,,Trigger)</f>
        <v>0</v>
      </c>
      <c r="U3" s="180">
        <f>_xll.qlPolynomialFunctionValue($P$18,T3,AllTriggers)</f>
        <v>1.5381482685654065E-3</v>
      </c>
    </row>
    <row r="4" spans="1:30" ht="11.25" customHeight="1" x14ac:dyDescent="0.2">
      <c r="A4" s="356">
        <v>0</v>
      </c>
      <c r="B4" s="357" t="s">
        <v>37</v>
      </c>
      <c r="C4" s="358">
        <v>6</v>
      </c>
      <c r="D4" s="347" t="str">
        <f>PROPER(Currency&amp;IborType)&amp;H1&amp;"LastFixing"&amp;QuoteSuffix</f>
        <v>Euribor6MLastFixing_Quote</v>
      </c>
      <c r="E4" s="347" t="str">
        <f>_xll.qlSimpleQuote(UPPER("B"&amp;$H$1&amp;"_"&amp;A4&amp;B4&amp;C4&amp;"FIXING"),,,Permanent,Trigger,ObjectOverwrite)</f>
        <v>B6M_0X6FIXING#0000</v>
      </c>
      <c r="F4" s="518">
        <f>_xll.qlSimpleQuoteSetValue(E4,K4,AllTriggers)</f>
        <v>0</v>
      </c>
      <c r="G4" s="536">
        <f>SettlementDate</f>
        <v>42160</v>
      </c>
      <c r="H4" s="536">
        <f>_xll.qlInterestRateIndexMaturity(ON_6M_index,G4)</f>
        <v>42345</v>
      </c>
      <c r="I4" s="258">
        <f>_xll.qlQuoteValue(D4,LastFixingsTrigger)</f>
        <v>4.8000000000000001E-4</v>
      </c>
      <c r="J4" s="258">
        <f>_xll.qlIndexFixing(ON_6M_index,_xll.qlInterestRateIndexFixingDate(ON_6M_index,G4),,AllTriggers)</f>
        <v>-1.2636445875036217E-3</v>
      </c>
      <c r="K4" s="360">
        <f t="shared" ref="K4:K22" si="0">I4-J4</f>
        <v>1.7436445875036216E-3</v>
      </c>
      <c r="L4" s="253">
        <f>_xll.qlTenorBasisValue($P$3,G4,Trigger)</f>
        <v>1.8094707299657023E-3</v>
      </c>
      <c r="M4" s="254">
        <f>(K4-L4)*10000</f>
        <v>-0.65826142462080706</v>
      </c>
      <c r="N4" s="117"/>
      <c r="R4" s="538">
        <f>_xll.qlCalendarAdvance(Calendar,R3,"1D","f")</f>
        <v>42163</v>
      </c>
      <c r="S4" s="167">
        <f>_xll.qlTenorBasisValue($P$3,R4,AllTriggers)</f>
        <v>1.8169533676055088E-3</v>
      </c>
      <c r="T4" s="155">
        <f>_xll.qlDayCounterYearFraction("actual/365 (fixed)",SettlementDate,R4,,,Trigger)</f>
        <v>8.21917808219178E-3</v>
      </c>
      <c r="U4" s="167">
        <f>_xll.qlPolynomialFunctionValue($P$18,T4,AllTriggers)</f>
        <v>1.5493514988763146E-3</v>
      </c>
    </row>
    <row r="5" spans="1:30" ht="11.25" customHeight="1" x14ac:dyDescent="0.2">
      <c r="A5" s="339">
        <v>1</v>
      </c>
      <c r="B5" s="117" t="s">
        <v>37</v>
      </c>
      <c r="C5" s="352">
        <f t="shared" ref="C5:C22" si="1">A5+SUBSTITUTE($H$1,"M","")</f>
        <v>7</v>
      </c>
      <c r="D5" s="348" t="str">
        <f t="shared" ref="D5:D22" si="2">Currency&amp;A5&amp;B5&amp;C5&amp;"F"&amp;QuoteSuffix</f>
        <v>EUR1x7F_Quote</v>
      </c>
      <c r="E5" s="348" t="str">
        <f>_xll.qlSimpleQuote(UPPER("B"&amp;$H$1&amp;"_"&amp;A5&amp;B5&amp;C5),,,Permanent,Trigger,ObjectOverwrite)</f>
        <v>B6M_1X7#0000</v>
      </c>
      <c r="F5" s="519">
        <f>_xll.qlSimpleQuoteSetValue(E5,K5,AllTriggers)</f>
        <v>0</v>
      </c>
      <c r="G5" s="537">
        <f>_xll.qlCalendarAdvance("target",SettlementDate,A5&amp;"M","mf",,Trigger)</f>
        <v>42191</v>
      </c>
      <c r="H5" s="537">
        <f>_xll.qlInterestRateIndexMaturity(ON_6M_index,G5)</f>
        <v>42375</v>
      </c>
      <c r="I5" s="180">
        <f>_xll.qlQuoteValue(D5,AllTriggers)</f>
        <v>6.4000000000000005E-4</v>
      </c>
      <c r="J5" s="180">
        <f>_xll.qlIndexFixing(ON_6M_index,_xll.qlInterestRateIndexFixingDate(ON_6M_index,G5),,AllTriggers)</f>
        <v>-1.2402851465069713E-3</v>
      </c>
      <c r="K5" s="507">
        <f t="shared" si="0"/>
        <v>1.8802851465069713E-3</v>
      </c>
      <c r="L5" s="180">
        <f>_xll.qlTenorBasisValue($P$3,G5,Trigger)</f>
        <v>1.8816806624580335E-3</v>
      </c>
      <c r="M5" s="334">
        <f t="shared" ref="M5:M22" si="3">(K5-L5)*10000</f>
        <v>-1.3955159510622116E-2</v>
      </c>
      <c r="N5" s="117"/>
      <c r="O5" s="377" t="s">
        <v>189</v>
      </c>
      <c r="P5" s="378"/>
      <c r="Q5" s="116"/>
      <c r="R5" s="538">
        <f>_xll.qlCalendarAdvance(Calendar,R4,"1D","f")</f>
        <v>42164</v>
      </c>
      <c r="S5" s="167">
        <f>_xll.qlTenorBasisValue($P$3,R5,AllTriggers)</f>
        <v>1.8194233944262125E-3</v>
      </c>
      <c r="T5" s="155">
        <f>_xll.qlDayCounterYearFraction("actual/365 (fixed)",SettlementDate,R5,,,Trigger)</f>
        <v>1.0958904109589041E-2</v>
      </c>
      <c r="U5" s="167">
        <f>_xll.qlPolynomialFunctionValue($P$18,T5,AllTriggers)</f>
        <v>1.5530551133727324E-3</v>
      </c>
    </row>
    <row r="6" spans="1:30" ht="11.25" customHeight="1" x14ac:dyDescent="0.2">
      <c r="A6" s="339">
        <v>2</v>
      </c>
      <c r="B6" s="117" t="s">
        <v>37</v>
      </c>
      <c r="C6" s="352">
        <f t="shared" si="1"/>
        <v>8</v>
      </c>
      <c r="D6" s="349" t="str">
        <f t="shared" si="2"/>
        <v>EUR2x8F_Quote</v>
      </c>
      <c r="E6" s="349" t="str">
        <f>_xll.qlSimpleQuote(UPPER("B"&amp;$H$1&amp;"_"&amp;A6&amp;B6&amp;C6),,,Permanent,Trigger,ObjectOverwrite)</f>
        <v>B6M_2X8#0000</v>
      </c>
      <c r="F6" s="520">
        <f>_xll.qlSimpleQuoteSetValue(E6,K6,AllTriggers)</f>
        <v>-5.4322255585090296E-7</v>
      </c>
      <c r="G6" s="538">
        <f>_xll.qlCalendarAdvance("target",SettlementDate,A6&amp;"M","mf",,Trigger)</f>
        <v>42221</v>
      </c>
      <c r="H6" s="538">
        <f>_xll.qlInterestRateIndexMaturity(ON_6M_index,G6)</f>
        <v>42405</v>
      </c>
      <c r="I6" s="167">
        <f>_xll.qlQuoteValue(D6,AllTriggers)</f>
        <v>7.1000000000000013E-4</v>
      </c>
      <c r="J6" s="167">
        <f>_xll.qlIndexFixing(ON_6M_index,_xll.qlInterestRateIndexFixingDate(ON_6M_index,G6),,AllTriggers)</f>
        <v>-1.2417275106922341E-3</v>
      </c>
      <c r="K6" s="389">
        <f t="shared" si="0"/>
        <v>1.9517275106922343E-3</v>
      </c>
      <c r="L6" s="167">
        <f>_xll.qlTenorBasisValue($P$3,G6,Trigger)</f>
        <v>1.9414098605820525E-3</v>
      </c>
      <c r="M6" s="255">
        <f t="shared" si="3"/>
        <v>0.10317650110181756</v>
      </c>
      <c r="N6" s="117"/>
      <c r="O6" s="504" t="s">
        <v>162</v>
      </c>
      <c r="P6" s="258">
        <f t="array" ref="P6:P10">_xll.qlTenorBasisCoefficients(P3)</f>
        <v>1.8094707299657023E-3</v>
      </c>
      <c r="Q6" s="116"/>
      <c r="R6" s="538">
        <f>_xll.qlCalendarAdvance(Calendar,R5,"1D","f")</f>
        <v>42165</v>
      </c>
      <c r="S6" s="167">
        <f>_xll.qlTenorBasisValue($P$3,R6,AllTriggers)</f>
        <v>1.821881387116715E-3</v>
      </c>
      <c r="T6" s="155">
        <f>_xll.qlDayCounterYearFraction("actual/365 (fixed)",SettlementDate,R6,,,Trigger)</f>
        <v>1.3698630136986301E-2</v>
      </c>
      <c r="U6" s="167">
        <f>_xll.qlPolynomialFunctionValue($P$18,T6,AllTriggers)</f>
        <v>1.5567433887982889E-3</v>
      </c>
    </row>
    <row r="7" spans="1:30" ht="11.25" customHeight="1" x14ac:dyDescent="0.2">
      <c r="A7" s="339">
        <f>A6+1</f>
        <v>3</v>
      </c>
      <c r="B7" s="117" t="s">
        <v>37</v>
      </c>
      <c r="C7" s="352">
        <f t="shared" si="1"/>
        <v>9</v>
      </c>
      <c r="D7" s="349" t="str">
        <f t="shared" si="2"/>
        <v>EUR3x9F_Quote</v>
      </c>
      <c r="E7" s="349" t="str">
        <f>_xll.qlSimpleQuote(UPPER("B"&amp;$H$1&amp;"_"&amp;A7&amp;B7&amp;C7),,,Permanent,Trigger,ObjectOverwrite)</f>
        <v>B6M_3X9#0000</v>
      </c>
      <c r="F7" s="520">
        <f>_xll.qlSimpleQuoteSetValue(E7,K7,AllTriggers)</f>
        <v>-2.251719484495842E-6</v>
      </c>
      <c r="G7" s="538">
        <f>_xll.qlCalendarAdvance("target",SettlementDate,A7&amp;"M","mf",,Trigger)</f>
        <v>42254</v>
      </c>
      <c r="H7" s="538">
        <f>_xll.qlInterestRateIndexMaturity(ON_6M_index,G7)</f>
        <v>42436</v>
      </c>
      <c r="I7" s="167">
        <f>_xll.qlQuoteValue(D7,AllTriggers)</f>
        <v>7.7000000000000018E-4</v>
      </c>
      <c r="J7" s="167">
        <f>_xll.qlIndexFixing(ON_6M_index,_xll.qlInterestRateIndexFixingDate(ON_6M_index,G7),,AllTriggers)</f>
        <v>-1.2263033183752109E-3</v>
      </c>
      <c r="K7" s="389">
        <f t="shared" si="0"/>
        <v>1.9963033183752112E-3</v>
      </c>
      <c r="L7" s="167">
        <f>_xll.qlTenorBasisValue($P$3,G7,Trigger)</f>
        <v>1.9967271338308585E-3</v>
      </c>
      <c r="M7" s="255">
        <f t="shared" si="3"/>
        <v>-4.2381545564728132E-3</v>
      </c>
      <c r="N7" s="117"/>
      <c r="O7" s="504" t="s">
        <v>163</v>
      </c>
      <c r="P7" s="258">
        <v>9.1703414691802392E-4</v>
      </c>
      <c r="Q7" s="116"/>
      <c r="R7" s="538">
        <f>_xll.qlCalendarAdvance(Calendar,R6,"1D","f")</f>
        <v>42166</v>
      </c>
      <c r="S7" s="167">
        <f>_xll.qlTenorBasisValue($P$3,R7,AllTriggers)</f>
        <v>1.8243273809166642E-3</v>
      </c>
      <c r="T7" s="155">
        <f>_xll.qlDayCounterYearFraction("actual/365 (fixed)",SettlementDate,R7,,,Trigger)</f>
        <v>1.643835616438356E-2</v>
      </c>
      <c r="U7" s="167">
        <f>_xll.qlPolynomialFunctionValue($P$18,T7,AllTriggers)</f>
        <v>1.5604163603926324E-3</v>
      </c>
    </row>
    <row r="8" spans="1:30" ht="11.25" customHeight="1" x14ac:dyDescent="0.2">
      <c r="A8" s="339">
        <f t="shared" ref="A8:A22" si="4">A7+1</f>
        <v>4</v>
      </c>
      <c r="B8" s="117" t="s">
        <v>37</v>
      </c>
      <c r="C8" s="352">
        <f t="shared" si="1"/>
        <v>10</v>
      </c>
      <c r="D8" s="349" t="str">
        <f t="shared" si="2"/>
        <v>EUR4x10F_Quote</v>
      </c>
      <c r="E8" s="349" t="str">
        <f>_xll.qlSimpleQuote(UPPER("B"&amp;$H$1&amp;"_"&amp;A8&amp;B8&amp;C8),,,Permanent,Trigger,ObjectOverwrite)</f>
        <v>B6M_4X10#0000</v>
      </c>
      <c r="F8" s="520">
        <f>_xll.qlSimpleQuoteSetValue(E8,K8,AllTriggers)</f>
        <v>-2.73101193572255E-6</v>
      </c>
      <c r="G8" s="538">
        <f>_xll.qlCalendarAdvance("target",SettlementDate,A8&amp;"M","mf",,Trigger)</f>
        <v>42282</v>
      </c>
      <c r="H8" s="538">
        <f>_xll.qlInterestRateIndexMaturity(ON_6M_index,G8)</f>
        <v>42465</v>
      </c>
      <c r="I8" s="167">
        <f>_xll.qlQuoteValue(D8,AllTriggers)</f>
        <v>8.200000000000002E-4</v>
      </c>
      <c r="J8" s="167">
        <f>_xll.qlIndexFixing(ON_6M_index,_xll.qlInterestRateIndexFixingDate(ON_6M_index,G8),,AllTriggers)</f>
        <v>-1.2062214413426475E-3</v>
      </c>
      <c r="K8" s="389">
        <f t="shared" si="0"/>
        <v>2.0262214413426477E-3</v>
      </c>
      <c r="L8" s="167">
        <f>_xll.qlTenorBasisValue($P$3,G8,Trigger)</f>
        <v>2.0360442164786496E-3</v>
      </c>
      <c r="M8" s="255">
        <f t="shared" si="3"/>
        <v>-9.8227751360018684E-2</v>
      </c>
      <c r="N8" s="117"/>
      <c r="O8" s="504" t="s">
        <v>164</v>
      </c>
      <c r="P8" s="258">
        <v>-8.1101310242948001E-4</v>
      </c>
      <c r="Q8" s="116"/>
      <c r="R8" s="538">
        <f>_xll.qlCalendarAdvance(Calendar,R7,"1D","f")</f>
        <v>42167</v>
      </c>
      <c r="S8" s="167">
        <f>_xll.qlTenorBasisValue($P$3,R8,AllTriggers)</f>
        <v>1.8267614110657096E-3</v>
      </c>
      <c r="T8" s="155">
        <f>_xll.qlDayCounterYearFraction("actual/365 (fixed)",SettlementDate,R8,,,Trigger)</f>
        <v>1.9178082191780823E-2</v>
      </c>
      <c r="U8" s="167">
        <f>_xll.qlPolynomialFunctionValue($P$18,T8,AllTriggers)</f>
        <v>1.5640740633954117E-3</v>
      </c>
    </row>
    <row r="9" spans="1:30" ht="11.25" customHeight="1" x14ac:dyDescent="0.2">
      <c r="A9" s="339">
        <f t="shared" si="4"/>
        <v>5</v>
      </c>
      <c r="B9" s="117" t="s">
        <v>37</v>
      </c>
      <c r="C9" s="352">
        <f t="shared" si="1"/>
        <v>11</v>
      </c>
      <c r="D9" s="349" t="str">
        <f t="shared" si="2"/>
        <v>EUR5x11F_Quote</v>
      </c>
      <c r="E9" s="349" t="str">
        <f>_xll.qlSimpleQuote(UPPER("B"&amp;$H$1&amp;"_"&amp;A9&amp;B9&amp;C9),,,Permanent,Trigger,ObjectOverwrite)</f>
        <v>B6M_5X11#0000</v>
      </c>
      <c r="F9" s="520">
        <f>_xll.qlSimpleQuoteSetValue(E9,K9,AllTriggers)</f>
        <v>-2.7460811947454568E-6</v>
      </c>
      <c r="G9" s="538">
        <f>_xll.qlCalendarAdvance("target",SettlementDate,A9&amp;"M","mf",,Trigger)</f>
        <v>42313</v>
      </c>
      <c r="H9" s="538">
        <f>_xll.qlInterestRateIndexMaturity(ON_6M_index,G9)</f>
        <v>42495</v>
      </c>
      <c r="I9" s="167">
        <f>_xll.qlQuoteValue(D9,AllTriggers)</f>
        <v>8.8999999999999995E-4</v>
      </c>
      <c r="J9" s="167">
        <f>_xll.qlIndexFixing(ON_6M_index,_xll.qlInterestRateIndexFixingDate(ON_6M_index,G9),,AllTriggers)</f>
        <v>-1.1667548110327155E-3</v>
      </c>
      <c r="K9" s="389">
        <f t="shared" si="0"/>
        <v>2.0567548110327154E-3</v>
      </c>
      <c r="L9" s="167">
        <f>_xll.qlTenorBasisValue($P$3,G9,Trigger)</f>
        <v>2.0724036040108782E-3</v>
      </c>
      <c r="M9" s="255">
        <f t="shared" si="3"/>
        <v>-0.15648792978162784</v>
      </c>
      <c r="N9" s="117"/>
      <c r="O9" s="504" t="s">
        <v>165</v>
      </c>
      <c r="P9" s="258">
        <v>2.8560046665286533E-4</v>
      </c>
      <c r="Q9" s="116"/>
      <c r="R9" s="538">
        <f>_xll.qlCalendarAdvance(Calendar,R8,"1D","f")</f>
        <v>42170</v>
      </c>
      <c r="S9" s="167">
        <f>_xll.qlTenorBasisValue($P$3,R9,AllTriggers)</f>
        <v>1.8339920720039065E-3</v>
      </c>
      <c r="T9" s="155">
        <f>_xll.qlDayCounterYearFraction("actual/365 (fixed)",SettlementDate,R9,,,Trigger)</f>
        <v>2.7397260273972601E-2</v>
      </c>
      <c r="U9" s="167">
        <f>_xll.qlPolynomialFunctionValue($P$18,T9,AllTriggers)</f>
        <v>1.5749559132508513E-3</v>
      </c>
    </row>
    <row r="10" spans="1:30" ht="11.25" customHeight="1" x14ac:dyDescent="0.2">
      <c r="A10" s="339">
        <f t="shared" si="4"/>
        <v>6</v>
      </c>
      <c r="B10" s="117" t="s">
        <v>37</v>
      </c>
      <c r="C10" s="352">
        <f t="shared" si="1"/>
        <v>12</v>
      </c>
      <c r="D10" s="349" t="str">
        <f t="shared" si="2"/>
        <v>EUR6x12F_Quote</v>
      </c>
      <c r="E10" s="349" t="str">
        <f>_xll.qlSimpleQuote(UPPER("B"&amp;$H$1&amp;"_"&amp;A10&amp;B10&amp;C10),,,Permanent,Trigger,ObjectOverwrite)</f>
        <v>B6M_6X12#0000</v>
      </c>
      <c r="F10" s="520">
        <f>_xll.qlSimpleQuoteSetValue(E10,K10,AllTriggers)</f>
        <v>-2.7311058131969206E-6</v>
      </c>
      <c r="G10" s="538">
        <f>_xll.qlCalendarAdvance("target",SettlementDate,A10&amp;"M","mf",,Trigger)</f>
        <v>42345</v>
      </c>
      <c r="H10" s="538">
        <f>_xll.qlInterestRateIndexMaturity(ON_6M_index,G10)</f>
        <v>42528</v>
      </c>
      <c r="I10" s="167">
        <f>_xll.qlQuoteValue(D10,AllTriggers)</f>
        <v>9.6000000000000002E-4</v>
      </c>
      <c r="J10" s="167">
        <f>_xll.qlIndexFixing(ON_6M_index,_xll.qlInterestRateIndexFixingDate(ON_6M_index,G10),,AllTriggers)</f>
        <v>-1.1381423777716306E-3</v>
      </c>
      <c r="K10" s="389">
        <f t="shared" si="0"/>
        <v>2.0981423777716307E-3</v>
      </c>
      <c r="L10" s="167">
        <f>_xll.qlTenorBasisValue($P$3,G10,Trigger)</f>
        <v>2.1031100256009576E-3</v>
      </c>
      <c r="M10" s="255">
        <f t="shared" si="3"/>
        <v>-4.967647829326894E-2</v>
      </c>
      <c r="N10" s="117"/>
      <c r="O10" s="504" t="s">
        <v>166</v>
      </c>
      <c r="P10" s="258" t="e">
        <v>#N/A</v>
      </c>
      <c r="Q10" s="116"/>
      <c r="R10" s="538">
        <f>_xll.qlCalendarAdvance(Calendar,R9,"1D","f")</f>
        <v>42171</v>
      </c>
      <c r="S10" s="167">
        <f>_xll.qlTenorBasisValue($P$3,R10,AllTriggers)</f>
        <v>1.8363785999458216E-3</v>
      </c>
      <c r="T10" s="155">
        <f>_xll.qlDayCounterYearFraction("actual/365 (fixed)",SettlementDate,R10,,,Trigger)</f>
        <v>3.0136986301369864E-2</v>
      </c>
      <c r="U10" s="167">
        <f>_xll.qlPolynomialFunctionValue($P$18,T10,AllTriggers)</f>
        <v>1.5785528942838605E-3</v>
      </c>
    </row>
    <row r="11" spans="1:30" ht="11.25" customHeight="1" x14ac:dyDescent="0.2">
      <c r="A11" s="337">
        <f t="shared" si="4"/>
        <v>7</v>
      </c>
      <c r="B11" s="338" t="s">
        <v>37</v>
      </c>
      <c r="C11" s="353">
        <f t="shared" si="1"/>
        <v>13</v>
      </c>
      <c r="D11" s="348" t="str">
        <f t="shared" si="2"/>
        <v>EUR7x13F_Quote</v>
      </c>
      <c r="E11" s="348" t="str">
        <f>_xll.qlSimpleQuote(UPPER("B"&amp;$H$1&amp;"_"&amp;A11&amp;B11&amp;C11),,,Permanent,Trigger,ObjectOverwrite)</f>
        <v>B6M_7X13#0000</v>
      </c>
      <c r="F11" s="519">
        <f>_xll.qlSimpleQuoteSetValue(E11,K11,AllTriggers)</f>
        <v>-1.6612210703742698E-6</v>
      </c>
      <c r="G11" s="537">
        <f>_xll.qlCalendarAdvance("target",SettlementDate,A11&amp;"M","mf",,Trigger)</f>
        <v>42374</v>
      </c>
      <c r="H11" s="537">
        <f>_xll.qlInterestRateIndexMaturity(ON_6M_index,G11)</f>
        <v>42556</v>
      </c>
      <c r="I11" s="180">
        <f>_xll.qlQuoteValue(D11,AllTriggers)</f>
        <v>1.01E-3</v>
      </c>
      <c r="J11" s="180">
        <f>_xll.qlIndexFixing(ON_6M_index,_xll.qlInterestRateIndexFixingDate(ON_6M_index,G11),,AllTriggers)</f>
        <v>-1.1399021277230376E-3</v>
      </c>
      <c r="K11" s="507">
        <f t="shared" si="0"/>
        <v>2.1499021277230374E-3</v>
      </c>
      <c r="L11" s="180">
        <f>_xll.qlTenorBasisValue($P$3,G11,Trigger)</f>
        <v>2.1259040364655095E-3</v>
      </c>
      <c r="M11" s="334">
        <f t="shared" si="3"/>
        <v>0.23998091257527912</v>
      </c>
      <c r="N11" s="117"/>
      <c r="Q11" s="116"/>
      <c r="R11" s="538">
        <f>_xll.qlCalendarAdvance(Calendar,R10,"1D","f")</f>
        <v>42172</v>
      </c>
      <c r="S11" s="167">
        <f>_xll.qlTenorBasisValue($P$3,R11,AllTriggers)</f>
        <v>1.8387533404350756E-3</v>
      </c>
      <c r="T11" s="155">
        <f>_xll.qlDayCounterYearFraction("actual/365 (fixed)",SettlementDate,R11,,,Trigger)</f>
        <v>3.287671232876712E-2</v>
      </c>
      <c r="U11" s="167">
        <f>_xll.qlPolynomialFunctionValue($P$18,T11,AllTriggers)</f>
        <v>1.5821347829235489E-3</v>
      </c>
    </row>
    <row r="12" spans="1:30" ht="11.25" customHeight="1" x14ac:dyDescent="0.2">
      <c r="A12" s="339">
        <f t="shared" si="4"/>
        <v>8</v>
      </c>
      <c r="B12" s="117" t="s">
        <v>37</v>
      </c>
      <c r="C12" s="352">
        <f t="shared" si="1"/>
        <v>14</v>
      </c>
      <c r="D12" s="349" t="str">
        <f t="shared" si="2"/>
        <v>EUR8x14F_Quote</v>
      </c>
      <c r="E12" s="349" t="str">
        <f>_xll.qlSimpleQuote(UPPER("B"&amp;$H$1&amp;"_"&amp;A12&amp;B12&amp;C12),,,Permanent,Trigger,ObjectOverwrite)</f>
        <v>B6M_8X14#0000</v>
      </c>
      <c r="F12" s="520">
        <f>_xll.qlSimpleQuoteSetValue(E12,K12,AllTriggers)</f>
        <v>4.2385459603612799E-7</v>
      </c>
      <c r="G12" s="538">
        <f>_xll.qlCalendarAdvance("target",SettlementDate,A12&amp;"M","mf",,Trigger)</f>
        <v>42405</v>
      </c>
      <c r="H12" s="538">
        <f>_xll.qlInterestRateIndexMaturity(ON_6M_index,G12)</f>
        <v>42587</v>
      </c>
      <c r="I12" s="167">
        <f>_xll.qlQuoteValue(D12,AllTriggers)</f>
        <v>1.07E-3</v>
      </c>
      <c r="J12" s="167">
        <f>_xll.qlIndexFixing(ON_6M_index,_xll.qlInterestRateIndexFixingDate(ON_6M_index,G12),,AllTriggers)</f>
        <v>-1.0862207843516884E-3</v>
      </c>
      <c r="K12" s="389">
        <f t="shared" si="0"/>
        <v>2.1562207843516881E-3</v>
      </c>
      <c r="L12" s="167">
        <f>_xll.qlTenorBasisValue($P$3,G12,Trigger)</f>
        <v>2.1459824589557001E-3</v>
      </c>
      <c r="M12" s="255">
        <f t="shared" si="3"/>
        <v>0.1023832539598802</v>
      </c>
      <c r="N12" s="117"/>
      <c r="O12" s="377" t="s">
        <v>190</v>
      </c>
      <c r="P12" s="378"/>
      <c r="Q12" s="116"/>
      <c r="R12" s="538">
        <f>_xll.qlCalendarAdvance(Calendar,R11,"1D","f")</f>
        <v>42173</v>
      </c>
      <c r="S12" s="167">
        <f>_xll.qlTenorBasisValue($P$3,R12,AllTriggers)</f>
        <v>1.8411163287113173E-3</v>
      </c>
      <c r="T12" s="155">
        <f>_xll.qlDayCounterYearFraction("actual/365 (fixed)",SettlementDate,R12,,,Trigger)</f>
        <v>3.5616438356164383E-2</v>
      </c>
      <c r="U12" s="167">
        <f>_xll.qlPolynomialFunctionValue($P$18,T12,AllTriggers)</f>
        <v>1.5857016144095652E-3</v>
      </c>
    </row>
    <row r="13" spans="1:30" ht="11.25" customHeight="1" x14ac:dyDescent="0.2">
      <c r="A13" s="339">
        <f t="shared" si="4"/>
        <v>9</v>
      </c>
      <c r="B13" s="117" t="s">
        <v>37</v>
      </c>
      <c r="C13" s="352">
        <f t="shared" si="1"/>
        <v>15</v>
      </c>
      <c r="D13" s="349" t="str">
        <f t="shared" si="2"/>
        <v>EUR9x15F_Quote</v>
      </c>
      <c r="E13" s="349" t="str">
        <f>_xll.qlSimpleQuote(UPPER("B"&amp;$H$1&amp;"_"&amp;A13&amp;B13&amp;C13),,,Permanent,Trigger,ObjectOverwrite)</f>
        <v>B6M_9X15#0000</v>
      </c>
      <c r="F13" s="520">
        <f>_xll.qlSimpleQuoteSetValue(E13,K13,AllTriggers)</f>
        <v>2.1457903291175265E-6</v>
      </c>
      <c r="G13" s="538">
        <f>_xll.qlCalendarAdvance("target",SettlementDate,A13&amp;"M","mf",,Trigger)</f>
        <v>42436</v>
      </c>
      <c r="H13" s="538">
        <f>_xll.qlInterestRateIndexMaturity(ON_6M_index,G13)</f>
        <v>42620</v>
      </c>
      <c r="I13" s="167">
        <f>_xll.qlQuoteValue(D13,AllTriggers)</f>
        <v>1.14E-3</v>
      </c>
      <c r="J13" s="167">
        <f>_xll.qlIndexFixing(ON_6M_index,_xll.qlInterestRateIndexFixingDate(ON_6M_index,G13),,AllTriggers)</f>
        <v>-1.0186619301245261E-3</v>
      </c>
      <c r="K13" s="389">
        <f t="shared" si="0"/>
        <v>2.1586619301245261E-3</v>
      </c>
      <c r="L13" s="167">
        <f>_xll.qlTenorBasisValue($P$3,G13,Trigger)</f>
        <v>2.1626576201895275E-3</v>
      </c>
      <c r="M13" s="255">
        <f t="shared" si="3"/>
        <v>-3.9956900650013616E-2</v>
      </c>
      <c r="N13" s="117"/>
      <c r="O13" s="504" t="s">
        <v>162</v>
      </c>
      <c r="P13" s="258">
        <f t="array" ref="P13:P17">_xll.qlTenorInstCoefficients(P3)</f>
        <v>1.5381482685654065E-3</v>
      </c>
      <c r="Q13" s="116"/>
      <c r="R13" s="538">
        <f>_xll.qlCalendarAdvance(Calendar,R12,"1D","f")</f>
        <v>42174</v>
      </c>
      <c r="S13" s="167">
        <f>_xll.qlTenorBasisValue($P$3,R13,AllTriggers)</f>
        <v>1.8434676000141958E-3</v>
      </c>
      <c r="T13" s="155">
        <f>_xll.qlDayCounterYearFraction("actual/365 (fixed)",SettlementDate,R13,,,Trigger)</f>
        <v>3.8356164383561646E-2</v>
      </c>
      <c r="U13" s="167">
        <f>_xll.qlPolynomialFunctionValue($P$18,T13,AllTriggers)</f>
        <v>1.5892534239815579E-3</v>
      </c>
    </row>
    <row r="14" spans="1:30" ht="11.25" customHeight="1" thickBot="1" x14ac:dyDescent="0.25">
      <c r="A14" s="339">
        <f t="shared" si="4"/>
        <v>10</v>
      </c>
      <c r="B14" s="117" t="s">
        <v>37</v>
      </c>
      <c r="C14" s="352">
        <f t="shared" si="1"/>
        <v>16</v>
      </c>
      <c r="D14" s="349" t="str">
        <f t="shared" si="2"/>
        <v>EUR10x16F_Quote</v>
      </c>
      <c r="E14" s="349" t="str">
        <f>_xll.qlSimpleQuote(UPPER("B"&amp;$H$1&amp;"_"&amp;A14&amp;B14&amp;C14),,,Permanent,Trigger,ObjectOverwrite)</f>
        <v>B6M_10X16#0000</v>
      </c>
      <c r="F14" s="520">
        <f>_xll.qlSimpleQuoteSetValue(E14,K14,AllTriggers)</f>
        <v>7.1799924868977405E-7</v>
      </c>
      <c r="G14" s="538">
        <f>_xll.qlCalendarAdvance("target",SettlementDate,A14&amp;"M","mf",,Trigger)</f>
        <v>42465</v>
      </c>
      <c r="H14" s="538">
        <f>_xll.qlInterestRateIndexMaturity(ON_6M_index,G14)</f>
        <v>42648</v>
      </c>
      <c r="I14" s="167">
        <f>_xll.qlQuoteValue(D14,AllTriggers)</f>
        <v>1.2099999999999999E-3</v>
      </c>
      <c r="J14" s="167">
        <f>_xll.qlIndexFixing(ON_6M_index,_xll.qlInterestRateIndexFixingDate(ON_6M_index,G14),,AllTriggers)</f>
        <v>-9.5921362229898805E-4</v>
      </c>
      <c r="K14" s="389">
        <f t="shared" si="0"/>
        <v>2.1692136222989881E-3</v>
      </c>
      <c r="L14" s="167">
        <f>_xll.qlTenorBasisValue($P$3,G14,Trigger)</f>
        <v>2.1761059427548662E-3</v>
      </c>
      <c r="M14" s="255">
        <f t="shared" si="3"/>
        <v>-6.892320455878076E-2</v>
      </c>
      <c r="N14" s="117"/>
      <c r="O14" s="504" t="s">
        <v>163</v>
      </c>
      <c r="P14" s="258">
        <v>1.3715157102467315E-3</v>
      </c>
      <c r="Q14" s="116"/>
      <c r="R14" s="538">
        <f>_xll.qlCalendarAdvance(Calendar,R13,"1D","f")</f>
        <v>42177</v>
      </c>
      <c r="S14" s="167">
        <f>_xll.qlTenorBasisValue($P$3,R14,AllTriggers)</f>
        <v>1.8504514644791352E-3</v>
      </c>
      <c r="T14" s="155">
        <f>_xll.qlDayCounterYearFraction("actual/365 (fixed)",SettlementDate,R14,,,Trigger)</f>
        <v>4.6575342465753428E-2</v>
      </c>
      <c r="U14" s="167">
        <f>_xll.qlPolynomialFunctionValue($P$18,T14,AllTriggers)</f>
        <v>1.5998190736098805E-3</v>
      </c>
      <c r="Z14" s="142"/>
      <c r="AA14" s="142" t="s">
        <v>95</v>
      </c>
      <c r="AB14" s="142" t="s">
        <v>70</v>
      </c>
      <c r="AC14" s="142" t="s">
        <v>71</v>
      </c>
      <c r="AD14" s="528" t="s">
        <v>187</v>
      </c>
    </row>
    <row r="15" spans="1:30" ht="11.25" customHeight="1" x14ac:dyDescent="0.2">
      <c r="A15" s="339">
        <f t="shared" si="4"/>
        <v>11</v>
      </c>
      <c r="B15" s="117" t="s">
        <v>37</v>
      </c>
      <c r="C15" s="352">
        <f t="shared" si="1"/>
        <v>17</v>
      </c>
      <c r="D15" s="349" t="str">
        <f t="shared" si="2"/>
        <v>EUR11x17F_Quote</v>
      </c>
      <c r="E15" s="349" t="str">
        <f>_xll.qlSimpleQuote(UPPER("B"&amp;$H$1&amp;"_"&amp;A15&amp;B15&amp;C15),,,Permanent,Trigger,ObjectOverwrite)</f>
        <v>B6M_11X17#0000</v>
      </c>
      <c r="F15" s="520">
        <f>_xll.qlSimpleQuoteSetValue(E15,K15,AllTriggers)</f>
        <v>-5.2881691240975331E-7</v>
      </c>
      <c r="G15" s="538">
        <f>_xll.qlCalendarAdvance("target",SettlementDate,A15&amp;"M","mf",,Trigger)</f>
        <v>42495</v>
      </c>
      <c r="H15" s="538">
        <f>_xll.qlInterestRateIndexMaturity(ON_6M_index,G15)</f>
        <v>42681</v>
      </c>
      <c r="I15" s="167">
        <f>_xll.qlQuoteValue(D15,AllTriggers)</f>
        <v>1.2900000000000001E-3</v>
      </c>
      <c r="J15" s="167">
        <f>_xll.qlIndexFixing(ON_6M_index,_xll.qlInterestRateIndexFixingDate(ON_6M_index,G15),,AllTriggers)</f>
        <v>-9.0336380661313394E-4</v>
      </c>
      <c r="K15" s="389">
        <f t="shared" si="0"/>
        <v>2.1933638066131342E-3</v>
      </c>
      <c r="L15" s="167">
        <f>_xll.qlTenorBasisValue($P$3,G15,Trigger)</f>
        <v>2.1887655048550632E-3</v>
      </c>
      <c r="M15" s="255">
        <f t="shared" si="3"/>
        <v>4.5983017580709766E-2</v>
      </c>
      <c r="N15" s="117"/>
      <c r="O15" s="504" t="s">
        <v>164</v>
      </c>
      <c r="P15" s="258">
        <v>-1.0311634621410636E-3</v>
      </c>
      <c r="Q15" s="116"/>
      <c r="R15" s="538">
        <f>_xll.qlCalendarAdvance(Calendar,R14,"1D","f")</f>
        <v>42178</v>
      </c>
      <c r="S15" s="167">
        <f>_xll.qlTenorBasisValue($P$3,R15,AllTriggers)</f>
        <v>1.8527562202850453E-3</v>
      </c>
      <c r="T15" s="155">
        <f>_xll.qlDayCounterYearFraction("actual/365 (fixed)",SettlementDate,R15,,,Trigger)</f>
        <v>4.9315068493150684E-2</v>
      </c>
      <c r="U15" s="167">
        <f>_xll.qlPolynomialFunctionValue($P$18,T15,AllTriggers)</f>
        <v>1.6033111479222654E-3</v>
      </c>
      <c r="Z15" s="162">
        <v>0</v>
      </c>
      <c r="AA15" s="162" t="s">
        <v>43</v>
      </c>
      <c r="AB15" s="483">
        <f>_xll.qlCalendarAdvance(Calendar,SettlementDate,Z15&amp;"M","mf",TRUE,Trigger)</f>
        <v>42160</v>
      </c>
      <c r="AC15" s="484">
        <f>_xll.qlCalendarAdvance(Calendar,SettlementDate,AA15,"Following",,Trigger)</f>
        <v>42163</v>
      </c>
      <c r="AD15" s="529">
        <f>_xll.qlTenorBasisForwardRate2(TenorBasis6M,AB15,AC15,AllTriggers)</f>
        <v>3.1260019015988405E-4</v>
      </c>
    </row>
    <row r="16" spans="1:30" ht="11.25" customHeight="1" x14ac:dyDescent="0.2">
      <c r="A16" s="339">
        <f t="shared" si="4"/>
        <v>12</v>
      </c>
      <c r="B16" s="117" t="s">
        <v>37</v>
      </c>
      <c r="C16" s="352">
        <f t="shared" si="1"/>
        <v>18</v>
      </c>
      <c r="D16" s="349" t="str">
        <f t="shared" si="2"/>
        <v>EUR12x18F_Quote</v>
      </c>
      <c r="E16" s="349" t="str">
        <f>_xll.qlSimpleQuote(UPPER("B"&amp;$H$1&amp;"_"&amp;A16&amp;B16&amp;C16),,,Permanent,Trigger,ObjectOverwrite)</f>
        <v>B6M_12X18#0000</v>
      </c>
      <c r="F16" s="520">
        <f>_xll.qlSimpleQuoteSetValue(E16,K16,AllTriggers)</f>
        <v>2.9628352997252382E-6</v>
      </c>
      <c r="G16" s="538">
        <f>_xll.qlCalendarAdvance("target",SettlementDate,A16&amp;"M","mf",,Trigger)</f>
        <v>42527</v>
      </c>
      <c r="H16" s="538">
        <f>_xll.qlInterestRateIndexMaturity(ON_6M_index,G16)</f>
        <v>42710</v>
      </c>
      <c r="I16" s="167">
        <f>_xll.qlQuoteValue(D16,AllTriggers)</f>
        <v>1.3600000000000001E-3</v>
      </c>
      <c r="J16" s="167">
        <f>_xll.qlIndexFixing(ON_6M_index,_xll.qlInterestRateIndexFixingDate(ON_6M_index,G16),,AllTriggers)</f>
        <v>-8.3487601715817009E-4</v>
      </c>
      <c r="K16" s="389">
        <f t="shared" si="0"/>
        <v>2.19487601715817E-3</v>
      </c>
      <c r="L16" s="167">
        <f>_xll.qlTenorBasisValue($P$3,G16,Trigger)</f>
        <v>2.2019254948702888E-3</v>
      </c>
      <c r="M16" s="255">
        <f t="shared" si="3"/>
        <v>-7.0494777121188512E-2</v>
      </c>
      <c r="N16" s="117"/>
      <c r="O16" s="504" t="s">
        <v>165</v>
      </c>
      <c r="P16" s="258">
        <v>2.8560046665286533E-4</v>
      </c>
      <c r="Q16" s="116"/>
      <c r="R16" s="538">
        <f>_xll.qlCalendarAdvance(Calendar,R15,"1D","f")</f>
        <v>42179</v>
      </c>
      <c r="S16" s="167">
        <f>_xll.qlTenorBasisValue($P$3,R16,AllTriggers)</f>
        <v>1.8550494353158351E-3</v>
      </c>
      <c r="T16" s="155">
        <f>_xll.qlDayCounterYearFraction("actual/365 (fixed)",SettlementDate,R16,,,Trigger)</f>
        <v>5.2054794520547946E-2</v>
      </c>
      <c r="U16" s="167">
        <f>_xll.qlPolynomialFunctionValue($P$18,T16,AllTriggers)</f>
        <v>1.6067883765188695E-3</v>
      </c>
      <c r="Z16" s="168">
        <v>0</v>
      </c>
      <c r="AA16" s="168" t="s">
        <v>44</v>
      </c>
      <c r="AB16" s="485">
        <f>_xll.qlCalendarAdvance(Calendar,SettlementDate,Z16&amp;"M","mf",TRUE,Trigger)</f>
        <v>42160</v>
      </c>
      <c r="AC16" s="486">
        <f>_xll.qlCalendarAdvance(Calendar,SettlementDate,AA16,"Following",,Trigger)</f>
        <v>42167</v>
      </c>
      <c r="AD16" s="530">
        <f>_xll.qlTenorBasisForwardRate2(TenorBasis6M,AB16,AC16,AllTriggers)</f>
        <v>3.1991165637710949E-4</v>
      </c>
    </row>
    <row r="17" spans="1:30" ht="11.25" customHeight="1" x14ac:dyDescent="0.2">
      <c r="A17" s="339">
        <f t="shared" si="4"/>
        <v>13</v>
      </c>
      <c r="B17" s="117" t="s">
        <v>37</v>
      </c>
      <c r="C17" s="352">
        <f t="shared" si="1"/>
        <v>19</v>
      </c>
      <c r="D17" s="349" t="str">
        <f t="shared" si="2"/>
        <v>EUR13x19F_Quote</v>
      </c>
      <c r="E17" s="349" t="str">
        <f>_xll.qlSimpleQuote(UPPER("B"&amp;$H$1&amp;"_"&amp;A17&amp;B17&amp;C17),,,Permanent,Trigger,ObjectOverwrite)</f>
        <v>B6M_13X19#0000</v>
      </c>
      <c r="F17" s="520">
        <f>_xll.qlSimpleQuoteSetValue(E17,K17,AllTriggers)</f>
        <v>1.207879921561383E-5</v>
      </c>
      <c r="G17" s="538">
        <f>_xll.qlCalendarAdvance("target",SettlementDate,A17&amp;"M","mf",,Trigger)</f>
        <v>42556</v>
      </c>
      <c r="H17" s="538">
        <f>_xll.qlInterestRateIndexMaturity(ON_6M_index,G17)</f>
        <v>42740</v>
      </c>
      <c r="I17" s="167">
        <f>_xll.qlQuoteValue(D17,AllTriggers)</f>
        <v>1.47E-3</v>
      </c>
      <c r="J17" s="167">
        <f>_xll.qlIndexFixing(ON_6M_index,_xll.qlInterestRateIndexFixingDate(ON_6M_index,G17),,AllTriggers)</f>
        <v>-7.1059285011969471E-4</v>
      </c>
      <c r="K17" s="389">
        <f t="shared" si="0"/>
        <v>2.1805928501196946E-3</v>
      </c>
      <c r="L17" s="167">
        <f>_xll.qlTenorBasisValue($P$3,G17,Trigger)</f>
        <v>2.2144908955203479E-3</v>
      </c>
      <c r="M17" s="255">
        <f t="shared" si="3"/>
        <v>-0.33898045400653376</v>
      </c>
      <c r="N17" s="117"/>
      <c r="O17" s="504" t="s">
        <v>166</v>
      </c>
      <c r="P17" s="258" t="e">
        <v>#N/A</v>
      </c>
      <c r="Q17" s="116"/>
      <c r="R17" s="538">
        <f>_xll.qlCalendarAdvance(Calendar,R16,"1D","f")</f>
        <v>42180</v>
      </c>
      <c r="S17" s="167">
        <f>_xll.qlTenorBasisValue($P$3,R17,AllTriggers)</f>
        <v>1.8573311448111531E-3</v>
      </c>
      <c r="T17" s="155">
        <f>_xll.qlDayCounterYearFraction("actual/365 (fixed)",SettlementDate,R17,,,Trigger)</f>
        <v>5.4794520547945202E-2</v>
      </c>
      <c r="U17" s="167">
        <f>_xll.qlPolynomialFunctionValue($P$18,T17,AllTriggers)</f>
        <v>1.6102507946393423E-3</v>
      </c>
      <c r="Z17" s="168">
        <v>0</v>
      </c>
      <c r="AA17" s="168" t="s">
        <v>45</v>
      </c>
      <c r="AB17" s="485">
        <f>_xll.qlCalendarAdvance(Calendar,SettlementDate,Z17&amp;"M","mf",TRUE,Trigger)</f>
        <v>42160</v>
      </c>
      <c r="AC17" s="486">
        <f>_xll.qlCalendarAdvance(Calendar,SettlementDate,AA17,"Following",,Trigger)</f>
        <v>42174</v>
      </c>
      <c r="AD17" s="530">
        <f>_xll.qlTenorBasisForwardRate2(TenorBasis6M,AB17,AC17,AllTriggers)</f>
        <v>3.6250116961892128E-4</v>
      </c>
    </row>
    <row r="18" spans="1:30" ht="11.25" customHeight="1" x14ac:dyDescent="0.2">
      <c r="A18" s="339">
        <f t="shared" si="4"/>
        <v>14</v>
      </c>
      <c r="B18" s="117" t="s">
        <v>37</v>
      </c>
      <c r="C18" s="352">
        <f t="shared" si="1"/>
        <v>20</v>
      </c>
      <c r="D18" s="349" t="str">
        <f t="shared" si="2"/>
        <v>EUR14x20F_Quote</v>
      </c>
      <c r="E18" s="349" t="str">
        <f>_xll.qlSimpleQuote(UPPER("B"&amp;$H$1&amp;"_"&amp;A18&amp;B18&amp;C18),,,Permanent,Trigger,ObjectOverwrite)</f>
        <v>B6M_14X20#0000</v>
      </c>
      <c r="F18" s="520">
        <f>_xll.qlSimpleQuoteSetValue(E18,K18,AllTriggers)</f>
        <v>2.4484246878601727E-5</v>
      </c>
      <c r="G18" s="538">
        <f>_xll.qlCalendarAdvance("target",SettlementDate,A18&amp;"M","mf",,Trigger)</f>
        <v>42587</v>
      </c>
      <c r="H18" s="538">
        <f>_xll.qlInterestRateIndexMaturity(ON_6M_index,G18)</f>
        <v>42772</v>
      </c>
      <c r="I18" s="167">
        <f>_xll.qlQuoteValue(D18,AllTriggers)</f>
        <v>1.58E-3</v>
      </c>
      <c r="J18" s="167">
        <f>_xll.qlIndexFixing(ON_6M_index,_xll.qlInterestRateIndexFixingDate(ON_6M_index,G18),,AllTriggers)</f>
        <v>-6.5519263284202626E-4</v>
      </c>
      <c r="K18" s="389">
        <f t="shared" si="0"/>
        <v>2.2351926328420262E-3</v>
      </c>
      <c r="L18" s="167">
        <f>_xll.qlTenorBasisValue($P$3,G18,Trigger)</f>
        <v>2.2295999493326421E-3</v>
      </c>
      <c r="M18" s="255">
        <f t="shared" si="3"/>
        <v>5.5926835093840846E-2</v>
      </c>
      <c r="N18" s="117"/>
      <c r="O18" s="504" t="s">
        <v>194</v>
      </c>
      <c r="P18" s="258" t="str">
        <f>_xll.qlPolynomialFunction(,_xll.ohPack(P13:P17),,Trigger)</f>
        <v>obj_00847#0069</v>
      </c>
      <c r="Q18" s="116"/>
      <c r="R18" s="538">
        <f>_xll.qlCalendarAdvance(Calendar,R17,"1D","f")</f>
        <v>42181</v>
      </c>
      <c r="S18" s="167">
        <f>_xll.qlTenorBasisValue($P$3,R18,AllTriggers)</f>
        <v>1.8596013840106482E-3</v>
      </c>
      <c r="T18" s="155">
        <f>_xll.qlDayCounterYearFraction("actual/365 (fixed)",SettlementDate,R18,,,Trigger)</f>
        <v>5.7534246575342465E-2</v>
      </c>
      <c r="U18" s="167">
        <f>_xll.qlPolynomialFunctionValue($P$18,T18,AllTriggers)</f>
        <v>1.6136984375233322E-3</v>
      </c>
      <c r="Z18" s="168">
        <v>0</v>
      </c>
      <c r="AA18" s="168" t="s">
        <v>46</v>
      </c>
      <c r="AB18" s="485">
        <f>_xll.qlCalendarAdvance(Calendar,SettlementDate,Z18&amp;"M","mf",TRUE,Trigger)</f>
        <v>42160</v>
      </c>
      <c r="AC18" s="486">
        <f>_xll.qlCalendarAdvance(Calendar,SettlementDate,AA18,"Following",,Trigger)</f>
        <v>42181</v>
      </c>
      <c r="AD18" s="530">
        <f>_xll.qlTenorBasisForwardRate2(TenorBasis6M,AB18,AC18,AllTriggers)</f>
        <v>3.7484653275449934E-4</v>
      </c>
    </row>
    <row r="19" spans="1:30" ht="11.25" customHeight="1" x14ac:dyDescent="0.2">
      <c r="A19" s="339">
        <f t="shared" si="4"/>
        <v>15</v>
      </c>
      <c r="B19" s="117" t="s">
        <v>37</v>
      </c>
      <c r="C19" s="352">
        <f t="shared" si="1"/>
        <v>21</v>
      </c>
      <c r="D19" s="349" t="str">
        <f t="shared" si="2"/>
        <v>EUR15x21F_Quote</v>
      </c>
      <c r="E19" s="349" t="str">
        <f>_xll.qlSimpleQuote(UPPER("B"&amp;$H$1&amp;"_"&amp;A19&amp;B19&amp;C19),,,Permanent,Trigger,ObjectOverwrite)</f>
        <v>B6M_15X21#0000</v>
      </c>
      <c r="F19" s="520">
        <f>_xll.qlSimpleQuoteSetValue(E19,K19,AllTriggers)</f>
        <v>3.5175786160340956E-5</v>
      </c>
      <c r="G19" s="538">
        <f>_xll.qlCalendarAdvance("target",SettlementDate,A19&amp;"M","mf",,Trigger)</f>
        <v>42618</v>
      </c>
      <c r="H19" s="538">
        <f>_xll.qlInterestRateIndexMaturity(ON_6M_index,G19)</f>
        <v>42800</v>
      </c>
      <c r="I19" s="167">
        <f>_xll.qlQuoteValue(D19,AllTriggers)</f>
        <v>1.6799999999999999E-3</v>
      </c>
      <c r="J19" s="167">
        <f>_xll.qlIndexFixing(ON_6M_index,_xll.qlInterestRateIndexFixingDate(ON_6M_index,G19),,AllTriggers)</f>
        <v>-5.8767898158807266E-4</v>
      </c>
      <c r="K19" s="389">
        <f t="shared" si="0"/>
        <v>2.2676789815880725E-3</v>
      </c>
      <c r="L19" s="167">
        <f>_xll.qlTenorBasisValue($P$3,G19,Trigger)</f>
        <v>2.2474692269169629E-3</v>
      </c>
      <c r="M19" s="255">
        <f t="shared" si="3"/>
        <v>0.20209754671109659</v>
      </c>
      <c r="N19" s="117"/>
      <c r="Q19" s="116"/>
      <c r="R19" s="538">
        <f>_xll.qlCalendarAdvance(Calendar,R18,"1D","f")</f>
        <v>42184</v>
      </c>
      <c r="S19" s="167">
        <f>_xll.qlTenorBasisValue($P$3,R19,AllTriggers)</f>
        <v>1.8663436322306816E-3</v>
      </c>
      <c r="T19" s="155">
        <f>_xll.qlDayCounterYearFraction("actual/365 (fixed)",SettlementDate,R19,,,Trigger)</f>
        <v>6.575342465753424E-2</v>
      </c>
      <c r="U19" s="167">
        <f>_xll.qlPolynomialFunctionValue($P$18,T19,AllTriggers)</f>
        <v>1.6239530671528898E-3</v>
      </c>
      <c r="Z19" s="390">
        <v>0</v>
      </c>
      <c r="AA19" s="390" t="s">
        <v>40</v>
      </c>
      <c r="AB19" s="487">
        <f>_xll.qlCalendarAdvance(Calendar,SettlementDate,Z19&amp;"M","mf",TRUE,Trigger)</f>
        <v>42160</v>
      </c>
      <c r="AC19" s="488">
        <f>_xll.qlCalendarAdvance(Calendar,SettlementDate,AA19,"mf",TRUE,Trigger)</f>
        <v>42191</v>
      </c>
      <c r="AD19" s="531">
        <f>_xll.qlTenorBasisForwardRate2(TenorBasis6M,AB19,AC19,AllTriggers)</f>
        <v>3.82727609145684E-4</v>
      </c>
    </row>
    <row r="20" spans="1:30" ht="11.25" customHeight="1" x14ac:dyDescent="0.2">
      <c r="A20" s="339">
        <f t="shared" si="4"/>
        <v>16</v>
      </c>
      <c r="B20" s="117" t="s">
        <v>37</v>
      </c>
      <c r="C20" s="352">
        <f t="shared" si="1"/>
        <v>22</v>
      </c>
      <c r="D20" s="349" t="str">
        <f t="shared" si="2"/>
        <v>EUR16x22F_Quote</v>
      </c>
      <c r="E20" s="349" t="str">
        <f>_xll.qlSimpleQuote(UPPER("B"&amp;$H$1&amp;"_"&amp;A20&amp;B20&amp;C20),,,Permanent,Trigger,ObjectOverwrite)</f>
        <v>B6M_16X22#0000</v>
      </c>
      <c r="F20" s="520">
        <f>_xll.qlSimpleQuoteSetValue(E20,K20,AllTriggers)</f>
        <v>2.2624645410853836E-5</v>
      </c>
      <c r="G20" s="538">
        <f>_xll.qlCalendarAdvance("target",SettlementDate,A20&amp;"M","mf",,Trigger)</f>
        <v>42648</v>
      </c>
      <c r="H20" s="538">
        <f>_xll.qlInterestRateIndexMaturity(ON_6M_index,G20)</f>
        <v>42830</v>
      </c>
      <c r="I20" s="167">
        <f>_xll.qlQuoteValue(D20,AllTriggers)</f>
        <v>1.81E-3</v>
      </c>
      <c r="J20" s="167">
        <f>_xll.qlIndexFixing(ON_6M_index,_xll.qlInterestRateIndexFixingDate(ON_6M_index,G20),,AllTriggers)</f>
        <v>-4.9088745710960566E-4</v>
      </c>
      <c r="K20" s="389">
        <f t="shared" si="0"/>
        <v>2.3008874571096055E-3</v>
      </c>
      <c r="L20" s="167">
        <f>_xll.qlTenorBasisValue($P$3,G20,Trigger)</f>
        <v>2.2683790014111031E-3</v>
      </c>
      <c r="M20" s="255">
        <f t="shared" si="3"/>
        <v>0.32508455698502475</v>
      </c>
      <c r="N20" s="117"/>
      <c r="Q20" s="116"/>
      <c r="R20" s="538">
        <f>_xll.qlCalendarAdvance(Calendar,R19,"1D","f")</f>
        <v>42185</v>
      </c>
      <c r="S20" s="167">
        <f>_xll.qlTenorBasisValue($P$3,R20,AllTriggers)</f>
        <v>1.8685683426433708E-3</v>
      </c>
      <c r="T20" s="155">
        <f>_xll.qlDayCounterYearFraction("actual/365 (fixed)",SettlementDate,R20,,,Trigger)</f>
        <v>6.8493150684931503E-2</v>
      </c>
      <c r="U20" s="167">
        <f>_xll.qlPolynomialFunctionValue($P$18,T20,AllTriggers)</f>
        <v>1.6273419614874338E-3</v>
      </c>
      <c r="Z20" s="168">
        <v>0</v>
      </c>
      <c r="AA20" s="168" t="s">
        <v>47</v>
      </c>
      <c r="AB20" s="485">
        <f>_xll.qlCalendarAdvance(Calendar,SettlementDate,Z20&amp;"M","mf",TRUE,Trigger)</f>
        <v>42160</v>
      </c>
      <c r="AC20" s="486">
        <f>_xll.qlCalendarAdvance(Calendar,SettlementDate,AA20,"mf",TRUE,Trigger)</f>
        <v>42221</v>
      </c>
      <c r="AD20" s="530">
        <f>_xll.qlTenorBasisForwardRate2(TenorBasis6M,AB20,AC20,AllTriggers)</f>
        <v>4.0340609918106276E-4</v>
      </c>
    </row>
    <row r="21" spans="1:30" ht="11.25" customHeight="1" x14ac:dyDescent="0.2">
      <c r="A21" s="339">
        <f t="shared" si="4"/>
        <v>17</v>
      </c>
      <c r="B21" s="117" t="s">
        <v>37</v>
      </c>
      <c r="C21" s="352">
        <f t="shared" si="1"/>
        <v>23</v>
      </c>
      <c r="D21" s="349" t="str">
        <f t="shared" si="2"/>
        <v>EUR17x23F_Quote</v>
      </c>
      <c r="E21" s="349" t="str">
        <f>_xll.qlSimpleQuote(UPPER("B"&amp;$H$1&amp;"_"&amp;A21&amp;B21&amp;C21),,,Permanent,Trigger,ObjectOverwrite)</f>
        <v>B6M_17X23#0000</v>
      </c>
      <c r="F21" s="520">
        <f>_xll.qlSimpleQuoteSetValue(E21,K21,AllTriggers)</f>
        <v>2.4653046176008678E-5</v>
      </c>
      <c r="G21" s="538">
        <f>_xll.qlCalendarAdvance("target",SettlementDate,A21&amp;"M","mf",,Trigger)</f>
        <v>42681</v>
      </c>
      <c r="H21" s="538">
        <f>_xll.qlInterestRateIndexMaturity(ON_6M_index,G21)</f>
        <v>42863</v>
      </c>
      <c r="I21" s="167">
        <f>_xll.qlQuoteValue(D21,AllTriggers)</f>
        <v>1.98E-3</v>
      </c>
      <c r="J21" s="167">
        <f>_xll.qlIndexFixing(ON_6M_index,_xll.qlInterestRateIndexFixingDate(ON_6M_index,G21),,AllTriggers)</f>
        <v>-3.4779821945561722E-4</v>
      </c>
      <c r="K21" s="389">
        <f t="shared" si="0"/>
        <v>2.3277982194556172E-3</v>
      </c>
      <c r="L21" s="167">
        <f>_xll.qlTenorBasisValue($P$3,G21,Trigger)</f>
        <v>2.2966366081750731E-3</v>
      </c>
      <c r="M21" s="255">
        <f t="shared" si="3"/>
        <v>0.31161611280544016</v>
      </c>
      <c r="N21" s="117"/>
      <c r="Q21" s="116"/>
      <c r="R21" s="538">
        <f>_xll.qlCalendarAdvance(Calendar,R20,"1D","f")</f>
        <v>42186</v>
      </c>
      <c r="S21" s="167">
        <f>_xll.qlTenorBasisValue($P$3,R21,AllTriggers)</f>
        <v>1.8707817589584804E-3</v>
      </c>
      <c r="T21" s="155">
        <f>_xll.qlDayCounterYearFraction("actual/365 (fixed)",SettlementDate,R21,,,Trigger)</f>
        <v>7.1232876712328766E-2</v>
      </c>
      <c r="U21" s="167">
        <f>_xll.qlPolynomialFunctionValue($P$18,T21,AllTriggers)</f>
        <v>1.6307162567837383E-3</v>
      </c>
      <c r="Z21" s="168">
        <v>0</v>
      </c>
      <c r="AA21" s="168" t="s">
        <v>41</v>
      </c>
      <c r="AB21" s="485">
        <f>_xll.qlCalendarAdvance(Calendar,SettlementDate,Z21&amp;"M","mf",TRUE,Trigger)</f>
        <v>42160</v>
      </c>
      <c r="AC21" s="486">
        <f>_xll.qlCalendarAdvance(Calendar,SettlementDate,AA21,"mf",TRUE,Trigger)</f>
        <v>42254</v>
      </c>
      <c r="AD21" s="530">
        <f>_xll.qlTenorBasisForwardRate2(TenorBasis6M,AB21,AC21,AllTriggers)</f>
        <v>4.1680187673849475E-4</v>
      </c>
    </row>
    <row r="22" spans="1:30" ht="11.25" customHeight="1" x14ac:dyDescent="0.2">
      <c r="A22" s="340">
        <f t="shared" si="4"/>
        <v>18</v>
      </c>
      <c r="B22" s="341" t="s">
        <v>37</v>
      </c>
      <c r="C22" s="354">
        <f t="shared" si="1"/>
        <v>24</v>
      </c>
      <c r="D22" s="350" t="str">
        <f t="shared" si="2"/>
        <v>EUR18x24F_Quote</v>
      </c>
      <c r="E22" s="350" t="str">
        <f>_xll.qlSimpleQuote(UPPER("B"&amp;$H$1&amp;"_"&amp;A22&amp;B22&amp;C22),,,Permanent,Trigger,ObjectOverwrite)</f>
        <v>B6M_18X24#0000</v>
      </c>
      <c r="F22" s="521">
        <f>_xll.qlSimpleQuoteSetValue(E22,K22,AllTriggers)</f>
        <v>1.0183264982264843E-5</v>
      </c>
      <c r="G22" s="539">
        <f>_xll.qlCalendarAdvance("target",SettlementDate,A22&amp;"M","mf",,Trigger)</f>
        <v>42709</v>
      </c>
      <c r="H22" s="539">
        <f>_xll.qlInterestRateIndexMaturity(ON_6M_index,G22)</f>
        <v>42891</v>
      </c>
      <c r="I22" s="176">
        <f>_xll.qlQuoteValue(D22,AllTriggers)</f>
        <v>2.1299999999999999E-3</v>
      </c>
      <c r="J22" s="176">
        <f>_xll.qlIndexFixing(ON_6M_index,_xll.qlInterestRateIndexFixingDate(ON_6M_index,G22),,AllTriggers)</f>
        <v>-1.9688851795259481E-4</v>
      </c>
      <c r="K22" s="371">
        <f t="shared" si="0"/>
        <v>2.3268885179525949E-3</v>
      </c>
      <c r="L22" s="176">
        <f>_xll.qlTenorBasisValue($P$3,G22,Trigger)</f>
        <v>2.3258443936032707E-3</v>
      </c>
      <c r="M22" s="256">
        <f t="shared" si="3"/>
        <v>1.0441243493241985E-2</v>
      </c>
      <c r="N22" s="117"/>
      <c r="Q22" s="116"/>
      <c r="R22" s="538">
        <f>_xll.qlCalendarAdvance(Calendar,R21,"1D","f")</f>
        <v>42187</v>
      </c>
      <c r="S22" s="167">
        <f>_xll.qlTenorBasisValue($P$3,R22,AllTriggers)</f>
        <v>1.8729839164156586E-3</v>
      </c>
      <c r="T22" s="155">
        <f>_xll.qlDayCounterYearFraction("actual/365 (fixed)",SettlementDate,R22,,,Trigger)</f>
        <v>7.3972602739726029E-2</v>
      </c>
      <c r="U22" s="167">
        <f>_xll.qlPolynomialFunctionValue($P$18,T22,AllTriggers)</f>
        <v>1.6340759882814513E-3</v>
      </c>
      <c r="Z22" s="168">
        <v>0</v>
      </c>
      <c r="AA22" s="168" t="s">
        <v>48</v>
      </c>
      <c r="AB22" s="485">
        <f>_xll.qlCalendarAdvance(Calendar,SettlementDate,Z22&amp;"M","mf",TRUE,Trigger)</f>
        <v>42160</v>
      </c>
      <c r="AC22" s="486">
        <f>_xll.qlCalendarAdvance(Calendar,SettlementDate,AA22,"mf",TRUE,Trigger)</f>
        <v>42282</v>
      </c>
      <c r="AD22" s="530">
        <f>_xll.qlTenorBasisForwardRate2(TenorBasis6M,AB22,AC22,AllTriggers)</f>
        <v>4.4930675507820391E-4</v>
      </c>
    </row>
    <row r="23" spans="1:30" ht="11.25" customHeight="1" x14ac:dyDescent="0.2">
      <c r="G23" s="243"/>
      <c r="H23" s="243"/>
      <c r="I23" s="141"/>
      <c r="J23" s="141"/>
      <c r="K23" s="141"/>
      <c r="L23" s="117"/>
      <c r="M23" s="117"/>
      <c r="N23" s="117"/>
      <c r="Q23" s="116"/>
      <c r="R23" s="538">
        <f>_xll.qlCalendarAdvance(Calendar,R22,"1D","f")</f>
        <v>42188</v>
      </c>
      <c r="S23" s="167">
        <f>_xll.qlTenorBasisValue($P$3,R23,AllTriggers)</f>
        <v>1.8751748502545545E-3</v>
      </c>
      <c r="T23" s="155">
        <f>_xll.qlDayCounterYearFraction("actual/365 (fixed)",SettlementDate,R23,,,Trigger)</f>
        <v>7.6712328767123292E-2</v>
      </c>
      <c r="U23" s="167">
        <f>_xll.qlPolynomialFunctionValue($P$18,T23,AllTriggers)</f>
        <v>1.6374211912202224E-3</v>
      </c>
      <c r="Z23" s="172">
        <v>0</v>
      </c>
      <c r="AA23" s="172" t="s">
        <v>49</v>
      </c>
      <c r="AB23" s="489">
        <f>_xll.qlCalendarAdvance(Calendar,SettlementDate,Z23&amp;"M","mf",TRUE,Trigger)</f>
        <v>42160</v>
      </c>
      <c r="AC23" s="490">
        <f>_xll.qlCalendarAdvance(Calendar,SettlementDate,AA23,"mf",TRUE,Trigger)</f>
        <v>42313</v>
      </c>
      <c r="AD23" s="532">
        <f>_xll.qlTenorBasisForwardRate2(TenorBasis6M,AB23,AC23,AllTriggers)</f>
        <v>4.8454705394456962E-4</v>
      </c>
    </row>
    <row r="24" spans="1:30" ht="11.25" customHeight="1" thickBot="1" x14ac:dyDescent="0.25">
      <c r="G24" s="243"/>
      <c r="H24" s="243"/>
      <c r="I24" s="141"/>
      <c r="J24" s="141"/>
      <c r="K24" s="141"/>
      <c r="Q24" s="116"/>
      <c r="R24" s="538">
        <f>_xll.qlCalendarAdvance(Calendar,R23,"1D","f")</f>
        <v>42191</v>
      </c>
      <c r="S24" s="167">
        <f>_xll.qlTenorBasisValue($P$3,R24,AllTriggers)</f>
        <v>1.8816806624580335E-3</v>
      </c>
      <c r="T24" s="155">
        <f>_xll.qlDayCounterYearFraction("actual/365 (fixed)",SettlementDate,R24,,,Trigger)</f>
        <v>8.4931506849315067E-2</v>
      </c>
      <c r="U24" s="167">
        <f>_xll.qlPolynomialFunctionValue($P$18,T24,AllTriggers)</f>
        <v>1.6473699810793665E-3</v>
      </c>
      <c r="Z24" s="387">
        <v>0</v>
      </c>
      <c r="AA24" s="387" t="s">
        <v>42</v>
      </c>
      <c r="AB24" s="491">
        <f>_xll.qlCalendarAdvance(Calendar,SettlementDate,Z24&amp;"M","mf",TRUE,Trigger)</f>
        <v>42160</v>
      </c>
      <c r="AC24" s="492">
        <f>_xll.qlCalendarAdvance(Calendar,SettlementDate,AA24,"mf",TRUE,Trigger)</f>
        <v>42345</v>
      </c>
      <c r="AD24" s="533">
        <f>_xll.qlTenorBasisForwardRate2(TenorBasis6M,AB24,AC24,AllTriggers)</f>
        <v>5.1798462386715908E-4</v>
      </c>
    </row>
    <row r="25" spans="1:30" ht="11.25" customHeight="1" x14ac:dyDescent="0.2">
      <c r="G25" s="243"/>
      <c r="H25" s="243"/>
      <c r="I25" s="141"/>
      <c r="J25" s="141"/>
      <c r="K25" s="141"/>
      <c r="R25" s="538">
        <f>_xll.qlCalendarAdvance(Calendar,R24,"1D","f")</f>
        <v>42192</v>
      </c>
      <c r="S25" s="167">
        <f>_xll.qlTenorBasisValue($P$3,R25,AllTriggers)</f>
        <v>1.8838270542202856E-3</v>
      </c>
      <c r="T25" s="155">
        <f>_xll.qlDayCounterYearFraction("actual/365 (fixed)",SettlementDate,R25,,,Trigger)</f>
        <v>8.7671232876712329E-2</v>
      </c>
      <c r="U25" s="167">
        <f>_xll.qlPolynomialFunctionValue($P$18,T25,AllTriggers)</f>
        <v>1.6506574221788538E-3</v>
      </c>
      <c r="Z25" s="162">
        <v>1</v>
      </c>
      <c r="AA25" s="162" t="str">
        <f t="shared" ref="AA25:AA30" si="5">Z25+SUBSTITUTE($H$1,"M","")&amp;"M"</f>
        <v>7M</v>
      </c>
      <c r="AB25" s="483">
        <f>_xll.qlCalendarAdvance(Calendar,SettlementDate,Z25&amp;"M","mf",TRUE,Trigger)</f>
        <v>42191</v>
      </c>
      <c r="AC25" s="483">
        <f>_xll.qlCalendarAdvance(Calendar,SettlementDate,AA25,"mf",TRUE,Trigger)</f>
        <v>42374</v>
      </c>
      <c r="AD25" s="420">
        <f>_xll.qlTenorBasisTenorForwardRate(TenorBasis6M,AB25,AllTriggers)</f>
        <v>6.4139551595106216E-4</v>
      </c>
    </row>
    <row r="26" spans="1:30" ht="11.25" customHeight="1" x14ac:dyDescent="0.2">
      <c r="R26" s="538">
        <f>_xll.qlCalendarAdvance(Calendar,R25,"1D","f")</f>
        <v>42193</v>
      </c>
      <c r="S26" s="167">
        <f>_xll.qlTenorBasisValue($P$3,R26,AllTriggers)</f>
        <v>1.8859623985624987E-3</v>
      </c>
      <c r="T26" s="155">
        <f>_xll.qlDayCounterYearFraction("actual/365 (fixed)",SettlementDate,R26,,,Trigger)</f>
        <v>9.0410958904109592E-2</v>
      </c>
      <c r="U26" s="167">
        <f>_xll.qlPolynomialFunctionValue($P$18,T26,AllTriggers)</f>
        <v>1.6539305109176418E-3</v>
      </c>
      <c r="Z26" s="168">
        <v>2</v>
      </c>
      <c r="AA26" s="168" t="str">
        <f t="shared" si="5"/>
        <v>8M</v>
      </c>
      <c r="AB26" s="485">
        <f>_xll.qlCalendarAdvance(Calendar,SettlementDate,Z26&amp;"M","mf",TRUE,Trigger)</f>
        <v>42221</v>
      </c>
      <c r="AC26" s="485">
        <f>_xll.qlCalendarAdvance(Calendar,SettlementDate,AA26,"mf",TRUE,Trigger)</f>
        <v>42405</v>
      </c>
      <c r="AD26" s="167">
        <f>_xll.qlTenorBasisTenorForwardRate(TenorBasis6M,AB26,AllTriggers)</f>
        <v>6.989002325456684E-4</v>
      </c>
    </row>
    <row r="27" spans="1:30" ht="11.25" customHeight="1" x14ac:dyDescent="0.2">
      <c r="R27" s="538">
        <f>_xll.qlCalendarAdvance(Calendar,R26,"1D","f")</f>
        <v>42194</v>
      </c>
      <c r="S27" s="167">
        <f>_xll.qlTenorBasisValue($P$3,R27,AllTriggers)</f>
        <v>1.8880867307243213E-3</v>
      </c>
      <c r="T27" s="155">
        <f>_xll.qlDayCounterYearFraction("actual/365 (fixed)",SettlementDate,R27,,,Trigger)</f>
        <v>9.3150684931506855E-2</v>
      </c>
      <c r="U27" s="167">
        <f>_xll.qlPolynomialFunctionValue($P$18,T27,AllTriggers)</f>
        <v>1.6571892825353797E-3</v>
      </c>
      <c r="Z27" s="168">
        <v>3</v>
      </c>
      <c r="AA27" s="168" t="str">
        <f t="shared" si="5"/>
        <v>9M</v>
      </c>
      <c r="AB27" s="485">
        <f>_xll.qlCalendarAdvance(Calendar,SettlementDate,Z27&amp;"M","mf",TRUE,Trigger)</f>
        <v>42254</v>
      </c>
      <c r="AC27" s="485">
        <f>_xll.qlCalendarAdvance(Calendar,SettlementDate,AA27,"mf",TRUE,Trigger)</f>
        <v>42436</v>
      </c>
      <c r="AD27" s="167">
        <f>_xll.qlTenorBasisTenorForwardRate(TenorBasis6M,AB27,AllTriggers)</f>
        <v>7.7024590298034601E-4</v>
      </c>
    </row>
    <row r="28" spans="1:30" ht="11.25" customHeight="1" x14ac:dyDescent="0.2">
      <c r="R28" s="538">
        <f>_xll.qlCalendarAdvance(Calendar,R27,"1D","f")</f>
        <v>42195</v>
      </c>
      <c r="S28" s="167">
        <f>_xll.qlTenorBasisValue($P$3,R28,AllTriggers)</f>
        <v>1.8902000859454017E-3</v>
      </c>
      <c r="T28" s="155">
        <f>_xll.qlDayCounterYearFraction("actual/365 (fixed)",SettlementDate,R28,,,Trigger)</f>
        <v>9.5890410958904104E-2</v>
      </c>
      <c r="U28" s="167">
        <f>_xll.qlPolynomialFunctionValue($P$18,T28,AllTriggers)</f>
        <v>1.6604337722717153E-3</v>
      </c>
      <c r="Z28" s="168">
        <v>4</v>
      </c>
      <c r="AA28" s="168" t="str">
        <f t="shared" si="5"/>
        <v>10M</v>
      </c>
      <c r="AB28" s="485">
        <f>_xll.qlCalendarAdvance(Calendar,SettlementDate,Z28&amp;"M","mf",TRUE,Trigger)</f>
        <v>42282</v>
      </c>
      <c r="AC28" s="485">
        <f>_xll.qlCalendarAdvance(Calendar,SettlementDate,AA28,"mf",TRUE,Trigger)</f>
        <v>42465</v>
      </c>
      <c r="AD28" s="167">
        <f>_xll.qlTenorBasisTenorForwardRate(TenorBasis6M,AB28,AllTriggers)</f>
        <v>8.2982277581174582E-4</v>
      </c>
    </row>
    <row r="29" spans="1:30" ht="11.25" customHeight="1" x14ac:dyDescent="0.2">
      <c r="R29" s="538">
        <f>_xll.qlCalendarAdvance(Calendar,R28,"1D","f")</f>
        <v>42198</v>
      </c>
      <c r="S29" s="167">
        <f>_xll.qlTenorBasisValue($P$3,R29,AllTriggers)</f>
        <v>1.8964746423606781E-3</v>
      </c>
      <c r="T29" s="155">
        <f>_xll.qlDayCounterYearFraction("actual/365 (fixed)",SettlementDate,R29,,,Trigger)</f>
        <v>0.10410958904109589</v>
      </c>
      <c r="U29" s="167">
        <f>_xll.qlPolynomialFunctionValue($P$18,T29,AllTriggers)</f>
        <v>1.6700819025887979E-3</v>
      </c>
      <c r="Z29" s="168">
        <v>5</v>
      </c>
      <c r="AA29" s="168" t="str">
        <f t="shared" si="5"/>
        <v>11M</v>
      </c>
      <c r="AB29" s="485">
        <f>_xll.qlCalendarAdvance(Calendar,SettlementDate,Z29&amp;"M","mf",TRUE,Trigger)</f>
        <v>42313</v>
      </c>
      <c r="AC29" s="485">
        <f>_xll.qlCalendarAdvance(Calendar,SettlementDate,AA29,"mf",TRUE,Trigger)</f>
        <v>42495</v>
      </c>
      <c r="AD29" s="167">
        <f>_xll.qlTenorBasisTenorForwardRate(TenorBasis6M,AB29,AllTriggers)</f>
        <v>9.0276822007948998E-4</v>
      </c>
    </row>
    <row r="30" spans="1:30" ht="11.25" customHeight="1" x14ac:dyDescent="0.2">
      <c r="R30" s="538">
        <f>_xll.qlCalendarAdvance(Calendar,R29,"1D","f")</f>
        <v>42199</v>
      </c>
      <c r="S30" s="167">
        <f>_xll.qlTenorBasisValue($P$3,R30,AllTriggers)</f>
        <v>1.8985444422152773E-3</v>
      </c>
      <c r="T30" s="155">
        <f>_xll.qlDayCounterYearFraction("actual/365 (fixed)",SettlementDate,R30,,,Trigger)</f>
        <v>0.10684931506849316</v>
      </c>
      <c r="U30" s="167">
        <f>_xll.qlPolynomialFunctionValue($P$18,T30,AllTriggers)</f>
        <v>1.6732696171960122E-3</v>
      </c>
      <c r="Z30" s="435">
        <v>6</v>
      </c>
      <c r="AA30" s="435" t="str">
        <f t="shared" si="5"/>
        <v>12M</v>
      </c>
      <c r="AB30" s="493">
        <f>_xll.qlCalendarAdvance(Calendar,SettlementDate,Z30&amp;"M","mf",TRUE,Trigger)</f>
        <v>42345</v>
      </c>
      <c r="AC30" s="493">
        <f>_xll.qlCalendarAdvance(Calendar,SettlementDate,AA30,"mf",TRUE,Trigger)</f>
        <v>42527</v>
      </c>
      <c r="AD30" s="432">
        <f>_xll.qlTenorBasisTenorForwardRate(TenorBasis6M,AB30,AllTriggers)</f>
        <v>9.6488338712927041E-4</v>
      </c>
    </row>
    <row r="31" spans="1:30" ht="11.25" customHeight="1" x14ac:dyDescent="0.2">
      <c r="R31" s="538">
        <f>_xll.qlCalendarAdvance(Calendar,R30,"1D","f")</f>
        <v>42200</v>
      </c>
      <c r="S31" s="167">
        <f>_xll.qlTenorBasisValue($P$3,R31,AllTriggers)</f>
        <v>1.9006034413273777E-3</v>
      </c>
      <c r="T31" s="155">
        <f>_xll.qlDayCounterYearFraction("actual/365 (fixed)",SettlementDate,R31,,,Trigger)</f>
        <v>0.1095890410958904</v>
      </c>
      <c r="U31" s="167">
        <f>_xll.qlPolynomialFunctionValue($P$18,T31,AllTriggers)</f>
        <v>1.6764432261200683E-3</v>
      </c>
    </row>
    <row r="32" spans="1:30" ht="11.25" customHeight="1" x14ac:dyDescent="0.2">
      <c r="R32" s="538">
        <f>_xll.qlCalendarAdvance(Calendar,R31,"1D","f")</f>
        <v>42201</v>
      </c>
      <c r="S32" s="167">
        <f>_xll.qlTenorBasisValue($P$3,R32,AllTriggers)</f>
        <v>1.9026516749366283E-3</v>
      </c>
      <c r="T32" s="155">
        <f>_xll.qlDayCounterYearFraction("actual/365 (fixed)",SettlementDate,R32,,,Trigger)</f>
        <v>0.11232876712328767</v>
      </c>
      <c r="U32" s="167">
        <f>_xll.qlPolynomialFunctionValue($P$18,T32,AllTriggers)</f>
        <v>1.6796027646006143E-3</v>
      </c>
    </row>
    <row r="33" spans="7:21" ht="11.25" customHeight="1" x14ac:dyDescent="0.2">
      <c r="R33" s="538">
        <f>_xll.qlCalendarAdvance(Calendar,R32,"1D","f")</f>
        <v>42202</v>
      </c>
      <c r="S33" s="167">
        <f>_xll.qlTenorBasisValue($P$3,R33,AllTriggers)</f>
        <v>1.9046891782826775E-3</v>
      </c>
      <c r="T33" s="155">
        <f>_xll.qlDayCounterYearFraction("actual/365 (fixed)",SettlementDate,R33,,,Trigger)</f>
        <v>0.11506849315068493</v>
      </c>
      <c r="U33" s="167">
        <f>_xll.qlPolynomialFunctionValue($P$18,T33,AllTriggers)</f>
        <v>1.6827482678772989E-3</v>
      </c>
    </row>
    <row r="34" spans="7:21" ht="11.25" customHeight="1" x14ac:dyDescent="0.2">
      <c r="R34" s="538">
        <f>_xll.qlCalendarAdvance(Calendar,R33,"1D","f")</f>
        <v>42205</v>
      </c>
      <c r="S34" s="167">
        <f>_xll.qlTenorBasisValue($P$3,R34,AllTriggers)</f>
        <v>1.9107376591381031E-3</v>
      </c>
      <c r="T34" s="155">
        <f>_xll.qlDayCounterYearFraction("actual/365 (fixed)",SettlementDate,R34,,,Trigger)</f>
        <v>0.12328767123287671</v>
      </c>
      <c r="U34" s="167">
        <f>_xll.qlPolynomialFunctionValue($P$18,T34,AllTriggers)</f>
        <v>1.692100918880671E-3</v>
      </c>
    </row>
    <row r="35" spans="7:21" ht="11.25" customHeight="1" x14ac:dyDescent="0.2">
      <c r="R35" s="538">
        <f>_xll.qlCalendarAdvance(Calendar,R34,"1D","f")</f>
        <v>42206</v>
      </c>
      <c r="S35" s="167">
        <f>_xll.qlTenorBasisValue($P$3,R35,AllTriggers)</f>
        <v>1.9127325938278329E-3</v>
      </c>
      <c r="T35" s="155">
        <f>_xll.qlDayCounterYearFraction("actual/365 (fixed)",SettlementDate,R35,,,Trigger)</f>
        <v>0.12602739726027398</v>
      </c>
      <c r="U35" s="167">
        <f>_xll.qlPolynomialFunctionValue($P$18,T35,AllTriggers)</f>
        <v>1.6951906337383969E-3</v>
      </c>
    </row>
    <row r="36" spans="7:21" ht="11.25" customHeight="1" x14ac:dyDescent="0.2">
      <c r="R36" s="538">
        <f>_xll.qlCalendarAdvance(Calendar,R35,"1D","f")</f>
        <v>42207</v>
      </c>
      <c r="S36" s="167">
        <f>_xll.qlTenorBasisValue($P$3,R36,AllTriggers)</f>
        <v>1.9147169744526051E-3</v>
      </c>
      <c r="T36" s="155">
        <f>_xll.qlDayCounterYearFraction("actual/365 (fixed)",SettlementDate,R36,,,Trigger)</f>
        <v>0.12876712328767123</v>
      </c>
      <c r="U36" s="167">
        <f>_xll.qlPolynomialFunctionValue($P$18,T36,AllTriggers)</f>
        <v>1.6982664895905046E-3</v>
      </c>
    </row>
    <row r="37" spans="7:21" ht="11.25" customHeight="1" x14ac:dyDescent="0.2">
      <c r="R37" s="538">
        <f>_xll.qlCalendarAdvance(Calendar,R36,"1D","f")</f>
        <v>42208</v>
      </c>
      <c r="S37" s="167">
        <f>_xll.qlTenorBasisValue($P$3,R37,AllTriggers)</f>
        <v>1.9166908362520673E-3</v>
      </c>
      <c r="T37" s="155">
        <f>_xll.qlDayCounterYearFraction("actual/365 (fixed)",SettlementDate,R37,,,Trigger)</f>
        <v>0.13150684931506848</v>
      </c>
      <c r="U37" s="167">
        <f>_xll.qlPolynomialFunctionValue($P$18,T37,AllTriggers)</f>
        <v>1.7013285216766426E-3</v>
      </c>
    </row>
    <row r="38" spans="7:21" ht="11.25" customHeight="1" x14ac:dyDescent="0.2">
      <c r="R38" s="538">
        <f>_xll.qlCalendarAdvance(Calendar,R37,"1D","f")</f>
        <v>42209</v>
      </c>
      <c r="S38" s="167">
        <f>_xll.qlTenorBasisValue($P$3,R38,AllTriggers)</f>
        <v>1.918654214465869E-3</v>
      </c>
      <c r="T38" s="155">
        <f>_xll.qlDayCounterYearFraction("actual/365 (fixed)",SettlementDate,R38,,,Trigger)</f>
        <v>0.13424657534246576</v>
      </c>
      <c r="U38" s="167">
        <f>_xll.qlPolynomialFunctionValue($P$18,T38,AllTriggers)</f>
        <v>1.7043767652364602E-3</v>
      </c>
    </row>
    <row r="39" spans="7:21" ht="11.25" customHeight="1" x14ac:dyDescent="0.2">
      <c r="R39" s="538">
        <f>_xll.qlCalendarAdvance(Calendar,R38,"1D","f")</f>
        <v>42212</v>
      </c>
      <c r="S39" s="167">
        <f>_xll.qlTenorBasisValue($P$3,R39,AllTriggers)</f>
        <v>1.9244817999897953E-3</v>
      </c>
      <c r="T39" s="155">
        <f>_xll.qlDayCounterYearFraction("actual/365 (fixed)",SettlementDate,R39,,,Trigger)</f>
        <v>0.14246575342465753</v>
      </c>
      <c r="U39" s="167">
        <f>_xll.qlPolynomialFunctionValue($P$18,T39,AllTriggers)</f>
        <v>1.713439117154474E-3</v>
      </c>
    </row>
    <row r="40" spans="7:21" ht="11.25" customHeight="1" x14ac:dyDescent="0.2">
      <c r="R40" s="538">
        <f>_xll.qlCalendarAdvance(Calendar,R39,"1D","f")</f>
        <v>42213</v>
      </c>
      <c r="S40" s="167">
        <f>_xll.qlTenorBasisValue($P$3,R40,AllTriggers)</f>
        <v>1.92640359625744E-3</v>
      </c>
      <c r="T40" s="155">
        <f>_xll.qlDayCounterYearFraction("actual/365 (fixed)",SettlementDate,R40,,,Trigger)</f>
        <v>0.14520547945205478</v>
      </c>
      <c r="U40" s="167">
        <f>_xll.qlPolynomialFunctionValue($P$18,T40,AllTriggers)</f>
        <v>1.716432559005495E-3</v>
      </c>
    </row>
    <row r="41" spans="7:21" ht="11.25" customHeight="1" x14ac:dyDescent="0.2">
      <c r="R41" s="538">
        <f>_xll.qlCalendarAdvance(Calendar,R40,"1D","f")</f>
        <v>42214</v>
      </c>
      <c r="S41" s="167">
        <f>_xll.qlTenorBasisValue($P$3,R41,AllTriggers)</f>
        <v>1.9283150851376674E-3</v>
      </c>
      <c r="T41" s="155">
        <f>_xll.qlDayCounterYearFraction("actual/365 (fixed)",SettlementDate,R41,,,Trigger)</f>
        <v>0.14794520547945206</v>
      </c>
      <c r="U41" s="167">
        <f>_xll.qlPolynomialFunctionValue($P$18,T41,AllTriggers)</f>
        <v>1.7194123885284382E-3</v>
      </c>
    </row>
    <row r="42" spans="7:21" ht="11.25" customHeight="1" x14ac:dyDescent="0.2">
      <c r="R42" s="538">
        <f>_xll.qlCalendarAdvance(Calendar,R41,"1D","f")</f>
        <v>42215</v>
      </c>
      <c r="S42" s="167">
        <f>_xll.qlTenorBasisValue($P$3,R42,AllTriggers)</f>
        <v>1.9302163018701257E-3</v>
      </c>
      <c r="T42" s="155">
        <f>_xll.qlDayCounterYearFraction("actual/365 (fixed)",SettlementDate,R42,,,Trigger)</f>
        <v>0.15068493150684931</v>
      </c>
      <c r="U42" s="167">
        <f>_xll.qlPolynomialFunctionValue($P$18,T42,AllTriggers)</f>
        <v>1.7223786409629525E-3</v>
      </c>
    </row>
    <row r="43" spans="7:21" ht="11.25" customHeight="1" x14ac:dyDescent="0.2">
      <c r="G43" s="243"/>
      <c r="H43" s="243"/>
      <c r="I43" s="141"/>
      <c r="J43" s="141"/>
      <c r="K43" s="141"/>
      <c r="R43" s="538">
        <f>_xll.qlCalendarAdvance(Calendar,R42,"1D","f")</f>
        <v>42216</v>
      </c>
      <c r="S43" s="167">
        <f>_xll.qlTenorBasisValue($P$3,R43,AllTriggers)</f>
        <v>1.9321072816944635E-3</v>
      </c>
      <c r="T43" s="155">
        <f>_xll.qlDayCounterYearFraction("actual/365 (fixed)",SettlementDate,R43,,,Trigger)</f>
        <v>0.15342465753424658</v>
      </c>
      <c r="U43" s="167">
        <f>_xll.qlPolynomialFunctionValue($P$18,T43,AllTriggers)</f>
        <v>1.7253313515486863E-3</v>
      </c>
    </row>
    <row r="44" spans="7:21" ht="11.25" customHeight="1" x14ac:dyDescent="0.2">
      <c r="G44" s="243"/>
      <c r="H44" s="243"/>
      <c r="I44" s="141"/>
      <c r="J44" s="141"/>
      <c r="K44" s="141"/>
      <c r="R44" s="538">
        <f>_xll.qlCalendarAdvance(Calendar,R43,"1D","f")</f>
        <v>42219</v>
      </c>
      <c r="S44" s="167">
        <f>_xll.qlTenorBasisValue($P$3,R44,AllTriggers)</f>
        <v>1.9377191521152428E-3</v>
      </c>
      <c r="T44" s="155">
        <f>_xll.qlDayCounterYearFraction("actual/365 (fixed)",SettlementDate,R44,,,Trigger)</f>
        <v>0.16164383561643836</v>
      </c>
      <c r="U44" s="167">
        <f>_xll.qlPolynomialFunctionValue($P$18,T44,AllTriggers)</f>
        <v>1.7341085846096938E-3</v>
      </c>
    </row>
    <row r="45" spans="7:21" ht="11.25" customHeight="1" x14ac:dyDescent="0.2">
      <c r="G45" s="243"/>
      <c r="H45" s="243"/>
      <c r="I45" s="141"/>
      <c r="J45" s="141"/>
      <c r="K45" s="141"/>
      <c r="R45" s="538">
        <f>_xll.qlCalendarAdvance(Calendar,R44,"1D","f")</f>
        <v>42220</v>
      </c>
      <c r="S45" s="167">
        <f>_xll.qlTenorBasisValue($P$3,R45,AllTriggers)</f>
        <v>1.939569536703586E-3</v>
      </c>
      <c r="T45" s="155">
        <f>_xll.qlDayCounterYearFraction("actual/365 (fixed)",SettlementDate,R45,,,Trigger)</f>
        <v>0.16438356164383561</v>
      </c>
      <c r="U45" s="167">
        <f>_xll.qlPolynomialFunctionValue($P$18,T45,AllTriggers)</f>
        <v>1.7370074801967934E-3</v>
      </c>
    </row>
    <row r="46" spans="7:21" ht="11.25" customHeight="1" x14ac:dyDescent="0.2">
      <c r="G46" s="243"/>
      <c r="H46" s="243"/>
      <c r="I46" s="141"/>
      <c r="J46" s="141"/>
      <c r="K46" s="141"/>
      <c r="R46" s="538">
        <f>_xll.qlCalendarAdvance(Calendar,R45,"1D","f")</f>
        <v>42221</v>
      </c>
      <c r="S46" s="167">
        <f>_xll.qlTenorBasisValue($P$3,R46,AllTriggers)</f>
        <v>1.9414098605820525E-3</v>
      </c>
      <c r="T46" s="155">
        <f>_xll.qlDayCounterYearFraction("actual/365 (fixed)",SettlementDate,R46,,,Trigger)</f>
        <v>0.16712328767123288</v>
      </c>
      <c r="U46" s="167">
        <f>_xll.qlPolynomialFunctionValue($P$18,T46,AllTriggers)</f>
        <v>1.7398930101333563E-3</v>
      </c>
    </row>
    <row r="47" spans="7:21" ht="11.25" customHeight="1" x14ac:dyDescent="0.2">
      <c r="G47" s="243"/>
      <c r="H47" s="243"/>
      <c r="I47" s="141"/>
      <c r="J47" s="141"/>
      <c r="K47" s="141"/>
      <c r="R47" s="538">
        <f>_xll.qlCalendarAdvance(Calendar,R46,"1D","f")</f>
        <v>42222</v>
      </c>
      <c r="S47" s="167">
        <f>_xll.qlTenorBasisValue($P$3,R47,AllTriggers)</f>
        <v>1.9432401589902903E-3</v>
      </c>
      <c r="T47" s="155">
        <f>_xll.qlDayCounterYearFraction("actual/365 (fixed)",SettlementDate,R47,,,Trigger)</f>
        <v>0.16986301369863013</v>
      </c>
      <c r="U47" s="167">
        <f>_xll.qlPolynomialFunctionValue($P$18,T47,AllTriggers)</f>
        <v>1.7427652096590304E-3</v>
      </c>
    </row>
    <row r="48" spans="7:21" ht="11.25" customHeight="1" x14ac:dyDescent="0.2">
      <c r="G48" s="243"/>
      <c r="H48" s="243"/>
      <c r="I48" s="141"/>
      <c r="J48" s="141"/>
      <c r="K48" s="141"/>
      <c r="R48" s="538">
        <f>_xll.qlCalendarAdvance(Calendar,R47,"1D","f")</f>
        <v>42223</v>
      </c>
      <c r="S48" s="167">
        <f>_xll.qlTenorBasisValue($P$3,R48,AllTriggers)</f>
        <v>1.9450604671679488E-3</v>
      </c>
      <c r="T48" s="155">
        <f>_xll.qlDayCounterYearFraction("actual/365 (fixed)",SettlementDate,R48,,,Trigger)</f>
        <v>0.17260273972602741</v>
      </c>
      <c r="U48" s="167">
        <f>_xll.qlPolynomialFunctionValue($P$18,T48,AllTriggers)</f>
        <v>1.7456241140134654E-3</v>
      </c>
    </row>
    <row r="49" spans="7:21" ht="11.25" customHeight="1" x14ac:dyDescent="0.2">
      <c r="G49" s="243"/>
      <c r="H49" s="243"/>
      <c r="I49" s="141"/>
      <c r="J49" s="141"/>
      <c r="K49" s="141"/>
      <c r="R49" s="538">
        <f>_xll.qlCalendarAdvance(Calendar,R48,"1D","f")</f>
        <v>42226</v>
      </c>
      <c r="S49" s="167">
        <f>_xll.qlTenorBasisValue($P$3,R49,AllTriggers)</f>
        <v>1.9504618027139319E-3</v>
      </c>
      <c r="T49" s="155">
        <f>_xll.qlDayCounterYearFraction("actual/365 (fixed)",SettlementDate,R49,,,Trigger)</f>
        <v>0.18082191780821918</v>
      </c>
      <c r="U49" s="167">
        <f>_xll.qlPolynomialFunctionValue($P$18,T49,AllTriggers)</f>
        <v>1.7541214084458177E-3</v>
      </c>
    </row>
    <row r="50" spans="7:21" ht="11.25" customHeight="1" x14ac:dyDescent="0.2">
      <c r="G50" s="243"/>
      <c r="H50" s="243"/>
      <c r="I50" s="141"/>
      <c r="J50" s="141"/>
      <c r="K50" s="141"/>
      <c r="R50" s="538">
        <f>_xll.qlCalendarAdvance(Calendar,R49,"1D","f")</f>
        <v>42227</v>
      </c>
      <c r="S50" s="167">
        <f>_xll.qlTenorBasisValue($P$3,R50,AllTriggers)</f>
        <v>1.9522425023657578E-3</v>
      </c>
      <c r="T50" s="155">
        <f>_xll.qlDayCounterYearFraction("actual/365 (fixed)",SettlementDate,R50,,,Trigger)</f>
        <v>0.18356164383561643</v>
      </c>
      <c r="U50" s="167">
        <f>_xll.qlPolynomialFunctionValue($P$18,T50,AllTriggers)</f>
        <v>1.75692748451178E-3</v>
      </c>
    </row>
    <row r="51" spans="7:21" ht="11.25" customHeight="1" x14ac:dyDescent="0.2">
      <c r="G51" s="243"/>
      <c r="H51" s="243"/>
      <c r="I51" s="141"/>
      <c r="J51" s="141"/>
      <c r="K51" s="141"/>
      <c r="R51" s="538">
        <f>_xll.qlCalendarAdvance(Calendar,R50,"1D","f")</f>
        <v>42228</v>
      </c>
      <c r="S51" s="167">
        <f>_xll.qlTenorBasisValue($P$3,R51,AllTriggers)</f>
        <v>1.9540133879852473E-3</v>
      </c>
      <c r="T51" s="155">
        <f>_xll.qlDayCounterYearFraction("actual/365 (fixed)",SettlementDate,R51,,,Trigger)</f>
        <v>0.18630136986301371</v>
      </c>
      <c r="U51" s="167">
        <f>_xll.qlPolynomialFunctionValue($P$18,T51,AllTriggers)</f>
        <v>1.7597204416047463E-3</v>
      </c>
    </row>
    <row r="52" spans="7:21" ht="11.25" customHeight="1" x14ac:dyDescent="0.2">
      <c r="G52" s="243"/>
      <c r="H52" s="243"/>
      <c r="I52" s="141"/>
      <c r="J52" s="141"/>
      <c r="K52" s="141"/>
      <c r="R52" s="538">
        <f>_xll.qlCalendarAdvance(Calendar,R51,"1D","f")</f>
        <v>42229</v>
      </c>
      <c r="S52" s="167">
        <f>_xll.qlTenorBasisValue($P$3,R52,AllTriggers)</f>
        <v>1.9557744948120489E-3</v>
      </c>
      <c r="T52" s="155">
        <f>_xll.qlDayCounterYearFraction("actual/365 (fixed)",SettlementDate,R52,,,Trigger)</f>
        <v>0.18904109589041096</v>
      </c>
      <c r="U52" s="167">
        <f>_xll.qlPolynomialFunctionValue($P$18,T52,AllTriggers)</f>
        <v>1.7625003149643647E-3</v>
      </c>
    </row>
    <row r="53" spans="7:21" ht="11.25" customHeight="1" x14ac:dyDescent="0.2">
      <c r="G53" s="243"/>
      <c r="H53" s="243"/>
      <c r="I53" s="141"/>
      <c r="J53" s="141"/>
      <c r="K53" s="141"/>
      <c r="R53" s="538">
        <f>_xll.qlCalendarAdvance(Calendar,R52,"1D","f")</f>
        <v>42230</v>
      </c>
      <c r="S53" s="167">
        <f>_xll.qlTenorBasisValue($P$3,R53,AllTriggers)</f>
        <v>1.9575258580858115E-3</v>
      </c>
      <c r="T53" s="155">
        <f>_xll.qlDayCounterYearFraction("actual/365 (fixed)",SettlementDate,R53,,,Trigger)</f>
        <v>0.19178082191780821</v>
      </c>
      <c r="U53" s="167">
        <f>_xll.qlPolynomialFunctionValue($P$18,T53,AllTriggers)</f>
        <v>1.7652671398302837E-3</v>
      </c>
    </row>
    <row r="54" spans="7:21" x14ac:dyDescent="0.2">
      <c r="R54" s="538">
        <f>_xll.qlCalendarAdvance(Calendar,R53,"1D","f")</f>
        <v>42233</v>
      </c>
      <c r="S54" s="167">
        <f>_xll.qlTenorBasisValue($P$3,R54,AllTriggers)</f>
        <v>1.9627218389853505E-3</v>
      </c>
      <c r="T54" s="155">
        <f>_xll.qlDayCounterYearFraction("actual/365 (fixed)",SettlementDate,R54,,,Trigger)</f>
        <v>0.2</v>
      </c>
      <c r="U54" s="167">
        <f>_xll.qlPolynomialFunctionValue($P$18,T54,AllTriggers)</f>
        <v>1.7734896758623332E-3</v>
      </c>
    </row>
    <row r="55" spans="7:21" x14ac:dyDescent="0.2">
      <c r="R55" s="538">
        <f>_xll.qlCalendarAdvance(Calendar,R54,"1D","f")</f>
        <v>42234</v>
      </c>
      <c r="S55" s="167">
        <f>_xll.qlTenorBasisValue($P$3,R55,AllTriggers)</f>
        <v>1.964434580443443E-3</v>
      </c>
      <c r="T55" s="155">
        <f>_xll.qlDayCounterYearFraction("actual/365 (fixed)",SettlementDate,R55,,,Trigger)</f>
        <v>0.20273972602739726</v>
      </c>
      <c r="U55" s="167">
        <f>_xll.qlPolynomialFunctionValue($P$18,T55,AllTriggers)</f>
        <v>1.7762046591499423E-3</v>
      </c>
    </row>
    <row r="56" spans="7:21" x14ac:dyDescent="0.2">
      <c r="R56" s="538">
        <f>_xll.qlCalendarAdvance(Calendar,R55,"1D","f")</f>
        <v>42235</v>
      </c>
      <c r="S56" s="167">
        <f>_xll.qlTenorBasisValue($P$3,R56,AllTriggers)</f>
        <v>1.9661377545467395E-3</v>
      </c>
      <c r="T56" s="155">
        <f>_xll.qlDayCounterYearFraction("actual/365 (fixed)",SettlementDate,R56,,,Trigger)</f>
        <v>0.20547945205479451</v>
      </c>
      <c r="U56" s="167">
        <f>_xll.qlPolynomialFunctionValue($P$18,T56,AllTriggers)</f>
        <v>1.7789067701420957E-3</v>
      </c>
    </row>
    <row r="57" spans="7:21" x14ac:dyDescent="0.2">
      <c r="R57" s="538">
        <f>_xll.qlCalendarAdvance(Calendar,R56,"1D","f")</f>
        <v>42236</v>
      </c>
      <c r="S57" s="167">
        <f>_xll.qlTenorBasisValue($P$3,R57,AllTriggers)</f>
        <v>1.9678313965348889E-3</v>
      </c>
      <c r="T57" s="155">
        <f>_xll.qlDayCounterYearFraction("actual/365 (fixed)",SettlementDate,R57,,,Trigger)</f>
        <v>0.20821917808219179</v>
      </c>
      <c r="U57" s="167">
        <f>_xll.qlPolynomialFunctionValue($P$18,T57,AllTriggers)</f>
        <v>1.7815960440784419E-3</v>
      </c>
    </row>
    <row r="58" spans="7:21" x14ac:dyDescent="0.2">
      <c r="R58" s="538">
        <f>_xll.qlCalendarAdvance(Calendar,R57,"1D","f")</f>
        <v>42237</v>
      </c>
      <c r="S58" s="167">
        <f>_xll.qlTenorBasisValue($P$3,R58,AllTriggers)</f>
        <v>1.9695155416475396E-3</v>
      </c>
      <c r="T58" s="155">
        <f>_xll.qlDayCounterYearFraction("actual/365 (fixed)",SettlementDate,R58,,,Trigger)</f>
        <v>0.21095890410958903</v>
      </c>
      <c r="U58" s="167">
        <f>_xll.qlPolynomialFunctionValue($P$18,T58,AllTriggers)</f>
        <v>1.7842725161986296E-3</v>
      </c>
    </row>
    <row r="59" spans="7:21" x14ac:dyDescent="0.2">
      <c r="R59" s="538">
        <f>_xll.qlCalendarAdvance(Calendar,R58,"1D","f")</f>
        <v>42240</v>
      </c>
      <c r="S59" s="167">
        <f>_xll.qlTenorBasisValue($P$3,R59,AllTriggers)</f>
        <v>1.974511348128987E-3</v>
      </c>
      <c r="T59" s="155">
        <f>_xll.qlDayCounterYearFraction("actual/365 (fixed)",SettlementDate,R59,,,Trigger)</f>
        <v>0.21917808219178081</v>
      </c>
      <c r="U59" s="167">
        <f>_xll.qlPolynomialFunctionValue($P$18,T59,AllTriggers)</f>
        <v>1.7922254740587275E-3</v>
      </c>
    </row>
    <row r="60" spans="7:21" x14ac:dyDescent="0.2">
      <c r="R60" s="538">
        <f>_xll.qlCalendarAdvance(Calendar,R59,"1D","f")</f>
        <v>42241</v>
      </c>
      <c r="S60" s="167">
        <f>_xll.qlTenorBasisValue($P$3,R60,AllTriggers)</f>
        <v>1.9761578581361295E-3</v>
      </c>
      <c r="T60" s="155">
        <f>_xll.qlDayCounterYearFraction("actual/365 (fixed)",SettlementDate,R60,,,Trigger)</f>
        <v>0.22191780821917809</v>
      </c>
      <c r="U60" s="167">
        <f>_xll.qlPolynomialFunctionValue($P$18,T60,AllTriggers)</f>
        <v>1.7948510913107674E-3</v>
      </c>
    </row>
    <row r="61" spans="7:21" x14ac:dyDescent="0.2">
      <c r="R61" s="538">
        <f>_xll.qlCalendarAdvance(Calendar,R60,"1D","f")</f>
        <v>42242</v>
      </c>
      <c r="S61" s="167">
        <f>_xll.qlTenorBasisValue($P$3,R61,AllTriggers)</f>
        <v>1.9777950474660169E-3</v>
      </c>
      <c r="T61" s="155">
        <f>_xll.qlDayCounterYearFraction("actual/365 (fixed)",SettlementDate,R61,,,Trigger)</f>
        <v>0.22465753424657534</v>
      </c>
      <c r="U61" s="167">
        <f>_xll.qlPolynomialFunctionValue($P$18,T61,AllTriggers)</f>
        <v>1.797464082944892E-3</v>
      </c>
    </row>
    <row r="62" spans="7:21" x14ac:dyDescent="0.2">
      <c r="R62" s="538">
        <f>_xll.qlCalendarAdvance(Calendar,R61,"1D","f")</f>
        <v>42243</v>
      </c>
      <c r="S62" s="167">
        <f>_xll.qlTenorBasisValue($P$3,R62,AllTriggers)</f>
        <v>1.9794229513582979E-3</v>
      </c>
      <c r="T62" s="155">
        <f>_xll.qlDayCounterYearFraction("actual/365 (fixed)",SettlementDate,R62,,,Trigger)</f>
        <v>0.22739726027397261</v>
      </c>
      <c r="U62" s="167">
        <f>_xll.qlPolynomialFunctionValue($P$18,T62,AllTriggers)</f>
        <v>1.8000644842007499E-3</v>
      </c>
    </row>
    <row r="63" spans="7:21" x14ac:dyDescent="0.2">
      <c r="R63" s="538">
        <f>_xll.qlCalendarAdvance(Calendar,R62,"1D","f")</f>
        <v>42244</v>
      </c>
      <c r="S63" s="167">
        <f>_xll.qlTenorBasisValue($P$3,R63,AllTriggers)</f>
        <v>1.9810416050526206E-3</v>
      </c>
      <c r="T63" s="155">
        <f>_xll.qlDayCounterYearFraction("actual/365 (fixed)",SettlementDate,R63,,,Trigger)</f>
        <v>0.23013698630136986</v>
      </c>
      <c r="U63" s="167">
        <f>_xll.qlPolynomialFunctionValue($P$18,T63,AllTriggers)</f>
        <v>1.8026523303179896E-3</v>
      </c>
    </row>
    <row r="64" spans="7:21" x14ac:dyDescent="0.2">
      <c r="R64" s="538">
        <f>_xll.qlCalendarAdvance(Calendar,R63,"1D","f")</f>
        <v>42247</v>
      </c>
      <c r="S64" s="167">
        <f>_xll.qlTenorBasisValue($P$3,R64,AllTriggers)</f>
        <v>1.9858424173443269E-3</v>
      </c>
      <c r="T64" s="155">
        <f>_xll.qlDayCounterYearFraction("actual/365 (fixed)",SettlementDate,R64,,,Trigger)</f>
        <v>0.23835616438356164</v>
      </c>
      <c r="U64" s="167">
        <f>_xll.qlPolynomialFunctionValue($P$18,T64,AllTriggers)</f>
        <v>1.810340890234488E-3</v>
      </c>
    </row>
    <row r="65" spans="18:21" x14ac:dyDescent="0.2">
      <c r="R65" s="538">
        <f>_xll.qlCalendarAdvance(Calendar,R64,"1D","f")</f>
        <v>42248</v>
      </c>
      <c r="S65" s="167">
        <f>_xll.qlTenorBasisValue($P$3,R65,AllTriggers)</f>
        <v>1.9874244226433038E-3</v>
      </c>
      <c r="T65" s="155">
        <f>_xll.qlDayCounterYearFraction("actual/365 (fixed)",SettlementDate,R65,,,Trigger)</f>
        <v>0.24109589041095891</v>
      </c>
      <c r="U65" s="167">
        <f>_xll.qlPolynomialFunctionValue($P$18,T65,AllTriggers)</f>
        <v>1.8128788681937426E-3</v>
      </c>
    </row>
    <row r="66" spans="18:21" x14ac:dyDescent="0.2">
      <c r="R66" s="538">
        <f>_xll.qlCalendarAdvance(Calendar,R65,"1D","f")</f>
        <v>42249</v>
      </c>
      <c r="S66" s="167">
        <f>_xll.qlTenorBasisValue($P$3,R66,AllTriggers)</f>
        <v>1.9889973539425664E-3</v>
      </c>
      <c r="T66" s="155">
        <f>_xll.qlDayCounterYearFraction("actual/365 (fixed)",SettlementDate,R66,,,Trigger)</f>
        <v>0.24383561643835616</v>
      </c>
      <c r="U66" s="167">
        <f>_xll.qlPolynomialFunctionValue($P$18,T66,AllTriggers)</f>
        <v>1.8154044672126222E-3</v>
      </c>
    </row>
    <row r="67" spans="18:21" x14ac:dyDescent="0.2">
      <c r="R67" s="538">
        <f>_xll.qlCalendarAdvance(Calendar,R66,"1D","f")</f>
        <v>42250</v>
      </c>
      <c r="S67" s="167">
        <f>_xll.qlTenorBasisValue($P$3,R67,AllTriggers)</f>
        <v>1.9905612464817626E-3</v>
      </c>
      <c r="T67" s="155">
        <f>_xll.qlDayCounterYearFraction("actual/365 (fixed)",SettlementDate,R67,,,Trigger)</f>
        <v>0.24657534246575341</v>
      </c>
      <c r="U67" s="167">
        <f>_xll.qlPolynomialFunctionValue($P$18,T67,AllTriggers)</f>
        <v>1.8179177225307757E-3</v>
      </c>
    </row>
    <row r="68" spans="18:21" x14ac:dyDescent="0.2">
      <c r="R68" s="538">
        <f>_xll.qlCalendarAdvance(Calendar,R67,"1D","f")</f>
        <v>42251</v>
      </c>
      <c r="S68" s="167">
        <f>_xll.qlTenorBasisValue($P$3,R68,AllTriggers)</f>
        <v>1.9921161355005413E-3</v>
      </c>
      <c r="T68" s="155">
        <f>_xll.qlDayCounterYearFraction("actual/365 (fixed)",SettlementDate,R68,,,Trigger)</f>
        <v>0.24931506849315069</v>
      </c>
      <c r="U68" s="167">
        <f>_xll.qlPolynomialFunctionValue($P$18,T68,AllTriggers)</f>
        <v>1.8204186693878519E-3</v>
      </c>
    </row>
    <row r="69" spans="18:21" x14ac:dyDescent="0.2">
      <c r="R69" s="538">
        <f>_xll.qlCalendarAdvance(Calendar,R68,"1D","f")</f>
        <v>42254</v>
      </c>
      <c r="S69" s="167">
        <f>_xll.qlTenorBasisValue($P$3,R69,AllTriggers)</f>
        <v>1.9967271338308585E-3</v>
      </c>
      <c r="T69" s="155">
        <f>_xll.qlDayCounterYearFraction("actual/365 (fixed)",SettlementDate,R69,,,Trigger)</f>
        <v>0.25753424657534246</v>
      </c>
      <c r="U69" s="167">
        <f>_xll.qlPolynomialFunctionValue($P$18,T69,AllTriggers)</f>
        <v>1.8278480115891023E-3</v>
      </c>
    </row>
    <row r="70" spans="18:21" x14ac:dyDescent="0.2">
      <c r="R70" s="538">
        <f>_xll.qlCalendarAdvance(Calendar,R69,"1D","f")</f>
        <v>42255</v>
      </c>
      <c r="S70" s="167">
        <f>_xll.qlTenorBasisValue($P$3,R70,AllTriggers)</f>
        <v>1.9982463611644538E-3</v>
      </c>
      <c r="T70" s="155">
        <f>_xll.qlDayCounterYearFraction("actual/365 (fixed)",SettlementDate,R70,,,Trigger)</f>
        <v>0.26027397260273971</v>
      </c>
      <c r="U70" s="167">
        <f>_xll.qlPolynomialFunctionValue($P$18,T70,AllTriggers)</f>
        <v>1.8303000769983549E-3</v>
      </c>
    </row>
    <row r="71" spans="18:21" x14ac:dyDescent="0.2">
      <c r="R71" s="538">
        <f>_xll.qlCalendarAdvance(Calendar,R70,"1D","f")</f>
        <v>42256</v>
      </c>
      <c r="S71" s="167">
        <f>_xll.qlTenorBasisValue($P$3,R71,AllTriggers)</f>
        <v>1.999756761175875E-3</v>
      </c>
      <c r="T71" s="155">
        <f>_xll.qlDayCounterYearFraction("actual/365 (fixed)",SettlementDate,R71,,,Trigger)</f>
        <v>0.26301369863013696</v>
      </c>
      <c r="U71" s="167">
        <f>_xll.qlPolynomialFunctionValue($P$18,T71,AllTriggers)</f>
        <v>1.8327400101447737E-3</v>
      </c>
    </row>
    <row r="72" spans="18:21" x14ac:dyDescent="0.2">
      <c r="R72" s="538">
        <f>_xll.qlCalendarAdvance(Calendar,R71,"1D","f")</f>
        <v>42257</v>
      </c>
      <c r="S72" s="167">
        <f>_xll.qlTenorBasisValue($P$3,R72,AllTriggers)</f>
        <v>2.0012583691047707E-3</v>
      </c>
      <c r="T72" s="155">
        <f>_xll.qlDayCounterYearFraction("actual/365 (fixed)",SettlementDate,R72,,,Trigger)</f>
        <v>0.26575342465753427</v>
      </c>
      <c r="U72" s="167">
        <f>_xll.qlPolynomialFunctionValue($P$18,T72,AllTriggers)</f>
        <v>1.8351678462680068E-3</v>
      </c>
    </row>
    <row r="73" spans="18:21" x14ac:dyDescent="0.2">
      <c r="R73" s="538">
        <f>_xll.qlCalendarAdvance(Calendar,R72,"1D","f")</f>
        <v>42258</v>
      </c>
      <c r="S73" s="167">
        <f>_xll.qlTenorBasisValue($P$3,R73,AllTriggers)</f>
        <v>2.0027512201907889E-3</v>
      </c>
      <c r="T73" s="155">
        <f>_xll.qlDayCounterYearFraction("actual/365 (fixed)",SettlementDate,R73,,,Trigger)</f>
        <v>0.26849315068493151</v>
      </c>
      <c r="U73" s="167">
        <f>_xll.qlPolynomialFunctionValue($P$18,T73,AllTriggers)</f>
        <v>1.8375836206077031E-3</v>
      </c>
    </row>
    <row r="74" spans="18:21" x14ac:dyDescent="0.2">
      <c r="R74" s="538">
        <f>_xll.qlCalendarAdvance(Calendar,R73,"1D","f")</f>
        <v>42261</v>
      </c>
      <c r="S74" s="167">
        <f>_xll.qlTenorBasisValue($P$3,R74,AllTriggers)</f>
        <v>2.0071775847880697E-3</v>
      </c>
      <c r="T74" s="155">
        <f>_xll.qlDayCounterYearFraction("actual/365 (fixed)",SettlementDate,R74,,,Trigger)</f>
        <v>0.27671232876712326</v>
      </c>
      <c r="U74" s="167">
        <f>_xll.qlPolynomialFunctionValue($P$18,T74,AllTriggers)</f>
        <v>1.8447589253220572E-3</v>
      </c>
    </row>
    <row r="75" spans="18:21" x14ac:dyDescent="0.2">
      <c r="R75" s="538">
        <f>_xll.qlCalendarAdvance(Calendar,R74,"1D","f")</f>
        <v>42262</v>
      </c>
      <c r="S75" s="167">
        <f>_xll.qlTenorBasisValue($P$3,R75,AllTriggers)</f>
        <v>2.0086357608990668E-3</v>
      </c>
      <c r="T75" s="155">
        <f>_xll.qlDayCounterYearFraction("actual/365 (fixed)",SettlementDate,R75,,,Trigger)</f>
        <v>0.27945205479452057</v>
      </c>
      <c r="U75" s="167">
        <f>_xll.qlPolynomialFunctionValue($P$18,T75,AllTriggers)</f>
        <v>1.8471268049240926E-3</v>
      </c>
    </row>
    <row r="76" spans="18:21" x14ac:dyDescent="0.2">
      <c r="R76" s="538">
        <f>_xll.qlCalendarAdvance(Calendar,R75,"1D","f")</f>
        <v>42263</v>
      </c>
      <c r="S76" s="167">
        <f>_xll.qlTenorBasisValue($P$3,R76,AllTriggers)</f>
        <v>2.0100853563654307E-3</v>
      </c>
      <c r="T76" s="155">
        <f>_xll.qlDayCounterYearFraction("actual/365 (fixed)",SettlementDate,R76,,,Trigger)</f>
        <v>0.28219178082191781</v>
      </c>
      <c r="U76" s="167">
        <f>_xll.qlPolynomialFunctionValue($P$18,T76,AllTriggers)</f>
        <v>1.8494827989408342E-3</v>
      </c>
    </row>
    <row r="77" spans="18:21" x14ac:dyDescent="0.2">
      <c r="R77" s="538">
        <f>_xll.qlCalendarAdvance(Calendar,R76,"1D","f")</f>
        <v>42264</v>
      </c>
      <c r="S77" s="167">
        <f>_xll.qlTenorBasisValue($P$3,R77,AllTriggers)</f>
        <v>2.0115264064268093E-3</v>
      </c>
      <c r="T77" s="155">
        <f>_xll.qlDayCounterYearFraction("actual/365 (fixed)",SettlementDate,R77,,,Trigger)</f>
        <v>0.28493150684931506</v>
      </c>
      <c r="U77" s="167">
        <f>_xll.qlPolynomialFunctionValue($P$18,T77,AllTriggers)</f>
        <v>1.8518269426119308E-3</v>
      </c>
    </row>
    <row r="78" spans="18:21" x14ac:dyDescent="0.2">
      <c r="R78" s="538">
        <f>_xll.qlCalendarAdvance(Calendar,R77,"1D","f")</f>
        <v>42265</v>
      </c>
      <c r="S78" s="167">
        <f>_xll.qlTenorBasisValue($P$3,R78,AllTriggers)</f>
        <v>2.0129589463228513E-3</v>
      </c>
      <c r="T78" s="155">
        <f>_xll.qlDayCounterYearFraction("actual/365 (fixed)",SettlementDate,R78,,,Trigger)</f>
        <v>0.28767123287671231</v>
      </c>
      <c r="U78" s="167">
        <f>_xll.qlPolynomialFunctionValue($P$18,T78,AllTriggers)</f>
        <v>1.8541592711770313E-3</v>
      </c>
    </row>
    <row r="79" spans="18:21" x14ac:dyDescent="0.2">
      <c r="R79" s="538">
        <f>_xll.qlCalendarAdvance(Calendar,R78,"1D","f")</f>
        <v>42268</v>
      </c>
      <c r="S79" s="167">
        <f>_xll.qlTenorBasisValue($P$3,R79,AllTriggers)</f>
        <v>2.0172058574154466E-3</v>
      </c>
      <c r="T79" s="155">
        <f>_xll.qlDayCounterYearFraction("actual/365 (fixed)",SettlementDate,R79,,,Trigger)</f>
        <v>0.29589041095890412</v>
      </c>
      <c r="U79" s="167">
        <f>_xll.qlPolynomialFunctionValue($P$18,T79,AllTriggers)</f>
        <v>1.8610857186328407E-3</v>
      </c>
    </row>
    <row r="80" spans="18:21" x14ac:dyDescent="0.2">
      <c r="R80" s="538">
        <f>_xll.qlCalendarAdvance(Calendar,R79,"1D","f")</f>
        <v>42269</v>
      </c>
      <c r="S80" s="167">
        <f>_xll.qlTenorBasisValue($P$3,R80,AllTriggers)</f>
        <v>2.0186047090466298E-3</v>
      </c>
      <c r="T80" s="155">
        <f>_xll.qlDayCounterYearFraction("actual/365 (fixed)",SettlementDate,R80,,,Trigger)</f>
        <v>0.29863013698630136</v>
      </c>
      <c r="U80" s="167">
        <f>_xll.qlPolynomialFunctionValue($P$18,T80,AllTriggers)</f>
        <v>1.863371139170442E-3</v>
      </c>
    </row>
    <row r="81" spans="18:21" x14ac:dyDescent="0.2">
      <c r="R81" s="538">
        <f>_xll.qlCalendarAdvance(Calendar,R80,"1D","f")</f>
        <v>42270</v>
      </c>
      <c r="S81" s="167">
        <f>_xll.qlTenorBasisValue($P$3,R81,AllTriggers)</f>
        <v>2.0199952267107202E-3</v>
      </c>
      <c r="T81" s="155">
        <f>_xll.qlDayCounterYearFraction("actual/365 (fixed)",SettlementDate,R81,,,Trigger)</f>
        <v>0.30136986301369861</v>
      </c>
      <c r="U81" s="167">
        <f>_xll.qlPolynomialFunctionValue($P$18,T81,AllTriggers)</f>
        <v>1.8656449208002907E-3</v>
      </c>
    </row>
    <row r="82" spans="18:21" x14ac:dyDescent="0.2">
      <c r="R82" s="538">
        <f>_xll.qlCalendarAdvance(Calendar,R81,"1D","f")</f>
        <v>42271</v>
      </c>
      <c r="S82" s="167">
        <f>_xll.qlTenorBasisValue($P$3,R82,AllTriggers)</f>
        <v>2.0213774456473662E-3</v>
      </c>
      <c r="T82" s="155">
        <f>_xll.qlDayCounterYearFraction("actual/365 (fixed)",SettlementDate,R82,,,Trigger)</f>
        <v>0.30410958904109592</v>
      </c>
      <c r="U82" s="167">
        <f>_xll.qlPolynomialFunctionValue($P$18,T82,AllTriggers)</f>
        <v>1.8679070987620346E-3</v>
      </c>
    </row>
    <row r="83" spans="18:21" x14ac:dyDescent="0.2">
      <c r="R83" s="538">
        <f>_xll.qlCalendarAdvance(Calendar,R82,"1D","f")</f>
        <v>42272</v>
      </c>
      <c r="S83" s="167">
        <f>_xll.qlTenorBasisValue($P$3,R83,AllTriggers)</f>
        <v>2.0227514010962159E-3</v>
      </c>
      <c r="T83" s="155">
        <f>_xll.qlDayCounterYearFraction("actual/365 (fixed)",SettlementDate,R83,,,Trigger)</f>
        <v>0.30684931506849317</v>
      </c>
      <c r="U83" s="167">
        <f>_xll.qlPolynomialFunctionValue($P$18,T83,AllTriggers)</f>
        <v>1.8701577082953229E-3</v>
      </c>
    </row>
    <row r="84" spans="18:21" x14ac:dyDescent="0.2">
      <c r="R84" s="538">
        <f>_xll.qlCalendarAdvance(Calendar,R83,"1D","f")</f>
        <v>42275</v>
      </c>
      <c r="S84" s="167">
        <f>_xll.qlTenorBasisValue($P$3,R84,AllTriggers)</f>
        <v>2.0268240389124774E-3</v>
      </c>
      <c r="T84" s="155">
        <f>_xll.qlDayCounterYearFraction("actual/365 (fixed)",SettlementDate,R84,,,Trigger)</f>
        <v>0.31506849315068491</v>
      </c>
      <c r="U84" s="167">
        <f>_xll.qlPolynomialFunctionValue($P$18,T84,AllTriggers)</f>
        <v>1.8768404787209399E-3</v>
      </c>
    </row>
    <row r="85" spans="18:21" x14ac:dyDescent="0.2">
      <c r="R85" s="538">
        <f>_xll.qlCalendarAdvance(Calendar,R84,"1D","f")</f>
        <v>42276</v>
      </c>
      <c r="S85" s="167">
        <f>_xll.qlTenorBasisValue($P$3,R85,AllTriggers)</f>
        <v>2.0281652928066311E-3</v>
      </c>
      <c r="T85" s="155">
        <f>_xll.qlDayCounterYearFraction("actual/365 (fixed)",SettlementDate,R85,,,Trigger)</f>
        <v>0.31780821917808222</v>
      </c>
      <c r="U85" s="167">
        <f>_xll.qlPolynomialFunctionValue($P$18,T85,AllTriggers)</f>
        <v>1.8790451669368914E-3</v>
      </c>
    </row>
    <row r="86" spans="18:21" x14ac:dyDescent="0.2">
      <c r="R86" s="538">
        <f>_xll.qlCalendarAdvance(Calendar,R85,"1D","f")</f>
        <v>42277</v>
      </c>
      <c r="S86" s="167">
        <f>_xll.qlTenorBasisValue($P$3,R86,AllTriggers)</f>
        <v>2.0294984594112315E-3</v>
      </c>
      <c r="T86" s="155">
        <f>_xll.qlDayCounterYearFraction("actual/365 (fixed)",SettlementDate,R86,,,Trigger)</f>
        <v>0.32054794520547947</v>
      </c>
      <c r="U86" s="167">
        <f>_xll.qlPolynomialFunctionValue($P$18,T86,AllTriggers)</f>
        <v>1.8812384629226309E-3</v>
      </c>
    </row>
    <row r="87" spans="18:21" x14ac:dyDescent="0.2">
      <c r="R87" s="538">
        <f>_xll.qlCalendarAdvance(Calendar,R86,"1D","f")</f>
        <v>42278</v>
      </c>
      <c r="S87" s="167">
        <f>_xll.qlTenorBasisValue($P$3,R87,AllTriggers)</f>
        <v>2.0308235739659283E-3</v>
      </c>
      <c r="T87" s="155">
        <f>_xll.qlDayCounterYearFraction("actual/365 (fixed)",SettlementDate,R87,,,Trigger)</f>
        <v>0.32328767123287672</v>
      </c>
      <c r="U87" s="167">
        <f>_xll.qlPolynomialFunctionValue($P$18,T87,AllTriggers)</f>
        <v>1.8834204019178059E-3</v>
      </c>
    </row>
    <row r="88" spans="18:21" x14ac:dyDescent="0.2">
      <c r="R88" s="538">
        <f>_xll.qlCalendarAdvance(Calendar,R87,"1D","f")</f>
        <v>42279</v>
      </c>
      <c r="S88" s="167">
        <f>_xll.qlTenorBasisValue($P$3,R88,AllTriggers)</f>
        <v>2.0321406717103696E-3</v>
      </c>
      <c r="T88" s="155">
        <f>_xll.qlDayCounterYearFraction("actual/365 (fixed)",SettlementDate,R88,,,Trigger)</f>
        <v>0.32602739726027397</v>
      </c>
      <c r="U88" s="167">
        <f>_xll.qlPolynomialFunctionValue($P$18,T88,AllTriggers)</f>
        <v>1.8855910191620663E-3</v>
      </c>
    </row>
    <row r="89" spans="18:21" x14ac:dyDescent="0.2">
      <c r="R89" s="538">
        <f>_xll.qlCalendarAdvance(Calendar,R88,"1D","f")</f>
        <v>42282</v>
      </c>
      <c r="S89" s="167">
        <f>_xll.qlTenorBasisValue($P$3,R89,AllTriggers)</f>
        <v>2.0360442164786496E-3</v>
      </c>
      <c r="T89" s="155">
        <f>_xll.qlDayCounterYearFraction("actual/365 (fixed)",SettlementDate,R89,,,Trigger)</f>
        <v>0.33424657534246577</v>
      </c>
      <c r="U89" s="167">
        <f>_xll.qlPolynomialFunctionValue($P$18,T89,AllTriggers)</f>
        <v>1.892035292785842E-3</v>
      </c>
    </row>
    <row r="90" spans="18:21" x14ac:dyDescent="0.2">
      <c r="R90" s="538">
        <f>_xll.qlCalendarAdvance(Calendar,R89,"1D","f")</f>
        <v>42283</v>
      </c>
      <c r="S90" s="167">
        <f>_xll.qlTenorBasisValue($P$3,R90,AllTriggers)</f>
        <v>2.0373295993785568E-3</v>
      </c>
      <c r="T90" s="155">
        <f>_xll.qlDayCounterYearFraction("actual/365 (fixed)",SettlementDate,R90,,,Trigger)</f>
        <v>0.33698630136986302</v>
      </c>
      <c r="U90" s="167">
        <f>_xll.qlPolynomialFunctionValue($P$18,T90,AllTriggers)</f>
        <v>1.8941609754229275E-3</v>
      </c>
    </row>
    <row r="91" spans="18:21" x14ac:dyDescent="0.2">
      <c r="R91" s="538">
        <f>_xll.qlCalendarAdvance(Calendar,R90,"1D","f")</f>
        <v>42284</v>
      </c>
      <c r="S91" s="167">
        <f>_xll.qlTenorBasisValue($P$3,R91,AllTriggers)</f>
        <v>2.0386071416664516E-3</v>
      </c>
      <c r="T91" s="155">
        <f>_xll.qlDayCounterYearFraction("actual/365 (fixed)",SettlementDate,R91,,,Trigger)</f>
        <v>0.33972602739726027</v>
      </c>
      <c r="U91" s="167">
        <f>_xll.qlPolynomialFunctionValue($P$18,T91,AllTriggers)</f>
        <v>1.8962755125073417E-3</v>
      </c>
    </row>
    <row r="92" spans="18:21" x14ac:dyDescent="0.2">
      <c r="R92" s="538">
        <f>_xll.qlCalendarAdvance(Calendar,R91,"1D","f")</f>
        <v>42285</v>
      </c>
      <c r="S92" s="167">
        <f>_xll.qlTenorBasisValue($P$3,R92,AllTriggers)</f>
        <v>2.0398768785819831E-3</v>
      </c>
      <c r="T92" s="155">
        <f>_xll.qlDayCounterYearFraction("actual/365 (fixed)",SettlementDate,R92,,,Trigger)</f>
        <v>0.34246575342465752</v>
      </c>
      <c r="U92" s="167">
        <f>_xll.qlPolynomialFunctionValue($P$18,T92,AllTriggers)</f>
        <v>1.8983789392787321E-3</v>
      </c>
    </row>
    <row r="93" spans="18:21" x14ac:dyDescent="0.2">
      <c r="R93" s="538">
        <f>_xll.qlCalendarAdvance(Calendar,R92,"1D","f")</f>
        <v>42286</v>
      </c>
      <c r="S93" s="167">
        <f>_xll.qlTenorBasisValue($P$3,R93,AllTriggers)</f>
        <v>2.0411388453647999E-3</v>
      </c>
      <c r="T93" s="155">
        <f>_xll.qlDayCounterYearFraction("actual/365 (fixed)",SettlementDate,R93,,,Trigger)</f>
        <v>0.34520547945205482</v>
      </c>
      <c r="U93" s="167">
        <f>_xll.qlPolynomialFunctionValue($P$18,T93,AllTriggers)</f>
        <v>1.9004712909767483E-3</v>
      </c>
    </row>
    <row r="94" spans="18:21" x14ac:dyDescent="0.2">
      <c r="R94" s="538">
        <f>_xll.qlCalendarAdvance(Calendar,R93,"1D","f")</f>
        <v>42289</v>
      </c>
      <c r="S94" s="167">
        <f>_xll.qlTenorBasisValue($P$3,R94,AllTriggers)</f>
        <v>2.0448784773134496E-3</v>
      </c>
      <c r="T94" s="155">
        <f>_xll.qlDayCounterYearFraction("actual/365 (fixed)",SettlementDate,R94,,,Trigger)</f>
        <v>0.35342465753424657</v>
      </c>
      <c r="U94" s="167">
        <f>_xll.qlPolynomialFunctionValue($P$18,T94,AllTriggers)</f>
        <v>1.9066822480270341E-3</v>
      </c>
    </row>
    <row r="95" spans="18:21" x14ac:dyDescent="0.2">
      <c r="R95" s="538">
        <f>_xll.qlCalendarAdvance(Calendar,R94,"1D","f")</f>
        <v>42290</v>
      </c>
      <c r="S95" s="167">
        <f>_xll.qlTenorBasisValue($P$3,R95,AllTriggers)</f>
        <v>2.0461097159618943E-3</v>
      </c>
      <c r="T95" s="155">
        <f>_xll.qlDayCounterYearFraction("actual/365 (fixed)",SettlementDate,R95,,,Trigger)</f>
        <v>0.35616438356164382</v>
      </c>
      <c r="U95" s="167">
        <f>_xll.qlPolynomialFunctionValue($P$18,T95,AllTriggers)</f>
        <v>1.9087306518280381E-3</v>
      </c>
    </row>
    <row r="96" spans="18:21" x14ac:dyDescent="0.2">
      <c r="R96" s="538">
        <f>_xll.qlCalendarAdvance(Calendar,R95,"1D","f")</f>
        <v>42291</v>
      </c>
      <c r="S96" s="167">
        <f>_xll.qlTenorBasisValue($P$3,R96,AllTriggers)</f>
        <v>2.0473333606758673E-3</v>
      </c>
      <c r="T96" s="155">
        <f>_xll.qlDayCounterYearFraction("actual/365 (fixed)",SettlementDate,R96,,,Trigger)</f>
        <v>0.35890410958904112</v>
      </c>
      <c r="U96" s="167">
        <f>_xll.qlPolynomialFunctionValue($P$18,T96,AllTriggers)</f>
        <v>1.9107681567539108E-3</v>
      </c>
    </row>
    <row r="97" spans="18:21" x14ac:dyDescent="0.2">
      <c r="R97" s="538">
        <f>_xll.qlCalendarAdvance(Calendar,R96,"1D","f")</f>
        <v>42292</v>
      </c>
      <c r="S97" s="167">
        <f>_xll.qlTenorBasisValue($P$3,R97,AllTriggers)</f>
        <v>2.0485494466950184E-3</v>
      </c>
      <c r="T97" s="155">
        <f>_xll.qlDayCounterYearFraction("actual/365 (fixed)",SettlementDate,R97,,,Trigger)</f>
        <v>0.36164383561643837</v>
      </c>
      <c r="U97" s="167">
        <f>_xll.qlPolynomialFunctionValue($P$18,T97,AllTriggers)</f>
        <v>1.9127947980443001E-3</v>
      </c>
    </row>
    <row r="98" spans="18:21" x14ac:dyDescent="0.2">
      <c r="R98" s="538">
        <f>_xll.qlCalendarAdvance(Calendar,R97,"1D","f")</f>
        <v>42293</v>
      </c>
      <c r="S98" s="167">
        <f>_xll.qlTenorBasisValue($P$3,R98,AllTriggers)</f>
        <v>2.0497580092589947E-3</v>
      </c>
      <c r="T98" s="155">
        <f>_xll.qlDayCounterYearFraction("actual/365 (fixed)",SettlementDate,R98,,,Trigger)</f>
        <v>0.36438356164383562</v>
      </c>
      <c r="U98" s="167">
        <f>_xll.qlPolynomialFunctionValue($P$18,T98,AllTriggers)</f>
        <v>1.914810610938856E-3</v>
      </c>
    </row>
    <row r="99" spans="18:21" x14ac:dyDescent="0.2">
      <c r="R99" s="538">
        <f>_xll.qlCalendarAdvance(Calendar,R98,"1D","f")</f>
        <v>42296</v>
      </c>
      <c r="S99" s="167">
        <f>_xll.qlTenorBasisValue($P$3,R99,AllTriggers)</f>
        <v>2.0533389086163658E-3</v>
      </c>
      <c r="T99" s="155">
        <f>_xll.qlDayCounterYearFraction("actual/365 (fixed)",SettlementDate,R99,,,Trigger)</f>
        <v>0.37260273972602742</v>
      </c>
      <c r="U99" s="167">
        <f>_xll.qlPolynomialFunctionValue($P$18,T99,AllTriggers)</f>
        <v>1.9207934316440045E-3</v>
      </c>
    </row>
    <row r="100" spans="18:21" x14ac:dyDescent="0.2">
      <c r="R100" s="538">
        <f>_xll.qlCalendarAdvance(Calendar,R99,"1D","f")</f>
        <v>42297</v>
      </c>
      <c r="S100" s="167">
        <f>_xll.qlTenorBasisValue($P$3,R100,AllTriggers)</f>
        <v>2.0545177297561323E-3</v>
      </c>
      <c r="T100" s="155">
        <f>_xll.qlDayCounterYearFraction("actual/365 (fixed)",SettlementDate,R100,,,Trigger)</f>
        <v>0.37534246575342467</v>
      </c>
      <c r="U100" s="167">
        <f>_xll.qlPolynomialFunctionValue($P$18,T100,AllTriggers)</f>
        <v>1.9227662833517104E-3</v>
      </c>
    </row>
    <row r="101" spans="18:21" x14ac:dyDescent="0.2">
      <c r="R101" s="538">
        <f>_xll.qlCalendarAdvance(Calendar,R100,"1D","f")</f>
        <v>42298</v>
      </c>
      <c r="S101" s="167">
        <f>_xll.qlTenorBasisValue($P$3,R101,AllTriggers)</f>
        <v>2.055689203638968E-3</v>
      </c>
      <c r="T101" s="155">
        <f>_xll.qlDayCounterYearFraction("actual/365 (fixed)",SettlementDate,R101,,,Trigger)</f>
        <v>0.37808219178082192</v>
      </c>
      <c r="U101" s="167">
        <f>_xll.qlPolynomialFunctionValue($P$18,T101,AllTriggers)</f>
        <v>1.9247284828618253E-3</v>
      </c>
    </row>
    <row r="102" spans="18:21" x14ac:dyDescent="0.2">
      <c r="R102" s="538">
        <f>_xll.qlCalendarAdvance(Calendar,R101,"1D","f")</f>
        <v>42299</v>
      </c>
      <c r="S102" s="167">
        <f>_xll.qlTenorBasisValue($P$3,R102,AllTriggers)</f>
        <v>2.0568533655045212E-3</v>
      </c>
      <c r="T102" s="155">
        <f>_xll.qlDayCounterYearFraction("actual/365 (fixed)",SettlementDate,R102,,,Trigger)</f>
        <v>0.38082191780821917</v>
      </c>
      <c r="U102" s="167">
        <f>_xll.qlPolynomialFunctionValue($P$18,T102,AllTriggers)</f>
        <v>1.9266800654139978E-3</v>
      </c>
    </row>
    <row r="103" spans="18:21" x14ac:dyDescent="0.2">
      <c r="R103" s="538">
        <f>_xll.qlCalendarAdvance(Calendar,R102,"1D","f")</f>
        <v>42300</v>
      </c>
      <c r="S103" s="167">
        <f>_xll.qlTenorBasisValue($P$3,R103,AllTriggers)</f>
        <v>2.0580102505924408E-3</v>
      </c>
      <c r="T103" s="155">
        <f>_xll.qlDayCounterYearFraction("actual/365 (fixed)",SettlementDate,R103,,,Trigger)</f>
        <v>0.38356164383561642</v>
      </c>
      <c r="U103" s="167">
        <f>_xll.qlPolynomialFunctionValue($P$18,T103,AllTriggers)</f>
        <v>1.9286210662478767E-3</v>
      </c>
    </row>
    <row r="104" spans="18:21" x14ac:dyDescent="0.2">
      <c r="R104" s="538">
        <f>_xll.qlCalendarAdvance(Calendar,R103,"1D","f")</f>
        <v>42303</v>
      </c>
      <c r="S104" s="167">
        <f>_xll.qlTenorBasisValue($P$3,R104,AllTriggers)</f>
        <v>2.0614375975868851E-3</v>
      </c>
      <c r="T104" s="155">
        <f>_xll.qlDayCounterYearFraction("actual/365 (fixed)",SettlementDate,R104,,,Trigger)</f>
        <v>0.39178082191780822</v>
      </c>
      <c r="U104" s="167">
        <f>_xll.qlPolynomialFunctionValue($P$18,T104,AllTriggers)</f>
        <v>1.9343809308362396E-3</v>
      </c>
    </row>
    <row r="105" spans="18:21" x14ac:dyDescent="0.2">
      <c r="R105" s="538">
        <f>_xll.qlCalendarAdvance(Calendar,R104,"1D","f")</f>
        <v>42304</v>
      </c>
      <c r="S105" s="167">
        <f>_xll.qlTenorBasisValue($P$3,R105,AllTriggers)</f>
        <v>2.0625657279607569E-3</v>
      </c>
      <c r="T105" s="155">
        <f>_xll.qlDayCounterYearFraction("actual/365 (fixed)",SettlementDate,R105,,,Trigger)</f>
        <v>0.39452054794520547</v>
      </c>
      <c r="U105" s="167">
        <f>_xll.qlPolynomialFunctionValue($P$18,T105,AllTriggers)</f>
        <v>1.9362799571934315E-3</v>
      </c>
    </row>
    <row r="106" spans="18:21" x14ac:dyDescent="0.2">
      <c r="R106" s="538">
        <f>_xll.qlCalendarAdvance(Calendar,R105,"1D","f")</f>
        <v>42305</v>
      </c>
      <c r="S106" s="167">
        <f>_xll.qlTenorBasisValue($P$3,R106,AllTriggers)</f>
        <v>2.0636867577552387E-3</v>
      </c>
      <c r="T106" s="155">
        <f>_xll.qlDayCounterYearFraction("actual/365 (fixed)",SettlementDate,R106,,,Trigger)</f>
        <v>0.39726027397260272</v>
      </c>
      <c r="U106" s="167">
        <f>_xll.qlPolynomialFunctionValue($P$18,T106,AllTriggers)</f>
        <v>1.9381685780305725E-3</v>
      </c>
    </row>
    <row r="107" spans="18:21" x14ac:dyDescent="0.2">
      <c r="R107" s="538">
        <f>_xll.qlCalendarAdvance(Calendar,R106,"1D","f")</f>
        <v>42306</v>
      </c>
      <c r="S107" s="167">
        <f>_xll.qlTenorBasisValue($P$3,R107,AllTriggers)</f>
        <v>2.0648007222099783E-3</v>
      </c>
      <c r="T107" s="155">
        <f>_xll.qlDayCounterYearFraction("actual/365 (fixed)",SettlementDate,R107,,,Trigger)</f>
        <v>0.4</v>
      </c>
      <c r="U107" s="167">
        <f>_xll.qlPolynomialFunctionValue($P$18,T107,AllTriggers)</f>
        <v>1.9400468285873122E-3</v>
      </c>
    </row>
    <row r="108" spans="18:21" x14ac:dyDescent="0.2">
      <c r="R108" s="538">
        <f>_xll.qlCalendarAdvance(Calendar,R107,"1D","f")</f>
        <v>42307</v>
      </c>
      <c r="S108" s="167">
        <f>_xll.qlTenorBasisValue($P$3,R108,AllTriggers)</f>
        <v>2.0659076565646257E-3</v>
      </c>
      <c r="T108" s="155">
        <f>_xll.qlDayCounterYearFraction("actual/365 (fixed)",SettlementDate,R108,,,Trigger)</f>
        <v>0.40273972602739727</v>
      </c>
      <c r="U108" s="167">
        <f>_xll.qlPolynomialFunctionValue($P$18,T108,AllTriggers)</f>
        <v>1.941914744103299E-3</v>
      </c>
    </row>
    <row r="109" spans="18:21" x14ac:dyDescent="0.2">
      <c r="R109" s="538">
        <f>_xll.qlCalendarAdvance(Calendar,R108,"1D","f")</f>
        <v>42310</v>
      </c>
      <c r="S109" s="167">
        <f>_xll.qlTenorBasisValue($P$3,R109,AllTriggers)</f>
        <v>2.0691866314244945E-3</v>
      </c>
      <c r="T109" s="155">
        <f>_xll.qlDayCounterYearFraction("actual/365 (fixed)",SettlementDate,R109,,,Trigger)</f>
        <v>0.41095890410958902</v>
      </c>
      <c r="U109" s="167">
        <f>_xll.qlPolynomialFunctionValue($P$18,T109,AllTriggers)</f>
        <v>1.9474568328032276E-3</v>
      </c>
    </row>
    <row r="110" spans="18:21" x14ac:dyDescent="0.2">
      <c r="R110" s="538">
        <f>_xll.qlCalendarAdvance(Calendar,R109,"1D","f")</f>
        <v>42311</v>
      </c>
      <c r="S110" s="167">
        <f>_xll.qlTenorBasisValue($P$3,R110,AllTriggers)</f>
        <v>2.070265797775256E-3</v>
      </c>
      <c r="T110" s="155">
        <f>_xll.qlDayCounterYearFraction("actual/365 (fixed)",SettlementDate,R110,,,Trigger)</f>
        <v>0.41369863013698632</v>
      </c>
      <c r="U110" s="167">
        <f>_xll.qlPolynomialFunctionValue($P$18,T110,AllTriggers)</f>
        <v>1.9492837605526888E-3</v>
      </c>
    </row>
    <row r="111" spans="18:21" x14ac:dyDescent="0.2">
      <c r="R111" s="538">
        <f>_xll.qlCalendarAdvance(Calendar,R110,"1D","f")</f>
        <v>42312</v>
      </c>
      <c r="S111" s="167">
        <f>_xll.qlTenorBasisValue($P$3,R111,AllTriggers)</f>
        <v>2.0713381102241677E-3</v>
      </c>
      <c r="T111" s="155">
        <f>_xll.qlDayCounterYearFraction("actual/365 (fixed)",SettlementDate,R111,,,Trigger)</f>
        <v>0.41643835616438357</v>
      </c>
      <c r="U111" s="167">
        <f>_xll.qlPolynomialFunctionValue($P$18,T111,AllTriggers)</f>
        <v>1.9511005294596407E-3</v>
      </c>
    </row>
    <row r="112" spans="18:21" x14ac:dyDescent="0.2">
      <c r="R112" s="538">
        <f>_xll.qlCalendarAdvance(Calendar,R111,"1D","f")</f>
        <v>42313</v>
      </c>
      <c r="S112" s="167">
        <f>_xll.qlTenorBasisValue($P$3,R112,AllTriggers)</f>
        <v>2.0724036040108782E-3</v>
      </c>
      <c r="T112" s="155">
        <f>_xll.qlDayCounterYearFraction("actual/365 (fixed)",SettlementDate,R112,,,Trigger)</f>
        <v>0.41917808219178082</v>
      </c>
      <c r="U112" s="167">
        <f>_xll.qlPolynomialFunctionValue($P$18,T112,AllTriggers)</f>
        <v>1.9529071747637311E-3</v>
      </c>
    </row>
    <row r="113" spans="18:21" x14ac:dyDescent="0.2">
      <c r="R113" s="538">
        <f>_xll.qlCalendarAdvance(Calendar,R112,"1D","f")</f>
        <v>42314</v>
      </c>
      <c r="S113" s="167">
        <f>_xll.qlTenorBasisValue($P$3,R113,AllTriggers)</f>
        <v>2.0734623143750359E-3</v>
      </c>
      <c r="T113" s="155">
        <f>_xll.qlDayCounterYearFraction("actual/365 (fixed)",SettlementDate,R113,,,Trigger)</f>
        <v>0.42191780821917807</v>
      </c>
      <c r="U113" s="167">
        <f>_xll.qlPolynomialFunctionValue($P$18,T113,AllTriggers)</f>
        <v>1.9547037317046087E-3</v>
      </c>
    </row>
    <row r="114" spans="18:21" x14ac:dyDescent="0.2">
      <c r="R114" s="538">
        <f>_xll.qlCalendarAdvance(Calendar,R113,"1D","f")</f>
        <v>42317</v>
      </c>
      <c r="S114" s="167">
        <f>_xll.qlTenorBasisValue($P$3,R114,AllTriggers)</f>
        <v>2.0765980973286827E-3</v>
      </c>
      <c r="T114" s="155">
        <f>_xll.qlDayCounterYearFraction("actual/365 (fixed)",SettlementDate,R114,,,Trigger)</f>
        <v>0.43013698630136987</v>
      </c>
      <c r="U114" s="167">
        <f>_xll.qlPolynomialFunctionValue($P$18,T114,AllTriggers)</f>
        <v>1.9600332247444552E-3</v>
      </c>
    </row>
    <row r="115" spans="18:21" x14ac:dyDescent="0.2">
      <c r="R115" s="538">
        <f>_xll.qlCalendarAdvance(Calendar,R114,"1D","f")</f>
        <v>42318</v>
      </c>
      <c r="S115" s="167">
        <f>_xll.qlTenorBasisValue($P$3,R115,AllTriggers)</f>
        <v>2.0776300263991168E-3</v>
      </c>
      <c r="T115" s="155">
        <f>_xll.qlDayCounterYearFraction("actual/365 (fixed)",SettlementDate,R115,,,Trigger)</f>
        <v>0.43287671232876712</v>
      </c>
      <c r="U115" s="167">
        <f>_xll.qlPolynomialFunctionValue($P$18,T115,AllTriggers)</f>
        <v>1.9617897806289701E-3</v>
      </c>
    </row>
    <row r="116" spans="18:21" x14ac:dyDescent="0.2">
      <c r="R116" s="538">
        <f>_xll.qlCalendarAdvance(Calendar,R115,"1D","f")</f>
        <v>42319</v>
      </c>
      <c r="S116" s="167">
        <f>_xll.qlTenorBasisValue($P$3,R116,AllTriggers)</f>
        <v>2.0786553482452425E-3</v>
      </c>
      <c r="T116" s="155">
        <f>_xll.qlDayCounterYearFraction("actual/365 (fixed)",SettlementDate,R116,,,Trigger)</f>
        <v>0.43561643835616437</v>
      </c>
      <c r="U116" s="167">
        <f>_xll.qlPolynomialFunctionValue($P$18,T116,AllTriggers)</f>
        <v>1.9635364243485156E-3</v>
      </c>
    </row>
    <row r="117" spans="18:21" x14ac:dyDescent="0.2">
      <c r="R117" s="538">
        <f>_xll.qlCalendarAdvance(Calendar,R116,"1D","f")</f>
        <v>42320</v>
      </c>
      <c r="S117" s="167">
        <f>_xll.qlTenorBasisValue($P$3,R117,AllTriggers)</f>
        <v>2.0796740981067078E-3</v>
      </c>
      <c r="T117" s="155">
        <f>_xll.qlDayCounterYearFraction("actual/365 (fixed)",SettlementDate,R117,,,Trigger)</f>
        <v>0.43835616438356162</v>
      </c>
      <c r="U117" s="167">
        <f>_xll.qlPolynomialFunctionValue($P$18,T117,AllTriggers)</f>
        <v>1.965273191142741E-3</v>
      </c>
    </row>
    <row r="118" spans="18:21" x14ac:dyDescent="0.2">
      <c r="R118" s="538">
        <f>_xll.qlCalendarAdvance(Calendar,R117,"1D","f")</f>
        <v>42321</v>
      </c>
      <c r="S118" s="167">
        <f>_xll.qlTenorBasisValue($P$3,R118,AllTriggers)</f>
        <v>2.0806863112231605E-3</v>
      </c>
      <c r="T118" s="155">
        <f>_xll.qlDayCounterYearFraction("actual/365 (fixed)",SettlementDate,R118,,,Trigger)</f>
        <v>0.44109589041095892</v>
      </c>
      <c r="U118" s="167">
        <f>_xll.qlPolynomialFunctionValue($P$18,T118,AllTriggers)</f>
        <v>1.9670001162512946E-3</v>
      </c>
    </row>
    <row r="119" spans="18:21" x14ac:dyDescent="0.2">
      <c r="R119" s="538">
        <f>_xll.qlCalendarAdvance(Calendar,R118,"1D","f")</f>
        <v>42324</v>
      </c>
      <c r="S119" s="167">
        <f>_xll.qlTenorBasisValue($P$3,R119,AllTriggers)</f>
        <v>2.0836840824989349E-3</v>
      </c>
      <c r="T119" s="155">
        <f>_xll.qlDayCounterYearFraction("actual/365 (fixed)",SettlementDate,R119,,,Trigger)</f>
        <v>0.44931506849315067</v>
      </c>
      <c r="U119" s="167">
        <f>_xll.qlPolynomialFunctionValue($P$18,T119,AllTriggers)</f>
        <v>1.9721221938594096E-3</v>
      </c>
    </row>
    <row r="120" spans="18:21" x14ac:dyDescent="0.2">
      <c r="R120" s="538">
        <f>_xll.qlCalendarAdvance(Calendar,R119,"1D","f")</f>
        <v>42325</v>
      </c>
      <c r="S120" s="167">
        <f>_xll.qlTenorBasisValue($P$3,R120,AllTriggers)</f>
        <v>2.084670501031827E-3</v>
      </c>
      <c r="T120" s="155">
        <f>_xll.qlDayCounterYearFraction("actual/365 (fixed)",SettlementDate,R120,,,Trigger)</f>
        <v>0.45205479452054792</v>
      </c>
      <c r="U120" s="167">
        <f>_xll.qlPolynomialFunctionValue($P$18,T120,AllTriggers)</f>
        <v>1.9738101046217625E-3</v>
      </c>
    </row>
    <row r="121" spans="18:21" x14ac:dyDescent="0.2">
      <c r="R121" s="538">
        <f>_xll.qlCalendarAdvance(Calendar,R120,"1D","f")</f>
        <v>42326</v>
      </c>
      <c r="S121" s="167">
        <f>_xll.qlTenorBasisValue($P$3,R121,AllTriggers)</f>
        <v>2.0856505590179501E-3</v>
      </c>
      <c r="T121" s="155">
        <f>_xll.qlDayCounterYearFraction("actual/365 (fixed)",SettlementDate,R121,,,Trigger)</f>
        <v>0.45479452054794522</v>
      </c>
      <c r="U121" s="167">
        <f>_xll.qlPolynomialFunctionValue($P$18,T121,AllTriggers)</f>
        <v>1.9754883498966859E-3</v>
      </c>
    </row>
    <row r="122" spans="18:21" x14ac:dyDescent="0.2">
      <c r="R122" s="538">
        <f>_xll.qlCalendarAdvance(Calendar,R121,"1D","f")</f>
        <v>42327</v>
      </c>
      <c r="S122" s="167">
        <f>_xll.qlTenorBasisValue($P$3,R122,AllTriggers)</f>
        <v>2.0866242916969535E-3</v>
      </c>
      <c r="T122" s="155">
        <f>_xll.qlDayCounterYearFraction("actual/365 (fixed)",SettlementDate,R122,,,Trigger)</f>
        <v>0.45753424657534247</v>
      </c>
      <c r="U122" s="167">
        <f>_xll.qlPolynomialFunctionValue($P$18,T122,AllTriggers)</f>
        <v>1.97715696492383E-3</v>
      </c>
    </row>
    <row r="123" spans="18:21" x14ac:dyDescent="0.2">
      <c r="R123" s="538">
        <f>_xll.qlCalendarAdvance(Calendar,R122,"1D","f")</f>
        <v>42328</v>
      </c>
      <c r="S123" s="167">
        <f>_xll.qlTenorBasisValue($P$3,R123,AllTriggers)</f>
        <v>2.0875917343084853E-3</v>
      </c>
      <c r="T123" s="155">
        <f>_xll.qlDayCounterYearFraction("actual/365 (fixed)",SettlementDate,R123,,,Trigger)</f>
        <v>0.46027397260273972</v>
      </c>
      <c r="U123" s="167">
        <f>_xll.qlPolynomialFunctionValue($P$18,T123,AllTriggers)</f>
        <v>1.9788159849428422E-3</v>
      </c>
    </row>
    <row r="124" spans="18:21" x14ac:dyDescent="0.2">
      <c r="R124" s="538">
        <f>_xll.qlCalendarAdvance(Calendar,R123,"1D","f")</f>
        <v>42331</v>
      </c>
      <c r="S124" s="167">
        <f>_xll.qlTenorBasisValue($P$3,R124,AllTriggers)</f>
        <v>2.0904566741347407E-3</v>
      </c>
      <c r="T124" s="155">
        <f>_xll.qlDayCounterYearFraction("actual/365 (fixed)",SettlementDate,R124,,,Trigger)</f>
        <v>0.46849315068493153</v>
      </c>
      <c r="U124" s="167">
        <f>_xll.qlPolynomialFunctionValue($P$18,T124,AllTriggers)</f>
        <v>1.9837358273475793E-3</v>
      </c>
    </row>
    <row r="125" spans="18:21" x14ac:dyDescent="0.2">
      <c r="R125" s="538">
        <f>_xll.qlCalendarAdvance(Calendar,R124,"1D","f")</f>
        <v>42332</v>
      </c>
      <c r="S125" s="167">
        <f>_xll.qlTenorBasisValue($P$3,R125,AllTriggers)</f>
        <v>2.0913993088728738E-3</v>
      </c>
      <c r="T125" s="155">
        <f>_xll.qlDayCounterYearFraction("actual/365 (fixed)",SettlementDate,R125,,,Trigger)</f>
        <v>0.47123287671232877</v>
      </c>
      <c r="U125" s="167">
        <f>_xll.qlPolynomialFunctionValue($P$18,T125,AllTriggers)</f>
        <v>1.9853568197305532E-3</v>
      </c>
    </row>
    <row r="126" spans="18:21" x14ac:dyDescent="0.2">
      <c r="R126" s="538">
        <f>_xll.qlCalendarAdvance(Calendar,R125,"1D","f")</f>
        <v>42333</v>
      </c>
      <c r="S126" s="167">
        <f>_xll.qlTenorBasisValue($P$3,R126,AllTriggers)</f>
        <v>2.092335829741779E-3</v>
      </c>
      <c r="T126" s="155">
        <f>_xll.qlDayCounterYearFraction("actual/365 (fixed)",SettlementDate,R126,,,Trigger)</f>
        <v>0.47397260273972602</v>
      </c>
      <c r="U126" s="167">
        <f>_xll.qlPolynomialFunctionValue($P$18,T126,AllTriggers)</f>
        <v>1.9869683933036388E-3</v>
      </c>
    </row>
    <row r="127" spans="18:21" x14ac:dyDescent="0.2">
      <c r="R127" s="538">
        <f>_xll.qlCalendarAdvance(Calendar,R126,"1D","f")</f>
        <v>42334</v>
      </c>
      <c r="S127" s="167">
        <f>_xll.qlTenorBasisValue($P$3,R127,AllTriggers)</f>
        <v>2.0932662719811042E-3</v>
      </c>
      <c r="T127" s="155">
        <f>_xll.qlDayCounterYearFraction("actual/365 (fixed)",SettlementDate,R127,,,Trigger)</f>
        <v>0.47671232876712327</v>
      </c>
      <c r="U127" s="167">
        <f>_xll.qlPolynomialFunctionValue($P$18,T127,AllTriggers)</f>
        <v>1.988570583306485E-3</v>
      </c>
    </row>
    <row r="128" spans="18:21" x14ac:dyDescent="0.2">
      <c r="R128" s="538">
        <f>_xll.qlCalendarAdvance(Calendar,R127,"1D","f")</f>
        <v>42335</v>
      </c>
      <c r="S128" s="167">
        <f>_xll.qlTenorBasisValue($P$3,R128,AllTriggers)</f>
        <v>2.0941906708304989E-3</v>
      </c>
      <c r="T128" s="155">
        <f>_xll.qlDayCounterYearFraction("actual/365 (fixed)",SettlementDate,R128,,,Trigger)</f>
        <v>0.47945205479452052</v>
      </c>
      <c r="U128" s="167">
        <f>_xll.qlPolynomialFunctionValue($P$18,T128,AllTriggers)</f>
        <v>1.9901634249787407E-3</v>
      </c>
    </row>
    <row r="129" spans="18:21" x14ac:dyDescent="0.2">
      <c r="R129" s="538">
        <f>_xll.qlCalendarAdvance(Calendar,R128,"1D","f")</f>
        <v>42338</v>
      </c>
      <c r="S129" s="167">
        <f>_xll.qlTenorBasisValue($P$3,R129,AllTriggers)</f>
        <v>2.0969279594355854E-3</v>
      </c>
      <c r="T129" s="155">
        <f>_xll.qlDayCounterYearFraction("actual/365 (fixed)",SettlementDate,R129,,,Trigger)</f>
        <v>0.48767123287671232</v>
      </c>
      <c r="U129" s="167">
        <f>_xll.qlPolynomialFunctionValue($P$18,T129,AllTriggers)</f>
        <v>1.9948862124084502E-3</v>
      </c>
    </row>
    <row r="130" spans="18:21" x14ac:dyDescent="0.2">
      <c r="R130" s="538">
        <f>_xll.qlCalendarAdvance(Calendar,R129,"1D","f")</f>
        <v>42339</v>
      </c>
      <c r="S130" s="167">
        <f>_xll.qlTenorBasisValue($P$3,R130,AllTriggers)</f>
        <v>2.0978285371217437E-3</v>
      </c>
      <c r="T130" s="155">
        <f>_xll.qlDayCounterYearFraction("actual/365 (fixed)",SettlementDate,R130,,,Trigger)</f>
        <v>0.49041095890410957</v>
      </c>
      <c r="U130" s="167">
        <f>_xll.qlPolynomialFunctionValue($P$18,T130,AllTriggers)</f>
        <v>1.9964420131548294E-3</v>
      </c>
    </row>
    <row r="131" spans="18:21" x14ac:dyDescent="0.2">
      <c r="R131" s="538">
        <f>_xll.qlCalendarAdvance(Calendar,R130,"1D","f")</f>
        <v>42340</v>
      </c>
      <c r="S131" s="167">
        <f>_xll.qlTenorBasisValue($P$3,R131,AllTriggers)</f>
        <v>2.0987232476162142E-3</v>
      </c>
      <c r="T131" s="155">
        <f>_xll.qlDayCounterYearFraction("actual/365 (fixed)",SettlementDate,R131,,,Trigger)</f>
        <v>0.49315068493150682</v>
      </c>
      <c r="U131" s="167">
        <f>_xll.qlPolynomialFunctionValue($P$18,T131,AllTriggers)</f>
        <v>1.9979886417688607E-3</v>
      </c>
    </row>
    <row r="132" spans="18:21" x14ac:dyDescent="0.2">
      <c r="R132" s="538">
        <f>_xll.qlCalendarAdvance(Calendar,R131,"1D","f")</f>
        <v>42341</v>
      </c>
      <c r="S132" s="167">
        <f>_xll.qlTenorBasisValue($P$3,R132,AllTriggers)</f>
        <v>2.0996121261586463E-3</v>
      </c>
      <c r="T132" s="155">
        <f>_xll.qlDayCounterYearFraction("actual/365 (fixed)",SettlementDate,R132,,,Trigger)</f>
        <v>0.49589041095890413</v>
      </c>
      <c r="U132" s="167">
        <f>_xll.qlPolynomialFunctionValue($P$18,T132,AllTriggers)</f>
        <v>1.9995261334901943E-3</v>
      </c>
    </row>
    <row r="133" spans="18:21" x14ac:dyDescent="0.2">
      <c r="R133" s="539">
        <f>_xll.qlCalendarAdvance(Calendar,R132,"1D","f")</f>
        <v>42342</v>
      </c>
      <c r="S133" s="176">
        <f>_xll.qlTenorBasisValue($P$3,R133,AllTriggers)</f>
        <v>2.1004952079886874E-3</v>
      </c>
      <c r="T133" s="160">
        <f>_xll.qlDayCounterYearFraction("actual/365 (fixed)",SettlementDate,R133,,,Trigger)</f>
        <v>0.49863013698630138</v>
      </c>
      <c r="U133" s="176">
        <f>_xll.qlPolynomialFunctionValue($P$18,T133,AllTriggers)</f>
        <v>2.0010545235584765E-3</v>
      </c>
    </row>
    <row r="134" spans="18:21" x14ac:dyDescent="0.2">
      <c r="R134" s="537">
        <f>_xll.qlCalendarAdvance(Calendar,R133,"1D","f")</f>
        <v>42345</v>
      </c>
      <c r="S134" s="180">
        <f>_xll.qlTenorBasisValue($P$3,R134,AllTriggers)</f>
        <v>2.1031100256009576E-3</v>
      </c>
      <c r="T134" s="165">
        <f>_xll.qlDayCounterYearFraction("actual/365 (fixed)",SettlementDate,R134,,,Trigger)</f>
        <v>0.50684931506849318</v>
      </c>
      <c r="U134" s="180">
        <f>_xll.qlPolynomialFunctionValue($P$18,T134,AllTriggers)</f>
        <v>2.0055854362415102E-3</v>
      </c>
    </row>
    <row r="135" spans="18:21" x14ac:dyDescent="0.2">
      <c r="R135" s="538">
        <f>_xll.qlCalendarAdvance(Calendar,R134,"1D","f")</f>
        <v>42346</v>
      </c>
      <c r="S135" s="167">
        <f>_xll.qlTenorBasisValue($P$3,R135,AllTriggers)</f>
        <v>2.1039702729779247E-3</v>
      </c>
      <c r="T135" s="155">
        <f>_xll.qlDayCounterYearFraction("actual/365 (fixed)",SettlementDate,R135,,,Trigger)</f>
        <v>0.50958904109589043</v>
      </c>
      <c r="U135" s="167">
        <f>_xll.qlPolynomialFunctionValue($P$18,T135,AllTriggers)</f>
        <v>2.0070777720940787E-3</v>
      </c>
    </row>
    <row r="136" spans="18:21" x14ac:dyDescent="0.2">
      <c r="R136" s="538">
        <f>_xll.qlCalendarAdvance(Calendar,R135,"1D","f")</f>
        <v>42347</v>
      </c>
      <c r="S136" s="167">
        <f>_xll.qlTenorBasisValue($P$3,R136,AllTriggers)</f>
        <v>2.1048248998407448E-3</v>
      </c>
      <c r="T136" s="155">
        <f>_xll.qlDayCounterYearFraction("actual/365 (fixed)",SettlementDate,R136,,,Trigger)</f>
        <v>0.51232876712328768</v>
      </c>
      <c r="U136" s="167">
        <f>_xll.qlPolynomialFunctionValue($P$18,T136,AllTriggers)</f>
        <v>2.0085611824918405E-3</v>
      </c>
    </row>
    <row r="137" spans="18:21" x14ac:dyDescent="0.2">
      <c r="R137" s="538">
        <f>_xll.qlCalendarAdvance(Calendar,R136,"1D","f")</f>
        <v>42348</v>
      </c>
      <c r="S137" s="167">
        <f>_xll.qlTenorBasisValue($P$3,R137,AllTriggers)</f>
        <v>2.1056739414290673E-3</v>
      </c>
      <c r="T137" s="155">
        <f>_xll.qlDayCounterYearFraction("actual/365 (fixed)",SettlementDate,R137,,,Trigger)</f>
        <v>0.51506849315068493</v>
      </c>
      <c r="U137" s="167">
        <f>_xll.qlPolynomialFunctionValue($P$18,T137,AllTriggers)</f>
        <v>2.0100357026744441E-3</v>
      </c>
    </row>
    <row r="138" spans="18:21" x14ac:dyDescent="0.2">
      <c r="R138" s="538">
        <f>_xll.qlCalendarAdvance(Calendar,R137,"1D","f")</f>
        <v>42349</v>
      </c>
      <c r="S138" s="167">
        <f>_xll.qlTenorBasisValue($P$3,R138,AllTriggers)</f>
        <v>2.1065174329825396E-3</v>
      </c>
      <c r="T138" s="155">
        <f>_xll.qlDayCounterYearFraction("actual/365 (fixed)",SettlementDate,R138,,,Trigger)</f>
        <v>0.51780821917808217</v>
      </c>
      <c r="U138" s="167">
        <f>_xll.qlPolynomialFunctionValue($P$18,T138,AllTriggers)</f>
        <v>2.0115013678815375E-3</v>
      </c>
    </row>
    <row r="139" spans="18:21" x14ac:dyDescent="0.2">
      <c r="R139" s="538">
        <f>_xll.qlCalendarAdvance(Calendar,R138,"1D","f")</f>
        <v>42352</v>
      </c>
      <c r="S139" s="167">
        <f>_xll.qlTenorBasisValue($P$3,R139,AllTriggers)</f>
        <v>2.1090149598303447E-3</v>
      </c>
      <c r="T139" s="155">
        <f>_xll.qlDayCounterYearFraction("actual/365 (fixed)",SettlementDate,R139,,,Trigger)</f>
        <v>0.52602739726027392</v>
      </c>
      <c r="U139" s="167">
        <f>_xll.qlPolynomialFunctionValue($P$18,T139,AllTriggers)</f>
        <v>2.0158455860462476E-3</v>
      </c>
    </row>
    <row r="140" spans="18:21" x14ac:dyDescent="0.2">
      <c r="R140" s="538">
        <f>_xll.qlCalendarAdvance(Calendar,R139,"1D","f")</f>
        <v>42353</v>
      </c>
      <c r="S140" s="167">
        <f>_xll.qlTenorBasisValue($P$3,R140,AllTriggers)</f>
        <v>2.109836603640905E-3</v>
      </c>
      <c r="T140" s="155">
        <f>_xll.qlDayCounterYearFraction("actual/365 (fixed)",SettlementDate,R140,,,Trigger)</f>
        <v>0.52876712328767128</v>
      </c>
      <c r="U140" s="167">
        <f>_xll.qlPolynomialFunctionValue($P$18,T140,AllTriggers)</f>
        <v>2.0172761837477888E-3</v>
      </c>
    </row>
    <row r="141" spans="18:21" x14ac:dyDescent="0.2">
      <c r="R141" s="538">
        <f>_xll.qlCalendarAdvance(Calendar,R140,"1D","f")</f>
        <v>42354</v>
      </c>
      <c r="S141" s="167">
        <f>_xll.qlTenorBasisValue($P$3,R141,AllTriggers)</f>
        <v>2.1106528736148586E-3</v>
      </c>
      <c r="T141" s="155">
        <f>_xll.qlDayCounterYearFraction("actual/365 (fixed)",SettlementDate,R141,,,Trigger)</f>
        <v>0.53150684931506853</v>
      </c>
      <c r="U141" s="167">
        <f>_xll.qlPolynomialFunctionValue($P$18,T141,AllTriggers)</f>
        <v>2.0186981026720642E-3</v>
      </c>
    </row>
    <row r="142" spans="18:21" x14ac:dyDescent="0.2">
      <c r="R142" s="538">
        <f>_xll.qlCalendarAdvance(Calendar,R141,"1D","f")</f>
        <v>42355</v>
      </c>
      <c r="S142" s="167">
        <f>_xll.qlTenorBasisValue($P$3,R142,AllTriggers)</f>
        <v>2.1114638049918545E-3</v>
      </c>
      <c r="T142" s="155">
        <f>_xll.qlDayCounterYearFraction("actual/365 (fixed)",SettlementDate,R142,,,Trigger)</f>
        <v>0.53424657534246578</v>
      </c>
      <c r="U142" s="167">
        <f>_xll.qlPolynomialFunctionValue($P$18,T142,AllTriggers)</f>
        <v>2.0201113780587213E-3</v>
      </c>
    </row>
    <row r="143" spans="18:21" x14ac:dyDescent="0.2">
      <c r="R143" s="538">
        <f>_xll.qlCalendarAdvance(Calendar,R142,"1D","f")</f>
        <v>42356</v>
      </c>
      <c r="S143" s="167">
        <f>_xll.qlTenorBasisValue($P$3,R143,AllTriggers)</f>
        <v>2.1122694330115415E-3</v>
      </c>
      <c r="T143" s="155">
        <f>_xll.qlDayCounterYearFraction("actual/365 (fixed)",SettlementDate,R143,,,Trigger)</f>
        <v>0.53698630136986303</v>
      </c>
      <c r="U143" s="167">
        <f>_xll.qlPolynomialFunctionValue($P$18,T143,AllTriggers)</f>
        <v>2.0215160451474102E-3</v>
      </c>
    </row>
    <row r="144" spans="18:21" x14ac:dyDescent="0.2">
      <c r="R144" s="538">
        <f>_xll.qlCalendarAdvance(Calendar,R143,"1D","f")</f>
        <v>42359</v>
      </c>
      <c r="S144" s="167">
        <f>_xll.qlTenorBasisValue($P$3,R144,AllTriggers)</f>
        <v>2.1146548493232338E-3</v>
      </c>
      <c r="T144" s="155">
        <f>_xll.qlDayCounterYearFraction("actual/365 (fixed)",SettlementDate,R144,,,Trigger)</f>
        <v>0.54520547945205478</v>
      </c>
      <c r="U144" s="167">
        <f>_xll.qlPolynomialFunctionValue($P$18,T144,AllTriggers)</f>
        <v>2.0256787490221481E-3</v>
      </c>
    </row>
    <row r="145" spans="18:21" x14ac:dyDescent="0.2">
      <c r="R145" s="538">
        <f>_xll.qlCalendarAdvance(Calendar,R144,"1D","f")</f>
        <v>42360</v>
      </c>
      <c r="S145" s="167">
        <f>_xll.qlTenorBasisValue($P$3,R145,AllTriggers)</f>
        <v>2.1154396163101706E-3</v>
      </c>
      <c r="T145" s="155">
        <f>_xll.qlDayCounterYearFraction("actual/365 (fixed)",SettlementDate,R145,,,Trigger)</f>
        <v>0.54794520547945202</v>
      </c>
      <c r="U145" s="167">
        <f>_xll.qlPolynomialFunctionValue($P$18,T145,AllTriggers)</f>
        <v>2.0270493353154468E-3</v>
      </c>
    </row>
    <row r="146" spans="18:21" x14ac:dyDescent="0.2">
      <c r="R146" s="538">
        <f>_xll.qlCalendarAdvance(Calendar,R145,"1D","f")</f>
        <v>42361</v>
      </c>
      <c r="S146" s="167">
        <f>_xll.qlTenorBasisValue($P$3,R146,AllTriggers)</f>
        <v>2.1162192561380417E-3</v>
      </c>
      <c r="T146" s="155">
        <f>_xll.qlDayCounterYearFraction("actual/365 (fixed)",SettlementDate,R146,,,Trigger)</f>
        <v>0.55068493150684927</v>
      </c>
      <c r="U146" s="167">
        <f>_xll.qlPolynomialFunctionValue($P$18,T146,AllTriggers)</f>
        <v>2.0284114895090196E-3</v>
      </c>
    </row>
    <row r="147" spans="18:21" x14ac:dyDescent="0.2">
      <c r="R147" s="538">
        <f>_xll.qlCalendarAdvance(Calendar,R146,"1D","f")</f>
        <v>42362</v>
      </c>
      <c r="S147" s="167">
        <f>_xll.qlTenorBasisValue($P$3,R147,AllTriggers)</f>
        <v>2.1169938040464958E-3</v>
      </c>
      <c r="T147" s="155">
        <f>_xll.qlDayCounterYearFraction("actual/365 (fixed)",SettlementDate,R147,,,Trigger)</f>
        <v>0.55342465753424652</v>
      </c>
      <c r="U147" s="167">
        <f>_xll.qlPolynomialFunctionValue($P$18,T147,AllTriggers)</f>
        <v>2.0297652468425154E-3</v>
      </c>
    </row>
    <row r="148" spans="18:21" x14ac:dyDescent="0.2">
      <c r="R148" s="538">
        <f>_xll.qlCalendarAdvance(Calendar,R147,"1D","f")</f>
        <v>42366</v>
      </c>
      <c r="S148" s="167">
        <f>_xll.qlTenorBasisValue($P$3,R148,AllTriggers)</f>
        <v>2.1200417812791122E-3</v>
      </c>
      <c r="T148" s="155">
        <f>_xll.qlDayCounterYearFraction("actual/365 (fixed)",SettlementDate,R148,,,Trigger)</f>
        <v>0.56438356164383563</v>
      </c>
      <c r="U148" s="167">
        <f>_xll.qlPolynomialFunctionValue($P$18,T148,AllTriggers)</f>
        <v>2.0350970123687003E-3</v>
      </c>
    </row>
    <row r="149" spans="18:21" x14ac:dyDescent="0.2">
      <c r="R149" s="538">
        <f>_xll.qlCalendarAdvance(Calendar,R148,"1D","f")</f>
        <v>42367</v>
      </c>
      <c r="S149" s="167">
        <f>_xll.qlTenorBasisValue($P$3,R149,AllTriggers)</f>
        <v>2.1207913981852095E-3</v>
      </c>
      <c r="T149" s="155">
        <f>_xll.qlDayCounterYearFraction("actual/365 (fixed)",SettlementDate,R149,,,Trigger)</f>
        <v>0.56712328767123288</v>
      </c>
      <c r="U149" s="167">
        <f>_xll.qlPolynomialFunctionValue($P$18,T149,AllTriggers)</f>
        <v>2.0364093139965396E-3</v>
      </c>
    </row>
    <row r="150" spans="18:21" x14ac:dyDescent="0.2">
      <c r="R150" s="538">
        <f>_xll.qlCalendarAdvance(Calendar,R149,"1D","f")</f>
        <v>42368</v>
      </c>
      <c r="S150" s="167">
        <f>_xll.qlTenorBasisValue($P$3,R150,AllTriggers)</f>
        <v>2.1215361346097819E-3</v>
      </c>
      <c r="T150" s="155">
        <f>_xll.qlDayCounterYearFraction("actual/365 (fixed)",SettlementDate,R150,,,Trigger)</f>
        <v>0.56986301369863013</v>
      </c>
      <c r="U150" s="167">
        <f>_xll.qlPolynomialFunctionValue($P$18,T150,AllTriggers)</f>
        <v>2.0377134302021942E-3</v>
      </c>
    </row>
    <row r="151" spans="18:21" x14ac:dyDescent="0.2">
      <c r="R151" s="538">
        <f>_xll.qlCalendarAdvance(Calendar,R150,"1D","f")</f>
        <v>42369</v>
      </c>
      <c r="S151" s="167">
        <f>_xll.qlTenorBasisValue($P$3,R151,AllTriggers)</f>
        <v>2.1222760257924777E-3</v>
      </c>
      <c r="T151" s="155">
        <f>_xll.qlDayCounterYearFraction("actual/365 (fixed)",SettlementDate,R151,,,Trigger)</f>
        <v>0.57260273972602738</v>
      </c>
      <c r="U151" s="167">
        <f>_xll.qlPolynomialFunctionValue($P$18,T151,AllTriggers)</f>
        <v>2.0390093962253122E-3</v>
      </c>
    </row>
    <row r="152" spans="18:21" x14ac:dyDescent="0.2">
      <c r="R152" s="538">
        <f>_xll.qlCalendarAdvance(Calendar,R151,"1D","f")</f>
        <v>42373</v>
      </c>
      <c r="S152" s="167">
        <f>_xll.qlTenorBasisValue($P$3,R152,AllTriggers)</f>
        <v>2.1251878428974677E-3</v>
      </c>
      <c r="T152" s="155">
        <f>_xll.qlDayCounterYearFraction("actual/365 (fixed)",SettlementDate,R152,,,Trigger)</f>
        <v>0.58356164383561648</v>
      </c>
      <c r="U152" s="167">
        <f>_xll.qlPolynomialFunctionValue($P$18,T152,AllTriggers)</f>
        <v>2.0441124632853912E-3</v>
      </c>
    </row>
    <row r="153" spans="18:21" x14ac:dyDescent="0.2">
      <c r="R153" s="538">
        <f>_xll.qlCalendarAdvance(Calendar,R152,"1D","f")</f>
        <v>42374</v>
      </c>
      <c r="S153" s="167">
        <f>_xll.qlTenorBasisValue($P$3,R153,AllTriggers)</f>
        <v>2.1259040364655095E-3</v>
      </c>
      <c r="T153" s="155">
        <f>_xll.qlDayCounterYearFraction("actual/365 (fixed)",SettlementDate,R153,,,Trigger)</f>
        <v>0.58630136986301373</v>
      </c>
      <c r="U153" s="167">
        <f>_xll.qlPolynomialFunctionValue($P$18,T153,AllTriggers)</f>
        <v>2.0453682069905554E-3</v>
      </c>
    </row>
    <row r="154" spans="18:21" x14ac:dyDescent="0.2">
      <c r="R154" s="538">
        <f>_xll.qlCalendarAdvance(Calendar,R153,"1D","f")</f>
        <v>42375</v>
      </c>
      <c r="S154" s="167">
        <f>_xll.qlTenorBasisValue($P$3,R154,AllTriggers)</f>
        <v>2.1266155962295671E-3</v>
      </c>
      <c r="T154" s="155">
        <f>_xll.qlDayCounterYearFraction("actual/365 (fixed)",SettlementDate,R154,,,Trigger)</f>
        <v>0.58904109589041098</v>
      </c>
      <c r="U154" s="167">
        <f>_xll.qlPolynomialFunctionValue($P$18,T154,AllTriggers)</f>
        <v>2.0466160119510753E-3</v>
      </c>
    </row>
    <row r="155" spans="18:21" x14ac:dyDescent="0.2">
      <c r="R155" s="538">
        <f>_xll.qlCalendarAdvance(Calendar,R154,"1D","f")</f>
        <v>42376</v>
      </c>
      <c r="S155" s="167">
        <f>_xll.qlTenorBasisValue($P$3,R155,AllTriggers)</f>
        <v>2.1273225574292886E-3</v>
      </c>
      <c r="T155" s="155">
        <f>_xll.qlDayCounterYearFraction("actual/365 (fixed)",SettlementDate,R155,,,Trigger)</f>
        <v>0.59178082191780823</v>
      </c>
      <c r="U155" s="167">
        <f>_xll.qlPolynomialFunctionValue($P$18,T155,AllTriggers)</f>
        <v>2.047855913406599E-3</v>
      </c>
    </row>
    <row r="156" spans="18:21" x14ac:dyDescent="0.2">
      <c r="R156" s="538">
        <f>_xll.qlCalendarAdvance(Calendar,R155,"1D","f")</f>
        <v>42377</v>
      </c>
      <c r="S156" s="167">
        <f>_xll.qlTenorBasisValue($P$3,R156,AllTriggers)</f>
        <v>2.1280249553043223E-3</v>
      </c>
      <c r="T156" s="155">
        <f>_xll.qlDayCounterYearFraction("actual/365 (fixed)",SettlementDate,R156,,,Trigger)</f>
        <v>0.59452054794520548</v>
      </c>
      <c r="U156" s="167">
        <f>_xll.qlPolynomialFunctionValue($P$18,T156,AllTriggers)</f>
        <v>2.049087946596776E-3</v>
      </c>
    </row>
    <row r="157" spans="18:21" x14ac:dyDescent="0.2">
      <c r="R157" s="538">
        <f>_xll.qlCalendarAdvance(Calendar,R156,"1D","f")</f>
        <v>42380</v>
      </c>
      <c r="S157" s="167">
        <f>_xll.qlTenorBasisValue($P$3,R157,AllTriggers)</f>
        <v>2.1301051213777865E-3</v>
      </c>
      <c r="T157" s="155">
        <f>_xll.qlDayCounterYearFraction("actual/365 (fixed)",SettlementDate,R157,,,Trigger)</f>
        <v>0.60273972602739723</v>
      </c>
      <c r="U157" s="167">
        <f>_xll.qlPolynomialFunctionValue($P$18,T157,AllTriggers)</f>
        <v>2.0527371889717079E-3</v>
      </c>
    </row>
    <row r="158" spans="18:21" x14ac:dyDescent="0.2">
      <c r="R158" s="538">
        <f>_xll.qlCalendarAdvance(Calendar,R157,"1D","f")</f>
        <v>42381</v>
      </c>
      <c r="S158" s="167">
        <f>_xll.qlTenorBasisValue($P$3,R158,AllTriggers)</f>
        <v>2.1307896183505571E-3</v>
      </c>
      <c r="T158" s="155">
        <f>_xll.qlDayCounterYearFraction("actual/365 (fixed)",SettlementDate,R158,,,Trigger)</f>
        <v>0.60547945205479448</v>
      </c>
      <c r="U158" s="167">
        <f>_xll.qlPolynomialFunctionValue($P$18,T158,AllTriggers)</f>
        <v>2.0539381014969809E-3</v>
      </c>
    </row>
    <row r="159" spans="18:21" x14ac:dyDescent="0.2">
      <c r="R159" s="538">
        <f>_xll.qlCalendarAdvance(Calendar,R158,"1D","f")</f>
        <v>42382</v>
      </c>
      <c r="S159" s="167">
        <f>_xll.qlTenorBasisValue($P$3,R159,AllTriggers)</f>
        <v>2.1314697281968834E-3</v>
      </c>
      <c r="T159" s="155">
        <f>_xll.qlDayCounterYearFraction("actual/365 (fixed)",SettlementDate,R159,,,Trigger)</f>
        <v>0.60821917808219184</v>
      </c>
      <c r="U159" s="167">
        <f>_xll.qlPolynomialFunctionValue($P$18,T159,AllTriggers)</f>
        <v>2.0551313219551504E-3</v>
      </c>
    </row>
    <row r="160" spans="18:21" x14ac:dyDescent="0.2">
      <c r="R160" s="538">
        <f>_xll.qlCalendarAdvance(Calendar,R159,"1D","f")</f>
        <v>42383</v>
      </c>
      <c r="S160" s="167">
        <f>_xll.qlTenorBasisValue($P$3,R160,AllTriggers)</f>
        <v>2.1321454861564148E-3</v>
      </c>
      <c r="T160" s="155">
        <f>_xll.qlDayCounterYearFraction("actual/365 (fixed)",SettlementDate,R160,,,Trigger)</f>
        <v>0.61095890410958908</v>
      </c>
      <c r="U160" s="167">
        <f>_xll.qlPolynomialFunctionValue($P$18,T160,AllTriggers)</f>
        <v>2.0563168855858641E-3</v>
      </c>
    </row>
    <row r="161" spans="18:21" x14ac:dyDescent="0.2">
      <c r="R161" s="538">
        <f>_xll.qlCalendarAdvance(Calendar,R160,"1D","f")</f>
        <v>42384</v>
      </c>
      <c r="S161" s="167">
        <f>_xll.qlTenorBasisValue($P$3,R161,AllTriggers)</f>
        <v>2.1328169274687989E-3</v>
      </c>
      <c r="T161" s="155">
        <f>_xll.qlDayCounterYearFraction("actual/365 (fixed)",SettlementDate,R161,,,Trigger)</f>
        <v>0.61369863013698633</v>
      </c>
      <c r="U161" s="167">
        <f>_xll.qlPolynomialFunctionValue($P$18,T161,AllTriggers)</f>
        <v>2.0574948276287715E-3</v>
      </c>
    </row>
    <row r="162" spans="18:21" x14ac:dyDescent="0.2">
      <c r="R162" s="538">
        <f>_xll.qlCalendarAdvance(Calendar,R161,"1D","f")</f>
        <v>42387</v>
      </c>
      <c r="S162" s="167">
        <f>_xll.qlTenorBasisValue($P$3,R162,AllTriggers)</f>
        <v>2.1348057039195568E-3</v>
      </c>
      <c r="T162" s="155">
        <f>_xll.qlDayCounterYearFraction("actual/365 (fixed)",SettlementDate,R162,,,Trigger)</f>
        <v>0.62191780821917808</v>
      </c>
      <c r="U162" s="167">
        <f>_xll.qlPolynomialFunctionValue($P$18,T162,AllTriggers)</f>
        <v>2.0609832766271376E-3</v>
      </c>
    </row>
    <row r="163" spans="18:21" x14ac:dyDescent="0.2">
      <c r="R163" s="538">
        <f>_xll.qlCalendarAdvance(Calendar,R162,"1D","f")</f>
        <v>42388</v>
      </c>
      <c r="S163" s="167">
        <f>_xll.qlTenorBasisValue($P$3,R163,AllTriggers)</f>
        <v>2.1354602310398397E-3</v>
      </c>
      <c r="T163" s="155">
        <f>_xll.qlDayCounterYearFraction("actual/365 (fixed)",SettlementDate,R163,,,Trigger)</f>
        <v>0.62465753424657533</v>
      </c>
      <c r="U163" s="167">
        <f>_xll.qlPolynomialFunctionValue($P$18,T163,AllTriggers)</f>
        <v>2.0621310847153038E-3</v>
      </c>
    </row>
    <row r="164" spans="18:21" x14ac:dyDescent="0.2">
      <c r="R164" s="538">
        <f>_xll.qlCalendarAdvance(Calendar,R163,"1D","f")</f>
        <v>42389</v>
      </c>
      <c r="S164" s="167">
        <f>_xll.qlTenorBasisValue($P$3,R164,AllTriggers)</f>
        <v>2.1361106177112195E-3</v>
      </c>
      <c r="T164" s="155">
        <f>_xll.qlDayCounterYearFraction("actual/365 (fixed)",SettlementDate,R164,,,Trigger)</f>
        <v>0.62739726027397258</v>
      </c>
      <c r="U164" s="167">
        <f>_xll.qlPolynomialFunctionValue($P$18,T164,AllTriggers)</f>
        <v>2.0632714474139065E-3</v>
      </c>
    </row>
    <row r="165" spans="18:21" x14ac:dyDescent="0.2">
      <c r="R165" s="538">
        <f>_xll.qlCalendarAdvance(Calendar,R164,"1D","f")</f>
        <v>42390</v>
      </c>
      <c r="S165" s="167">
        <f>_xll.qlTenorBasisValue($P$3,R165,AllTriggers)</f>
        <v>2.1367568991733439E-3</v>
      </c>
      <c r="T165" s="155">
        <f>_xll.qlDayCounterYearFraction("actual/365 (fixed)",SettlementDate,R165,,,Trigger)</f>
        <v>0.63013698630136983</v>
      </c>
      <c r="U165" s="167">
        <f>_xll.qlPolynomialFunctionValue($P$18,T165,AllTriggers)</f>
        <v>2.064404399962594E-3</v>
      </c>
    </row>
    <row r="166" spans="18:21" x14ac:dyDescent="0.2">
      <c r="R166" s="538">
        <f>_xll.qlCalendarAdvance(Calendar,R165,"1D","f")</f>
        <v>42391</v>
      </c>
      <c r="S166" s="167">
        <f>_xll.qlTenorBasisValue($P$3,R166,AllTriggers)</f>
        <v>2.1373991106658622E-3</v>
      </c>
      <c r="T166" s="155">
        <f>_xll.qlDayCounterYearFraction("actual/365 (fixed)",SettlementDate,R166,,,Trigger)</f>
        <v>0.63287671232876708</v>
      </c>
      <c r="U166" s="167">
        <f>_xll.qlPolynomialFunctionValue($P$18,T166,AllTriggers)</f>
        <v>2.0655299776010153E-3</v>
      </c>
    </row>
    <row r="167" spans="18:21" x14ac:dyDescent="0.2">
      <c r="R167" s="538">
        <f>_xll.qlCalendarAdvance(Calendar,R166,"1D","f")</f>
        <v>42394</v>
      </c>
      <c r="S167" s="167">
        <f>_xll.qlTenorBasisValue($P$3,R167,AllTriggers)</f>
        <v>2.139301677722266E-3</v>
      </c>
      <c r="T167" s="155">
        <f>_xll.qlDayCounterYearFraction("actual/365 (fixed)",SettlementDate,R167,,,Trigger)</f>
        <v>0.64109589041095894</v>
      </c>
      <c r="U167" s="167">
        <f>_xll.qlPolynomialFunctionValue($P$18,T167,AllTriggers)</f>
        <v>2.0688628134511687E-3</v>
      </c>
    </row>
    <row r="168" spans="18:21" x14ac:dyDescent="0.2">
      <c r="R168" s="538">
        <f>_xll.qlCalendarAdvance(Calendar,R167,"1D","f")</f>
        <v>42395</v>
      </c>
      <c r="S168" s="167">
        <f>_xll.qlTenorBasisValue($P$3,R168,AllTriggers)</f>
        <v>2.1399279617328459E-3</v>
      </c>
      <c r="T168" s="155">
        <f>_xll.qlDayCounterYearFraction("actual/365 (fixed)",SettlementDate,R168,,,Trigger)</f>
        <v>0.64383561643835618</v>
      </c>
      <c r="U168" s="167">
        <f>_xll.qlPolynomialFunctionValue($P$18,T168,AllTriggers)</f>
        <v>2.0699592438450116E-3</v>
      </c>
    </row>
    <row r="169" spans="18:21" x14ac:dyDescent="0.2">
      <c r="R169" s="538">
        <f>_xll.qlCalendarAdvance(Calendar,R168,"1D","f")</f>
        <v>42396</v>
      </c>
      <c r="S169" s="167">
        <f>_xll.qlTenorBasisValue($P$3,R169,AllTriggers)</f>
        <v>2.1405503519720624E-3</v>
      </c>
      <c r="T169" s="155">
        <f>_xll.qlDayCounterYearFraction("actual/365 (fixed)",SettlementDate,R169,,,Trigger)</f>
        <v>0.64657534246575343</v>
      </c>
      <c r="U169" s="167">
        <f>_xll.qlPolynomialFunctionValue($P$18,T169,AllTriggers)</f>
        <v>2.0710484755268308E-3</v>
      </c>
    </row>
    <row r="170" spans="18:21" x14ac:dyDescent="0.2">
      <c r="R170" s="538">
        <f>_xll.qlCalendarAdvance(Calendar,R169,"1D","f")</f>
        <v>42397</v>
      </c>
      <c r="S170" s="167">
        <f>_xll.qlTenorBasisValue($P$3,R170,AllTriggers)</f>
        <v>2.1411688836795641E-3</v>
      </c>
      <c r="T170" s="155">
        <f>_xll.qlDayCounterYearFraction("actual/365 (fixed)",SettlementDate,R170,,,Trigger)</f>
        <v>0.64931506849315068</v>
      </c>
      <c r="U170" s="167">
        <f>_xll.qlPolynomialFunctionValue($P$18,T170,AllTriggers)</f>
        <v>2.0721305437362766E-3</v>
      </c>
    </row>
    <row r="171" spans="18:21" x14ac:dyDescent="0.2">
      <c r="R171" s="538">
        <f>_xll.qlCalendarAdvance(Calendar,R170,"1D","f")</f>
        <v>42398</v>
      </c>
      <c r="S171" s="167">
        <f>_xll.qlTenorBasisValue($P$3,R171,AllTriggers)</f>
        <v>2.1417835920950006E-3</v>
      </c>
      <c r="T171" s="155">
        <f>_xll.qlDayCounterYearFraction("actual/365 (fixed)",SettlementDate,R171,,,Trigger)</f>
        <v>0.65205479452054793</v>
      </c>
      <c r="U171" s="167">
        <f>_xll.qlPolynomialFunctionValue($P$18,T171,AllTriggers)</f>
        <v>2.0732054837129961E-3</v>
      </c>
    </row>
    <row r="172" spans="18:21" x14ac:dyDescent="0.2">
      <c r="R172" s="538">
        <f>_xll.qlCalendarAdvance(Calendar,R171,"1D","f")</f>
        <v>42401</v>
      </c>
      <c r="S172" s="167">
        <f>_xll.qlTenorBasisValue($P$3,R172,AllTriggers)</f>
        <v>2.1436051299854016E-3</v>
      </c>
      <c r="T172" s="155">
        <f>_xll.qlDayCounterYearFraction("actual/365 (fixed)",SettlementDate,R172,,,Trigger)</f>
        <v>0.66027397260273968</v>
      </c>
      <c r="U172" s="167">
        <f>_xll.qlPolynomialFunctionValue($P$18,T172,AllTriggers)</f>
        <v>2.0763878866432873E-3</v>
      </c>
    </row>
    <row r="173" spans="18:21" x14ac:dyDescent="0.2">
      <c r="R173" s="538">
        <f>_xll.qlCalendarAdvance(Calendar,R172,"1D","f")</f>
        <v>42402</v>
      </c>
      <c r="S173" s="167">
        <f>_xll.qlTenorBasisValue($P$3,R173,AllTriggers)</f>
        <v>2.1442048976290612E-3</v>
      </c>
      <c r="T173" s="155">
        <f>_xll.qlDayCounterYearFraction("actual/365 (fixed)",SettlementDate,R173,,,Trigger)</f>
        <v>0.66301369863013704</v>
      </c>
      <c r="U173" s="167">
        <f>_xll.qlPolynomialFunctionValue($P$18,T173,AllTriggers)</f>
        <v>2.0774346660855912E-3</v>
      </c>
    </row>
    <row r="174" spans="18:21" x14ac:dyDescent="0.2">
      <c r="R174" s="538">
        <f>_xll.qlCalendarAdvance(Calendar,R173,"1D","f")</f>
        <v>42403</v>
      </c>
      <c r="S174" s="167">
        <f>_xll.qlTenorBasisValue($P$3,R174,AllTriggers)</f>
        <v>2.1448010181788985E-3</v>
      </c>
      <c r="T174" s="155">
        <f>_xll.qlDayCounterYearFraction("actual/365 (fixed)",SettlementDate,R174,,,Trigger)</f>
        <v>0.66575342465753429</v>
      </c>
      <c r="U174" s="167">
        <f>_xll.qlPolynomialFunctionValue($P$18,T174,AllTriggers)</f>
        <v>2.0784744934934118E-3</v>
      </c>
    </row>
    <row r="175" spans="18:21" x14ac:dyDescent="0.2">
      <c r="R175" s="538">
        <f>_xll.qlCalendarAdvance(Calendar,R174,"1D","f")</f>
        <v>42404</v>
      </c>
      <c r="S175" s="167">
        <f>_xll.qlTenorBasisValue($P$3,R175,AllTriggers)</f>
        <v>2.145393526874562E-3</v>
      </c>
      <c r="T175" s="155">
        <f>_xll.qlDayCounterYearFraction("actual/365 (fixed)",SettlementDate,R175,,,Trigger)</f>
        <v>0.66849315068493154</v>
      </c>
      <c r="U175" s="167">
        <f>_xll.qlPolynomialFunctionValue($P$18,T175,AllTriggers)</f>
        <v>2.0795074041063985E-3</v>
      </c>
    </row>
    <row r="176" spans="18:21" x14ac:dyDescent="0.2">
      <c r="R176" s="538">
        <f>_xll.qlCalendarAdvance(Calendar,R175,"1D","f")</f>
        <v>42405</v>
      </c>
      <c r="S176" s="167">
        <f>_xll.qlTenorBasisValue($P$3,R176,AllTriggers)</f>
        <v>2.1459824589557001E-3</v>
      </c>
      <c r="T176" s="155">
        <f>_xll.qlDayCounterYearFraction("actual/365 (fixed)",SettlementDate,R176,,,Trigger)</f>
        <v>0.67123287671232879</v>
      </c>
      <c r="U176" s="167">
        <f>_xll.qlPolynomialFunctionValue($P$18,T176,AllTriggers)</f>
        <v>2.0805334331642006E-3</v>
      </c>
    </row>
    <row r="177" spans="18:21" x14ac:dyDescent="0.2">
      <c r="R177" s="538">
        <f>_xll.qlCalendarAdvance(Calendar,R176,"1D","f")</f>
        <v>42408</v>
      </c>
      <c r="S177" s="167">
        <f>_xll.qlTenorBasisValue($P$3,R177,AllTriggers)</f>
        <v>2.1477281479084505E-3</v>
      </c>
      <c r="T177" s="155">
        <f>_xll.qlDayCounterYearFraction("actual/365 (fixed)",SettlementDate,R177,,,Trigger)</f>
        <v>0.67945205479452053</v>
      </c>
      <c r="U177" s="167">
        <f>_xll.qlPolynomialFunctionValue($P$18,T177,AllTriggers)</f>
        <v>2.0835705834029816E-3</v>
      </c>
    </row>
    <row r="178" spans="18:21" x14ac:dyDescent="0.2">
      <c r="R178" s="538">
        <f>_xll.qlCalendarAdvance(Calendar,R177,"1D","f")</f>
        <v>42409</v>
      </c>
      <c r="S178" s="167">
        <f>_xll.qlTenorBasisValue($P$3,R178,AllTriggers)</f>
        <v>2.1483031259279745E-3</v>
      </c>
      <c r="T178" s="155">
        <f>_xll.qlDayCounterYearFraction("actual/365 (fixed)",SettlementDate,R178,,,Trigger)</f>
        <v>0.68219178082191778</v>
      </c>
      <c r="U178" s="167">
        <f>_xll.qlPolynomialFunctionValue($P$18,T178,AllTriggers)</f>
        <v>2.08456943863653E-3</v>
      </c>
    </row>
    <row r="179" spans="18:21" x14ac:dyDescent="0.2">
      <c r="R179" s="538">
        <f>_xll.qlCalendarAdvance(Calendar,R178,"1D","f")</f>
        <v>42410</v>
      </c>
      <c r="S179" s="167">
        <f>_xll.qlTenorBasisValue($P$3,R179,AllTriggers)</f>
        <v>2.1488747035312162E-3</v>
      </c>
      <c r="T179" s="155">
        <f>_xll.qlDayCounterYearFraction("actual/365 (fixed)",SettlementDate,R179,,,Trigger)</f>
        <v>0.68493150684931503</v>
      </c>
      <c r="U179" s="167">
        <f>_xll.qlPolynomialFunctionValue($P$18,T179,AllTriggers)</f>
        <v>2.085561588513135E-3</v>
      </c>
    </row>
    <row r="180" spans="18:21" x14ac:dyDescent="0.2">
      <c r="R180" s="538">
        <f>_xll.qlCalendarAdvance(Calendar,R179,"1D","f")</f>
        <v>42411</v>
      </c>
      <c r="S180" s="167">
        <f>_xll.qlTenorBasisValue($P$3,R180,AllTriggers)</f>
        <v>2.1494429159578253E-3</v>
      </c>
      <c r="T180" s="155">
        <f>_xll.qlDayCounterYearFraction("actual/365 (fixed)",SettlementDate,R180,,,Trigger)</f>
        <v>0.68767123287671228</v>
      </c>
      <c r="U180" s="167">
        <f>_xll.qlPolynomialFunctionValue($P$18,T180,AllTriggers)</f>
        <v>2.0865470682724478E-3</v>
      </c>
    </row>
    <row r="181" spans="18:21" x14ac:dyDescent="0.2">
      <c r="R181" s="538">
        <f>_xll.qlCalendarAdvance(Calendar,R180,"1D","f")</f>
        <v>42412</v>
      </c>
      <c r="S181" s="167">
        <f>_xll.qlTenorBasisValue($P$3,R181,AllTriggers)</f>
        <v>2.150007798447449E-3</v>
      </c>
      <c r="T181" s="155">
        <f>_xll.qlDayCounterYearFraction("actual/365 (fixed)",SettlementDate,R181,,,Trigger)</f>
        <v>0.69041095890410964</v>
      </c>
      <c r="U181" s="167">
        <f>_xll.qlPolynomialFunctionValue($P$18,T181,AllTriggers)</f>
        <v>2.0875259131541164E-3</v>
      </c>
    </row>
    <row r="182" spans="18:21" x14ac:dyDescent="0.2">
      <c r="R182" s="538">
        <f>_xll.qlCalendarAdvance(Calendar,R181,"1D","f")</f>
        <v>42415</v>
      </c>
      <c r="S182" s="167">
        <f>_xll.qlTenorBasisValue($P$3,R182,AllTriggers)</f>
        <v>2.1516828186909E-3</v>
      </c>
      <c r="T182" s="155">
        <f>_xll.qlDayCounterYearFraction("actual/365 (fixed)",SettlementDate,R182,,,Trigger)</f>
        <v>0.69863013698630139</v>
      </c>
      <c r="U182" s="167">
        <f>_xll.qlPolynomialFunctionValue($P$18,T182,AllTriggers)</f>
        <v>2.0904229909297391E-3</v>
      </c>
    </row>
    <row r="183" spans="18:21" x14ac:dyDescent="0.2">
      <c r="R183" s="538">
        <f>_xll.qlCalendarAdvance(Calendar,R182,"1D","f")</f>
        <v>42416</v>
      </c>
      <c r="S183" s="167">
        <f>_xll.qlTenorBasisValue($P$3,R183,AllTriggers)</f>
        <v>2.152234733829072E-3</v>
      </c>
      <c r="T183" s="155">
        <f>_xll.qlDayCounterYearFraction("actual/365 (fixed)",SettlementDate,R183,,,Trigger)</f>
        <v>0.70136986301369864</v>
      </c>
      <c r="U183" s="167">
        <f>_xll.qlPolynomialFunctionValue($P$18,T183,AllTriggers)</f>
        <v>2.091375648697315E-3</v>
      </c>
    </row>
    <row r="184" spans="18:21" x14ac:dyDescent="0.2">
      <c r="R184" s="538">
        <f>_xll.qlCalendarAdvance(Calendar,R183,"1D","f")</f>
        <v>42417</v>
      </c>
      <c r="S184" s="167">
        <f>_xll.qlTenorBasisValue($P$3,R184,AllTriggers)</f>
        <v>2.1527834952285024E-3</v>
      </c>
      <c r="T184" s="155">
        <f>_xll.qlDayCounterYearFraction("actual/365 (fixed)",SettlementDate,R184,,,Trigger)</f>
        <v>0.70410958904109588</v>
      </c>
      <c r="U184" s="167">
        <f>_xll.qlPolynomialFunctionValue($P$18,T184,AllTriggers)</f>
        <v>2.0923218477854897E-3</v>
      </c>
    </row>
    <row r="185" spans="18:21" x14ac:dyDescent="0.2">
      <c r="R185" s="538">
        <f>_xll.qlCalendarAdvance(Calendar,R184,"1D","f")</f>
        <v>42418</v>
      </c>
      <c r="S185" s="167">
        <f>_xll.qlTenorBasisValue($P$3,R185,AllTriggers)</f>
        <v>2.1533291381288407E-3</v>
      </c>
      <c r="T185" s="155">
        <f>_xll.qlDayCounterYearFraction("actual/365 (fixed)",SettlementDate,R185,,,Trigger)</f>
        <v>0.70684931506849313</v>
      </c>
      <c r="U185" s="167">
        <f>_xll.qlPolynomialFunctionValue($P$18,T185,AllTriggers)</f>
        <v>2.093261623433912E-3</v>
      </c>
    </row>
    <row r="186" spans="18:21" x14ac:dyDescent="0.2">
      <c r="R186" s="538">
        <f>_xll.qlCalendarAdvance(Calendar,R185,"1D","f")</f>
        <v>42419</v>
      </c>
      <c r="S186" s="167">
        <f>_xll.qlTenorBasisValue($P$3,R186,AllTriggers)</f>
        <v>2.1538716977697343E-3</v>
      </c>
      <c r="T186" s="155">
        <f>_xll.qlDayCounterYearFraction("actual/365 (fixed)",SettlementDate,R186,,,Trigger)</f>
        <v>0.70958904109589038</v>
      </c>
      <c r="U186" s="167">
        <f>_xll.qlPolynomialFunctionValue($P$18,T186,AllTriggers)</f>
        <v>2.0941950108822297E-3</v>
      </c>
    </row>
    <row r="187" spans="18:21" x14ac:dyDescent="0.2">
      <c r="R187" s="538">
        <f>_xll.qlCalendarAdvance(Calendar,R186,"1D","f")</f>
        <v>42422</v>
      </c>
      <c r="S187" s="167">
        <f>_xll.qlTenorBasisValue($P$3,R187,AllTriggers)</f>
        <v>2.1554812295322377E-3</v>
      </c>
      <c r="T187" s="155">
        <f>_xll.qlDayCounterYearFraction("actual/365 (fixed)",SettlementDate,R187,,,Trigger)</f>
        <v>0.71780821917808224</v>
      </c>
      <c r="U187" s="167">
        <f>_xll.qlPolynomialFunctionValue($P$18,T187,AllTriggers)</f>
        <v>2.0969571964230462E-3</v>
      </c>
    </row>
    <row r="188" spans="18:21" x14ac:dyDescent="0.2">
      <c r="R188" s="538">
        <f>_xll.qlCalendarAdvance(Calendar,R187,"1D","f")</f>
        <v>42423</v>
      </c>
      <c r="S188" s="167">
        <f>_xll.qlTenorBasisValue($P$3,R188,AllTriggers)</f>
        <v>2.1560118085318415E-3</v>
      </c>
      <c r="T188" s="155">
        <f>_xll.qlDayCounterYearFraction("actual/365 (fixed)",SettlementDate,R188,,,Trigger)</f>
        <v>0.72054794520547949</v>
      </c>
      <c r="U188" s="167">
        <f>_xll.qlPolynomialFunctionValue($P$18,T188,AllTriggers)</f>
        <v>2.0978653834674344E-3</v>
      </c>
    </row>
    <row r="189" spans="18:21" x14ac:dyDescent="0.2">
      <c r="R189" s="538">
        <f>_xll.qlCalendarAdvance(Calendar,R188,"1D","f")</f>
        <v>42424</v>
      </c>
      <c r="S189" s="167">
        <f>_xll.qlTenorBasisValue($P$3,R189,AllTriggers)</f>
        <v>2.1565394804702446E-3</v>
      </c>
      <c r="T189" s="155">
        <f>_xll.qlDayCounterYearFraction("actual/365 (fixed)",SettlementDate,R189,,,Trigger)</f>
        <v>0.72328767123287674</v>
      </c>
      <c r="U189" s="167">
        <f>_xll.qlPolynomialFunctionValue($P$18,T189,AllTriggers)</f>
        <v>2.0987673585099618E-3</v>
      </c>
    </row>
    <row r="190" spans="18:21" x14ac:dyDescent="0.2">
      <c r="R190" s="538">
        <f>_xll.qlCalendarAdvance(Calendar,R189,"1D","f")</f>
        <v>42425</v>
      </c>
      <c r="S190" s="167">
        <f>_xll.qlTenorBasisValue($P$3,R190,AllTriggers)</f>
        <v>2.1570642805870959E-3</v>
      </c>
      <c r="T190" s="155">
        <f>_xll.qlDayCounterYearFraction("actual/365 (fixed)",SettlementDate,R190,,,Trigger)</f>
        <v>0.72602739726027399</v>
      </c>
      <c r="U190" s="167">
        <f>_xll.qlPolynomialFunctionValue($P$18,T190,AllTriggers)</f>
        <v>2.0996631567902777E-3</v>
      </c>
    </row>
    <row r="191" spans="18:21" x14ac:dyDescent="0.2">
      <c r="R191" s="538">
        <f>_xll.qlCalendarAdvance(Calendar,R190,"1D","f")</f>
        <v>42426</v>
      </c>
      <c r="S191" s="167">
        <f>_xll.qlTenorBasisValue($P$3,R191,AllTriggers)</f>
        <v>2.1575862441220433E-3</v>
      </c>
      <c r="T191" s="155">
        <f>_xll.qlDayCounterYearFraction("actual/365 (fixed)",SettlementDate,R191,,,Trigger)</f>
        <v>0.72876712328767124</v>
      </c>
      <c r="U191" s="167">
        <f>_xll.qlPolynomialFunctionValue($P$18,T191,AllTriggers)</f>
        <v>2.1005528135480296E-3</v>
      </c>
    </row>
    <row r="192" spans="18:21" x14ac:dyDescent="0.2">
      <c r="R192" s="538">
        <f>_xll.qlCalendarAdvance(Calendar,R191,"1D","f")</f>
        <v>42429</v>
      </c>
      <c r="S192" s="167">
        <f>_xll.qlTenorBasisValue($P$3,R192,AllTriggers)</f>
        <v>2.1591354676319509E-3</v>
      </c>
      <c r="T192" s="155">
        <f>_xll.qlDayCounterYearFraction("actual/365 (fixed)",SettlementDate,R192,,,Trigger)</f>
        <v>0.73698630136986298</v>
      </c>
      <c r="U192" s="167">
        <f>_xll.qlPolynomialFunctionValue($P$18,T192,AllTriggers)</f>
        <v>2.1031852870823909E-3</v>
      </c>
    </row>
    <row r="193" spans="18:21" x14ac:dyDescent="0.2">
      <c r="R193" s="538">
        <f>_xll.qlCalendarAdvance(Calendar,R192,"1D","f")</f>
        <v>42430</v>
      </c>
      <c r="S193" s="167">
        <f>_xll.qlTenorBasisValue($P$3,R193,AllTriggers)</f>
        <v>2.1596464372357709E-3</v>
      </c>
      <c r="T193" s="155">
        <f>_xll.qlDayCounterYearFraction("actual/365 (fixed)",SettlementDate,R193,,,Trigger)</f>
        <v>0.73972602739726023</v>
      </c>
      <c r="U193" s="167">
        <f>_xll.qlPolynomialFunctionValue($P$18,T193,AllTriggers)</f>
        <v>2.1040507301463758E-3</v>
      </c>
    </row>
    <row r="194" spans="18:21" x14ac:dyDescent="0.2">
      <c r="R194" s="538">
        <f>_xll.qlCalendarAdvance(Calendar,R193,"1D","f")</f>
        <v>42431</v>
      </c>
      <c r="S194" s="167">
        <f>_xll.qlTenorBasisValue($P$3,R194,AllTriggers)</f>
        <v>2.1601547464559301E-3</v>
      </c>
      <c r="T194" s="155">
        <f>_xll.qlDayCounterYearFraction("actual/365 (fixed)",SettlementDate,R194,,,Trigger)</f>
        <v>0.74246575342465748</v>
      </c>
      <c r="U194" s="167">
        <f>_xll.qlPolynomialFunctionValue($P$18,T194,AllTriggers)</f>
        <v>2.1049102078860393E-3</v>
      </c>
    </row>
    <row r="195" spans="18:21" x14ac:dyDescent="0.2">
      <c r="R195" s="538">
        <f>_xll.qlCalendarAdvance(Calendar,R194,"1D","f")</f>
        <v>42432</v>
      </c>
      <c r="S195" s="167">
        <f>_xll.qlTenorBasisValue($P$3,R195,AllTriggers)</f>
        <v>2.1606604305320787E-3</v>
      </c>
      <c r="T195" s="155">
        <f>_xll.qlDayCounterYearFraction("actual/365 (fixed)",SettlementDate,R195,,,Trigger)</f>
        <v>0.74520547945205484</v>
      </c>
      <c r="U195" s="167">
        <f>_xll.qlPolynomialFunctionValue($P$18,T195,AllTriggers)</f>
        <v>2.1057637555410322E-3</v>
      </c>
    </row>
    <row r="196" spans="18:21" x14ac:dyDescent="0.2">
      <c r="R196" s="538">
        <f>_xll.qlCalendarAdvance(Calendar,R195,"1D","f")</f>
        <v>42433</v>
      </c>
      <c r="S196" s="167">
        <f>_xll.qlTenorBasisValue($P$3,R196,AllTriggers)</f>
        <v>2.1611635247038635E-3</v>
      </c>
      <c r="T196" s="155">
        <f>_xll.qlDayCounterYearFraction("actual/365 (fixed)",SettlementDate,R196,,,Trigger)</f>
        <v>0.74794520547945209</v>
      </c>
      <c r="U196" s="167">
        <f>_xll.qlPolynomialFunctionValue($P$18,T196,AllTriggers)</f>
        <v>2.1066114083510019E-3</v>
      </c>
    </row>
    <row r="197" spans="18:21" x14ac:dyDescent="0.2">
      <c r="R197" s="538">
        <f>_xll.qlCalendarAdvance(Calendar,R196,"1D","f")</f>
        <v>42436</v>
      </c>
      <c r="S197" s="167">
        <f>_xll.qlTenorBasisValue($P$3,R197,AllTriggers)</f>
        <v>2.1626576201895275E-3</v>
      </c>
      <c r="T197" s="155">
        <f>_xll.qlDayCounterYearFraction("actual/365 (fixed)",SettlementDate,R197,,,Trigger)</f>
        <v>0.75616438356164384</v>
      </c>
      <c r="U197" s="167">
        <f>_xll.qlPolynomialFunctionValue($P$18,T197,AllTriggers)</f>
        <v>2.1091193501072609E-3</v>
      </c>
    </row>
    <row r="198" spans="18:21" x14ac:dyDescent="0.2">
      <c r="R198" s="538">
        <f>_xll.qlCalendarAdvance(Calendar,R197,"1D","f")</f>
        <v>42437</v>
      </c>
      <c r="S198" s="167">
        <f>_xll.qlTenorBasisValue($P$3,R198,AllTriggers)</f>
        <v>2.1631507071403471E-3</v>
      </c>
      <c r="T198" s="155">
        <f>_xll.qlDayCounterYearFraction("actual/365 (fixed)",SettlementDate,R198,,,Trigger)</f>
        <v>0.75890410958904109</v>
      </c>
      <c r="U198" s="167">
        <f>_xll.qlPolynomialFunctionValue($P$18,T198,AllTriggers)</f>
        <v>2.1099437759336251E-3</v>
      </c>
    </row>
    <row r="199" spans="18:21" x14ac:dyDescent="0.2">
      <c r="R199" s="538">
        <f>_xll.qlCalendarAdvance(Calendar,R198,"1D","f")</f>
        <v>42438</v>
      </c>
      <c r="S199" s="167">
        <f>_xll.qlTenorBasisValue($P$3,R199,AllTriggers)</f>
        <v>2.1636413803850472E-3</v>
      </c>
      <c r="T199" s="155">
        <f>_xll.qlDayCounterYearFraction("actual/365 (fixed)",SettlementDate,R199,,,Trigger)</f>
        <v>0.76164383561643834</v>
      </c>
      <c r="U199" s="167">
        <f>_xll.qlPolynomialFunctionValue($P$18,T199,AllTriggers)</f>
        <v>2.11076248311321E-3</v>
      </c>
    </row>
    <row r="200" spans="18:21" x14ac:dyDescent="0.2">
      <c r="R200" s="538">
        <f>_xll.qlCalendarAdvance(Calendar,R199,"1D","f")</f>
        <v>42439</v>
      </c>
      <c r="S200" s="167">
        <f>_xll.qlTenorBasisValue($P$3,R200,AllTriggers)</f>
        <v>2.1641296751632759E-3</v>
      </c>
      <c r="T200" s="155">
        <f>_xll.qlDayCounterYearFraction("actual/365 (fixed)",SettlementDate,R200,,,Trigger)</f>
        <v>0.76438356164383559</v>
      </c>
      <c r="U200" s="167">
        <f>_xll.qlPolynomialFunctionValue($P$18,T200,AllTriggers)</f>
        <v>2.1115755068856642E-3</v>
      </c>
    </row>
    <row r="201" spans="18:21" x14ac:dyDescent="0.2">
      <c r="R201" s="538">
        <f>_xll.qlCalendarAdvance(Calendar,R200,"1D","f")</f>
        <v>42440</v>
      </c>
      <c r="S201" s="167">
        <f>_xll.qlTenorBasisValue($P$3,R201,AllTriggers)</f>
        <v>2.1646156267146827E-3</v>
      </c>
      <c r="T201" s="155">
        <f>_xll.qlDayCounterYearFraction("actual/365 (fixed)",SettlementDate,R201,,,Trigger)</f>
        <v>0.76712328767123283</v>
      </c>
      <c r="U201" s="167">
        <f>_xll.qlPolynomialFunctionValue($P$18,T201,AllTriggers)</f>
        <v>2.1123828824906356E-3</v>
      </c>
    </row>
    <row r="202" spans="18:21" x14ac:dyDescent="0.2">
      <c r="R202" s="538">
        <f>_xll.qlCalendarAdvance(Calendar,R201,"1D","f")</f>
        <v>42443</v>
      </c>
      <c r="S202" s="167">
        <f>_xll.qlTenorBasisValue($P$3,R202,AllTriggers)</f>
        <v>2.1660597744044539E-3</v>
      </c>
      <c r="T202" s="155">
        <f>_xll.qlDayCounterYearFraction("actual/365 (fixed)",SettlementDate,R202,,,Trigger)</f>
        <v>0.77534246575342469</v>
      </c>
      <c r="U202" s="167">
        <f>_xll.qlPolynomialFunctionValue($P$18,T202,AllTriggers)</f>
        <v>2.1147714726971424E-3</v>
      </c>
    </row>
    <row r="203" spans="18:21" x14ac:dyDescent="0.2">
      <c r="R203" s="538">
        <f>_xll.qlCalendarAdvance(Calendar,R202,"1D","f")</f>
        <v>42444</v>
      </c>
      <c r="S203" s="167">
        <f>_xll.qlTenorBasisValue($P$3,R203,AllTriggers)</f>
        <v>2.1665367054450576E-3</v>
      </c>
      <c r="T203" s="155">
        <f>_xll.qlDayCounterYearFraction("actual/365 (fixed)",SettlementDate,R203,,,Trigger)</f>
        <v>0.77808219178082194</v>
      </c>
      <c r="U203" s="167">
        <f>_xll.qlPolynomialFunctionValue($P$18,T203,AllTriggers)</f>
        <v>2.115556608028671E-3</v>
      </c>
    </row>
    <row r="204" spans="18:21" x14ac:dyDescent="0.2">
      <c r="R204" s="538">
        <f>_xll.qlCalendarAdvance(Calendar,R203,"1D","f")</f>
        <v>42445</v>
      </c>
      <c r="S204" s="167">
        <f>_xll.qlTenorBasisValue($P$3,R204,AllTriggers)</f>
        <v>2.1670114694570812E-3</v>
      </c>
      <c r="T204" s="155">
        <f>_xll.qlDayCounterYearFraction("actual/365 (fixed)",SettlementDate,R204,,,Trigger)</f>
        <v>0.78082191780821919</v>
      </c>
      <c r="U204" s="167">
        <f>_xll.qlPolynomialFunctionValue($P$18,T204,AllTriggers)</f>
        <v>2.11633627139096E-3</v>
      </c>
    </row>
    <row r="205" spans="18:21" x14ac:dyDescent="0.2">
      <c r="R205" s="538">
        <f>_xll.qlCalendarAdvance(Calendar,R204,"1D","f")</f>
        <v>42446</v>
      </c>
      <c r="S205" s="167">
        <f>_xll.qlTenorBasisValue($P$3,R205,AllTriggers)</f>
        <v>2.1674841016801755E-3</v>
      </c>
      <c r="T205" s="155">
        <f>_xll.qlDayCounterYearFraction("actual/365 (fixed)",SettlementDate,R205,,,Trigger)</f>
        <v>0.78356164383561644</v>
      </c>
      <c r="U205" s="167">
        <f>_xll.qlPolynomialFunctionValue($P$18,T205,AllTriggers)</f>
        <v>2.1171104980236589E-3</v>
      </c>
    </row>
    <row r="206" spans="18:21" x14ac:dyDescent="0.2">
      <c r="R206" s="538">
        <f>_xll.qlCalendarAdvance(Calendar,R205,"1D","f")</f>
        <v>42447</v>
      </c>
      <c r="S206" s="167">
        <f>_xll.qlTenorBasisValue($P$3,R206,AllTriggers)</f>
        <v>2.1679546373539874E-3</v>
      </c>
      <c r="T206" s="155">
        <f>_xll.qlDayCounterYearFraction("actual/365 (fixed)",SettlementDate,R206,,,Trigger)</f>
        <v>0.78630136986301369</v>
      </c>
      <c r="U206" s="167">
        <f>_xll.qlPolynomialFunctionValue($P$18,T206,AllTriggers)</f>
        <v>2.1178793231664164E-3</v>
      </c>
    </row>
    <row r="207" spans="18:21" x14ac:dyDescent="0.2">
      <c r="R207" s="538">
        <f>_xll.qlCalendarAdvance(Calendar,R206,"1D","f")</f>
        <v>42450</v>
      </c>
      <c r="S207" s="167">
        <f>_xll.qlTenorBasisValue($P$3,R207,AllTriggers)</f>
        <v>2.1693540174762185E-3</v>
      </c>
      <c r="T207" s="155">
        <f>_xll.qlDayCounterYearFraction("actual/365 (fixed)",SettlementDate,R207,,,Trigger)</f>
        <v>0.79452054794520544</v>
      </c>
      <c r="U207" s="167">
        <f>_xll.qlPolynomialFunctionValue($P$18,T207,AllTriggers)</f>
        <v>2.1201537420515231E-3</v>
      </c>
    </row>
    <row r="208" spans="18:21" x14ac:dyDescent="0.2">
      <c r="R208" s="538">
        <f>_xll.qlCalendarAdvance(Calendar,R207,"1D","f")</f>
        <v>42451</v>
      </c>
      <c r="S208" s="167">
        <f>_xll.qlTenorBasisValue($P$3,R208,AllTriggers)</f>
        <v>2.1698165193493892E-3</v>
      </c>
      <c r="T208" s="155">
        <f>_xll.qlDayCounterYearFraction("actual/365 (fixed)",SettlementDate,R208,,,Trigger)</f>
        <v>0.79726027397260268</v>
      </c>
      <c r="U208" s="167">
        <f>_xll.qlPolynomialFunctionValue($P$18,T208,AllTriggers)</f>
        <v>2.1209013136310002E-3</v>
      </c>
    </row>
    <row r="209" spans="18:21" x14ac:dyDescent="0.2">
      <c r="R209" s="538">
        <f>_xll.qlCalendarAdvance(Calendar,R208,"1D","f")</f>
        <v>42452</v>
      </c>
      <c r="S209" s="167">
        <f>_xll.qlTenorBasisValue($P$3,R209,AllTriggers)</f>
        <v>2.1702771008715212E-3</v>
      </c>
      <c r="T209" s="155">
        <f>_xll.qlDayCounterYearFraction("actual/365 (fixed)",SettlementDate,R209,,,Trigger)</f>
        <v>0.8</v>
      </c>
      <c r="U209" s="167">
        <f>_xll.qlPolynomialFunctionValue($P$18,T209,AllTriggers)</f>
        <v>2.1216436599187779E-3</v>
      </c>
    </row>
    <row r="210" spans="18:21" x14ac:dyDescent="0.2">
      <c r="R210" s="538">
        <f>_xll.qlCalendarAdvance(Calendar,R209,"1D","f")</f>
        <v>42453</v>
      </c>
      <c r="S210" s="167">
        <f>_xll.qlTenorBasisValue($P$3,R210,AllTriggers)</f>
        <v>2.1707357972822637E-3</v>
      </c>
      <c r="T210" s="155">
        <f>_xll.qlDayCounterYearFraction("actual/365 (fixed)",SettlementDate,R210,,,Trigger)</f>
        <v>0.80273972602739729</v>
      </c>
      <c r="U210" s="167">
        <f>_xll.qlPolynomialFunctionValue($P$18,T210,AllTriggers)</f>
        <v>2.1223808161545061E-3</v>
      </c>
    </row>
    <row r="211" spans="18:21" x14ac:dyDescent="0.2">
      <c r="R211" s="538">
        <f>_xll.qlCalendarAdvance(Calendar,R210,"1D","f")</f>
        <v>42458</v>
      </c>
      <c r="S211" s="167">
        <f>_xll.qlTenorBasisValue($P$3,R211,AllTriggers)</f>
        <v>2.1730022360528295E-3</v>
      </c>
      <c r="T211" s="155">
        <f>_xll.qlDayCounterYearFraction("actual/365 (fixed)",SettlementDate,R211,,,Trigger)</f>
        <v>0.81643835616438354</v>
      </c>
      <c r="U211" s="167">
        <f>_xll.qlPolynomialFunctionValue($P$18,T211,AllTriggers)</f>
        <v>2.1259899799401004E-3</v>
      </c>
    </row>
    <row r="212" spans="18:21" x14ac:dyDescent="0.2">
      <c r="R212" s="538">
        <f>_xll.qlCalendarAdvance(Calendar,R211,"1D","f")</f>
        <v>42459</v>
      </c>
      <c r="S212" s="167">
        <f>_xll.qlTenorBasisValue($P$3,R212,AllTriggers)</f>
        <v>2.1734503618278541E-3</v>
      </c>
      <c r="T212" s="155">
        <f>_xll.qlDayCounterYearFraction("actual/365 (fixed)",SettlementDate,R212,,,Trigger)</f>
        <v>0.81917808219178079</v>
      </c>
      <c r="U212" s="167">
        <f>_xll.qlPolynomialFunctionValue($P$18,T212,AllTriggers)</f>
        <v>2.1266967358961508E-3</v>
      </c>
    </row>
    <row r="213" spans="18:21" x14ac:dyDescent="0.2">
      <c r="R213" s="538">
        <f>_xll.qlCalendarAdvance(Calendar,R212,"1D","f")</f>
        <v>42460</v>
      </c>
      <c r="S213" s="167">
        <f>_xll.qlTenorBasisValue($P$3,R213,AllTriggers)</f>
        <v>2.1738968491690287E-3</v>
      </c>
      <c r="T213" s="155">
        <f>_xll.qlDayCounterYearFraction("actual/365 (fixed)",SettlementDate,R213,,,Trigger)</f>
        <v>0.82191780821917804</v>
      </c>
      <c r="U213" s="167">
        <f>_xll.qlPolynomialFunctionValue($P$18,T213,AllTriggers)</f>
        <v>2.1273985484776912E-3</v>
      </c>
    </row>
    <row r="214" spans="18:21" x14ac:dyDescent="0.2">
      <c r="R214" s="538">
        <f>_xll.qlCalendarAdvance(Calendar,R213,"1D","f")</f>
        <v>42461</v>
      </c>
      <c r="S214" s="167">
        <f>_xll.qlTenorBasisValue($P$3,R214,AllTriggers)</f>
        <v>2.1743417333160032E-3</v>
      </c>
      <c r="T214" s="155">
        <f>_xll.qlDayCounterYearFraction("actual/365 (fixed)",SettlementDate,R214,,,Trigger)</f>
        <v>0.8246575342465754</v>
      </c>
      <c r="U214" s="167">
        <f>_xll.qlPolynomialFunctionValue($P$18,T214,AllTriggers)</f>
        <v>2.1280954529243716E-3</v>
      </c>
    </row>
    <row r="215" spans="18:21" x14ac:dyDescent="0.2">
      <c r="R215" s="538">
        <f>_xll.qlCalendarAdvance(Calendar,R214,"1D","f")</f>
        <v>42464</v>
      </c>
      <c r="S215" s="167">
        <f>_xll.qlTenorBasisValue($P$3,R215,AllTriggers)</f>
        <v>2.1756671189882087E-3</v>
      </c>
      <c r="T215" s="155">
        <f>_xll.qlDayCounterYearFraction("actual/365 (fixed)",SettlementDate,R215,,,Trigger)</f>
        <v>0.83287671232876714</v>
      </c>
      <c r="U215" s="167">
        <f>_xll.qlPolynomialFunctionValue($P$18,T215,AllTriggers)</f>
        <v>2.1301570698517348E-3</v>
      </c>
    </row>
    <row r="216" spans="18:21" x14ac:dyDescent="0.2">
      <c r="R216" s="538">
        <f>_xll.qlCalendarAdvance(Calendar,R215,"1D","f")</f>
        <v>42465</v>
      </c>
      <c r="S216" s="167">
        <f>_xll.qlTenorBasisValue($P$3,R216,AllTriggers)</f>
        <v>2.1761059427548662E-3</v>
      </c>
      <c r="T216" s="155">
        <f>_xll.qlDayCounterYearFraction("actual/365 (fixed)",SettlementDate,R216,,,Trigger)</f>
        <v>0.83561643835616439</v>
      </c>
      <c r="U216" s="167">
        <f>_xll.qlPolynomialFunctionValue($P$18,T216,AllTriggers)</f>
        <v>2.1308346941554582E-3</v>
      </c>
    </row>
    <row r="217" spans="18:21" x14ac:dyDescent="0.2">
      <c r="R217" s="538">
        <f>_xll.qlCalendarAdvance(Calendar,R216,"1D","f")</f>
        <v>42466</v>
      </c>
      <c r="S217" s="167">
        <f>_xll.qlTenorBasisValue($P$3,R217,AllTriggers)</f>
        <v>2.1765433395255665E-3</v>
      </c>
      <c r="T217" s="155">
        <f>_xll.qlDayCounterYearFraction("actual/365 (fixed)",SettlementDate,R217,,,Trigger)</f>
        <v>0.83835616438356164</v>
      </c>
      <c r="U217" s="167">
        <f>_xll.qlPolynomialFunctionValue($P$18,T217,AllTriggers)</f>
        <v>2.1315075865225648E-3</v>
      </c>
    </row>
    <row r="218" spans="18:21" x14ac:dyDescent="0.2">
      <c r="R218" s="538">
        <f>_xll.qlCalendarAdvance(Calendar,R217,"1D","f")</f>
        <v>42467</v>
      </c>
      <c r="S218" s="167">
        <f>_xll.qlTenorBasisValue($P$3,R218,AllTriggers)</f>
        <v>2.1769793445399581E-3</v>
      </c>
      <c r="T218" s="155">
        <f>_xll.qlDayCounterYearFraction("actual/365 (fixed)",SettlementDate,R218,,,Trigger)</f>
        <v>0.84109589041095889</v>
      </c>
      <c r="U218" s="167">
        <f>_xll.qlPolynomialFunctionValue($P$18,T218,AllTriggers)</f>
        <v>2.132175782192703E-3</v>
      </c>
    </row>
    <row r="219" spans="18:21" x14ac:dyDescent="0.2">
      <c r="R219" s="538">
        <f>_xll.qlCalendarAdvance(Calendar,R218,"1D","f")</f>
        <v>42468</v>
      </c>
      <c r="S219" s="167">
        <f>_xll.qlTenorBasisValue($P$3,R219,AllTriggers)</f>
        <v>2.1774139930376894E-3</v>
      </c>
      <c r="T219" s="155">
        <f>_xll.qlDayCounterYearFraction("actual/365 (fixed)",SettlementDate,R219,,,Trigger)</f>
        <v>0.84383561643835614</v>
      </c>
      <c r="U219" s="167">
        <f>_xll.qlPolynomialFunctionValue($P$18,T219,AllTriggers)</f>
        <v>2.1328393164055204E-3</v>
      </c>
    </row>
    <row r="220" spans="18:21" x14ac:dyDescent="0.2">
      <c r="R220" s="538">
        <f>_xll.qlCalendarAdvance(Calendar,R219,"1D","f")</f>
        <v>42471</v>
      </c>
      <c r="S220" s="167">
        <f>_xll.qlTenorBasisValue($P$3,R220,AllTriggers)</f>
        <v>2.1787101518274095E-3</v>
      </c>
      <c r="T220" s="155">
        <f>_xll.qlDayCounterYearFraction("actual/365 (fixed)",SettlementDate,R220,,,Trigger)</f>
        <v>0.852054794520548</v>
      </c>
      <c r="U220" s="167">
        <f>_xll.qlPolynomialFunctionValue($P$18,T220,AllTriggers)</f>
        <v>2.1348023026965387E-3</v>
      </c>
    </row>
    <row r="221" spans="18:21" x14ac:dyDescent="0.2">
      <c r="R221" s="538">
        <f>_xll.qlCalendarAdvance(Calendar,R220,"1D","f")</f>
        <v>42472</v>
      </c>
      <c r="S221" s="167">
        <f>_xll.qlTenorBasisValue($P$3,R221,AllTriggers)</f>
        <v>2.1791397266549867E-3</v>
      </c>
      <c r="T221" s="155">
        <f>_xll.qlDayCounterYearFraction("actual/365 (fixed)",SettlementDate,R221,,,Trigger)</f>
        <v>0.85479452054794525</v>
      </c>
      <c r="U221" s="167">
        <f>_xll.qlPolynomialFunctionValue($P$18,T221,AllTriggers)</f>
        <v>2.1354475434765628E-3</v>
      </c>
    </row>
    <row r="222" spans="18:21" x14ac:dyDescent="0.2">
      <c r="R222" s="538">
        <f>_xll.qlCalendarAdvance(Calendar,R221,"1D","f")</f>
        <v>42473</v>
      </c>
      <c r="S222" s="167">
        <f>_xll.qlTenorBasisValue($P$3,R222,AllTriggers)</f>
        <v>2.1795681211641475E-3</v>
      </c>
      <c r="T222" s="155">
        <f>_xll.qlDayCounterYearFraction("actual/365 (fixed)",SettlementDate,R222,,,Trigger)</f>
        <v>0.8575342465753425</v>
      </c>
      <c r="U222" s="167">
        <f>_xll.qlPolynomialFunctionValue($P$18,T222,AllTriggers)</f>
        <v>2.136088298997509E-3</v>
      </c>
    </row>
    <row r="223" spans="18:21" x14ac:dyDescent="0.2">
      <c r="R223" s="538">
        <f>_xll.qlCalendarAdvance(Calendar,R222,"1D","f")</f>
        <v>42474</v>
      </c>
      <c r="S223" s="167">
        <f>_xll.qlTenorBasisValue($P$3,R223,AllTriggers)</f>
        <v>2.1799953705945395E-3</v>
      </c>
      <c r="T223" s="155">
        <f>_xll.qlDayCounterYearFraction("actual/365 (fixed)",SettlementDate,R223,,,Trigger)</f>
        <v>0.86027397260273974</v>
      </c>
      <c r="U223" s="167">
        <f>_xll.qlPolynomialFunctionValue($P$18,T223,AllTriggers)</f>
        <v>2.1367246044990272E-3</v>
      </c>
    </row>
    <row r="224" spans="18:21" x14ac:dyDescent="0.2">
      <c r="R224" s="538">
        <f>_xll.qlCalendarAdvance(Calendar,R223,"1D","f")</f>
        <v>42475</v>
      </c>
      <c r="S224" s="167">
        <f>_xll.qlTenorBasisValue($P$3,R224,AllTriggers)</f>
        <v>2.1804215101858112E-3</v>
      </c>
      <c r="T224" s="155">
        <f>_xll.qlDayCounterYearFraction("actual/365 (fixed)",SettlementDate,R224,,,Trigger)</f>
        <v>0.86301369863013699</v>
      </c>
      <c r="U224" s="167">
        <f>_xll.qlPolynomialFunctionValue($P$18,T224,AllTriggers)</f>
        <v>2.1373564952207663E-3</v>
      </c>
    </row>
    <row r="225" spans="18:21" x14ac:dyDescent="0.2">
      <c r="R225" s="538">
        <f>_xll.qlCalendarAdvance(Calendar,R224,"1D","f")</f>
        <v>42478</v>
      </c>
      <c r="S225" s="167">
        <f>_xll.qlTenorBasisValue($P$3,R225,AllTriggers)</f>
        <v>2.1816936223213977E-3</v>
      </c>
      <c r="T225" s="155">
        <f>_xll.qlDayCounterYearFraction("actual/365 (fixed)",SettlementDate,R225,,,Trigger)</f>
        <v>0.87123287671232874</v>
      </c>
      <c r="U225" s="167">
        <f>_xll.qlPolynomialFunctionValue($P$18,T225,AllTriggers)</f>
        <v>2.1392260311037916E-3</v>
      </c>
    </row>
    <row r="226" spans="18:21" x14ac:dyDescent="0.2">
      <c r="R226" s="538">
        <f>_xll.qlCalendarAdvance(Calendar,R225,"1D","f")</f>
        <v>42479</v>
      </c>
      <c r="S226" s="167">
        <f>_xll.qlTenorBasisValue($P$3,R226,AllTriggers)</f>
        <v>2.182115674952678E-3</v>
      </c>
      <c r="T226" s="155">
        <f>_xll.qlDayCounterYearFraction("actual/365 (fixed)",SettlementDate,R226,,,Trigger)</f>
        <v>0.87397260273972599</v>
      </c>
      <c r="U226" s="167">
        <f>_xll.qlPolynomialFunctionValue($P$18,T226,AllTriggers)</f>
        <v>2.1398406151028988E-3</v>
      </c>
    </row>
    <row r="227" spans="18:21" x14ac:dyDescent="0.2">
      <c r="R227" s="538">
        <f>_xll.qlCalendarAdvance(Calendar,R226,"1D","f")</f>
        <v>42480</v>
      </c>
      <c r="S227" s="167">
        <f>_xll.qlTenorBasisValue($P$3,R227,AllTriggers)</f>
        <v>2.1825367939430824E-3</v>
      </c>
      <c r="T227" s="155">
        <f>_xll.qlDayCounterYearFraction("actual/365 (fixed)",SettlementDate,R227,,,Trigger)</f>
        <v>0.87671232876712324</v>
      </c>
      <c r="U227" s="167">
        <f>_xll.qlPolynomialFunctionValue($P$18,T227,AllTriggers)</f>
        <v>2.1404509605204699E-3</v>
      </c>
    </row>
    <row r="228" spans="18:21" x14ac:dyDescent="0.2">
      <c r="R228" s="538">
        <f>_xll.qlCalendarAdvance(Calendar,R227,"1D","f")</f>
        <v>42481</v>
      </c>
      <c r="S228" s="167">
        <f>_xll.qlTenorBasisValue($P$3,R228,AllTriggers)</f>
        <v>2.1829570145322583E-3</v>
      </c>
      <c r="T228" s="155">
        <f>_xll.qlDayCounterYearFraction("actual/365 (fixed)",SettlementDate,R228,,,Trigger)</f>
        <v>0.8794520547945206</v>
      </c>
      <c r="U228" s="167">
        <f>_xll.qlPolynomialFunctionValue($P$18,T228,AllTriggers)</f>
        <v>2.141057102596153E-3</v>
      </c>
    </row>
    <row r="229" spans="18:21" x14ac:dyDescent="0.2">
      <c r="R229" s="538">
        <f>_xll.qlCalendarAdvance(Calendar,R228,"1D","f")</f>
        <v>42482</v>
      </c>
      <c r="S229" s="167">
        <f>_xll.qlTenorBasisValue($P$3,R229,AllTriggers)</f>
        <v>2.1833763719598556E-3</v>
      </c>
      <c r="T229" s="155">
        <f>_xll.qlDayCounterYearFraction("actual/365 (fixed)",SettlementDate,R229,,,Trigger)</f>
        <v>0.88219178082191785</v>
      </c>
      <c r="U229" s="167">
        <f>_xll.qlPolynomialFunctionValue($P$18,T229,AllTriggers)</f>
        <v>2.1416590765695968E-3</v>
      </c>
    </row>
    <row r="230" spans="18:21" x14ac:dyDescent="0.2">
      <c r="R230" s="538">
        <f>_xll.qlCalendarAdvance(Calendar,R229,"1D","f")</f>
        <v>42485</v>
      </c>
      <c r="S230" s="167">
        <f>_xll.qlTenorBasisValue($P$3,R230,AllTriggers)</f>
        <v>2.1846296176696602E-3</v>
      </c>
      <c r="T230" s="155">
        <f>_xll.qlDayCounterYearFraction("actual/365 (fixed)",SettlementDate,R230,,,Trigger)</f>
        <v>0.8904109589041096</v>
      </c>
      <c r="U230" s="167">
        <f>_xll.qlPolynomialFunctionValue($P$18,T230,AllTriggers)</f>
        <v>2.1434403422729816E-3</v>
      </c>
    </row>
    <row r="231" spans="18:21" x14ac:dyDescent="0.2">
      <c r="R231" s="538">
        <f>_xll.qlCalendarAdvance(Calendar,R230,"1D","f")</f>
        <v>42486</v>
      </c>
      <c r="S231" s="167">
        <f>_xll.qlTenorBasisValue($P$3,R231,AllTriggers)</f>
        <v>2.1850458748474281E-3</v>
      </c>
      <c r="T231" s="155">
        <f>_xll.qlDayCounterYearFraction("actual/365 (fixed)",SettlementDate,R231,,,Trigger)</f>
        <v>0.89315068493150684</v>
      </c>
      <c r="U231" s="167">
        <f>_xll.qlPolynomialFunctionValue($P$18,T231,AllTriggers)</f>
        <v>2.1440259962339559E-3</v>
      </c>
    </row>
    <row r="232" spans="18:21" x14ac:dyDescent="0.2">
      <c r="R232" s="538">
        <f>_xll.qlCalendarAdvance(Calendar,R231,"1D","f")</f>
        <v>42487</v>
      </c>
      <c r="S232" s="167">
        <f>_xll.qlTenorBasisValue($P$3,R232,AllTriggers)</f>
        <v>2.1854614450618594E-3</v>
      </c>
      <c r="T232" s="155">
        <f>_xll.qlDayCounterYearFraction("actual/365 (fixed)",SettlementDate,R232,,,Trigger)</f>
        <v>0.89589041095890409</v>
      </c>
      <c r="U232" s="167">
        <f>_xll.qlPolynomialFunctionValue($P$18,T232,AllTriggers)</f>
        <v>2.1446076582909345E-3</v>
      </c>
    </row>
    <row r="233" spans="18:21" x14ac:dyDescent="0.2">
      <c r="R233" s="538">
        <f>_xll.qlCalendarAdvance(Calendar,R232,"1D","f")</f>
        <v>42488</v>
      </c>
      <c r="S233" s="167">
        <f>_xll.qlTenorBasisValue($P$3,R233,AllTriggers)</f>
        <v>2.185876363552604E-3</v>
      </c>
      <c r="T233" s="155">
        <f>_xll.qlDayCounterYearFraction("actual/365 (fixed)",SettlementDate,R233,,,Trigger)</f>
        <v>0.89863013698630134</v>
      </c>
      <c r="U233" s="167">
        <f>_xll.qlPolynomialFunctionValue($P$18,T233,AllTriggers)</f>
        <v>2.1451853636835663E-3</v>
      </c>
    </row>
    <row r="234" spans="18:21" x14ac:dyDescent="0.2">
      <c r="R234" s="538">
        <f>_xll.qlCalendarAdvance(Calendar,R233,"1D","f")</f>
        <v>42489</v>
      </c>
      <c r="S234" s="167">
        <f>_xll.qlTenorBasisValue($P$3,R234,AllTriggers)</f>
        <v>2.1862906655593104E-3</v>
      </c>
      <c r="T234" s="155">
        <f>_xll.qlDayCounterYearFraction("actual/365 (fixed)",SettlementDate,R234,,,Trigger)</f>
        <v>0.90136986301369859</v>
      </c>
      <c r="U234" s="167">
        <f>_xll.qlPolynomialFunctionValue($P$18,T234,AllTriggers)</f>
        <v>2.1457591476514997E-3</v>
      </c>
    </row>
    <row r="235" spans="18:21" x14ac:dyDescent="0.2">
      <c r="R235" s="538">
        <f>_xll.qlCalendarAdvance(Calendar,R234,"1D","f")</f>
        <v>42492</v>
      </c>
      <c r="S235" s="167">
        <f>_xll.qlTenorBasisValue($P$3,R235,AllTriggers)</f>
        <v>2.1875302250716844E-3</v>
      </c>
      <c r="T235" s="155">
        <f>_xll.qlDayCounterYearFraction("actual/365 (fixed)",SettlementDate,R235,,,Trigger)</f>
        <v>0.90958904109589045</v>
      </c>
      <c r="U235" s="167">
        <f>_xll.qlPolynomialFunctionValue($P$18,T235,AllTriggers)</f>
        <v>2.1474573234035945E-3</v>
      </c>
    </row>
    <row r="236" spans="18:21" x14ac:dyDescent="0.2">
      <c r="R236" s="538">
        <f>_xll.qlCalendarAdvance(Calendar,R235,"1D","f")</f>
        <v>42493</v>
      </c>
      <c r="S236" s="167">
        <f>_xll.qlTenorBasisValue($P$3,R236,AllTriggers)</f>
        <v>2.1879424135387228E-3</v>
      </c>
      <c r="T236" s="155">
        <f>_xll.qlDayCounterYearFraction("actual/365 (fixed)",SettlementDate,R236,,,Trigger)</f>
        <v>0.9123287671232877</v>
      </c>
      <c r="U236" s="167">
        <f>_xll.qlPolynomialFunctionValue($P$18,T236,AllTriggers)</f>
        <v>2.1480157740692203E-3</v>
      </c>
    </row>
    <row r="237" spans="18:21" x14ac:dyDescent="0.2">
      <c r="R237" s="538">
        <f>_xll.qlCalendarAdvance(Calendar,R236,"1D","f")</f>
        <v>42494</v>
      </c>
      <c r="S237" s="167">
        <f>_xll.qlTenorBasisValue($P$3,R237,AllTriggers)</f>
        <v>2.1883541617199664E-3</v>
      </c>
      <c r="T237" s="155">
        <f>_xll.qlDayCounterYearFraction("actual/365 (fixed)",SettlementDate,R237,,,Trigger)</f>
        <v>0.91506849315068495</v>
      </c>
      <c r="U237" s="167">
        <f>_xll.qlPolynomialFunctionValue($P$18,T237,AllTriggers)</f>
        <v>2.1485704795083911E-3</v>
      </c>
    </row>
    <row r="238" spans="18:21" x14ac:dyDescent="0.2">
      <c r="R238" s="538">
        <f>_xll.qlCalendarAdvance(Calendar,R237,"1D","f")</f>
        <v>42495</v>
      </c>
      <c r="S238" s="167">
        <f>_xll.qlTenorBasisValue($P$3,R238,AllTriggers)</f>
        <v>2.1887655048550632E-3</v>
      </c>
      <c r="T238" s="155">
        <f>_xll.qlDayCounterYearFraction("actual/365 (fixed)",SettlementDate,R238,,,Trigger)</f>
        <v>0.9178082191780822</v>
      </c>
      <c r="U238" s="167">
        <f>_xll.qlPolynomialFunctionValue($P$18,T238,AllTriggers)</f>
        <v>2.1491214749607551E-3</v>
      </c>
    </row>
    <row r="239" spans="18:21" x14ac:dyDescent="0.2">
      <c r="R239" s="538">
        <f>_xll.qlCalendarAdvance(Calendar,R238,"1D","f")</f>
        <v>42496</v>
      </c>
      <c r="S239" s="167">
        <f>_xll.qlTenorBasisValue($P$3,R239,AllTriggers)</f>
        <v>2.1891764781836621E-3</v>
      </c>
      <c r="T239" s="155">
        <f>_xll.qlDayCounterYearFraction("actual/365 (fixed)",SettlementDate,R239,,,Trigger)</f>
        <v>0.92054794520547945</v>
      </c>
      <c r="U239" s="167">
        <f>_xll.qlPolynomialFunctionValue($P$18,T239,AllTriggers)</f>
        <v>2.149668795665961E-3</v>
      </c>
    </row>
    <row r="240" spans="18:21" x14ac:dyDescent="0.2">
      <c r="R240" s="538">
        <f>_xll.qlCalendarAdvance(Calendar,R239,"1D","f")</f>
        <v>42499</v>
      </c>
      <c r="S240" s="167">
        <f>_xll.qlTenorBasisValue($P$3,R240,AllTriggers)</f>
        <v>2.1904075317269577E-3</v>
      </c>
      <c r="T240" s="155">
        <f>_xll.qlDayCounterYearFraction("actual/365 (fixed)",SettlementDate,R240,,,Trigger)</f>
        <v>0.92876712328767119</v>
      </c>
      <c r="U240" s="167">
        <f>_xll.qlPolynomialFunctionValue($P$18,T240,AllTriggers)</f>
        <v>2.1512890616951193E-3</v>
      </c>
    </row>
    <row r="241" spans="18:21" x14ac:dyDescent="0.2">
      <c r="R241" s="538">
        <f>_xll.qlCalendarAdvance(Calendar,R240,"1D","f")</f>
        <v>42500</v>
      </c>
      <c r="S241" s="167">
        <f>_xll.qlTenorBasisValue($P$3,R241,AllTriggers)</f>
        <v>2.190817378226051E-3</v>
      </c>
      <c r="T241" s="155">
        <f>_xll.qlDayCounterYearFraction("actual/365 (fixed)",SettlementDate,R241,,,Trigger)</f>
        <v>0.93150684931506844</v>
      </c>
      <c r="U241" s="167">
        <f>_xll.qlPolynomialFunctionValue($P$18,T241,AllTriggers)</f>
        <v>2.1518220358081801E-3</v>
      </c>
    </row>
    <row r="242" spans="18:21" x14ac:dyDescent="0.2">
      <c r="R242" s="538">
        <f>_xll.qlCalendarAdvance(Calendar,R241,"1D","f")</f>
        <v>42501</v>
      </c>
      <c r="S242" s="167">
        <f>_xll.qlTenorBasisValue($P$3,R242,AllTriggers)</f>
        <v>2.1912270311168899E-3</v>
      </c>
      <c r="T242" s="155">
        <f>_xll.qlDayCounterYearFraction("actual/365 (fixed)",SettlementDate,R242,,,Trigger)</f>
        <v>0.9342465753424658</v>
      </c>
      <c r="U242" s="167">
        <f>_xll.qlPolynomialFunctionValue($P$18,T242,AllTriggers)</f>
        <v>2.1523515113723263E-3</v>
      </c>
    </row>
    <row r="243" spans="18:21" x14ac:dyDescent="0.2">
      <c r="R243" s="538">
        <f>_xll.qlCalendarAdvance(Calendar,R242,"1D","f")</f>
        <v>42502</v>
      </c>
      <c r="S243" s="167">
        <f>_xll.qlTenorBasisValue($P$3,R243,AllTriggers)</f>
        <v>2.1916365256391224E-3</v>
      </c>
      <c r="T243" s="155">
        <f>_xll.qlDayCounterYearFraction("actual/365 (fixed)",SettlementDate,R243,,,Trigger)</f>
        <v>0.93698630136986305</v>
      </c>
      <c r="U243" s="167">
        <f>_xll.qlPolynomialFunctionValue($P$18,T243,AllTriggers)</f>
        <v>2.1528775236272068E-3</v>
      </c>
    </row>
    <row r="244" spans="18:21" x14ac:dyDescent="0.2">
      <c r="R244" s="538">
        <f>_xll.qlCalendarAdvance(Calendar,R243,"1D","f")</f>
        <v>42503</v>
      </c>
      <c r="S244" s="167">
        <f>_xll.qlTenorBasisValue($P$3,R244,AllTriggers)</f>
        <v>2.1920458970323981E-3</v>
      </c>
      <c r="T244" s="155">
        <f>_xll.qlDayCounterYearFraction("actual/365 (fixed)",SettlementDate,R244,,,Trigger)</f>
        <v>0.9397260273972603</v>
      </c>
      <c r="U244" s="167">
        <f>_xll.qlPolynomialFunctionValue($P$18,T244,AllTriggers)</f>
        <v>2.1534001078124701E-3</v>
      </c>
    </row>
    <row r="245" spans="18:21" x14ac:dyDescent="0.2">
      <c r="R245" s="538">
        <f>_xll.qlCalendarAdvance(Calendar,R244,"1D","f")</f>
        <v>42506</v>
      </c>
      <c r="S245" s="167">
        <f>_xll.qlTenorBasisValue($P$3,R245,AllTriggers)</f>
        <v>2.1932736248349671E-3</v>
      </c>
      <c r="T245" s="155">
        <f>_xll.qlDayCounterYearFraction("actual/365 (fixed)",SettlementDate,R245,,,Trigger)</f>
        <v>0.94794520547945205</v>
      </c>
      <c r="U245" s="167">
        <f>_xll.qlPolynomialFunctionValue($P$18,T245,AllTriggers)</f>
        <v>2.1549476443470418E-3</v>
      </c>
    </row>
    <row r="246" spans="18:21" x14ac:dyDescent="0.2">
      <c r="R246" s="538">
        <f>_xll.qlCalendarAdvance(Calendar,R245,"1D","f")</f>
        <v>42507</v>
      </c>
      <c r="S246" s="167">
        <f>_xll.qlTenorBasisValue($P$3,R246,AllTriggers)</f>
        <v>2.1936828561088992E-3</v>
      </c>
      <c r="T246" s="155">
        <f>_xll.qlDayCounterYearFraction("actual/365 (fixed)",SettlementDate,R246,,,Trigger)</f>
        <v>0.9506849315068493</v>
      </c>
      <c r="U246" s="167">
        <f>_xll.qlPolynomialFunctionValue($P$18,T246,AllTriggers)</f>
        <v>2.1554568686503218E-3</v>
      </c>
    </row>
    <row r="247" spans="18:21" x14ac:dyDescent="0.2">
      <c r="R247" s="538">
        <f>_xll.qlCalendarAdvance(Calendar,R246,"1D","f")</f>
        <v>42508</v>
      </c>
      <c r="S247" s="167">
        <f>_xll.qlTenorBasisValue($P$3,R247,AllTriggers)</f>
        <v>2.1940921404521177E-3</v>
      </c>
      <c r="T247" s="155">
        <f>_xll.qlDayCounterYearFraction("actual/365 (fixed)",SettlementDate,R247,,,Trigger)</f>
        <v>0.95342465753424654</v>
      </c>
      <c r="U247" s="167">
        <f>_xll.qlPolynomialFunctionValue($P$18,T247,AllTriggers)</f>
        <v>2.1559628410822282E-3</v>
      </c>
    </row>
    <row r="248" spans="18:21" x14ac:dyDescent="0.2">
      <c r="R248" s="538">
        <f>_xll.qlCalendarAdvance(Calendar,R247,"1D","f")</f>
        <v>42509</v>
      </c>
      <c r="S248" s="167">
        <f>_xll.qlTenorBasisValue($P$3,R248,AllTriggers)</f>
        <v>2.1945015131042706E-3</v>
      </c>
      <c r="T248" s="155">
        <f>_xll.qlDayCounterYearFraction("actual/365 (fixed)",SettlementDate,R248,,,Trigger)</f>
        <v>0.95616438356164379</v>
      </c>
      <c r="U248" s="167">
        <f>_xll.qlPolynomialFunctionValue($P$18,T248,AllTriggers)</f>
        <v>2.1564655968824087E-3</v>
      </c>
    </row>
    <row r="249" spans="18:21" x14ac:dyDescent="0.2">
      <c r="R249" s="538">
        <f>_xll.qlCalendarAdvance(Calendar,R248,"1D","f")</f>
        <v>42510</v>
      </c>
      <c r="S249" s="167">
        <f>_xll.qlTenorBasisValue($P$3,R249,AllTriggers)</f>
        <v>2.1949110093050068E-3</v>
      </c>
      <c r="T249" s="155">
        <f>_xll.qlDayCounterYearFraction("actual/365 (fixed)",SettlementDate,R249,,,Trigger)</f>
        <v>0.95890410958904104</v>
      </c>
      <c r="U249" s="167">
        <f>_xll.qlPolynomialFunctionValue($P$18,T249,AllTriggers)</f>
        <v>2.1569651712905124E-3</v>
      </c>
    </row>
    <row r="250" spans="18:21" x14ac:dyDescent="0.2">
      <c r="R250" s="538">
        <f>_xll.qlCalendarAdvance(Calendar,R249,"1D","f")</f>
        <v>42513</v>
      </c>
      <c r="S250" s="167">
        <f>_xll.qlTenorBasisValue($P$3,R250,AllTriggers)</f>
        <v>2.1961405915952008E-3</v>
      </c>
      <c r="T250" s="155">
        <f>_xll.qlDayCounterYearFraction("actual/365 (fixed)",SettlementDate,R250,,,Trigger)</f>
        <v>0.9671232876712329</v>
      </c>
      <c r="U250" s="167">
        <f>_xll.qlPolynomialFunctionValue($P$18,T250,AllTriggers)</f>
        <v>2.1584451585588502E-3</v>
      </c>
    </row>
    <row r="251" spans="18:21" x14ac:dyDescent="0.2">
      <c r="R251" s="538">
        <f>_xll.qlCalendarAdvance(Calendar,R250,"1D","f")</f>
        <v>42514</v>
      </c>
      <c r="S251" s="167">
        <f>_xll.qlTenorBasisValue($P$3,R251,AllTriggers)</f>
        <v>2.1965509343867561E-3</v>
      </c>
      <c r="T251" s="155">
        <f>_xll.qlDayCounterYearFraction("actual/365 (fixed)",SettlementDate,R251,,,Trigger)</f>
        <v>0.96986301369863015</v>
      </c>
      <c r="U251" s="167">
        <f>_xll.qlPolynomialFunctionValue($P$18,T251,AllTriggers)</f>
        <v>2.1589323597951335E-3</v>
      </c>
    </row>
    <row r="252" spans="18:21" x14ac:dyDescent="0.2">
      <c r="R252" s="538">
        <f>_xll.qlCalendarAdvance(Calendar,R251,"1D","f")</f>
        <v>42515</v>
      </c>
      <c r="S252" s="167">
        <f>_xll.qlTenorBasisValue($P$3,R252,AllTriggers)</f>
        <v>2.1969615769251378E-3</v>
      </c>
      <c r="T252" s="155">
        <f>_xll.qlDayCounterYearFraction("actual/365 (fixed)",SettlementDate,R252,,,Trigger)</f>
        <v>0.9726027397260274</v>
      </c>
      <c r="U252" s="167">
        <f>_xll.qlPolynomialFunctionValue($P$18,T252,AllTriggers)</f>
        <v>2.1594165558375829E-3</v>
      </c>
    </row>
    <row r="253" spans="18:21" x14ac:dyDescent="0.2">
      <c r="R253" s="538">
        <f>_xll.qlCalendarAdvance(Calendar,R252,"1D","f")</f>
        <v>42516</v>
      </c>
      <c r="S253" s="167">
        <f>_xll.qlTenorBasisValue($P$3,R253,AllTriggers)</f>
        <v>2.1973725544499946E-3</v>
      </c>
      <c r="T253" s="155">
        <f>_xll.qlDayCounterYearFraction("actual/365 (fixed)",SettlementDate,R253,,,Trigger)</f>
        <v>0.97534246575342465</v>
      </c>
      <c r="U253" s="167">
        <f>_xll.qlPolynomialFunctionValue($P$18,T253,AllTriggers)</f>
        <v>2.1598977819258479E-3</v>
      </c>
    </row>
    <row r="254" spans="18:21" x14ac:dyDescent="0.2">
      <c r="R254" s="538">
        <f>_xll.qlCalendarAdvance(Calendar,R253,"1D","f")</f>
        <v>42517</v>
      </c>
      <c r="S254" s="167">
        <f>_xll.qlTenorBasisValue($P$3,R254,AllTriggers)</f>
        <v>2.197783902200975E-3</v>
      </c>
      <c r="T254" s="155">
        <f>_xll.qlDayCounterYearFraction("actual/365 (fixed)",SettlementDate,R254,,,Trigger)</f>
        <v>0.9780821917808219</v>
      </c>
      <c r="U254" s="167">
        <f>_xll.qlPolynomialFunctionValue($P$18,T254,AllTriggers)</f>
        <v>2.1603760732995768E-3</v>
      </c>
    </row>
    <row r="255" spans="18:21" x14ac:dyDescent="0.2">
      <c r="R255" s="538">
        <f>_xll.qlCalendarAdvance(Calendar,R254,"1D","f")</f>
        <v>42520</v>
      </c>
      <c r="S255" s="167">
        <f>_xll.qlTenorBasisValue($P$3,R255,AllTriggers)</f>
        <v>2.1990205192071455E-3</v>
      </c>
      <c r="T255" s="155">
        <f>_xll.qlDayCounterYearFraction("actual/365 (fixed)",SettlementDate,R255,,,Trigger)</f>
        <v>0.98630136986301364</v>
      </c>
      <c r="U255" s="167">
        <f>_xll.qlPolynomialFunctionValue($P$18,T255,AllTriggers)</f>
        <v>2.1617936915300315E-3</v>
      </c>
    </row>
    <row r="256" spans="18:21" x14ac:dyDescent="0.2">
      <c r="R256" s="538">
        <f>_xll.qlCalendarAdvance(Calendar,R255,"1D","f")</f>
        <v>42521</v>
      </c>
      <c r="S256" s="167">
        <f>_xll.qlTenorBasisValue($P$3,R256,AllTriggers)</f>
        <v>2.1994337002591078E-3</v>
      </c>
      <c r="T256" s="155">
        <f>_xll.qlDayCounterYearFraction("actual/365 (fixed)",SettlementDate,R256,,,Trigger)</f>
        <v>0.989041095890411</v>
      </c>
      <c r="U256" s="167">
        <f>_xll.qlPolynomialFunctionValue($P$18,T256,AllTriggers)</f>
        <v>2.1622605964421019E-3</v>
      </c>
    </row>
    <row r="257" spans="18:21" x14ac:dyDescent="0.2">
      <c r="R257" s="538">
        <f>_xll.qlCalendarAdvance(Calendar,R256,"1D","f")</f>
        <v>42522</v>
      </c>
      <c r="S257" s="167">
        <f>_xll.qlTenorBasisValue($P$3,R257,AllTriggers)</f>
        <v>2.1998474277354365E-3</v>
      </c>
      <c r="T257" s="155">
        <f>_xll.qlDayCounterYearFraction("actual/365 (fixed)",SettlementDate,R257,,,Trigger)</f>
        <v>0.99178082191780825</v>
      </c>
      <c r="U257" s="167">
        <f>_xll.qlPolynomialFunctionValue($P$18,T257,AllTriggers)</f>
        <v>2.1627247428378793E-3</v>
      </c>
    </row>
    <row r="258" spans="18:21" x14ac:dyDescent="0.2">
      <c r="R258" s="538">
        <f>_xll.qlCalendarAdvance(Calendar,R257,"1D","f")</f>
        <v>42523</v>
      </c>
      <c r="S258" s="167">
        <f>_xll.qlTenorBasisValue($P$3,R258,AllTriggers)</f>
        <v>2.2002617368757811E-3</v>
      </c>
      <c r="T258" s="155">
        <f>_xll.qlDayCounterYearFraction("actual/365 (fixed)",SettlementDate,R258,,,Trigger)</f>
        <v>0.9945205479452055</v>
      </c>
      <c r="U258" s="167">
        <f>_xll.qlPolynomialFunctionValue($P$18,T258,AllTriggers)</f>
        <v>2.1631861659570121E-3</v>
      </c>
    </row>
    <row r="259" spans="18:21" x14ac:dyDescent="0.2">
      <c r="R259" s="538">
        <f>_xll.qlCalendarAdvance(Calendar,R258,"1D","f")</f>
        <v>42524</v>
      </c>
      <c r="S259" s="167">
        <f>_xll.qlTenorBasisValue($P$3,R259,AllTriggers)</f>
        <v>2.2006766629197902E-3</v>
      </c>
      <c r="T259" s="155">
        <f>_xll.qlDayCounterYearFraction("actual/365 (fixed)",SettlementDate,R259,,,Trigger)</f>
        <v>0.99726027397260275</v>
      </c>
      <c r="U259" s="167">
        <f>_xll.qlPolynomialFunctionValue($P$18,T259,AllTriggers)</f>
        <v>2.1636449010391493E-3</v>
      </c>
    </row>
    <row r="260" spans="18:21" x14ac:dyDescent="0.2">
      <c r="R260" s="538">
        <f>_xll.qlCalendarAdvance(Calendar,R259,"1D","f")</f>
        <v>42527</v>
      </c>
      <c r="S260" s="167">
        <f>_xll.qlTenorBasisValue($P$3,R260,AllTriggers)</f>
        <v>2.2019254948702888E-3</v>
      </c>
      <c r="T260" s="155">
        <f>_xll.qlDayCounterYearFraction("actual/365 (fixed)",SettlementDate,R260,,,Trigger)</f>
        <v>1.0054794520547945</v>
      </c>
      <c r="U260" s="167">
        <f>_xll.qlPolynomialFunctionValue($P$18,T260,AllTriggers)</f>
        <v>2.1650053304600736E-3</v>
      </c>
    </row>
    <row r="261" spans="18:21" x14ac:dyDescent="0.2">
      <c r="R261" s="538">
        <f>_xll.qlCalendarAdvance(Calendar,R260,"1D","f")</f>
        <v>42528</v>
      </c>
      <c r="S261" s="167">
        <f>_xll.qlTenorBasisValue($P$3,R261,AllTriggers)</f>
        <v>2.2023432409254413E-3</v>
      </c>
      <c r="T261" s="155">
        <f>_xll.qlDayCounterYearFraction("actual/365 (fixed)",SettlementDate,R261,,,Trigger)</f>
        <v>1.0082191780821919</v>
      </c>
      <c r="U261" s="167">
        <f>_xll.qlPolynomialFunctionValue($P$18,T261,AllTriggers)</f>
        <v>2.165453665790715E-3</v>
      </c>
    </row>
    <row r="262" spans="18:21" x14ac:dyDescent="0.2">
      <c r="R262" s="539">
        <f>_xll.qlCalendarAdvance(Calendar,R261,"1D","f")</f>
        <v>42529</v>
      </c>
      <c r="S262" s="176">
        <f>_xll.qlTenorBasisValue($P$3,R262,AllTriggers)</f>
        <v>2.2027617800825013E-3</v>
      </c>
      <c r="T262" s="160">
        <f>_xll.qlDayCounterYearFraction("actual/365 (fixed)",SettlementDate,R262,,,Trigger)</f>
        <v>1.010958904109589</v>
      </c>
      <c r="U262" s="176">
        <f>_xll.qlPolynomialFunctionValue($P$18,T262,AllTriggers)</f>
        <v>2.1658994892826034E-3</v>
      </c>
    </row>
    <row r="263" spans="18:21" x14ac:dyDescent="0.2">
      <c r="R263" s="245"/>
    </row>
    <row r="264" spans="18:21" x14ac:dyDescent="0.2">
      <c r="R264" s="245"/>
    </row>
    <row r="265" spans="18:21" x14ac:dyDescent="0.2">
      <c r="R265" s="245"/>
    </row>
    <row r="266" spans="18:21" x14ac:dyDescent="0.2">
      <c r="R266" s="245"/>
    </row>
    <row r="267" spans="18:21" x14ac:dyDescent="0.2">
      <c r="R267" s="245"/>
    </row>
    <row r="268" spans="18:21" x14ac:dyDescent="0.2">
      <c r="R268" s="245"/>
    </row>
    <row r="269" spans="18:21" x14ac:dyDescent="0.2">
      <c r="R269" s="245"/>
    </row>
    <row r="270" spans="18:21" x14ac:dyDescent="0.2">
      <c r="R270" s="245"/>
    </row>
    <row r="271" spans="18:21" x14ac:dyDescent="0.2">
      <c r="R271" s="245"/>
    </row>
    <row r="272" spans="18:21" x14ac:dyDescent="0.2">
      <c r="R272" s="245"/>
    </row>
    <row r="273" spans="18:18" x14ac:dyDescent="0.2">
      <c r="R273" s="245"/>
    </row>
    <row r="274" spans="18:18" x14ac:dyDescent="0.2">
      <c r="R274" s="245"/>
    </row>
    <row r="275" spans="18:18" x14ac:dyDescent="0.2">
      <c r="R275" s="245"/>
    </row>
    <row r="276" spans="18:18" x14ac:dyDescent="0.2">
      <c r="R276" s="245"/>
    </row>
    <row r="277" spans="18:18" x14ac:dyDescent="0.2">
      <c r="R277" s="245"/>
    </row>
    <row r="278" spans="18:18" x14ac:dyDescent="0.2">
      <c r="R278" s="245"/>
    </row>
    <row r="279" spans="18:18" x14ac:dyDescent="0.2">
      <c r="R279" s="245"/>
    </row>
    <row r="280" spans="18:18" x14ac:dyDescent="0.2">
      <c r="R280" s="245"/>
    </row>
    <row r="281" spans="18:18" x14ac:dyDescent="0.2">
      <c r="R281" s="245"/>
    </row>
    <row r="282" spans="18:18" x14ac:dyDescent="0.2">
      <c r="R282" s="245"/>
    </row>
    <row r="283" spans="18:18" x14ac:dyDescent="0.2">
      <c r="R283" s="245"/>
    </row>
    <row r="284" spans="18:18" x14ac:dyDescent="0.2">
      <c r="R284" s="245"/>
    </row>
    <row r="285" spans="18:18" x14ac:dyDescent="0.2">
      <c r="R285" s="245"/>
    </row>
    <row r="286" spans="18:18" x14ac:dyDescent="0.2">
      <c r="R286" s="245"/>
    </row>
    <row r="287" spans="18:18" x14ac:dyDescent="0.2">
      <c r="R287" s="245"/>
    </row>
    <row r="288" spans="18:18" x14ac:dyDescent="0.2">
      <c r="R288" s="245"/>
    </row>
    <row r="289" spans="18:18" x14ac:dyDescent="0.2">
      <c r="R289" s="245"/>
    </row>
    <row r="290" spans="18:18" x14ac:dyDescent="0.2">
      <c r="R290" s="245"/>
    </row>
    <row r="291" spans="18:18" x14ac:dyDescent="0.2">
      <c r="R291" s="245"/>
    </row>
    <row r="292" spans="18:18" x14ac:dyDescent="0.2">
      <c r="R292" s="245"/>
    </row>
    <row r="293" spans="18:18" x14ac:dyDescent="0.2">
      <c r="R293" s="245"/>
    </row>
    <row r="294" spans="18:18" x14ac:dyDescent="0.2">
      <c r="R294" s="245"/>
    </row>
    <row r="295" spans="18:18" x14ac:dyDescent="0.2">
      <c r="R295" s="245"/>
    </row>
    <row r="296" spans="18:18" x14ac:dyDescent="0.2">
      <c r="R296" s="245"/>
    </row>
    <row r="297" spans="18:18" x14ac:dyDescent="0.2">
      <c r="R297" s="245"/>
    </row>
    <row r="298" spans="18:18" x14ac:dyDescent="0.2">
      <c r="R298" s="245"/>
    </row>
    <row r="299" spans="18:18" x14ac:dyDescent="0.2">
      <c r="R299" s="245"/>
    </row>
    <row r="300" spans="18:18" x14ac:dyDescent="0.2">
      <c r="R300" s="245"/>
    </row>
    <row r="301" spans="18:18" x14ac:dyDescent="0.2">
      <c r="R301" s="245"/>
    </row>
    <row r="302" spans="18:18" x14ac:dyDescent="0.2">
      <c r="R302" s="245"/>
    </row>
    <row r="303" spans="18:18" x14ac:dyDescent="0.2">
      <c r="R303" s="245"/>
    </row>
    <row r="304" spans="18:18" x14ac:dyDescent="0.2">
      <c r="R304" s="245"/>
    </row>
    <row r="305" spans="18:18" x14ac:dyDescent="0.2">
      <c r="R305" s="245"/>
    </row>
    <row r="306" spans="18:18" x14ac:dyDescent="0.2">
      <c r="R306" s="245"/>
    </row>
    <row r="307" spans="18:18" x14ac:dyDescent="0.2">
      <c r="R307" s="245"/>
    </row>
    <row r="308" spans="18:18" x14ac:dyDescent="0.2">
      <c r="R308" s="245"/>
    </row>
    <row r="309" spans="18:18" x14ac:dyDescent="0.2">
      <c r="R309" s="245"/>
    </row>
    <row r="310" spans="18:18" x14ac:dyDescent="0.2">
      <c r="R310" s="245"/>
    </row>
    <row r="311" spans="18:18" x14ac:dyDescent="0.2">
      <c r="R311" s="245"/>
    </row>
    <row r="312" spans="18:18" x14ac:dyDescent="0.2">
      <c r="R312" s="245"/>
    </row>
    <row r="313" spans="18:18" x14ac:dyDescent="0.2">
      <c r="R313" s="245"/>
    </row>
    <row r="314" spans="18:18" x14ac:dyDescent="0.2">
      <c r="R314" s="245"/>
    </row>
    <row r="315" spans="18:18" x14ac:dyDescent="0.2">
      <c r="R315" s="245"/>
    </row>
    <row r="316" spans="18:18" x14ac:dyDescent="0.2">
      <c r="R316" s="245"/>
    </row>
    <row r="317" spans="18:18" x14ac:dyDescent="0.2">
      <c r="R317" s="245"/>
    </row>
    <row r="318" spans="18:18" x14ac:dyDescent="0.2">
      <c r="R318" s="245"/>
    </row>
    <row r="319" spans="18:18" x14ac:dyDescent="0.2">
      <c r="R319" s="245"/>
    </row>
    <row r="320" spans="18:18" x14ac:dyDescent="0.2">
      <c r="R320" s="245"/>
    </row>
    <row r="321" spans="18:18" x14ac:dyDescent="0.2">
      <c r="R321" s="245"/>
    </row>
    <row r="322" spans="18:18" x14ac:dyDescent="0.2">
      <c r="R322" s="245"/>
    </row>
    <row r="323" spans="18:18" x14ac:dyDescent="0.2">
      <c r="R323" s="245"/>
    </row>
    <row r="324" spans="18:18" x14ac:dyDescent="0.2">
      <c r="R324" s="245"/>
    </row>
    <row r="325" spans="18:18" x14ac:dyDescent="0.2">
      <c r="R325" s="245"/>
    </row>
    <row r="326" spans="18:18" x14ac:dyDescent="0.2">
      <c r="R326" s="245"/>
    </row>
    <row r="327" spans="18:18" x14ac:dyDescent="0.2">
      <c r="R327" s="245"/>
    </row>
    <row r="328" spans="18:18" x14ac:dyDescent="0.2">
      <c r="R328" s="245"/>
    </row>
    <row r="329" spans="18:18" x14ac:dyDescent="0.2">
      <c r="R329" s="245"/>
    </row>
    <row r="330" spans="18:18" x14ac:dyDescent="0.2">
      <c r="R330" s="245"/>
    </row>
    <row r="331" spans="18:18" x14ac:dyDescent="0.2">
      <c r="R331" s="245"/>
    </row>
    <row r="332" spans="18:18" x14ac:dyDescent="0.2">
      <c r="R332" s="245"/>
    </row>
    <row r="333" spans="18:18" x14ac:dyDescent="0.2">
      <c r="R333" s="245"/>
    </row>
    <row r="334" spans="18:18" x14ac:dyDescent="0.2">
      <c r="R334" s="245"/>
    </row>
    <row r="335" spans="18:18" x14ac:dyDescent="0.2">
      <c r="R335" s="245"/>
    </row>
    <row r="336" spans="18:18" x14ac:dyDescent="0.2">
      <c r="R336" s="245"/>
    </row>
    <row r="337" spans="18:18" x14ac:dyDescent="0.2">
      <c r="R337" s="245"/>
    </row>
    <row r="338" spans="18:18" x14ac:dyDescent="0.2">
      <c r="R338" s="245"/>
    </row>
    <row r="339" spans="18:18" x14ac:dyDescent="0.2">
      <c r="R339" s="245"/>
    </row>
    <row r="340" spans="18:18" x14ac:dyDescent="0.2">
      <c r="R340" s="245"/>
    </row>
    <row r="341" spans="18:18" x14ac:dyDescent="0.2">
      <c r="R341" s="245"/>
    </row>
    <row r="342" spans="18:18" x14ac:dyDescent="0.2">
      <c r="R342" s="245"/>
    </row>
    <row r="343" spans="18:18" x14ac:dyDescent="0.2">
      <c r="R343" s="245"/>
    </row>
    <row r="344" spans="18:18" x14ac:dyDescent="0.2">
      <c r="R344" s="245"/>
    </row>
    <row r="345" spans="18:18" x14ac:dyDescent="0.2">
      <c r="R345" s="245"/>
    </row>
    <row r="346" spans="18:18" x14ac:dyDescent="0.2">
      <c r="R346" s="245"/>
    </row>
    <row r="347" spans="18:18" x14ac:dyDescent="0.2">
      <c r="R347" s="245"/>
    </row>
    <row r="348" spans="18:18" x14ac:dyDescent="0.2">
      <c r="R348" s="245"/>
    </row>
    <row r="349" spans="18:18" x14ac:dyDescent="0.2">
      <c r="R349" s="245"/>
    </row>
    <row r="350" spans="18:18" x14ac:dyDescent="0.2">
      <c r="R350" s="245"/>
    </row>
    <row r="351" spans="18:18" x14ac:dyDescent="0.2">
      <c r="R351" s="245"/>
    </row>
    <row r="352" spans="18:18" x14ac:dyDescent="0.2">
      <c r="R352" s="245"/>
    </row>
    <row r="353" spans="18:18" x14ac:dyDescent="0.2">
      <c r="R353" s="245"/>
    </row>
    <row r="354" spans="18:18" x14ac:dyDescent="0.2">
      <c r="R354" s="245"/>
    </row>
    <row r="355" spans="18:18" x14ac:dyDescent="0.2">
      <c r="R355" s="245"/>
    </row>
    <row r="356" spans="18:18" x14ac:dyDescent="0.2">
      <c r="R356" s="245"/>
    </row>
    <row r="357" spans="18:18" x14ac:dyDescent="0.2">
      <c r="R357" s="245"/>
    </row>
    <row r="358" spans="18:18" x14ac:dyDescent="0.2">
      <c r="R358" s="245"/>
    </row>
    <row r="359" spans="18:18" x14ac:dyDescent="0.2">
      <c r="R359" s="245"/>
    </row>
    <row r="360" spans="18:18" x14ac:dyDescent="0.2">
      <c r="R360" s="245"/>
    </row>
    <row r="361" spans="18:18" x14ac:dyDescent="0.2">
      <c r="R361" s="245"/>
    </row>
    <row r="362" spans="18:18" x14ac:dyDescent="0.2">
      <c r="R362" s="245"/>
    </row>
    <row r="363" spans="18:18" x14ac:dyDescent="0.2">
      <c r="R363" s="245"/>
    </row>
    <row r="364" spans="18:18" x14ac:dyDescent="0.2">
      <c r="R364" s="245"/>
    </row>
    <row r="365" spans="18:18" x14ac:dyDescent="0.2">
      <c r="R365" s="245"/>
    </row>
    <row r="366" spans="18:18" x14ac:dyDescent="0.2">
      <c r="R366" s="245"/>
    </row>
    <row r="367" spans="18:18" x14ac:dyDescent="0.2">
      <c r="R367" s="245"/>
    </row>
    <row r="368" spans="18:18" x14ac:dyDescent="0.2">
      <c r="R368" s="245"/>
    </row>
    <row r="369" spans="18:18" x14ac:dyDescent="0.2">
      <c r="R369" s="245"/>
    </row>
    <row r="370" spans="18:18" x14ac:dyDescent="0.2">
      <c r="R370" s="245"/>
    </row>
    <row r="371" spans="18:18" x14ac:dyDescent="0.2">
      <c r="R371" s="245"/>
    </row>
    <row r="372" spans="18:18" x14ac:dyDescent="0.2">
      <c r="R372" s="245"/>
    </row>
    <row r="373" spans="18:18" x14ac:dyDescent="0.2">
      <c r="R373" s="245"/>
    </row>
    <row r="374" spans="18:18" x14ac:dyDescent="0.2">
      <c r="R374" s="245"/>
    </row>
    <row r="375" spans="18:18" x14ac:dyDescent="0.2">
      <c r="R375" s="245"/>
    </row>
    <row r="376" spans="18:18" x14ac:dyDescent="0.2">
      <c r="R376" s="245"/>
    </row>
    <row r="377" spans="18:18" x14ac:dyDescent="0.2">
      <c r="R377" s="245"/>
    </row>
    <row r="378" spans="18:18" x14ac:dyDescent="0.2">
      <c r="R378" s="245"/>
    </row>
    <row r="379" spans="18:18" x14ac:dyDescent="0.2">
      <c r="R379" s="245"/>
    </row>
    <row r="380" spans="18:18" x14ac:dyDescent="0.2">
      <c r="R380" s="245"/>
    </row>
    <row r="381" spans="18:18" x14ac:dyDescent="0.2">
      <c r="R381" s="245"/>
    </row>
    <row r="382" spans="18:18" x14ac:dyDescent="0.2">
      <c r="R382" s="245"/>
    </row>
    <row r="383" spans="18:18" x14ac:dyDescent="0.2">
      <c r="R383" s="245"/>
    </row>
    <row r="384" spans="18:18" x14ac:dyDescent="0.2">
      <c r="R384" s="24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N154"/>
  <sheetViews>
    <sheetView tabSelected="1" topLeftCell="C1" workbookViewId="0">
      <selection activeCell="F23" sqref="F23"/>
    </sheetView>
  </sheetViews>
  <sheetFormatPr defaultColWidth="9.5" defaultRowHeight="11.25" outlineLevelCol="1" x14ac:dyDescent="0.2"/>
  <cols>
    <col min="1" max="2" width="3.5" style="115" customWidth="1"/>
    <col min="3" max="3" width="19.5" style="115" customWidth="1"/>
    <col min="4" max="4" width="17.83203125" style="115" bestFit="1" customWidth="1"/>
    <col min="5" max="5" width="12.83203125" style="115" bestFit="1" customWidth="1"/>
    <col min="6" max="6" width="16.83203125" style="115" customWidth="1"/>
    <col min="7" max="16" width="12.83203125" style="115" customWidth="1"/>
    <col min="17" max="17" width="19" style="115" bestFit="1" customWidth="1"/>
    <col min="18" max="19" width="12.83203125" style="115" customWidth="1"/>
    <col min="20" max="20" width="11.6640625" style="115" bestFit="1" customWidth="1"/>
    <col min="21" max="21" width="19.6640625" style="115" customWidth="1"/>
    <col min="22" max="25" width="12.83203125" style="115" customWidth="1"/>
    <col min="26" max="27" width="2.83203125" style="115" customWidth="1"/>
    <col min="28" max="28" width="6.83203125" style="115" customWidth="1"/>
    <col min="29" max="29" width="7" style="115" bestFit="1" customWidth="1"/>
    <col min="30" max="30" width="10.5" style="115" bestFit="1" customWidth="1"/>
    <col min="31" max="31" width="2.33203125" style="115" bestFit="1" customWidth="1"/>
    <col min="32" max="32" width="10.5" style="115" bestFit="1" customWidth="1"/>
    <col min="33" max="33" width="2.33203125" style="115" bestFit="1" customWidth="1"/>
    <col min="34" max="34" width="10.5" style="115" bestFit="1" customWidth="1"/>
    <col min="35" max="35" width="10.6640625" style="115" hidden="1" customWidth="1" outlineLevel="1"/>
    <col min="36" max="36" width="10.5" style="115" hidden="1" customWidth="1" outlineLevel="1"/>
    <col min="37" max="37" width="8.1640625" style="115" hidden="1" customWidth="1" outlineLevel="1"/>
    <col min="38" max="39" width="2.83203125" style="115" customWidth="1" collapsed="1"/>
    <col min="40" max="40" width="5.83203125" style="115" bestFit="1" customWidth="1"/>
    <col min="41" max="41" width="7" style="115" bestFit="1" customWidth="1"/>
    <col min="42" max="42" width="5.83203125" style="115" bestFit="1" customWidth="1"/>
    <col min="43" max="43" width="2.33203125" style="115" bestFit="1" customWidth="1"/>
    <col min="44" max="44" width="10.5" style="115" bestFit="1" customWidth="1"/>
    <col min="45" max="45" width="2.33203125" style="115" bestFit="1" customWidth="1"/>
    <col min="46" max="46" width="9.33203125" style="115" bestFit="1" customWidth="1"/>
    <col min="47" max="47" width="8.1640625" style="115" hidden="1" customWidth="1" outlineLevel="1"/>
    <col min="48" max="48" width="10.5" style="115" hidden="1" customWidth="1" outlineLevel="1"/>
    <col min="49" max="49" width="8.1640625" style="115" hidden="1" customWidth="1" outlineLevel="1"/>
    <col min="50" max="50" width="2.83203125" style="115" customWidth="1" collapsed="1"/>
    <col min="51" max="56" width="2.83203125" style="115" customWidth="1"/>
    <col min="57" max="57" width="12.83203125" style="115" bestFit="1" customWidth="1"/>
    <col min="58" max="58" width="8.1640625" style="115" bestFit="1" customWidth="1"/>
    <col min="59" max="66" width="14.83203125" style="115" customWidth="1"/>
    <col min="67" max="16384" width="9.5" style="115"/>
  </cols>
  <sheetData>
    <row r="1" spans="1:66" x14ac:dyDescent="0.2">
      <c r="C1" s="372" t="s">
        <v>143</v>
      </c>
      <c r="D1" s="373"/>
      <c r="E1" s="373"/>
      <c r="F1" s="373"/>
      <c r="G1" s="373"/>
      <c r="H1" s="373"/>
      <c r="I1" s="373"/>
      <c r="J1" s="373"/>
      <c r="K1" s="373"/>
      <c r="L1" s="373"/>
      <c r="M1" s="549"/>
      <c r="N1" s="549"/>
      <c r="O1" s="549"/>
      <c r="P1" s="549"/>
      <c r="Q1" s="549"/>
      <c r="R1" s="549"/>
      <c r="S1" s="372" t="str">
        <f>"with 0X"&amp;SUBSTITUTE($D$23,"M","")</f>
        <v>with 0X6</v>
      </c>
      <c r="T1" s="374"/>
      <c r="U1" s="373" t="str">
        <f>"without 0X"&amp;SUBSTITUTE($D$23,"M","")</f>
        <v>without 0X6</v>
      </c>
      <c r="V1" s="374"/>
      <c r="AJ1" s="325"/>
      <c r="AK1" s="325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G1" s="385" t="s">
        <v>143</v>
      </c>
      <c r="BH1" s="379"/>
      <c r="BI1" s="379"/>
      <c r="BJ1" s="378"/>
      <c r="BK1" s="385" t="s">
        <v>144</v>
      </c>
      <c r="BL1" s="379"/>
      <c r="BM1" s="379"/>
      <c r="BN1" s="378"/>
    </row>
    <row r="2" spans="1:66" ht="21.75" customHeight="1" x14ac:dyDescent="0.2">
      <c r="C2" s="142" t="s">
        <v>85</v>
      </c>
      <c r="D2" s="142" t="s">
        <v>197</v>
      </c>
      <c r="E2" s="142" t="s">
        <v>198</v>
      </c>
      <c r="F2" s="142" t="s">
        <v>125</v>
      </c>
      <c r="G2" s="142" t="str">
        <f>"F "&amp;$D$23</f>
        <v>F 6M</v>
      </c>
      <c r="H2" s="142" t="str">
        <f>"B "&amp;$D$23</f>
        <v>B 6M</v>
      </c>
      <c r="I2" s="142" t="s">
        <v>178</v>
      </c>
      <c r="J2" s="142" t="s">
        <v>92</v>
      </c>
      <c r="K2" s="143" t="s">
        <v>93</v>
      </c>
      <c r="L2" s="142" t="s">
        <v>94</v>
      </c>
      <c r="M2" s="142" t="s">
        <v>126</v>
      </c>
      <c r="N2" s="142" t="s">
        <v>130</v>
      </c>
      <c r="O2" s="142" t="s">
        <v>131</v>
      </c>
      <c r="P2" s="142" t="s">
        <v>92</v>
      </c>
      <c r="Q2" s="143" t="s">
        <v>93</v>
      </c>
      <c r="R2" s="142" t="s">
        <v>94</v>
      </c>
      <c r="S2" s="142" t="s">
        <v>83</v>
      </c>
      <c r="T2" s="142" t="s">
        <v>84</v>
      </c>
      <c r="U2" s="142" t="s">
        <v>83</v>
      </c>
      <c r="V2" s="142" t="s">
        <v>84</v>
      </c>
      <c r="AA2" s="115" t="s">
        <v>199</v>
      </c>
      <c r="AM2" s="115" t="s">
        <v>196</v>
      </c>
      <c r="AZ2" s="117"/>
      <c r="BA2" s="117"/>
      <c r="BB2" s="117"/>
      <c r="BC2" s="117"/>
      <c r="BG2" s="372" t="str">
        <f>G31</f>
        <v>with 0X6</v>
      </c>
      <c r="BH2" s="374"/>
      <c r="BI2" s="373" t="str">
        <f>I31</f>
        <v>without 0X6</v>
      </c>
      <c r="BJ2" s="374"/>
      <c r="BK2" s="372" t="str">
        <f>O31</f>
        <v>with 0X6</v>
      </c>
      <c r="BL2" s="374"/>
      <c r="BM2" s="373" t="str">
        <f>Q31</f>
        <v>without 0X6</v>
      </c>
      <c r="BN2" s="374"/>
    </row>
    <row r="3" spans="1:66" ht="12" customHeight="1" x14ac:dyDescent="0.2">
      <c r="A3" s="117">
        <f>'6MSynthDepo_used'!A3</f>
        <v>0</v>
      </c>
      <c r="B3" s="198">
        <f t="shared" ref="B3:B9" si="0">A3+SUBSTITUTE($D$23,"M","")</f>
        <v>6</v>
      </c>
      <c r="C3" s="466" t="str">
        <f>"B"&amp;$D$23&amp;"_"&amp;A3&amp;"X"&amp;B3&amp;$D$26</f>
        <v>B6M_0X6ESTIMATED</v>
      </c>
      <c r="D3" s="494">
        <f>SettlementDate</f>
        <v>42160</v>
      </c>
      <c r="E3" s="494">
        <f>_xll.qlInterestRateIndexMaturity($D$24,D3)</f>
        <v>42345</v>
      </c>
      <c r="F3" s="467">
        <f>_xll.qlIndexFixing(ON_6M_index,_xll.qlInterestRateIndexFixingDate(ON_6M_index,D3,Trigger),,AllTriggers)</f>
        <v>-1.2636445875036217E-3</v>
      </c>
      <c r="G3" s="467">
        <f>H3+F3</f>
        <v>5.4465800364408433E-4</v>
      </c>
      <c r="H3" s="467">
        <f>_xll.qlQuoteValue(C3,_xll.ohTrigger(AllTriggers,'6MSynthDepo_used'!E3))</f>
        <v>1.808302591147706E-3</v>
      </c>
      <c r="I3" s="468">
        <f>_xll.qlDayCounterYearFraction(DayCounter,SettlementDate,D3,,,Trigger)</f>
        <v>0</v>
      </c>
      <c r="J3" s="468">
        <f>1</f>
        <v>1</v>
      </c>
      <c r="K3" s="468">
        <f t="shared" ref="K3:K9" si="1">I3</f>
        <v>0</v>
      </c>
      <c r="L3" s="468">
        <f t="shared" ref="L3:L9" si="2">I3^2</f>
        <v>0</v>
      </c>
      <c r="M3" s="543">
        <f>LN((1+G3*_xll.qlDayCounterYearFraction(DayCounter,D3,E3,,,Trigger))/(1+F3*_xll.qlDayCounterYearFraction(DayCounter,D3,E3,,,Trigger)))</f>
        <v>9.2943838031825507E-4</v>
      </c>
      <c r="N3" s="468">
        <f>_xll.qlDayCounterYearFraction(DayCounter,SettlementDate,D3,,,Trigger)</f>
        <v>0</v>
      </c>
      <c r="O3" s="468">
        <f>_xll.qlDayCounterYearFraction(DayCounter,SettlementDate,E3,,,Trigger)</f>
        <v>0.51388888888888884</v>
      </c>
      <c r="P3" s="468">
        <f>O3-N3</f>
        <v>0.51388888888888884</v>
      </c>
      <c r="Q3" s="468">
        <f>(O3^2-N3^2)/2</f>
        <v>0.13204089506172836</v>
      </c>
      <c r="R3" s="468">
        <f>(O3^3-N3^3)/3</f>
        <v>4.5236232567443968E-2</v>
      </c>
      <c r="S3" s="469" t="b">
        <v>1</v>
      </c>
      <c r="T3" s="469" t="b">
        <v>1</v>
      </c>
      <c r="U3" s="469" t="b">
        <v>0</v>
      </c>
      <c r="V3" s="469" t="b">
        <v>0</v>
      </c>
      <c r="Y3" s="141"/>
      <c r="AA3" s="545" t="s">
        <v>83</v>
      </c>
      <c r="AB3" s="546"/>
      <c r="AC3" s="546"/>
      <c r="AD3" s="546"/>
      <c r="AE3" s="546"/>
      <c r="AF3" s="546"/>
      <c r="AG3" s="546"/>
      <c r="AH3" s="546"/>
      <c r="AI3" s="546"/>
      <c r="AJ3" s="547"/>
      <c r="AK3" s="547"/>
      <c r="AL3" s="548"/>
      <c r="AM3" s="545"/>
      <c r="AN3" s="546"/>
      <c r="AO3" s="546"/>
      <c r="AP3" s="546"/>
      <c r="AQ3" s="546"/>
      <c r="AR3" s="546"/>
      <c r="AS3" s="546"/>
      <c r="AT3" s="546"/>
      <c r="AU3" s="546"/>
      <c r="AV3" s="547"/>
      <c r="AW3" s="547"/>
      <c r="AX3" s="548"/>
      <c r="AZ3" s="117"/>
      <c r="BA3" s="117"/>
      <c r="BB3" s="117"/>
      <c r="BC3" s="117"/>
      <c r="BE3" s="142" t="s">
        <v>70</v>
      </c>
      <c r="BF3" s="142" t="s">
        <v>122</v>
      </c>
      <c r="BG3" s="142" t="str">
        <f>G32</f>
        <v>Linear</v>
      </c>
      <c r="BH3" s="142" t="str">
        <f>H32</f>
        <v>Quadratic</v>
      </c>
      <c r="BI3" s="142" t="str">
        <f>I32</f>
        <v>Linear</v>
      </c>
      <c r="BJ3" s="142" t="str">
        <f>J32</f>
        <v>Quadratic</v>
      </c>
      <c r="BK3" s="142" t="str">
        <f>O32</f>
        <v>Linear</v>
      </c>
      <c r="BL3" s="142" t="str">
        <f>P32</f>
        <v>Quadratic</v>
      </c>
      <c r="BM3" s="142" t="str">
        <f>Q32</f>
        <v>Linear</v>
      </c>
      <c r="BN3" s="142" t="str">
        <f>R32</f>
        <v>Quadratic</v>
      </c>
    </row>
    <row r="4" spans="1:66" ht="12" customHeight="1" x14ac:dyDescent="0.2">
      <c r="A4" s="117">
        <f>'6MSynthDepo_used'!A5</f>
        <v>1</v>
      </c>
      <c r="B4" s="198">
        <f t="shared" si="0"/>
        <v>7</v>
      </c>
      <c r="C4" s="152" t="str">
        <f>"B"&amp;$D$23&amp;"_"&amp;A4&amp;"X"&amp;B4</f>
        <v>B6M_1X7</v>
      </c>
      <c r="D4" s="485">
        <f>_xll.qlCalendarAdvance(Calendar,SettlementDate,A4&amp;"M","mf")</f>
        <v>42191</v>
      </c>
      <c r="E4" s="485">
        <f>_xll.qlInterestRateIndexMaturity($D$24,D4)</f>
        <v>42375</v>
      </c>
      <c r="F4" s="187">
        <f>_xll.qlIndexFixing(ON_6M_index,_xll.qlInterestRateIndexFixingDate(ON_6M_index,D4,Trigger),,AllTriggers)</f>
        <v>-1.2402851465069713E-3</v>
      </c>
      <c r="G4" s="187">
        <f t="shared" ref="G4:G9" si="3">H4+F4</f>
        <v>6.3999999999999994E-4</v>
      </c>
      <c r="H4" s="187">
        <f>_xll.qlQuoteValue(C4,_xll.ohTrigger(AllTriggers,'6MSynthDepo_used'!E5))</f>
        <v>1.8802851465069713E-3</v>
      </c>
      <c r="I4" s="155">
        <f>_xll.qlDayCounterYearFraction(DayCounter,SettlementDate,D4,,,Trigger)</f>
        <v>8.611111111111111E-2</v>
      </c>
      <c r="J4" s="155">
        <f>1</f>
        <v>1</v>
      </c>
      <c r="K4" s="155">
        <f t="shared" si="1"/>
        <v>8.611111111111111E-2</v>
      </c>
      <c r="L4" s="155">
        <f t="shared" si="2"/>
        <v>7.4151234567901231E-3</v>
      </c>
      <c r="M4" s="154">
        <f>LN((1+G4*_xll.qlDayCounterYearFraction(DayCounter,D4,E4,,,Trigger))/(1+F4*_xll.qlDayCounterYearFraction(DayCounter,D4,E4,,,Trigger)))</f>
        <v>9.6118215573219416E-4</v>
      </c>
      <c r="N4" s="155">
        <f>_xll.qlDayCounterYearFraction(DayCounter,SettlementDate,D4,,,Trigger)</f>
        <v>8.611111111111111E-2</v>
      </c>
      <c r="O4" s="155">
        <f>_xll.qlDayCounterYearFraction(DayCounter,SettlementDate,E4,,,Trigger)</f>
        <v>0.59722222222222221</v>
      </c>
      <c r="P4" s="155">
        <f t="shared" ref="P4:P9" si="4">O4-N4</f>
        <v>0.51111111111111107</v>
      </c>
      <c r="Q4" s="155">
        <f t="shared" ref="Q4:Q9" si="5">(O4^2-N4^2)/2</f>
        <v>0.17462962962962961</v>
      </c>
      <c r="R4" s="155">
        <f t="shared" ref="R4:R9" si="6">(O4^3-N4^3)/3</f>
        <v>7.0791780978509369E-2</v>
      </c>
      <c r="S4" s="370" t="b">
        <v>1</v>
      </c>
      <c r="T4" s="370" t="b">
        <v>1</v>
      </c>
      <c r="U4" s="370" t="b">
        <v>1</v>
      </c>
      <c r="V4" s="370" t="b">
        <v>1</v>
      </c>
      <c r="AA4" s="339" t="s">
        <v>141</v>
      </c>
      <c r="AB4" s="117"/>
      <c r="AC4" s="117"/>
      <c r="AD4" s="117"/>
      <c r="AE4" s="117"/>
      <c r="AF4" s="365" t="s">
        <v>91</v>
      </c>
      <c r="AG4" s="136"/>
      <c r="AH4" s="118"/>
      <c r="AI4" s="117"/>
      <c r="AJ4" s="117"/>
      <c r="AK4" s="117"/>
      <c r="AL4" s="352"/>
      <c r="AM4" s="339"/>
      <c r="AN4" s="117"/>
      <c r="AO4" s="117"/>
      <c r="AP4" s="117"/>
      <c r="AQ4" s="117"/>
      <c r="AR4" s="365" t="s">
        <v>91</v>
      </c>
      <c r="AS4" s="136"/>
      <c r="AT4" s="118"/>
      <c r="AU4" s="117"/>
      <c r="AV4" s="117"/>
      <c r="AW4" s="117"/>
      <c r="AX4" s="352"/>
      <c r="AZ4" s="117"/>
      <c r="BA4" s="117"/>
      <c r="BB4" s="117"/>
      <c r="BC4" s="117"/>
      <c r="BE4" s="484">
        <f>SettlementDate</f>
        <v>42160</v>
      </c>
      <c r="BF4" s="155">
        <f>_xll.qlDayCounterYearFraction(DayCounter,SettlementDate,BE4,,,Trigger)</f>
        <v>0</v>
      </c>
      <c r="BG4" s="167" t="e">
        <f>_xll.qlPolynomialFunctionValue(G$23,$BF4)</f>
        <v>#NUM!</v>
      </c>
      <c r="BH4" s="180" t="e">
        <f>_xll.qlPolynomialFunctionValue(H$23,$BF4)</f>
        <v>#NUM!</v>
      </c>
      <c r="BI4" s="497" t="e">
        <f>_xll.qlPolynomialFunctionValue(I$23,$BF4)</f>
        <v>#NUM!</v>
      </c>
      <c r="BJ4" s="180" t="e">
        <f>_xll.qlPolynomialFunctionValue(J$23,$BF4)</f>
        <v>#NUM!</v>
      </c>
      <c r="BK4" s="180" t="e">
        <f>_xll.qlPolynomialFunctionValue(O$23,$BF4)</f>
        <v>#NUM!</v>
      </c>
      <c r="BL4" s="180" t="e">
        <f>_xll.qlPolynomialFunctionValue(P$23,$BF4)</f>
        <v>#NUM!</v>
      </c>
      <c r="BM4" s="180" t="e">
        <f>_xll.qlPolynomialFunctionValue(Q$23,$BF4)</f>
        <v>#NUM!</v>
      </c>
      <c r="BN4" s="180" t="e">
        <f>_xll.qlPolynomialFunctionValue(R$23,$BF4)</f>
        <v>#NUM!</v>
      </c>
    </row>
    <row r="5" spans="1:66" ht="12" customHeight="1" x14ac:dyDescent="0.2">
      <c r="A5" s="117">
        <f>'6MSynthDepo_used'!A6</f>
        <v>2</v>
      </c>
      <c r="B5" s="198">
        <f t="shared" si="0"/>
        <v>8</v>
      </c>
      <c r="C5" s="152" t="str">
        <f t="shared" ref="C5:C9" si="7">"B"&amp;$D$23&amp;"_"&amp;A5&amp;"X"&amp;B5</f>
        <v>B6M_2X8</v>
      </c>
      <c r="D5" s="485">
        <f>_xll.qlCalendarAdvance(Calendar,SettlementDate,A5&amp;"M","mf")</f>
        <v>42221</v>
      </c>
      <c r="E5" s="485">
        <f>_xll.qlInterestRateIndexMaturity($D$24,D5)</f>
        <v>42405</v>
      </c>
      <c r="F5" s="187">
        <f>_xll.qlIndexFixing(ON_6M_index,_xll.qlInterestRateIndexFixingDate(ON_6M_index,D5,Trigger),,AllTriggers)</f>
        <v>-1.2417275106922341E-3</v>
      </c>
      <c r="G5" s="187">
        <f t="shared" si="3"/>
        <v>7.1054322255585103E-4</v>
      </c>
      <c r="H5" s="187">
        <f>_xll.qlQuoteValue(C5,_xll.ohTrigger(AllTriggers,'6MSynthDepo_used'!E6))</f>
        <v>1.9522707332480852E-3</v>
      </c>
      <c r="I5" s="155">
        <f>_xll.qlDayCounterYearFraction(DayCounter,SettlementDate,D5,,,Trigger)</f>
        <v>0.16944444444444445</v>
      </c>
      <c r="J5" s="155">
        <f>1</f>
        <v>1</v>
      </c>
      <c r="K5" s="155">
        <f t="shared" si="1"/>
        <v>0.16944444444444445</v>
      </c>
      <c r="L5" s="155">
        <f t="shared" si="2"/>
        <v>2.8711419753086422E-2</v>
      </c>
      <c r="M5" s="154">
        <f>LN((1+G5*_xll.qlDayCounterYearFraction(DayCounter,D5,E5,,,Trigger))/(1+F5*_xll.qlDayCounterYearFraction(DayCounter,D5,E5,,,Trigger)))</f>
        <v>9.9796281702811945E-4</v>
      </c>
      <c r="N5" s="155">
        <f>_xll.qlDayCounterYearFraction(DayCounter,SettlementDate,D5,,,Trigger)</f>
        <v>0.16944444444444445</v>
      </c>
      <c r="O5" s="155">
        <f>_xll.qlDayCounterYearFraction(DayCounter,SettlementDate,E5,,,Trigger)</f>
        <v>0.68055555555555558</v>
      </c>
      <c r="P5" s="155">
        <f t="shared" si="4"/>
        <v>0.51111111111111107</v>
      </c>
      <c r="Q5" s="155">
        <f t="shared" si="5"/>
        <v>0.21722222222222223</v>
      </c>
      <c r="R5" s="155">
        <f t="shared" si="6"/>
        <v>0.10344610196616372</v>
      </c>
      <c r="S5" s="370" t="b">
        <v>1</v>
      </c>
      <c r="T5" s="370" t="b">
        <v>1</v>
      </c>
      <c r="U5" s="370" t="b">
        <v>1</v>
      </c>
      <c r="V5" s="370" t="b">
        <v>1</v>
      </c>
      <c r="AA5" s="339"/>
      <c r="AB5" s="383"/>
      <c r="AC5" s="127">
        <f t="array" ref="AC5:AC6">_xll.ohFilter(K3:K9,S3:S9)</f>
        <v>0</v>
      </c>
      <c r="AD5" s="128">
        <f t="array" ref="AD5:AD6">_xll.ohFilter(J3:J9,S3:S9)</f>
        <v>1</v>
      </c>
      <c r="AE5" s="550" t="s">
        <v>37</v>
      </c>
      <c r="AF5" s="129">
        <f t="array" ref="AF5:AF6">MMULT(AI5:AJ6,AH5:AH6)</f>
        <v>8.3592644933340107E-4</v>
      </c>
      <c r="AG5" s="550" t="s">
        <v>38</v>
      </c>
      <c r="AH5" s="130">
        <f t="array" ref="AH5:AH6">_xll.ohFilter(H3:H9,S3:S9)</f>
        <v>1.808302591147706E-3</v>
      </c>
      <c r="AI5" s="127">
        <f t="array" ref="AI5:AJ6">MINVERSE(AC5:AD6)</f>
        <v>-11.612903225806452</v>
      </c>
      <c r="AJ5" s="128">
        <v>11.612903225806452</v>
      </c>
      <c r="AK5" s="117"/>
      <c r="AL5" s="352"/>
      <c r="AM5" s="339"/>
      <c r="AN5" s="383"/>
      <c r="AO5" s="127">
        <f t="array" ref="AO5:AO6">_xll.ohFilter(Q3:Q9,S3:S9)</f>
        <v>0.13204089506172836</v>
      </c>
      <c r="AP5" s="128">
        <f t="array" ref="AP5:AP6">_xll.ohFilter(P3:P9,S3:S9)</f>
        <v>0.51388888888888884</v>
      </c>
      <c r="AQ5" s="550" t="s">
        <v>37</v>
      </c>
      <c r="AR5" s="129">
        <f t="array" ref="AR5:AR6">MMULT(AU5:AV6,AT5:AT6)</f>
        <v>8.4909168905804647E-4</v>
      </c>
      <c r="AS5" s="550" t="s">
        <v>38</v>
      </c>
      <c r="AT5" s="199">
        <f t="array" ref="AT5:AT6">_xll.ohFilter(M3:M9,S3:S9)</f>
        <v>9.2943838031825507E-4</v>
      </c>
      <c r="AU5" s="127">
        <f t="array" ref="AU5:AV6">MINVERSE(AO5:AP6)</f>
        <v>-22.968542312804612</v>
      </c>
      <c r="AV5" s="128">
        <v>23.09337134711333</v>
      </c>
      <c r="AW5" s="117"/>
      <c r="AX5" s="352"/>
      <c r="AZ5" s="117"/>
      <c r="BA5" s="117"/>
      <c r="BB5" s="117"/>
      <c r="BC5" s="117"/>
      <c r="BE5" s="486">
        <f>_xll.qlCalendarAdvance(Calendar,BE4,"1d","mf",,Trigger)</f>
        <v>42163</v>
      </c>
      <c r="BF5" s="155">
        <f>_xll.qlDayCounterYearFraction(DayCounter,SettlementDate,BE5,,,Trigger)</f>
        <v>8.3333333333333332E-3</v>
      </c>
      <c r="BG5" s="167" t="e">
        <f>_xll.qlPolynomialFunctionValue(G$23,$BF5)</f>
        <v>#NUM!</v>
      </c>
      <c r="BH5" s="167" t="e">
        <f>_xll.qlPolynomialFunctionValue(H$23,$BF5)</f>
        <v>#NUM!</v>
      </c>
      <c r="BI5" s="498" t="e">
        <f>_xll.qlPolynomialFunctionValue(I$23,$BF5)</f>
        <v>#NUM!</v>
      </c>
      <c r="BJ5" s="167" t="e">
        <f>_xll.qlPolynomialFunctionValue(J$23,$BF5)</f>
        <v>#NUM!</v>
      </c>
      <c r="BK5" s="167" t="e">
        <f>_xll.qlPolynomialFunctionValue(O$23,$BF5)</f>
        <v>#NUM!</v>
      </c>
      <c r="BL5" s="167" t="e">
        <f>_xll.qlPolynomialFunctionValue(P$23,$BF5)</f>
        <v>#NUM!</v>
      </c>
      <c r="BM5" s="167" t="e">
        <f>_xll.qlPolynomialFunctionValue(Q$23,$BF5)</f>
        <v>#NUM!</v>
      </c>
      <c r="BN5" s="167" t="e">
        <f>_xll.qlPolynomialFunctionValue(R$23,$BF5)</f>
        <v>#NUM!</v>
      </c>
    </row>
    <row r="6" spans="1:66" ht="12" customHeight="1" x14ac:dyDescent="0.2">
      <c r="A6" s="117">
        <f>'6MSynthDepo_used'!A7</f>
        <v>3</v>
      </c>
      <c r="B6" s="198">
        <f t="shared" si="0"/>
        <v>9</v>
      </c>
      <c r="C6" s="152" t="str">
        <f t="shared" si="7"/>
        <v>B6M_3X9</v>
      </c>
      <c r="D6" s="485">
        <f>_xll.qlCalendarAdvance(Calendar,SettlementDate,A6&amp;"M","mf")</f>
        <v>42254</v>
      </c>
      <c r="E6" s="485">
        <f>_xll.qlInterestRateIndexMaturity($D$24,D6)</f>
        <v>42436</v>
      </c>
      <c r="F6" s="187">
        <f>_xll.qlIndexFixing(ON_6M_index,_xll.qlInterestRateIndexFixingDate(ON_6M_index,D6,Trigger),,AllTriggers)</f>
        <v>-1.2263033183752109E-3</v>
      </c>
      <c r="G6" s="187">
        <f t="shared" si="3"/>
        <v>7.7225171948449613E-4</v>
      </c>
      <c r="H6" s="187">
        <f>_xll.qlQuoteValue(C6,_xll.ohTrigger(AllTriggers,'6MSynthDepo_used'!E7))</f>
        <v>1.9985550378597071E-3</v>
      </c>
      <c r="I6" s="155">
        <f>_xll.qlDayCounterYearFraction(DayCounter,SettlementDate,D6,,,Trigger)</f>
        <v>0.26111111111111113</v>
      </c>
      <c r="J6" s="155">
        <f>1</f>
        <v>1</v>
      </c>
      <c r="K6" s="155">
        <f t="shared" si="1"/>
        <v>0.26111111111111113</v>
      </c>
      <c r="L6" s="155">
        <f t="shared" si="2"/>
        <v>6.8179012345679024E-2</v>
      </c>
      <c r="M6" s="154">
        <f>LN((1+G6*_xll.qlDayCounterYearFraction(DayCounter,D6,E6,,,Trigger))/(1+F6*_xll.qlDayCounterYearFraction(DayCounter,D6,E6,,,Trigger)))</f>
        <v>1.0104966673489361E-3</v>
      </c>
      <c r="N6" s="155">
        <f>_xll.qlDayCounterYearFraction(DayCounter,SettlementDate,D6,,,Trigger)</f>
        <v>0.26111111111111113</v>
      </c>
      <c r="O6" s="155">
        <f>_xll.qlDayCounterYearFraction(DayCounter,SettlementDate,E6,,,Trigger)</f>
        <v>0.76666666666666672</v>
      </c>
      <c r="P6" s="155">
        <f t="shared" si="4"/>
        <v>0.50555555555555554</v>
      </c>
      <c r="Q6" s="155">
        <f t="shared" si="5"/>
        <v>0.25979938271604941</v>
      </c>
      <c r="R6" s="155">
        <f t="shared" si="6"/>
        <v>0.14427577732053043</v>
      </c>
      <c r="S6" s="370" t="b">
        <v>0</v>
      </c>
      <c r="T6" s="370" t="b">
        <v>0</v>
      </c>
      <c r="U6" s="370" t="b">
        <v>1</v>
      </c>
      <c r="V6" s="370" t="b">
        <v>1</v>
      </c>
      <c r="AA6" s="339"/>
      <c r="AB6" s="117"/>
      <c r="AC6" s="127">
        <v>8.611111111111111E-2</v>
      </c>
      <c r="AD6" s="128">
        <v>1</v>
      </c>
      <c r="AE6" s="550"/>
      <c r="AF6" s="129">
        <v>1.808302591147706E-3</v>
      </c>
      <c r="AG6" s="550"/>
      <c r="AH6" s="130">
        <v>1.8802851465069713E-3</v>
      </c>
      <c r="AI6" s="127">
        <v>1</v>
      </c>
      <c r="AJ6" s="128">
        <v>0</v>
      </c>
      <c r="AK6" s="117"/>
      <c r="AL6" s="352"/>
      <c r="AM6" s="339"/>
      <c r="AN6" s="117"/>
      <c r="AO6" s="127">
        <v>0.17462962962962961</v>
      </c>
      <c r="AP6" s="128">
        <v>0.51111111111111107</v>
      </c>
      <c r="AQ6" s="550"/>
      <c r="AR6" s="129">
        <v>1.5904674558594595E-3</v>
      </c>
      <c r="AS6" s="550"/>
      <c r="AT6" s="199">
        <v>9.6118215573219416E-4</v>
      </c>
      <c r="AU6" s="127">
        <v>7.8475852902082419</v>
      </c>
      <c r="AV6" s="128">
        <v>-5.9337134711332862</v>
      </c>
      <c r="AW6" s="117"/>
      <c r="AX6" s="352"/>
      <c r="AZ6" s="117"/>
      <c r="BA6" s="117"/>
      <c r="BB6" s="117"/>
      <c r="BC6" s="117"/>
      <c r="BE6" s="486">
        <f>_xll.qlCalendarAdvance(Calendar,BE5,"1d","mf",,Trigger)</f>
        <v>42164</v>
      </c>
      <c r="BF6" s="155">
        <f>_xll.qlDayCounterYearFraction(DayCounter,SettlementDate,BE6,,,Trigger)</f>
        <v>1.1111111111111112E-2</v>
      </c>
      <c r="BG6" s="167" t="e">
        <f>_xll.qlPolynomialFunctionValue(G$23,$BF6)</f>
        <v>#NUM!</v>
      </c>
      <c r="BH6" s="167" t="e">
        <f>_xll.qlPolynomialFunctionValue(H$23,$BF6)</f>
        <v>#NUM!</v>
      </c>
      <c r="BI6" s="498" t="e">
        <f>_xll.qlPolynomialFunctionValue(I$23,$BF6)</f>
        <v>#NUM!</v>
      </c>
      <c r="BJ6" s="167" t="e">
        <f>_xll.qlPolynomialFunctionValue(J$23,$BF6)</f>
        <v>#NUM!</v>
      </c>
      <c r="BK6" s="167" t="e">
        <f>_xll.qlPolynomialFunctionValue(O$23,$BF6)</f>
        <v>#NUM!</v>
      </c>
      <c r="BL6" s="167" t="e">
        <f>_xll.qlPolynomialFunctionValue(P$23,$BF6)</f>
        <v>#NUM!</v>
      </c>
      <c r="BM6" s="167" t="e">
        <f>_xll.qlPolynomialFunctionValue(Q$23,$BF6)</f>
        <v>#NUM!</v>
      </c>
      <c r="BN6" s="167" t="e">
        <f>_xll.qlPolynomialFunctionValue(R$23,$BF6)</f>
        <v>#NUM!</v>
      </c>
    </row>
    <row r="7" spans="1:66" ht="12" customHeight="1" x14ac:dyDescent="0.2">
      <c r="A7" s="117">
        <f>'6MSynthDepo_used'!A8</f>
        <v>4</v>
      </c>
      <c r="B7" s="198">
        <f t="shared" si="0"/>
        <v>10</v>
      </c>
      <c r="C7" s="152" t="str">
        <f t="shared" si="7"/>
        <v>B6M_4X10</v>
      </c>
      <c r="D7" s="485">
        <f>_xll.qlCalendarAdvance(Calendar,SettlementDate,A7&amp;"M","mf")</f>
        <v>42282</v>
      </c>
      <c r="E7" s="485">
        <f>_xll.qlInterestRateIndexMaturity($D$24,D7)</f>
        <v>42465</v>
      </c>
      <c r="F7" s="187">
        <f>_xll.qlIndexFixing(ON_6M_index,_xll.qlInterestRateIndexFixingDate(ON_6M_index,D7,Trigger),,AllTriggers)</f>
        <v>-1.2062214413426475E-3</v>
      </c>
      <c r="G7" s="187">
        <f t="shared" si="3"/>
        <v>8.2273101193572275E-4</v>
      </c>
      <c r="H7" s="187">
        <f>_xll.qlQuoteValue(C7,_xll.ohTrigger(AllTriggers,'6MSynthDepo_used'!E8))</f>
        <v>2.0289524532783702E-3</v>
      </c>
      <c r="I7" s="155">
        <f>_xll.qlDayCounterYearFraction(DayCounter,SettlementDate,D7,,,Trigger)</f>
        <v>0.33888888888888891</v>
      </c>
      <c r="J7" s="155">
        <f>1</f>
        <v>1</v>
      </c>
      <c r="K7" s="155">
        <f t="shared" si="1"/>
        <v>0.33888888888888891</v>
      </c>
      <c r="L7" s="155">
        <f t="shared" si="2"/>
        <v>0.11484567901234569</v>
      </c>
      <c r="M7" s="154">
        <f>LN((1+G7*_xll.qlDayCounterYearFraction(DayCounter,D7,E7,,,Trigger))/(1+F7*_xll.qlDayCounterYearFraction(DayCounter,D7,E7,,,Trigger)))</f>
        <v>1.0314847945181323E-3</v>
      </c>
      <c r="N7" s="155">
        <f>_xll.qlDayCounterYearFraction(DayCounter,SettlementDate,D7,,,Trigger)</f>
        <v>0.33888888888888891</v>
      </c>
      <c r="O7" s="155">
        <f>_xll.qlDayCounterYearFraction(DayCounter,SettlementDate,E7,,,Trigger)</f>
        <v>0.84722222222222221</v>
      </c>
      <c r="P7" s="155">
        <f t="shared" si="4"/>
        <v>0.5083333333333333</v>
      </c>
      <c r="Q7" s="155">
        <f t="shared" si="5"/>
        <v>0.30146990740740742</v>
      </c>
      <c r="R7" s="155">
        <f t="shared" si="6"/>
        <v>0.1897346322016461</v>
      </c>
      <c r="S7" s="370" t="b">
        <v>0</v>
      </c>
      <c r="T7" s="370" t="b">
        <v>0</v>
      </c>
      <c r="U7" s="370" t="b">
        <v>0</v>
      </c>
      <c r="V7" s="370" t="b">
        <v>0</v>
      </c>
      <c r="AA7" s="339"/>
      <c r="AB7" s="117"/>
      <c r="AC7" s="117"/>
      <c r="AD7" s="117"/>
      <c r="AE7" s="117"/>
      <c r="AF7" s="364"/>
      <c r="AG7" s="136"/>
      <c r="AH7" s="118"/>
      <c r="AI7" s="117"/>
      <c r="AJ7" s="117"/>
      <c r="AK7" s="117"/>
      <c r="AL7" s="352"/>
      <c r="AM7" s="339"/>
      <c r="AN7" s="117"/>
      <c r="AO7" s="117"/>
      <c r="AP7" s="117"/>
      <c r="AQ7" s="117"/>
      <c r="AR7" s="364"/>
      <c r="AS7" s="136"/>
      <c r="AT7" s="544"/>
      <c r="AU7" s="117"/>
      <c r="AV7" s="117"/>
      <c r="AW7" s="117"/>
      <c r="AX7" s="352"/>
      <c r="AZ7" s="117"/>
      <c r="BA7" s="117"/>
      <c r="BB7" s="117"/>
      <c r="BC7" s="117"/>
      <c r="BE7" s="486">
        <f>_xll.qlCalendarAdvance(Calendar,BE6,"1d","mf",,Trigger)</f>
        <v>42165</v>
      </c>
      <c r="BF7" s="155">
        <f>_xll.qlDayCounterYearFraction(DayCounter,SettlementDate,BE7,,,Trigger)</f>
        <v>1.3888888888888888E-2</v>
      </c>
      <c r="BG7" s="167" t="e">
        <f>_xll.qlPolynomialFunctionValue(G$23,$BF7)</f>
        <v>#NUM!</v>
      </c>
      <c r="BH7" s="167" t="e">
        <f>_xll.qlPolynomialFunctionValue(H$23,$BF7)</f>
        <v>#NUM!</v>
      </c>
      <c r="BI7" s="498" t="e">
        <f>_xll.qlPolynomialFunctionValue(I$23,$BF7)</f>
        <v>#NUM!</v>
      </c>
      <c r="BJ7" s="167" t="e">
        <f>_xll.qlPolynomialFunctionValue(J$23,$BF7)</f>
        <v>#NUM!</v>
      </c>
      <c r="BK7" s="167" t="e">
        <f>_xll.qlPolynomialFunctionValue(O$23,$BF7)</f>
        <v>#NUM!</v>
      </c>
      <c r="BL7" s="167" t="e">
        <f>_xll.qlPolynomialFunctionValue(P$23,$BF7)</f>
        <v>#NUM!</v>
      </c>
      <c r="BM7" s="167" t="e">
        <f>_xll.qlPolynomialFunctionValue(Q$23,$BF7)</f>
        <v>#NUM!</v>
      </c>
      <c r="BN7" s="167" t="e">
        <f>_xll.qlPolynomialFunctionValue(R$23,$BF7)</f>
        <v>#NUM!</v>
      </c>
    </row>
    <row r="8" spans="1:66" ht="12" customHeight="1" x14ac:dyDescent="0.2">
      <c r="A8" s="117">
        <f>'6MSynthDepo_used'!A9</f>
        <v>5</v>
      </c>
      <c r="B8" s="198">
        <f t="shared" si="0"/>
        <v>11</v>
      </c>
      <c r="C8" s="152" t="str">
        <f t="shared" si="7"/>
        <v>B6M_5X11</v>
      </c>
      <c r="D8" s="485">
        <f>_xll.qlCalendarAdvance(Calendar,SettlementDate,A8&amp;"M","mf")</f>
        <v>42313</v>
      </c>
      <c r="E8" s="485">
        <f>_xll.qlInterestRateIndexMaturity($D$24,D8)</f>
        <v>42495</v>
      </c>
      <c r="F8" s="187">
        <f>_xll.qlIndexFixing(ON_6M_index,_xll.qlInterestRateIndexFixingDate(ON_6M_index,D8,Trigger),,AllTriggers)</f>
        <v>-1.1667548110327155E-3</v>
      </c>
      <c r="G8" s="187">
        <f t="shared" si="3"/>
        <v>8.9274608119474541E-4</v>
      </c>
      <c r="H8" s="187">
        <f>_xll.qlQuoteValue(C8,_xll.ohTrigger(AllTriggers,'6MSynthDepo_used'!E9))</f>
        <v>2.0595008922274609E-3</v>
      </c>
      <c r="I8" s="155">
        <f>_xll.qlDayCounterYearFraction(DayCounter,SettlementDate,D8,,,Trigger)</f>
        <v>0.42499999999999999</v>
      </c>
      <c r="J8" s="155">
        <f>1</f>
        <v>1</v>
      </c>
      <c r="K8" s="155">
        <f t="shared" si="1"/>
        <v>0.42499999999999999</v>
      </c>
      <c r="L8" s="155">
        <f t="shared" si="2"/>
        <v>0.18062499999999998</v>
      </c>
      <c r="M8" s="154">
        <f>LN((1+G8*_xll.qlDayCounterYearFraction(DayCounter,D8,E8,,,Trigger))/(1+F8*_xll.qlDayCounterYearFraction(DayCounter,D8,E8,,,Trigger)))</f>
        <v>1.0412643332341808E-3</v>
      </c>
      <c r="N8" s="155">
        <f>_xll.qlDayCounterYearFraction(DayCounter,SettlementDate,D8,,,Trigger)</f>
        <v>0.42499999999999999</v>
      </c>
      <c r="O8" s="155">
        <f>_xll.qlDayCounterYearFraction(DayCounter,SettlementDate,E8,,,Trigger)</f>
        <v>0.93055555555555558</v>
      </c>
      <c r="P8" s="155">
        <f t="shared" si="4"/>
        <v>0.50555555555555554</v>
      </c>
      <c r="Q8" s="155">
        <f t="shared" si="5"/>
        <v>0.34265432098765436</v>
      </c>
      <c r="R8" s="155">
        <f t="shared" si="6"/>
        <v>0.24301124542752631</v>
      </c>
      <c r="S8" s="370" t="b">
        <v>0</v>
      </c>
      <c r="T8" s="370" t="b">
        <v>0</v>
      </c>
      <c r="U8" s="370" t="b">
        <v>0</v>
      </c>
      <c r="V8" s="370" t="b">
        <v>0</v>
      </c>
      <c r="AA8" s="339" t="s">
        <v>142</v>
      </c>
      <c r="AB8" s="117"/>
      <c r="AC8" s="117"/>
      <c r="AD8" s="117"/>
      <c r="AE8" s="117"/>
      <c r="AF8" s="365" t="s">
        <v>91</v>
      </c>
      <c r="AG8" s="136"/>
      <c r="AH8" s="118"/>
      <c r="AI8" s="117"/>
      <c r="AJ8" s="117"/>
      <c r="AK8" s="117"/>
      <c r="AL8" s="352"/>
      <c r="AM8" s="339"/>
      <c r="AN8" s="117"/>
      <c r="AO8" s="117"/>
      <c r="AP8" s="117"/>
      <c r="AQ8" s="117"/>
      <c r="AR8" s="365" t="s">
        <v>91</v>
      </c>
      <c r="AS8" s="136"/>
      <c r="AT8" s="544"/>
      <c r="AU8" s="117"/>
      <c r="AV8" s="117"/>
      <c r="AW8" s="117"/>
      <c r="AX8" s="352"/>
      <c r="AZ8" s="117"/>
      <c r="BA8" s="117"/>
      <c r="BB8" s="117"/>
      <c r="BC8" s="117"/>
      <c r="BE8" s="486">
        <f>_xll.qlCalendarAdvance(Calendar,BE7,"1d","mf",,Trigger)</f>
        <v>42166</v>
      </c>
      <c r="BF8" s="155">
        <f>_xll.qlDayCounterYearFraction(DayCounter,SettlementDate,BE8,,,Trigger)</f>
        <v>1.6666666666666666E-2</v>
      </c>
      <c r="BG8" s="167" t="e">
        <f>_xll.qlPolynomialFunctionValue(G$23,$BF8)</f>
        <v>#NUM!</v>
      </c>
      <c r="BH8" s="167" t="e">
        <f>_xll.qlPolynomialFunctionValue(H$23,$BF8)</f>
        <v>#NUM!</v>
      </c>
      <c r="BI8" s="498" t="e">
        <f>_xll.qlPolynomialFunctionValue(I$23,$BF8)</f>
        <v>#NUM!</v>
      </c>
      <c r="BJ8" s="167" t="e">
        <f>_xll.qlPolynomialFunctionValue(J$23,$BF8)</f>
        <v>#NUM!</v>
      </c>
      <c r="BK8" s="167" t="e">
        <f>_xll.qlPolynomialFunctionValue(O$23,$BF8)</f>
        <v>#NUM!</v>
      </c>
      <c r="BL8" s="167" t="e">
        <f>_xll.qlPolynomialFunctionValue(P$23,$BF8)</f>
        <v>#NUM!</v>
      </c>
      <c r="BM8" s="167" t="e">
        <f>_xll.qlPolynomialFunctionValue(Q$23,$BF8)</f>
        <v>#NUM!</v>
      </c>
      <c r="BN8" s="167" t="e">
        <f>_xll.qlPolynomialFunctionValue(R$23,$BF8)</f>
        <v>#NUM!</v>
      </c>
    </row>
    <row r="9" spans="1:66" ht="12" customHeight="1" x14ac:dyDescent="0.2">
      <c r="A9" s="117">
        <f>'6MSynthDepo_used'!A10</f>
        <v>6</v>
      </c>
      <c r="B9" s="198">
        <f t="shared" si="0"/>
        <v>12</v>
      </c>
      <c r="C9" s="157" t="str">
        <f t="shared" si="7"/>
        <v>B6M_6X12</v>
      </c>
      <c r="D9" s="489">
        <f>_xll.qlCalendarAdvance(Calendar,SettlementDate,A9&amp;"M","mf")</f>
        <v>42345</v>
      </c>
      <c r="E9" s="489">
        <f>_xll.qlInterestRateIndexMaturity($D$24,D9)</f>
        <v>42528</v>
      </c>
      <c r="F9" s="190">
        <f>_xll.qlIndexFixing(ON_6M_index,_xll.qlInterestRateIndexFixingDate(ON_6M_index,D9,Trigger),,AllTriggers)</f>
        <v>-1.1381423777716306E-3</v>
      </c>
      <c r="G9" s="190">
        <f t="shared" si="3"/>
        <v>9.6273110581319705E-4</v>
      </c>
      <c r="H9" s="190">
        <f>_xll.qlQuoteValue(C9,_xll.ohTrigger(AllTriggers,'6MSynthDepo_used'!E10))</f>
        <v>2.1008734835848276E-3</v>
      </c>
      <c r="I9" s="160">
        <f>_xll.qlDayCounterYearFraction(DayCounter,SettlementDate,D9,,,Trigger)</f>
        <v>0.51388888888888884</v>
      </c>
      <c r="J9" s="160">
        <f>1</f>
        <v>1</v>
      </c>
      <c r="K9" s="160">
        <f t="shared" si="1"/>
        <v>0.51388888888888884</v>
      </c>
      <c r="L9" s="160">
        <f t="shared" si="2"/>
        <v>0.26408179012345673</v>
      </c>
      <c r="M9" s="159">
        <f>LN((1+G9*_xll.qlDayCounterYearFraction(DayCounter,D9,E9,,,Trigger))/(1+F9*_xll.qlDayCounterYearFraction(DayCounter,D9,E9,,,Trigger)))</f>
        <v>1.0679917373523011E-3</v>
      </c>
      <c r="N9" s="160">
        <f>_xll.qlDayCounterYearFraction(DayCounter,SettlementDate,D9,,,Trigger)</f>
        <v>0.51388888888888884</v>
      </c>
      <c r="O9" s="160">
        <f>_xll.qlDayCounterYearFraction(DayCounter,SettlementDate,E9,,,Trigger)</f>
        <v>1.0222222222222221</v>
      </c>
      <c r="P9" s="160">
        <f t="shared" si="4"/>
        <v>0.5083333333333333</v>
      </c>
      <c r="Q9" s="160">
        <f t="shared" si="5"/>
        <v>0.39042824074074067</v>
      </c>
      <c r="R9" s="160">
        <f t="shared" si="6"/>
        <v>0.31081680812757195</v>
      </c>
      <c r="S9" s="418" t="b">
        <v>0</v>
      </c>
      <c r="T9" s="418" t="b">
        <v>0</v>
      </c>
      <c r="U9" s="418" t="b">
        <v>0</v>
      </c>
      <c r="V9" s="418" t="b">
        <v>0</v>
      </c>
      <c r="AA9" s="339"/>
      <c r="AB9" s="134"/>
      <c r="AC9" s="127">
        <f t="array" ref="AC9:AC10">_xll.ohFilter(K3:K9,U3:U9)</f>
        <v>8.611111111111111E-2</v>
      </c>
      <c r="AD9" s="128">
        <f t="array" ref="AD9:AD10">_xll.ohFilter(J3:J9,U3:U9)</f>
        <v>1</v>
      </c>
      <c r="AE9" s="550" t="s">
        <v>37</v>
      </c>
      <c r="AF9" s="129">
        <f t="array" ref="AF9:AF10">MMULT(AI9:AJ10,AH9:AH10)</f>
        <v>8.6382704089336612E-4</v>
      </c>
      <c r="AG9" s="550" t="s">
        <v>38</v>
      </c>
      <c r="AH9" s="130">
        <f t="array" ref="AH9:AH10">_xll.ohFilter(H3:H9,U3:U9)</f>
        <v>1.8802851465069713E-3</v>
      </c>
      <c r="AI9" s="127">
        <f t="array" ref="AI9:AJ10">MINVERSE(AC9:AD10)</f>
        <v>-11.999999999999998</v>
      </c>
      <c r="AJ9" s="128">
        <v>11.999999999999998</v>
      </c>
      <c r="AK9" s="117"/>
      <c r="AL9" s="352"/>
      <c r="AM9" s="339"/>
      <c r="AN9" s="134"/>
      <c r="AO9" s="127">
        <f t="array" ref="AO9:AO10">_xll.ohFilter(Q3:Q9,U3:U9)</f>
        <v>0.17462962962962961</v>
      </c>
      <c r="AP9" s="128">
        <f t="array" ref="AP9:AP10">_xll.ohFilter(P3:P9,U3:U9)</f>
        <v>0.51111111111111107</v>
      </c>
      <c r="AQ9" s="550" t="s">
        <v>37</v>
      </c>
      <c r="AR9" s="129">
        <f t="array" ref="AR9:AR10">MMULT(AU9:AV10,AT9:AT10)</f>
        <v>8.635459608608495E-4</v>
      </c>
      <c r="AS9" s="550" t="s">
        <v>38</v>
      </c>
      <c r="AT9" s="199">
        <f t="array" ref="AT9:AT10">_xll.ohFilter(M3:M9,U3:U9)</f>
        <v>9.6118215573219416E-4</v>
      </c>
      <c r="AU9" s="127">
        <f t="array" ref="AU9:AV10">MINVERSE(AO9:AP10)</f>
        <v>-23.478260869565197</v>
      </c>
      <c r="AV9" s="128">
        <v>23.478260869565194</v>
      </c>
      <c r="AW9" s="117"/>
      <c r="AX9" s="352"/>
      <c r="AZ9" s="117"/>
      <c r="BA9" s="117"/>
      <c r="BB9" s="117"/>
      <c r="BC9" s="117"/>
      <c r="BE9" s="486">
        <f>_xll.qlCalendarAdvance(Calendar,BE8,"1d","mf",,Trigger)</f>
        <v>42167</v>
      </c>
      <c r="BF9" s="155">
        <f>_xll.qlDayCounterYearFraction(DayCounter,SettlementDate,BE9,,,Trigger)</f>
        <v>1.9444444444444445E-2</v>
      </c>
      <c r="BG9" s="167" t="e">
        <f>_xll.qlPolynomialFunctionValue(G$23,$BF9)</f>
        <v>#NUM!</v>
      </c>
      <c r="BH9" s="167" t="e">
        <f>_xll.qlPolynomialFunctionValue(H$23,$BF9)</f>
        <v>#NUM!</v>
      </c>
      <c r="BI9" s="498" t="e">
        <f>_xll.qlPolynomialFunctionValue(I$23,$BF9)</f>
        <v>#NUM!</v>
      </c>
      <c r="BJ9" s="167" t="e">
        <f>_xll.qlPolynomialFunctionValue(J$23,$BF9)</f>
        <v>#NUM!</v>
      </c>
      <c r="BK9" s="167" t="e">
        <f>_xll.qlPolynomialFunctionValue(O$23,$BF9)</f>
        <v>#NUM!</v>
      </c>
      <c r="BL9" s="167" t="e">
        <f>_xll.qlPolynomialFunctionValue(P$23,$BF9)</f>
        <v>#NUM!</v>
      </c>
      <c r="BM9" s="167" t="e">
        <f>_xll.qlPolynomialFunctionValue(Q$23,$BF9)</f>
        <v>#NUM!</v>
      </c>
      <c r="BN9" s="167" t="e">
        <f>_xll.qlPolynomialFunctionValue(R$23,$BF9)</f>
        <v>#NUM!</v>
      </c>
    </row>
    <row r="10" spans="1:66" ht="12" customHeight="1" x14ac:dyDescent="0.2">
      <c r="A10" s="117"/>
      <c r="B10" s="198"/>
      <c r="C10" s="118"/>
      <c r="D10" s="119"/>
      <c r="E10" s="119"/>
      <c r="F10" s="380"/>
      <c r="G10" s="380"/>
      <c r="H10" s="381"/>
      <c r="I10" s="120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2"/>
      <c r="U10" s="122"/>
      <c r="V10" s="122"/>
      <c r="W10" s="122"/>
      <c r="X10" s="140"/>
      <c r="AA10" s="339"/>
      <c r="AB10" s="134"/>
      <c r="AC10" s="127">
        <v>0.16944444444444445</v>
      </c>
      <c r="AD10" s="128">
        <v>1</v>
      </c>
      <c r="AE10" s="550"/>
      <c r="AF10" s="129">
        <v>1.8059000402078198E-3</v>
      </c>
      <c r="AG10" s="550"/>
      <c r="AH10" s="130">
        <v>1.9522707332480852E-3</v>
      </c>
      <c r="AI10" s="127">
        <v>2.0333333333333332</v>
      </c>
      <c r="AJ10" s="128">
        <v>-1.0333333333333334</v>
      </c>
      <c r="AK10" s="117"/>
      <c r="AL10" s="352"/>
      <c r="AM10" s="339"/>
      <c r="AN10" s="134"/>
      <c r="AO10" s="127">
        <v>0.21722222222222223</v>
      </c>
      <c r="AP10" s="128">
        <v>0.51111111111111107</v>
      </c>
      <c r="AQ10" s="550"/>
      <c r="AR10" s="129">
        <v>1.5855289129935012E-3</v>
      </c>
      <c r="AS10" s="550"/>
      <c r="AT10" s="199">
        <v>9.9796281702811945E-4</v>
      </c>
      <c r="AU10" s="127">
        <v>9.9782608695652097</v>
      </c>
      <c r="AV10" s="128">
        <v>-8.0217391304347743</v>
      </c>
      <c r="AW10" s="117"/>
      <c r="AX10" s="352"/>
      <c r="AZ10" s="117"/>
      <c r="BA10" s="117"/>
      <c r="BB10" s="117"/>
      <c r="BC10" s="117"/>
      <c r="BE10" s="486">
        <f>_xll.qlCalendarAdvance(Calendar,BE9,"1d","mf",,Trigger)</f>
        <v>42170</v>
      </c>
      <c r="BF10" s="155">
        <f>_xll.qlDayCounterYearFraction(DayCounter,SettlementDate,BE10,,,Trigger)</f>
        <v>2.7777777777777776E-2</v>
      </c>
      <c r="BG10" s="167" t="e">
        <f>_xll.qlPolynomialFunctionValue(G$23,$BF10)</f>
        <v>#NUM!</v>
      </c>
      <c r="BH10" s="167" t="e">
        <f>_xll.qlPolynomialFunctionValue(H$23,$BF10)</f>
        <v>#NUM!</v>
      </c>
      <c r="BI10" s="498" t="e">
        <f>_xll.qlPolynomialFunctionValue(I$23,$BF10)</f>
        <v>#NUM!</v>
      </c>
      <c r="BJ10" s="167" t="e">
        <f>_xll.qlPolynomialFunctionValue(J$23,$BF10)</f>
        <v>#NUM!</v>
      </c>
      <c r="BK10" s="167" t="e">
        <f>_xll.qlPolynomialFunctionValue(O$23,$BF10)</f>
        <v>#NUM!</v>
      </c>
      <c r="BL10" s="167" t="e">
        <f>_xll.qlPolynomialFunctionValue(P$23,$BF10)</f>
        <v>#NUM!</v>
      </c>
      <c r="BM10" s="167" t="e">
        <f>_xll.qlPolynomialFunctionValue(Q$23,$BF10)</f>
        <v>#NUM!</v>
      </c>
      <c r="BN10" s="167" t="e">
        <f>_xll.qlPolynomialFunctionValue(R$23,$BF10)</f>
        <v>#NUM!</v>
      </c>
    </row>
    <row r="11" spans="1:66" ht="12" customHeight="1" x14ac:dyDescent="0.2">
      <c r="A11" s="117"/>
      <c r="B11" s="198"/>
      <c r="C11" s="117"/>
      <c r="D11" s="117"/>
      <c r="E11" s="117"/>
      <c r="F11" s="117"/>
      <c r="G11" s="117"/>
      <c r="I11" s="198"/>
      <c r="J11" s="372" t="str">
        <f>"with 0X"&amp;SUBSTITUTE($D$23,"M","")</f>
        <v>with 0X6</v>
      </c>
      <c r="K11" s="373"/>
      <c r="L11" s="373"/>
      <c r="M11" s="373"/>
      <c r="N11" s="373"/>
      <c r="O11" s="373"/>
      <c r="P11" s="373"/>
      <c r="Q11" s="374"/>
      <c r="R11" s="373" t="str">
        <f>"without 0X"&amp;SUBSTITUTE($D$23,"M","")</f>
        <v>without 0X6</v>
      </c>
      <c r="S11" s="373"/>
      <c r="T11" s="373"/>
      <c r="U11" s="372"/>
      <c r="V11" s="373"/>
      <c r="W11" s="373"/>
      <c r="X11" s="373"/>
      <c r="Y11" s="374"/>
      <c r="AA11" s="339"/>
      <c r="AB11" s="117"/>
      <c r="AC11" s="117"/>
      <c r="AD11" s="117"/>
      <c r="AE11" s="117"/>
      <c r="AF11" s="364"/>
      <c r="AG11" s="136"/>
      <c r="AH11" s="118"/>
      <c r="AI11" s="117"/>
      <c r="AJ11" s="117"/>
      <c r="AK11" s="117"/>
      <c r="AL11" s="352"/>
      <c r="AM11" s="339"/>
      <c r="AN11" s="117"/>
      <c r="AO11" s="117"/>
      <c r="AP11" s="117"/>
      <c r="AQ11" s="117"/>
      <c r="AR11" s="364"/>
      <c r="AS11" s="136"/>
      <c r="AT11" s="118"/>
      <c r="AU11" s="117"/>
      <c r="AV11" s="117"/>
      <c r="AW11" s="117"/>
      <c r="AX11" s="352"/>
      <c r="AZ11" s="117"/>
      <c r="BA11" s="117"/>
      <c r="BB11" s="117"/>
      <c r="BC11" s="117"/>
      <c r="BE11" s="486">
        <f>_xll.qlCalendarAdvance(Calendar,BE10,"1d","mf",,Trigger)</f>
        <v>42171</v>
      </c>
      <c r="BF11" s="155">
        <f>_xll.qlDayCounterYearFraction(DayCounter,SettlementDate,BE11,,,Trigger)</f>
        <v>3.0555555555555555E-2</v>
      </c>
      <c r="BG11" s="167" t="e">
        <f>_xll.qlPolynomialFunctionValue(G$23,$BF11)</f>
        <v>#NUM!</v>
      </c>
      <c r="BH11" s="167" t="e">
        <f>_xll.qlPolynomialFunctionValue(H$23,$BF11)</f>
        <v>#NUM!</v>
      </c>
      <c r="BI11" s="498" t="e">
        <f>_xll.qlPolynomialFunctionValue(I$23,$BF11)</f>
        <v>#NUM!</v>
      </c>
      <c r="BJ11" s="167" t="e">
        <f>_xll.qlPolynomialFunctionValue(J$23,$BF11)</f>
        <v>#NUM!</v>
      </c>
      <c r="BK11" s="167" t="e">
        <f>_xll.qlPolynomialFunctionValue(O$23,$BF11)</f>
        <v>#NUM!</v>
      </c>
      <c r="BL11" s="167" t="e">
        <f>_xll.qlPolynomialFunctionValue(P$23,$BF11)</f>
        <v>#NUM!</v>
      </c>
      <c r="BM11" s="167" t="e">
        <f>_xll.qlPolynomialFunctionValue(Q$23,$BF11)</f>
        <v>#NUM!</v>
      </c>
      <c r="BN11" s="167" t="e">
        <f>_xll.qlPolynomialFunctionValue(R$23,$BF11)</f>
        <v>#NUM!</v>
      </c>
    </row>
    <row r="12" spans="1:66" ht="12" customHeight="1" x14ac:dyDescent="0.2">
      <c r="B12" s="117"/>
      <c r="C12" s="372" t="s">
        <v>144</v>
      </c>
      <c r="D12" s="373"/>
      <c r="E12" s="373"/>
      <c r="F12" s="373"/>
      <c r="G12" s="373"/>
      <c r="H12" s="373"/>
      <c r="I12" s="373"/>
      <c r="J12" s="372" t="s">
        <v>83</v>
      </c>
      <c r="K12" s="373"/>
      <c r="L12" s="373"/>
      <c r="M12" s="374"/>
      <c r="N12" s="372" t="s">
        <v>84</v>
      </c>
      <c r="O12" s="373"/>
      <c r="P12" s="373"/>
      <c r="Q12" s="374"/>
      <c r="R12" s="372" t="s">
        <v>83</v>
      </c>
      <c r="S12" s="373"/>
      <c r="T12" s="373"/>
      <c r="U12" s="374"/>
      <c r="V12" s="372" t="s">
        <v>84</v>
      </c>
      <c r="W12" s="373"/>
      <c r="X12" s="373"/>
      <c r="Y12" s="374"/>
      <c r="AA12" s="545" t="s">
        <v>84</v>
      </c>
      <c r="AB12" s="546"/>
      <c r="AC12" s="546"/>
      <c r="AD12" s="546"/>
      <c r="AE12" s="546"/>
      <c r="AF12" s="546"/>
      <c r="AG12" s="546"/>
      <c r="AH12" s="546"/>
      <c r="AI12" s="546"/>
      <c r="AJ12" s="546"/>
      <c r="AK12" s="546"/>
      <c r="AL12" s="548"/>
      <c r="AM12" s="545"/>
      <c r="AN12" s="546"/>
      <c r="AO12" s="546"/>
      <c r="AP12" s="546"/>
      <c r="AQ12" s="546"/>
      <c r="AR12" s="546"/>
      <c r="AS12" s="546"/>
      <c r="AT12" s="546"/>
      <c r="AU12" s="546"/>
      <c r="AV12" s="546"/>
      <c r="AW12" s="546"/>
      <c r="AX12" s="548"/>
      <c r="AZ12" s="117"/>
      <c r="BA12" s="117"/>
      <c r="BB12" s="117"/>
      <c r="BC12" s="117"/>
      <c r="BE12" s="486">
        <f>_xll.qlCalendarAdvance(Calendar,BE11,"1d","mf",,Trigger)</f>
        <v>42172</v>
      </c>
      <c r="BF12" s="155">
        <f>_xll.qlDayCounterYearFraction(DayCounter,SettlementDate,BE12,,,Trigger)</f>
        <v>3.3333333333333333E-2</v>
      </c>
      <c r="BG12" s="167" t="e">
        <f>_xll.qlPolynomialFunctionValue(G$23,$BF12)</f>
        <v>#NUM!</v>
      </c>
      <c r="BH12" s="167" t="e">
        <f>_xll.qlPolynomialFunctionValue(H$23,$BF12)</f>
        <v>#NUM!</v>
      </c>
      <c r="BI12" s="498" t="e">
        <f>_xll.qlPolynomialFunctionValue(I$23,$BF12)</f>
        <v>#NUM!</v>
      </c>
      <c r="BJ12" s="167" t="e">
        <f>_xll.qlPolynomialFunctionValue(J$23,$BF12)</f>
        <v>#NUM!</v>
      </c>
      <c r="BK12" s="167" t="e">
        <f>_xll.qlPolynomialFunctionValue(O$23,$BF12)</f>
        <v>#NUM!</v>
      </c>
      <c r="BL12" s="167" t="e">
        <f>_xll.qlPolynomialFunctionValue(P$23,$BF12)</f>
        <v>#NUM!</v>
      </c>
      <c r="BM12" s="167" t="e">
        <f>_xll.qlPolynomialFunctionValue(Q$23,$BF12)</f>
        <v>#NUM!</v>
      </c>
      <c r="BN12" s="167" t="e">
        <f>_xll.qlPolynomialFunctionValue(R$23,$BF12)</f>
        <v>#NUM!</v>
      </c>
    </row>
    <row r="13" spans="1:66" ht="22.5" customHeight="1" x14ac:dyDescent="0.2">
      <c r="C13" s="142" t="s">
        <v>85</v>
      </c>
      <c r="D13" s="142" t="s">
        <v>197</v>
      </c>
      <c r="E13" s="142" t="s">
        <v>198</v>
      </c>
      <c r="F13" s="142" t="s">
        <v>125</v>
      </c>
      <c r="G13" s="142" t="str">
        <f>"F "&amp;$D$23</f>
        <v>F 6M</v>
      </c>
      <c r="H13" s="142" t="str">
        <f>"B "&amp;$D$23</f>
        <v>B 6M</v>
      </c>
      <c r="I13" s="142" t="s">
        <v>146</v>
      </c>
      <c r="J13" s="142" t="s">
        <v>180</v>
      </c>
      <c r="K13" s="142" t="s">
        <v>81</v>
      </c>
      <c r="L13" s="142" t="s">
        <v>150</v>
      </c>
      <c r="M13" s="142" t="s">
        <v>128</v>
      </c>
      <c r="N13" s="142" t="s">
        <v>180</v>
      </c>
      <c r="O13" s="142" t="s">
        <v>81</v>
      </c>
      <c r="P13" s="142" t="s">
        <v>150</v>
      </c>
      <c r="Q13" s="142" t="s">
        <v>128</v>
      </c>
      <c r="R13" s="142" t="s">
        <v>180</v>
      </c>
      <c r="S13" s="142" t="s">
        <v>81</v>
      </c>
      <c r="T13" s="142" t="s">
        <v>150</v>
      </c>
      <c r="U13" s="142" t="s">
        <v>128</v>
      </c>
      <c r="V13" s="142" t="s">
        <v>180</v>
      </c>
      <c r="W13" s="142" t="s">
        <v>81</v>
      </c>
      <c r="X13" s="142" t="s">
        <v>150</v>
      </c>
      <c r="Y13" s="142" t="s">
        <v>128</v>
      </c>
      <c r="AA13" s="339" t="s">
        <v>141</v>
      </c>
      <c r="AB13" s="117"/>
      <c r="AC13" s="117"/>
      <c r="AD13" s="117"/>
      <c r="AE13" s="117"/>
      <c r="AF13" s="366" t="s">
        <v>90</v>
      </c>
      <c r="AG13" s="117"/>
      <c r="AH13" s="117"/>
      <c r="AI13" s="117"/>
      <c r="AJ13" s="117"/>
      <c r="AK13" s="117"/>
      <c r="AL13" s="352"/>
      <c r="AM13" s="339"/>
      <c r="AN13" s="117"/>
      <c r="AO13" s="117"/>
      <c r="AP13" s="117"/>
      <c r="AQ13" s="117"/>
      <c r="AR13" s="366" t="s">
        <v>90</v>
      </c>
      <c r="AS13" s="117"/>
      <c r="AT13" s="117"/>
      <c r="AU13" s="117"/>
      <c r="AV13" s="117"/>
      <c r="AW13" s="117"/>
      <c r="AX13" s="352"/>
      <c r="AZ13" s="117"/>
      <c r="BA13" s="117"/>
      <c r="BB13" s="117"/>
      <c r="BC13" s="117"/>
      <c r="BE13" s="486">
        <f>_xll.qlCalendarAdvance(Calendar,BE12,"1d","mf",,Trigger)</f>
        <v>42173</v>
      </c>
      <c r="BF13" s="155">
        <f>_xll.qlDayCounterYearFraction(DayCounter,SettlementDate,BE13,,,Trigger)</f>
        <v>3.6111111111111108E-2</v>
      </c>
      <c r="BG13" s="167" t="e">
        <f>_xll.qlPolynomialFunctionValue(G$23,$BF13)</f>
        <v>#NUM!</v>
      </c>
      <c r="BH13" s="167" t="e">
        <f>_xll.qlPolynomialFunctionValue(H$23,$BF13)</f>
        <v>#NUM!</v>
      </c>
      <c r="BI13" s="498" t="e">
        <f>_xll.qlPolynomialFunctionValue(I$23,$BF13)</f>
        <v>#NUM!</v>
      </c>
      <c r="BJ13" s="167" t="e">
        <f>_xll.qlPolynomialFunctionValue(J$23,$BF13)</f>
        <v>#NUM!</v>
      </c>
      <c r="BK13" s="167" t="e">
        <f>_xll.qlPolynomialFunctionValue(O$23,$BF13)</f>
        <v>#NUM!</v>
      </c>
      <c r="BL13" s="167" t="e">
        <f>_xll.qlPolynomialFunctionValue(P$23,$BF13)</f>
        <v>#NUM!</v>
      </c>
      <c r="BM13" s="167" t="e">
        <f>_xll.qlPolynomialFunctionValue(Q$23,$BF13)</f>
        <v>#NUM!</v>
      </c>
      <c r="BN13" s="167" t="e">
        <f>_xll.qlPolynomialFunctionValue(R$23,$BF13)</f>
        <v>#NUM!</v>
      </c>
    </row>
    <row r="14" spans="1:66" ht="12" customHeight="1" x14ac:dyDescent="0.2">
      <c r="A14" s="115">
        <f>A3</f>
        <v>0</v>
      </c>
      <c r="B14" s="198">
        <f t="shared" ref="B14:B20" si="8">A14+SUBSTITUTE($D$23,"M","")</f>
        <v>6</v>
      </c>
      <c r="C14" s="152" t="str">
        <f>"B"&amp;$D$23&amp;"_"&amp;A14&amp;"X"&amp;B14&amp;$D$27</f>
        <v>B6M_0X6ESTIMATED</v>
      </c>
      <c r="D14" s="485">
        <f>SettlementDate</f>
        <v>42160</v>
      </c>
      <c r="E14" s="485">
        <f>_xll.qlInterestRateIndexMaturity($D$24,D14)</f>
        <v>42345</v>
      </c>
      <c r="F14" s="187">
        <f>_xll.qlIndexFixing(ON_6M_index,_xll.qlInterestRateIndexFixingDate(ON_6M_index,D14,Trigger),,AllTriggers)</f>
        <v>-1.2636445875036217E-3</v>
      </c>
      <c r="G14" s="187">
        <f>H14+F14</f>
        <v>5.4465800364408433E-4</v>
      </c>
      <c r="H14" s="523">
        <f>_xll.qlQuoteValue(C14,_xll.ohTrigger(AllTriggers,'6MSynthDepo_used'!E3))</f>
        <v>1.808302591147706E-3</v>
      </c>
      <c r="I14" s="250">
        <f t="shared" ref="I14:I20" si="9">($E$14-SettlementDate)-($D14-SettlementDate)</f>
        <v>185</v>
      </c>
      <c r="J14" s="522">
        <f>_xll.qlTenorBasisValue($O$24,D14,AllTriggers)</f>
        <v>1.8095566576902594E-3</v>
      </c>
      <c r="K14" s="327">
        <f t="shared" ref="K14:K20" si="10">$H14-J14</f>
        <v>-1.2540665425533806E-6</v>
      </c>
      <c r="L14" s="327">
        <f>K14*$I14/SUM(_xll.ohFilter($I$14:$I$20,M$14:M$20))</f>
        <v>-3.5747659533493899E-7</v>
      </c>
      <c r="M14" s="419" t="b">
        <v>1</v>
      </c>
      <c r="N14" s="510">
        <f>_xll.qlTenorBasisValue($P$24,D14,AllTriggers)</f>
        <v>1.8116769802743672E-3</v>
      </c>
      <c r="O14" s="327">
        <f t="shared" ref="O14:O20" si="11">$H14-N14</f>
        <v>-3.3743891266612303E-6</v>
      </c>
      <c r="P14" s="327">
        <f>O14*$I14/SUM(_xll.ohFilter($I$14:$I$20,Q$14:Q$20))</f>
        <v>-9.6188287894041239E-7</v>
      </c>
      <c r="Q14" s="419" t="b">
        <v>1</v>
      </c>
      <c r="R14" s="512">
        <f>_xll.qlTenorBasisValue($Q$24,D14,AllTriggers)</f>
        <v>1.8414462610542503E-3</v>
      </c>
      <c r="S14" s="327">
        <f t="shared" ref="S14:S20" si="12">$H14-R14</f>
        <v>-3.3143669906544318E-5</v>
      </c>
      <c r="T14" s="327">
        <f>S14*$I14/SUM(_xll.ohFilter($I$14:$I$20,U$14:U$20))</f>
        <v>-1.3214609768773058E-5</v>
      </c>
      <c r="U14" s="419" t="b">
        <v>0</v>
      </c>
      <c r="V14" s="512">
        <f>_xll.qlTenorBasisValue($R$24,D14,AllTriggers)</f>
        <v>1.8467798668432606E-3</v>
      </c>
      <c r="W14" s="327">
        <f t="shared" ref="W14:W20" si="13">$H14-V14</f>
        <v>-3.8477275695554579E-5</v>
      </c>
      <c r="X14" s="327">
        <f>W14*$I14/SUM(_xll.ohFilter($I$14:$I$20,Y$14:Y$20))</f>
        <v>-1.5341155180339649E-5</v>
      </c>
      <c r="Y14" s="419" t="b">
        <v>0</v>
      </c>
      <c r="AA14" s="339"/>
      <c r="AB14" s="127">
        <f t="array" ref="AB14:AB16">_xll.ohFilter(L3:L9,T3:T9)</f>
        <v>0</v>
      </c>
      <c r="AC14" s="133">
        <f t="array" ref="AC14:AC16">_xll.ohFilter(K3:K9,T3:T9)</f>
        <v>0</v>
      </c>
      <c r="AD14" s="128">
        <f t="array" ref="AD14:AD16">_xll.ohFilter(J3:J9,T3:T9)</f>
        <v>1</v>
      </c>
      <c r="AE14" s="550" t="s">
        <v>37</v>
      </c>
      <c r="AF14" s="129">
        <f t="array" ref="AF14:AF16">MMULT(AI14:AK16,AH14:AH16)</f>
        <v>1.6465922887848317E-4</v>
      </c>
      <c r="AG14" s="550" t="s">
        <v>38</v>
      </c>
      <c r="AH14" s="199">
        <f t="array" ref="AH14:AH16">_xll.ohFilter(H3:H9,T3:T9)</f>
        <v>1.808302591147706E-3</v>
      </c>
      <c r="AI14" s="127">
        <f t="array" ref="AI14:AK16">MINVERSE(AB14:AD16)</f>
        <v>68.535166578529882</v>
      </c>
      <c r="AJ14" s="133">
        <v>-139.35483870967741</v>
      </c>
      <c r="AK14" s="128">
        <v>70.819672131147527</v>
      </c>
      <c r="AL14" s="352"/>
      <c r="AM14" s="339"/>
      <c r="AN14" s="127">
        <f t="array" ref="AN14:AN16">_xll.ohFilter(R3:R9,T3:T9)</f>
        <v>4.5236232567443968E-2</v>
      </c>
      <c r="AO14" s="133">
        <f t="array" ref="AO14:AO16">_xll.ohFilter(Q3:Q9,T3:T9)</f>
        <v>0.13204089506172836</v>
      </c>
      <c r="AP14" s="128">
        <f t="array" ref="AP14:AP16">_xll.ohFilter(P3:P9,T3:T9)</f>
        <v>0.51388888888888884</v>
      </c>
      <c r="AQ14" s="550" t="s">
        <v>37</v>
      </c>
      <c r="AR14" s="129">
        <f t="array" ref="AR14:AR16">MMULT(AU14:AW16,AT14:AT16)</f>
        <v>8.4599096159349019E-5</v>
      </c>
      <c r="AS14" s="550" t="s">
        <v>38</v>
      </c>
      <c r="AT14" s="199">
        <f t="array" ref="AT14:AT16">_xll.ohFilter(M3:M9,T3:T9)</f>
        <v>9.2943838031825507E-4</v>
      </c>
      <c r="AU14" s="127">
        <f t="array" ref="AU14:AW16">MINVERSE(AN14:AP16)</f>
        <v>134.43208667089297</v>
      </c>
      <c r="AV14" s="133">
        <v>-272.57810327245801</v>
      </c>
      <c r="AW14" s="128">
        <v>137.41540743487548</v>
      </c>
      <c r="AX14" s="352"/>
      <c r="AZ14" s="117"/>
      <c r="BA14" s="117"/>
      <c r="BB14" s="117"/>
      <c r="BC14" s="117"/>
      <c r="BE14" s="486">
        <f>_xll.qlCalendarAdvance(Calendar,BE13,"1d","mf",,Trigger)</f>
        <v>42174</v>
      </c>
      <c r="BF14" s="155">
        <f>_xll.qlDayCounterYearFraction(DayCounter,SettlementDate,BE14,,,Trigger)</f>
        <v>3.888888888888889E-2</v>
      </c>
      <c r="BG14" s="167" t="e">
        <f>_xll.qlPolynomialFunctionValue(G$23,$BF14)</f>
        <v>#NUM!</v>
      </c>
      <c r="BH14" s="167" t="e">
        <f>_xll.qlPolynomialFunctionValue(H$23,$BF14)</f>
        <v>#NUM!</v>
      </c>
      <c r="BI14" s="498" t="e">
        <f>_xll.qlPolynomialFunctionValue(I$23,$BF14)</f>
        <v>#NUM!</v>
      </c>
      <c r="BJ14" s="167" t="e">
        <f>_xll.qlPolynomialFunctionValue(J$23,$BF14)</f>
        <v>#NUM!</v>
      </c>
      <c r="BK14" s="167" t="e">
        <f>_xll.qlPolynomialFunctionValue(O$23,$BF14)</f>
        <v>#NUM!</v>
      </c>
      <c r="BL14" s="167" t="e">
        <f>_xll.qlPolynomialFunctionValue(P$23,$BF14)</f>
        <v>#NUM!</v>
      </c>
      <c r="BM14" s="167" t="e">
        <f>_xll.qlPolynomialFunctionValue(Q$23,$BF14)</f>
        <v>#NUM!</v>
      </c>
      <c r="BN14" s="167" t="e">
        <f>_xll.qlPolynomialFunctionValue(R$23,$BF14)</f>
        <v>#NUM!</v>
      </c>
    </row>
    <row r="15" spans="1:66" ht="12" customHeight="1" x14ac:dyDescent="0.2">
      <c r="A15" s="117">
        <f t="shared" ref="A15:A20" si="14">A4</f>
        <v>1</v>
      </c>
      <c r="B15" s="198">
        <f t="shared" si="8"/>
        <v>7</v>
      </c>
      <c r="C15" s="152" t="str">
        <f>"B"&amp;$D$23&amp;"_"&amp;A15&amp;"X"&amp;B15</f>
        <v>B6M_1X7</v>
      </c>
      <c r="D15" s="485">
        <f>_xll.qlCalendarAdvance(Calendar,SettlementDate,A15&amp;"M","mf")</f>
        <v>42191</v>
      </c>
      <c r="E15" s="485">
        <f>_xll.qlInterestRateIndexMaturity($D$24,D15)</f>
        <v>42375</v>
      </c>
      <c r="F15" s="187">
        <f>_xll.qlIndexFixing(ON_6M_index,_xll.qlInterestRateIndexFixingDate(ON_6M_index,D15,Trigger),,AllTriggers)</f>
        <v>-1.2402851465069713E-3</v>
      </c>
      <c r="G15" s="187">
        <f t="shared" ref="G15:G20" si="15">H15+F15</f>
        <v>6.3999999999999994E-4</v>
      </c>
      <c r="H15" s="523">
        <f>_xll.qlQuoteValue(C15,_xll.ohTrigger(AllTriggers,'6MSynthDepo_used'!E5))</f>
        <v>1.8802851465069713E-3</v>
      </c>
      <c r="I15" s="250">
        <f t="shared" si="9"/>
        <v>154</v>
      </c>
      <c r="J15" s="187">
        <f>_xll.qlTenorBasisValue($O$24,D15,AllTriggers)</f>
        <v>1.8724574769877281E-3</v>
      </c>
      <c r="K15" s="327">
        <f t="shared" si="10"/>
        <v>7.8276695192431786E-6</v>
      </c>
      <c r="L15" s="327">
        <f>K15*$I15/SUM(_xll.ohFilter($I$14:$I$20,M$14:M$20))</f>
        <v>1.8574131062610931E-6</v>
      </c>
      <c r="M15" s="370" t="b">
        <v>1</v>
      </c>
      <c r="N15" s="510">
        <f>_xll.qlTenorBasisValue($P$24,D15,AllTriggers)</f>
        <v>1.8711370794568087E-3</v>
      </c>
      <c r="O15" s="327">
        <f t="shared" si="11"/>
        <v>9.1480670501625696E-6</v>
      </c>
      <c r="P15" s="327">
        <f>O15*$I15/SUM(_xll.ohFilter($I$14:$I$20,Q$14:Q$20))</f>
        <v>2.1707277746148472E-6</v>
      </c>
      <c r="Q15" s="370" t="b">
        <v>1</v>
      </c>
      <c r="R15" s="512">
        <f>_xll.qlTenorBasisValue($Q$24,D15,AllTriggers)</f>
        <v>1.8919789341842251E-3</v>
      </c>
      <c r="S15" s="327">
        <f t="shared" si="12"/>
        <v>-1.1693787677253837E-5</v>
      </c>
      <c r="T15" s="327">
        <f>S15*$I15/SUM(_xll.ohFilter($I$14:$I$20,U$14:U$20))</f>
        <v>-3.8811278066747645E-6</v>
      </c>
      <c r="U15" s="370" t="b">
        <v>1</v>
      </c>
      <c r="V15" s="280">
        <f>_xll.qlTenorBasisValue($R$24,D15,AllTriggers)</f>
        <v>1.8929372878595809E-3</v>
      </c>
      <c r="W15" s="327">
        <f t="shared" si="13"/>
        <v>-1.2652141352609671E-5</v>
      </c>
      <c r="X15" s="327">
        <f>W15*$I15/SUM(_xll.ohFilter($I$14:$I$20,Y$14:Y$20))</f>
        <v>-4.1992020868575198E-6</v>
      </c>
      <c r="Y15" s="370" t="b">
        <v>1</v>
      </c>
      <c r="AA15" s="339"/>
      <c r="AB15" s="127">
        <v>7.4151234567901231E-3</v>
      </c>
      <c r="AC15" s="133">
        <v>8.611111111111111E-2</v>
      </c>
      <c r="AD15" s="128">
        <v>1</v>
      </c>
      <c r="AE15" s="550"/>
      <c r="AF15" s="129">
        <v>8.2174746017998207E-4</v>
      </c>
      <c r="AG15" s="550"/>
      <c r="AH15" s="199">
        <v>1.8802851465069713E-3</v>
      </c>
      <c r="AI15" s="127">
        <v>-17.514542570068745</v>
      </c>
      <c r="AJ15" s="133">
        <v>23.612903225806452</v>
      </c>
      <c r="AK15" s="128">
        <v>-6.0983606557377046</v>
      </c>
      <c r="AL15" s="352"/>
      <c r="AM15" s="339"/>
      <c r="AN15" s="127">
        <v>7.0791780978509369E-2</v>
      </c>
      <c r="AO15" s="133">
        <v>0.17462962962962961</v>
      </c>
      <c r="AP15" s="128">
        <v>0.51111111111111107</v>
      </c>
      <c r="AQ15" s="550"/>
      <c r="AR15" s="129">
        <v>7.9868665380537773E-4</v>
      </c>
      <c r="AS15" s="550"/>
      <c r="AT15" s="199">
        <v>9.6118215573219416E-4</v>
      </c>
      <c r="AU15" s="127">
        <v>-103.06459978101793</v>
      </c>
      <c r="AV15" s="133">
        <v>185.49828497265261</v>
      </c>
      <c r="AW15" s="128">
        <v>-81.87355149717267</v>
      </c>
      <c r="AX15" s="352"/>
      <c r="AZ15" s="117"/>
      <c r="BA15" s="117"/>
      <c r="BB15" s="117"/>
      <c r="BC15" s="117"/>
      <c r="BE15" s="486">
        <f>_xll.qlCalendarAdvance(Calendar,BE14,"1d","mf",,Trigger)</f>
        <v>42177</v>
      </c>
      <c r="BF15" s="155">
        <f>_xll.qlDayCounterYearFraction(DayCounter,SettlementDate,BE15,,,Trigger)</f>
        <v>4.7222222222222221E-2</v>
      </c>
      <c r="BG15" s="167" t="e">
        <f>_xll.qlPolynomialFunctionValue(G$23,$BF15)</f>
        <v>#NUM!</v>
      </c>
      <c r="BH15" s="167" t="e">
        <f>_xll.qlPolynomialFunctionValue(H$23,$BF15)</f>
        <v>#NUM!</v>
      </c>
      <c r="BI15" s="498" t="e">
        <f>_xll.qlPolynomialFunctionValue(I$23,$BF15)</f>
        <v>#NUM!</v>
      </c>
      <c r="BJ15" s="167" t="e">
        <f>_xll.qlPolynomialFunctionValue(J$23,$BF15)</f>
        <v>#NUM!</v>
      </c>
      <c r="BK15" s="167" t="e">
        <f>_xll.qlPolynomialFunctionValue(O$23,$BF15)</f>
        <v>#NUM!</v>
      </c>
      <c r="BL15" s="167" t="e">
        <f>_xll.qlPolynomialFunctionValue(P$23,$BF15)</f>
        <v>#NUM!</v>
      </c>
      <c r="BM15" s="167" t="e">
        <f>_xll.qlPolynomialFunctionValue(Q$23,$BF15)</f>
        <v>#NUM!</v>
      </c>
      <c r="BN15" s="167" t="e">
        <f>_xll.qlPolynomialFunctionValue(R$23,$BF15)</f>
        <v>#NUM!</v>
      </c>
    </row>
    <row r="16" spans="1:66" ht="12" customHeight="1" x14ac:dyDescent="0.2">
      <c r="A16" s="117">
        <f t="shared" si="14"/>
        <v>2</v>
      </c>
      <c r="B16" s="198">
        <f t="shared" si="8"/>
        <v>8</v>
      </c>
      <c r="C16" s="152" t="str">
        <f t="shared" ref="C16:C20" si="16">"B"&amp;$D$23&amp;"_"&amp;A16&amp;"X"&amp;B16</f>
        <v>B6M_2X8</v>
      </c>
      <c r="D16" s="485">
        <f>_xll.qlCalendarAdvance(Calendar,SettlementDate,A16&amp;"M","mf")</f>
        <v>42221</v>
      </c>
      <c r="E16" s="485">
        <f>_xll.qlInterestRateIndexMaturity($D$24,D16)</f>
        <v>42405</v>
      </c>
      <c r="F16" s="187">
        <f>_xll.qlIndexFixing(ON_6M_index,_xll.qlInterestRateIndexFixingDate(ON_6M_index,D16,Trigger),,AllTriggers)</f>
        <v>-1.2417275106922341E-3</v>
      </c>
      <c r="G16" s="187">
        <f t="shared" si="15"/>
        <v>7.1054322255585103E-4</v>
      </c>
      <c r="H16" s="523">
        <f>_xll.qlQuoteValue(C16,_xll.ohTrigger(AllTriggers,'6MSynthDepo_used'!E6))</f>
        <v>1.9522707332480852E-3</v>
      </c>
      <c r="I16" s="250">
        <f t="shared" si="9"/>
        <v>124</v>
      </c>
      <c r="J16" s="187">
        <f>_xll.qlTenorBasisValue($O$24,D16,AllTriggers)</f>
        <v>1.9333292375981817E-3</v>
      </c>
      <c r="K16" s="327">
        <f t="shared" si="10"/>
        <v>1.8941495649903465E-5</v>
      </c>
      <c r="L16" s="327">
        <f>K16*$I16/SUM(_xll.ohFilter($I$14:$I$20,M$14:M$20))</f>
        <v>3.6190222813374878E-6</v>
      </c>
      <c r="M16" s="370" t="b">
        <v>1</v>
      </c>
      <c r="N16" s="510">
        <f>_xll.qlTenorBasisValue($P$24,D16,AllTriggers)</f>
        <v>1.9310348560150354E-3</v>
      </c>
      <c r="O16" s="327">
        <f t="shared" si="11"/>
        <v>2.1235877233049746E-5</v>
      </c>
      <c r="P16" s="327">
        <f>O16*$I16/SUM(_xll.ohFilter($I$14:$I$20,Q$14:Q$20))</f>
        <v>4.0573941092421701E-6</v>
      </c>
      <c r="Q16" s="370" t="b">
        <v>1</v>
      </c>
      <c r="R16" s="512">
        <f>_xll.qlTenorBasisValue($Q$24,D16,AllTriggers)</f>
        <v>1.9408815210842005E-3</v>
      </c>
      <c r="S16" s="327">
        <f t="shared" si="12"/>
        <v>1.1389212163884655E-5</v>
      </c>
      <c r="T16" s="327">
        <f>S16*$I16/SUM(_xll.ohFilter($I$14:$I$20,U$14:U$20))</f>
        <v>3.0436687679346925E-6</v>
      </c>
      <c r="U16" s="370" t="b">
        <v>1</v>
      </c>
      <c r="V16" s="280">
        <f>_xll.qlTenorBasisValue($R$24,D16,AllTriggers)</f>
        <v>1.9396663666133263E-3</v>
      </c>
      <c r="W16" s="327">
        <f t="shared" si="13"/>
        <v>1.2604366634758838E-5</v>
      </c>
      <c r="X16" s="327">
        <f>W16*$I16/SUM(_xll.ohFilter($I$14:$I$20,Y$14:Y$20))</f>
        <v>3.368408324806241E-6</v>
      </c>
      <c r="Y16" s="370" t="b">
        <v>1</v>
      </c>
      <c r="AA16" s="339"/>
      <c r="AB16" s="127">
        <v>2.8711419753086422E-2</v>
      </c>
      <c r="AC16" s="133">
        <v>0.16944444444444445</v>
      </c>
      <c r="AD16" s="128">
        <v>1</v>
      </c>
      <c r="AE16" s="550"/>
      <c r="AF16" s="129">
        <v>1.808302591147706E-3</v>
      </c>
      <c r="AG16" s="550"/>
      <c r="AH16" s="199">
        <v>1.9522707332480852E-3</v>
      </c>
      <c r="AI16" s="127">
        <v>1</v>
      </c>
      <c r="AJ16" s="133">
        <v>0</v>
      </c>
      <c r="AK16" s="128">
        <v>0</v>
      </c>
      <c r="AL16" s="352"/>
      <c r="AM16" s="339"/>
      <c r="AN16" s="127">
        <v>0.10344610196616372</v>
      </c>
      <c r="AO16" s="133">
        <v>0.21722222222222223</v>
      </c>
      <c r="AP16" s="128">
        <v>0.51111111111111107</v>
      </c>
      <c r="AQ16" s="550"/>
      <c r="AR16" s="129">
        <v>1.5959717227207945E-3</v>
      </c>
      <c r="AS16" s="550"/>
      <c r="AT16" s="199">
        <v>9.9796281702811945E-4</v>
      </c>
      <c r="AU16" s="127">
        <v>16.59413357920824</v>
      </c>
      <c r="AV16" s="133">
        <v>-23.668449290813072</v>
      </c>
      <c r="AW16" s="128">
        <v>8.9406519421526163</v>
      </c>
      <c r="AX16" s="352"/>
      <c r="AZ16" s="117"/>
      <c r="BA16" s="117"/>
      <c r="BB16" s="117"/>
      <c r="BC16" s="117"/>
      <c r="BE16" s="486">
        <f>_xll.qlCalendarAdvance(Calendar,BE15,"1d","mf",,Trigger)</f>
        <v>42178</v>
      </c>
      <c r="BF16" s="155">
        <f>_xll.qlDayCounterYearFraction(DayCounter,SettlementDate,BE16,,,Trigger)</f>
        <v>0.05</v>
      </c>
      <c r="BG16" s="167" t="e">
        <f>_xll.qlPolynomialFunctionValue(G$23,$BF16)</f>
        <v>#NUM!</v>
      </c>
      <c r="BH16" s="167" t="e">
        <f>_xll.qlPolynomialFunctionValue(H$23,$BF16)</f>
        <v>#NUM!</v>
      </c>
      <c r="BI16" s="498" t="e">
        <f>_xll.qlPolynomialFunctionValue(I$23,$BF16)</f>
        <v>#NUM!</v>
      </c>
      <c r="BJ16" s="167" t="e">
        <f>_xll.qlPolynomialFunctionValue(J$23,$BF16)</f>
        <v>#NUM!</v>
      </c>
      <c r="BK16" s="167" t="e">
        <f>_xll.qlPolynomialFunctionValue(O$23,$BF16)</f>
        <v>#NUM!</v>
      </c>
      <c r="BL16" s="167" t="e">
        <f>_xll.qlPolynomialFunctionValue(P$23,$BF16)</f>
        <v>#NUM!</v>
      </c>
      <c r="BM16" s="167" t="e">
        <f>_xll.qlPolynomialFunctionValue(Q$23,$BF16)</f>
        <v>#NUM!</v>
      </c>
      <c r="BN16" s="167" t="e">
        <f>_xll.qlPolynomialFunctionValue(R$23,$BF16)</f>
        <v>#NUM!</v>
      </c>
    </row>
    <row r="17" spans="1:66" ht="12" customHeight="1" x14ac:dyDescent="0.2">
      <c r="A17" s="117">
        <f t="shared" si="14"/>
        <v>3</v>
      </c>
      <c r="B17" s="198">
        <f t="shared" si="8"/>
        <v>9</v>
      </c>
      <c r="C17" s="152" t="str">
        <f t="shared" si="16"/>
        <v>B6M_3X9</v>
      </c>
      <c r="D17" s="485">
        <f>_xll.qlCalendarAdvance(Calendar,SettlementDate,A17&amp;"M","mf")</f>
        <v>42254</v>
      </c>
      <c r="E17" s="485">
        <f>_xll.qlInterestRateIndexMaturity($D$24,D17)</f>
        <v>42436</v>
      </c>
      <c r="F17" s="187">
        <f>_xll.qlIndexFixing(ON_6M_index,_xll.qlInterestRateIndexFixingDate(ON_6M_index,D17,Trigger),,AllTriggers)</f>
        <v>-1.2263033183752109E-3</v>
      </c>
      <c r="G17" s="187">
        <f t="shared" si="15"/>
        <v>7.7225171948449613E-4</v>
      </c>
      <c r="H17" s="523">
        <f>_xll.qlQuoteValue(C17,_xll.ohTrigger(AllTriggers,'6MSynthDepo_used'!E7))</f>
        <v>1.9985550378597071E-3</v>
      </c>
      <c r="I17" s="250">
        <f t="shared" si="9"/>
        <v>91</v>
      </c>
      <c r="J17" s="187">
        <f>_xll.qlTenorBasisValue($O$24,D17,AllTriggers)</f>
        <v>2.0002881742696805E-3</v>
      </c>
      <c r="K17" s="327">
        <f t="shared" si="10"/>
        <v>-1.7331364099734507E-6</v>
      </c>
      <c r="L17" s="327">
        <f>K17*$I17/SUM(_xll.ohFilter($I$14:$I$20,M$14:M$20))</f>
        <v>-2.4301296349396611E-7</v>
      </c>
      <c r="M17" s="370" t="b">
        <v>1</v>
      </c>
      <c r="N17" s="510">
        <f>_xll.qlTenorBasisValue($P$24,D17,AllTriggers)</f>
        <v>1.9995986911279439E-3</v>
      </c>
      <c r="O17" s="327">
        <f t="shared" si="11"/>
        <v>-1.0436532682368653E-6</v>
      </c>
      <c r="P17" s="327">
        <f>O17*$I17/SUM(_xll.ohFilter($I$14:$I$20,Q$14:Q$20))</f>
        <v>-1.4633659076972996E-7</v>
      </c>
      <c r="Q17" s="370" t="b">
        <v>1</v>
      </c>
      <c r="R17" s="512">
        <f>_xll.qlTenorBasisValue($Q$24,D17,AllTriggers)</f>
        <v>1.9946743666741733E-3</v>
      </c>
      <c r="S17" s="327">
        <f t="shared" si="12"/>
        <v>3.8806711855337434E-6</v>
      </c>
      <c r="T17" s="327">
        <f>S17*$I17/SUM(_xll.ohFilter($I$14:$I$20,U$14:U$20))</f>
        <v>7.6107990923183331E-7</v>
      </c>
      <c r="U17" s="370" t="b">
        <v>1</v>
      </c>
      <c r="V17" s="280">
        <f>_xll.qlTenorBasisValue($R$24,D17,AllTriggers)</f>
        <v>1.9934093376918075E-3</v>
      </c>
      <c r="W17" s="327">
        <f t="shared" si="13"/>
        <v>5.1457001678995896E-6</v>
      </c>
      <c r="X17" s="327">
        <f>W17*$I17/SUM(_xll.ohFilter($I$14:$I$20,Y$14:Y$20))</f>
        <v>1.009178265687204E-6</v>
      </c>
      <c r="Y17" s="370" t="b">
        <v>1</v>
      </c>
      <c r="AA17" s="339"/>
      <c r="AB17" s="117"/>
      <c r="AC17" s="117"/>
      <c r="AD17" s="117"/>
      <c r="AE17" s="117"/>
      <c r="AF17" s="364"/>
      <c r="AG17" s="136"/>
      <c r="AH17" s="118"/>
      <c r="AI17" s="117"/>
      <c r="AJ17" s="117"/>
      <c r="AK17" s="117"/>
      <c r="AL17" s="352"/>
      <c r="AM17" s="339"/>
      <c r="AN17" s="117"/>
      <c r="AO17" s="117"/>
      <c r="AP17" s="117"/>
      <c r="AQ17" s="117"/>
      <c r="AR17" s="364"/>
      <c r="AS17" s="136"/>
      <c r="AT17" s="118"/>
      <c r="AU17" s="117"/>
      <c r="AV17" s="117"/>
      <c r="AW17" s="117"/>
      <c r="AX17" s="352"/>
      <c r="AZ17" s="117"/>
      <c r="BA17" s="117"/>
      <c r="BB17" s="117"/>
      <c r="BC17" s="117"/>
      <c r="BE17" s="486">
        <f>_xll.qlCalendarAdvance(Calendar,BE16,"1d","mf",,Trigger)</f>
        <v>42179</v>
      </c>
      <c r="BF17" s="155">
        <f>_xll.qlDayCounterYearFraction(DayCounter,SettlementDate,BE17,,,Trigger)</f>
        <v>5.2777777777777778E-2</v>
      </c>
      <c r="BG17" s="167" t="e">
        <f>_xll.qlPolynomialFunctionValue(G$23,$BF17)</f>
        <v>#NUM!</v>
      </c>
      <c r="BH17" s="167" t="e">
        <f>_xll.qlPolynomialFunctionValue(H$23,$BF17)</f>
        <v>#NUM!</v>
      </c>
      <c r="BI17" s="498" t="e">
        <f>_xll.qlPolynomialFunctionValue(I$23,$BF17)</f>
        <v>#NUM!</v>
      </c>
      <c r="BJ17" s="167" t="e">
        <f>_xll.qlPolynomialFunctionValue(J$23,$BF17)</f>
        <v>#NUM!</v>
      </c>
      <c r="BK17" s="167" t="e">
        <f>_xll.qlPolynomialFunctionValue(O$23,$BF17)</f>
        <v>#NUM!</v>
      </c>
      <c r="BL17" s="167" t="e">
        <f>_xll.qlPolynomialFunctionValue(P$23,$BF17)</f>
        <v>#NUM!</v>
      </c>
      <c r="BM17" s="167" t="e">
        <f>_xll.qlPolynomialFunctionValue(Q$23,$BF17)</f>
        <v>#NUM!</v>
      </c>
      <c r="BN17" s="167" t="e">
        <f>_xll.qlPolynomialFunctionValue(R$23,$BF17)</f>
        <v>#NUM!</v>
      </c>
    </row>
    <row r="18" spans="1:66" ht="12" customHeight="1" x14ac:dyDescent="0.2">
      <c r="A18" s="117">
        <f t="shared" si="14"/>
        <v>4</v>
      </c>
      <c r="B18" s="198">
        <f t="shared" si="8"/>
        <v>10</v>
      </c>
      <c r="C18" s="152" t="str">
        <f t="shared" si="16"/>
        <v>B6M_4X10</v>
      </c>
      <c r="D18" s="485">
        <f>_xll.qlCalendarAdvance(Calendar,SettlementDate,A18&amp;"M","mf")</f>
        <v>42282</v>
      </c>
      <c r="E18" s="485">
        <f>_xll.qlInterestRateIndexMaturity($D$24,D18)</f>
        <v>42465</v>
      </c>
      <c r="F18" s="187">
        <f>_xll.qlIndexFixing(ON_6M_index,_xll.qlInterestRateIndexFixingDate(ON_6M_index,D18,Trigger),,AllTriggers)</f>
        <v>-1.2062214413426475E-3</v>
      </c>
      <c r="G18" s="187">
        <f t="shared" si="15"/>
        <v>8.2273101193572275E-4</v>
      </c>
      <c r="H18" s="523">
        <f>_xll.qlQuoteValue(C18,_xll.ohTrigger(AllTriggers,'6MSynthDepo_used'!E8))</f>
        <v>2.0289524532783702E-3</v>
      </c>
      <c r="I18" s="250">
        <f t="shared" si="9"/>
        <v>63</v>
      </c>
      <c r="J18" s="187">
        <f>_xll.qlTenorBasisValue($O$24,D18,AllTriggers)</f>
        <v>2.057101817506104E-3</v>
      </c>
      <c r="K18" s="327">
        <f t="shared" si="10"/>
        <v>-2.8149364227733793E-5</v>
      </c>
      <c r="L18" s="327">
        <f>K18*$I18/SUM(_xll.ohFilter($I$14:$I$20,M$14:M$20))</f>
        <v>-2.7325268818909538E-6</v>
      </c>
      <c r="M18" s="370" t="b">
        <v>1</v>
      </c>
      <c r="N18" s="510">
        <f>_xll.qlTenorBasisValue($P$24,D18,AllTriggers)</f>
        <v>2.0599727617938517E-3</v>
      </c>
      <c r="O18" s="327">
        <f t="shared" si="11"/>
        <v>-3.1020308515481484E-5</v>
      </c>
      <c r="P18" s="327">
        <f>O18*$I18/SUM(_xll.ohFilter($I$14:$I$20,Q$14:Q$20))</f>
        <v>-3.0112163890220857E-6</v>
      </c>
      <c r="Q18" s="370" t="b">
        <v>1</v>
      </c>
      <c r="R18" s="512">
        <f>_xll.qlTenorBasisValue($Q$24,D18,AllTriggers)</f>
        <v>2.0403167811141507E-3</v>
      </c>
      <c r="S18" s="327">
        <f t="shared" si="12"/>
        <v>-1.1364327835780477E-5</v>
      </c>
      <c r="T18" s="327">
        <f>S18*$I18/SUM(_xll.ohFilter($I$14:$I$20,U$14:U$20))</f>
        <v>-1.5430014087374355E-6</v>
      </c>
      <c r="U18" s="370" t="b">
        <v>1</v>
      </c>
      <c r="V18" s="280">
        <f>_xll.qlTenorBasisValue($R$24,D18,AllTriggers)</f>
        <v>2.0409326673800944E-3</v>
      </c>
      <c r="W18" s="327">
        <f t="shared" si="13"/>
        <v>-1.1980214101724174E-5</v>
      </c>
      <c r="X18" s="327">
        <f>W18*$I18/SUM(_xll.ohFilter($I$14:$I$20,Y$14:Y$20))</f>
        <v>-1.6266238974323771E-6</v>
      </c>
      <c r="Y18" s="370" t="b">
        <v>1</v>
      </c>
      <c r="AA18" s="339" t="s">
        <v>142</v>
      </c>
      <c r="AB18" s="117"/>
      <c r="AC18" s="117"/>
      <c r="AD18" s="117"/>
      <c r="AE18" s="117"/>
      <c r="AF18" s="366" t="s">
        <v>90</v>
      </c>
      <c r="AG18" s="117"/>
      <c r="AH18" s="117"/>
      <c r="AI18" s="117"/>
      <c r="AJ18" s="117"/>
      <c r="AK18" s="117"/>
      <c r="AL18" s="352"/>
      <c r="AM18" s="339"/>
      <c r="AN18" s="117"/>
      <c r="AO18" s="117"/>
      <c r="AP18" s="117"/>
      <c r="AQ18" s="117"/>
      <c r="AR18" s="366" t="s">
        <v>90</v>
      </c>
      <c r="AS18" s="117"/>
      <c r="AT18" s="117"/>
      <c r="AU18" s="117"/>
      <c r="AV18" s="117"/>
      <c r="AW18" s="117"/>
      <c r="AX18" s="352"/>
      <c r="AZ18" s="117"/>
      <c r="BA18" s="117"/>
      <c r="BB18" s="117"/>
      <c r="BC18" s="117"/>
      <c r="BE18" s="486">
        <f>_xll.qlCalendarAdvance(Calendar,BE17,"1d","mf",,Trigger)</f>
        <v>42180</v>
      </c>
      <c r="BF18" s="155">
        <f>_xll.qlDayCounterYearFraction(DayCounter,SettlementDate,BE18,,,Trigger)</f>
        <v>5.5555555555555552E-2</v>
      </c>
      <c r="BG18" s="167" t="e">
        <f>_xll.qlPolynomialFunctionValue(G$23,$BF18)</f>
        <v>#NUM!</v>
      </c>
      <c r="BH18" s="167" t="e">
        <f>_xll.qlPolynomialFunctionValue(H$23,$BF18)</f>
        <v>#NUM!</v>
      </c>
      <c r="BI18" s="498" t="e">
        <f>_xll.qlPolynomialFunctionValue(I$23,$BF18)</f>
        <v>#NUM!</v>
      </c>
      <c r="BJ18" s="167" t="e">
        <f>_xll.qlPolynomialFunctionValue(J$23,$BF18)</f>
        <v>#NUM!</v>
      </c>
      <c r="BK18" s="167" t="e">
        <f>_xll.qlPolynomialFunctionValue(O$23,$BF18)</f>
        <v>#NUM!</v>
      </c>
      <c r="BL18" s="167" t="e">
        <f>_xll.qlPolynomialFunctionValue(P$23,$BF18)</f>
        <v>#NUM!</v>
      </c>
      <c r="BM18" s="167" t="e">
        <f>_xll.qlPolynomialFunctionValue(Q$23,$BF18)</f>
        <v>#NUM!</v>
      </c>
      <c r="BN18" s="167" t="e">
        <f>_xll.qlPolynomialFunctionValue(R$23,$BF18)</f>
        <v>#NUM!</v>
      </c>
    </row>
    <row r="19" spans="1:66" ht="12" customHeight="1" x14ac:dyDescent="0.2">
      <c r="A19" s="117">
        <f t="shared" si="14"/>
        <v>5</v>
      </c>
      <c r="B19" s="198">
        <f t="shared" si="8"/>
        <v>11</v>
      </c>
      <c r="C19" s="152" t="str">
        <f t="shared" si="16"/>
        <v>B6M_5X11</v>
      </c>
      <c r="D19" s="485">
        <f>_xll.qlCalendarAdvance(Calendar,SettlementDate,A19&amp;"M","mf")</f>
        <v>42313</v>
      </c>
      <c r="E19" s="485">
        <f>_xll.qlInterestRateIndexMaturity($D$24,D19)</f>
        <v>42495</v>
      </c>
      <c r="F19" s="187">
        <f>_xll.qlIndexFixing(ON_6M_index,_xll.qlInterestRateIndexFixingDate(ON_6M_index,D19,Trigger),,AllTriggers)</f>
        <v>-1.1667548110327155E-3</v>
      </c>
      <c r="G19" s="187">
        <f t="shared" si="15"/>
        <v>8.9274608119474541E-4</v>
      </c>
      <c r="H19" s="523">
        <f>_xll.qlQuoteValue(C19,_xll.ohTrigger(AllTriggers,'6MSynthDepo_used'!E9))</f>
        <v>2.0595008922274609E-3</v>
      </c>
      <c r="I19" s="250">
        <f t="shared" si="9"/>
        <v>32</v>
      </c>
      <c r="J19" s="187">
        <f>_xll.qlTenorBasisValue($O$24,D19,AllTriggers)</f>
        <v>2.1200026368035727E-3</v>
      </c>
      <c r="K19" s="327">
        <f t="shared" si="10"/>
        <v>-6.0501744576111835E-5</v>
      </c>
      <c r="L19" s="327">
        <f>K19*$I19/SUM(_xll.ohFilter($I$14:$I$20,M$14:M$20))</f>
        <v>-2.9831368666187652E-6</v>
      </c>
      <c r="M19" s="370" t="b">
        <v>1</v>
      </c>
      <c r="N19" s="510">
        <f>_xll.qlTenorBasisValue($P$24,D19,AllTriggers)</f>
        <v>2.129169940687198E-3</v>
      </c>
      <c r="O19" s="327">
        <f t="shared" si="11"/>
        <v>-6.9669048459737159E-5</v>
      </c>
      <c r="P19" s="327">
        <f>O19*$I19/SUM(_xll.ohFilter($I$14:$I$20,Q$14:Q$20))</f>
        <v>-3.4351456867667011E-6</v>
      </c>
      <c r="Q19" s="370" t="b">
        <v>1</v>
      </c>
      <c r="R19" s="512">
        <f>_xll.qlTenorBasisValue($Q$24,D19,AllTriggers)</f>
        <v>2.0908494542441255E-3</v>
      </c>
      <c r="S19" s="327">
        <f t="shared" si="12"/>
        <v>-3.1348562016664597E-5</v>
      </c>
      <c r="T19" s="327">
        <f>S19*$I19/SUM(_xll.ohFilter($I$14:$I$20,U$14:U$20))</f>
        <v>-2.1619697942527306E-6</v>
      </c>
      <c r="U19" s="370" t="b">
        <v>1</v>
      </c>
      <c r="V19" s="280">
        <f>_xll.qlTenorBasisValue($R$24,D19,AllTriggers)</f>
        <v>2.0956072631799481E-3</v>
      </c>
      <c r="W19" s="327">
        <f t="shared" si="13"/>
        <v>-3.6106370952487202E-5</v>
      </c>
      <c r="X19" s="327">
        <f>W19*$I19/SUM(_xll.ohFilter($I$14:$I$20,Y$14:Y$20))</f>
        <v>-2.4900945484473933E-6</v>
      </c>
      <c r="Y19" s="370" t="b">
        <v>1</v>
      </c>
      <c r="AA19" s="339"/>
      <c r="AB19" s="127">
        <f t="array" ref="AB19:AB21">_xll.ohFilter(L3:L9,V3:V9)</f>
        <v>7.4151234567901231E-3</v>
      </c>
      <c r="AC19" s="133">
        <f t="array" ref="AC19:AC21">_xll.ohFilter(K3:K9,V3:V9)</f>
        <v>8.611111111111111E-2</v>
      </c>
      <c r="AD19" s="128">
        <f t="array" ref="AD19:AD21">_xll.ohFilter(J3:J9,V3:V9)</f>
        <v>1</v>
      </c>
      <c r="AE19" s="550" t="s">
        <v>37</v>
      </c>
      <c r="AF19" s="129">
        <f t="array" ref="AF19:AF21">MMULT(AI19:AK21,AH19:AH21)</f>
        <v>-2.0508991669778154E-3</v>
      </c>
      <c r="AG19" s="550" t="s">
        <v>38</v>
      </c>
      <c r="AH19" s="199">
        <f t="array" ref="AH19:AH21">_xll.ohFilter(H3:H9,V3:V9)</f>
        <v>1.8802851465069713E-3</v>
      </c>
      <c r="AI19" s="127">
        <f t="array" ref="AI19:AK21">MINVERSE(AB19:AD21)</f>
        <v>68.571428571428513</v>
      </c>
      <c r="AJ19" s="133">
        <v>-130.90909090909076</v>
      </c>
      <c r="AK19" s="128">
        <v>62.33766233766228</v>
      </c>
      <c r="AL19" s="352"/>
      <c r="AM19" s="339"/>
      <c r="AN19" s="127">
        <f t="array" ref="AN19:AN21">_xll.ohFilter(R3:R9,V3:V9)</f>
        <v>7.0791780978509369E-2</v>
      </c>
      <c r="AO19" s="133">
        <f t="array" ref="AO19:AO21">_xll.ohFilter(Q3:Q9,V3:V9)</f>
        <v>0.17462962962962961</v>
      </c>
      <c r="AP19" s="128">
        <f t="array" ref="AP19:AP21">_xll.ohFilter(P3:P9,V3:V9)</f>
        <v>0.51111111111111107</v>
      </c>
      <c r="AQ19" s="550" t="s">
        <v>37</v>
      </c>
      <c r="AR19" s="129">
        <f t="array" ref="AR19:AR21">MMULT(AU19:AW21,AT19:AT21)</f>
        <v>-2.0562775811459322E-3</v>
      </c>
      <c r="AS19" s="550" t="s">
        <v>38</v>
      </c>
      <c r="AT19" s="199">
        <f t="array" ref="AT19:AT21">_xll.ohFilter(M3:M9,V3:V9)</f>
        <v>9.6118215573219416E-4</v>
      </c>
      <c r="AU19" s="127">
        <f t="array" ref="AU19:AW21">MINVERSE(AN19:AP21)</f>
        <v>140.6497999050402</v>
      </c>
      <c r="AV19" s="133">
        <v>-272.50898731601541</v>
      </c>
      <c r="AW19" s="128">
        <v>133.30818947043647</v>
      </c>
      <c r="AX19" s="352"/>
      <c r="AZ19" s="117"/>
      <c r="BA19" s="117"/>
      <c r="BB19" s="117"/>
      <c r="BC19" s="117"/>
      <c r="BE19" s="486">
        <f>_xll.qlCalendarAdvance(Calendar,BE18,"1d","mf",,Trigger)</f>
        <v>42181</v>
      </c>
      <c r="BF19" s="155">
        <f>_xll.qlDayCounterYearFraction(DayCounter,SettlementDate,BE19,,,Trigger)</f>
        <v>5.8333333333333334E-2</v>
      </c>
      <c r="BG19" s="167" t="e">
        <f>_xll.qlPolynomialFunctionValue(G$23,$BF19)</f>
        <v>#NUM!</v>
      </c>
      <c r="BH19" s="167" t="e">
        <f>_xll.qlPolynomialFunctionValue(H$23,$BF19)</f>
        <v>#NUM!</v>
      </c>
      <c r="BI19" s="498" t="e">
        <f>_xll.qlPolynomialFunctionValue(I$23,$BF19)</f>
        <v>#NUM!</v>
      </c>
      <c r="BJ19" s="167" t="e">
        <f>_xll.qlPolynomialFunctionValue(J$23,$BF19)</f>
        <v>#NUM!</v>
      </c>
      <c r="BK19" s="167" t="e">
        <f>_xll.qlPolynomialFunctionValue(O$23,$BF19)</f>
        <v>#NUM!</v>
      </c>
      <c r="BL19" s="167" t="e">
        <f>_xll.qlPolynomialFunctionValue(P$23,$BF19)</f>
        <v>#NUM!</v>
      </c>
      <c r="BM19" s="167" t="e">
        <f>_xll.qlPolynomialFunctionValue(Q$23,$BF19)</f>
        <v>#NUM!</v>
      </c>
      <c r="BN19" s="167" t="e">
        <f>_xll.qlPolynomialFunctionValue(R$23,$BF19)</f>
        <v>#NUM!</v>
      </c>
    </row>
    <row r="20" spans="1:66" ht="12" customHeight="1" x14ac:dyDescent="0.2">
      <c r="A20" s="117">
        <f t="shared" si="14"/>
        <v>6</v>
      </c>
      <c r="B20" s="198">
        <f t="shared" si="8"/>
        <v>12</v>
      </c>
      <c r="C20" s="157" t="str">
        <f t="shared" si="16"/>
        <v>B6M_6X12</v>
      </c>
      <c r="D20" s="489">
        <f>_xll.qlCalendarAdvance(Calendar,SettlementDate,A20&amp;"M","mf")</f>
        <v>42345</v>
      </c>
      <c r="E20" s="489">
        <f>_xll.qlInterestRateIndexMaturity($D$24,D20)</f>
        <v>42528</v>
      </c>
      <c r="F20" s="190">
        <f>_xll.qlIndexFixing(ON_6M_index,_xll.qlInterestRateIndexFixingDate(ON_6M_index,D20,Trigger),,AllTriggers)</f>
        <v>-1.1381423777716306E-3</v>
      </c>
      <c r="G20" s="190">
        <f t="shared" si="15"/>
        <v>9.6273110581319705E-4</v>
      </c>
      <c r="H20" s="524">
        <f>_xll.qlQuoteValue(C20,_xll.ohTrigger(AllTriggers,'6MSynthDepo_used'!E10))</f>
        <v>2.1008734835848276E-3</v>
      </c>
      <c r="I20" s="252">
        <f t="shared" si="9"/>
        <v>0</v>
      </c>
      <c r="J20" s="190">
        <f>_xll.qlTenorBasisValue($O$24,D20,AllTriggers)</f>
        <v>2.1849325147880565E-3</v>
      </c>
      <c r="K20" s="328">
        <f t="shared" si="10"/>
        <v>-8.4059031203228846E-5</v>
      </c>
      <c r="L20" s="328">
        <f>K20*$I20/SUM(_xll.ohFilter($I$14:$I$20,M$14:M$20))</f>
        <v>0</v>
      </c>
      <c r="M20" s="418" t="b">
        <v>1</v>
      </c>
      <c r="N20" s="511">
        <f>_xll.qlTenorBasisValue($P$24,D20,AllTriggers)</f>
        <v>2.2031944681193015E-3</v>
      </c>
      <c r="O20" s="328">
        <f t="shared" si="11"/>
        <v>-1.0232098453447384E-4</v>
      </c>
      <c r="P20" s="328">
        <f>O20*$I20/SUM(_xll.ohFilter($I$14:$I$20,Q$14:Q$20))</f>
        <v>0</v>
      </c>
      <c r="Q20" s="418" t="b">
        <v>1</v>
      </c>
      <c r="R20" s="513">
        <f>_xll.qlTenorBasisValue($Q$24,D20,AllTriggers)</f>
        <v>2.1430122136040994E-3</v>
      </c>
      <c r="S20" s="328">
        <f t="shared" si="12"/>
        <v>-4.2138730019271754E-5</v>
      </c>
      <c r="T20" s="328">
        <f>S20*$I20/SUM(_xll.ohFilter($I$14:$I$20,U$14:U$20))</f>
        <v>0</v>
      </c>
      <c r="U20" s="418" t="b">
        <v>1</v>
      </c>
      <c r="V20" s="283">
        <f>_xll.qlTenorBasisValue($R$24,D20,AllTriggers)</f>
        <v>2.1543156011451597E-3</v>
      </c>
      <c r="W20" s="328">
        <f t="shared" si="13"/>
        <v>-5.3442117560332028E-5</v>
      </c>
      <c r="X20" s="328">
        <f>W20*$I20/SUM(_xll.ohFilter($I$14:$I$20,Y$14:Y$20))</f>
        <v>0</v>
      </c>
      <c r="Y20" s="418" t="b">
        <v>1</v>
      </c>
      <c r="AA20" s="339"/>
      <c r="AB20" s="127">
        <v>2.8711419753086422E-2</v>
      </c>
      <c r="AC20" s="133">
        <v>0.16944444444444445</v>
      </c>
      <c r="AD20" s="128">
        <v>1</v>
      </c>
      <c r="AE20" s="550"/>
      <c r="AF20" s="129">
        <v>1.3879457168988266E-3</v>
      </c>
      <c r="AG20" s="550"/>
      <c r="AH20" s="199">
        <v>1.9522707332480852E-3</v>
      </c>
      <c r="AI20" s="127">
        <v>-29.523809523809504</v>
      </c>
      <c r="AJ20" s="133">
        <v>45.454545454545418</v>
      </c>
      <c r="AK20" s="128">
        <v>-15.930735930735915</v>
      </c>
      <c r="AL20" s="352"/>
      <c r="AM20" s="339"/>
      <c r="AN20" s="127">
        <v>0.10344610196616372</v>
      </c>
      <c r="AO20" s="133">
        <v>0.21722222222222223</v>
      </c>
      <c r="AP20" s="128">
        <v>0.51111111111111107</v>
      </c>
      <c r="AQ20" s="550"/>
      <c r="AR20" s="129">
        <v>2.4400254397393961E-3</v>
      </c>
      <c r="AS20" s="550"/>
      <c r="AT20" s="199">
        <v>9.9796281702811945E-4</v>
      </c>
      <c r="AU20" s="127">
        <v>-131.30977413009603</v>
      </c>
      <c r="AV20" s="133">
        <v>232.40181781184373</v>
      </c>
      <c r="AW20" s="128">
        <v>-102.20294526066797</v>
      </c>
      <c r="AX20" s="352"/>
      <c r="AZ20" s="117"/>
      <c r="BA20" s="117"/>
      <c r="BB20" s="117"/>
      <c r="BC20" s="117"/>
      <c r="BE20" s="486">
        <f>_xll.qlCalendarAdvance(Calendar,BE19,"1d","mf",,Trigger)</f>
        <v>42184</v>
      </c>
      <c r="BF20" s="155">
        <f>_xll.qlDayCounterYearFraction(DayCounter,SettlementDate,BE20,,,Trigger)</f>
        <v>6.6666666666666666E-2</v>
      </c>
      <c r="BG20" s="167" t="e">
        <f>_xll.qlPolynomialFunctionValue(G$23,$BF20)</f>
        <v>#NUM!</v>
      </c>
      <c r="BH20" s="167" t="e">
        <f>_xll.qlPolynomialFunctionValue(H$23,$BF20)</f>
        <v>#NUM!</v>
      </c>
      <c r="BI20" s="498" t="e">
        <f>_xll.qlPolynomialFunctionValue(I$23,$BF20)</f>
        <v>#NUM!</v>
      </c>
      <c r="BJ20" s="167" t="e">
        <f>_xll.qlPolynomialFunctionValue(J$23,$BF20)</f>
        <v>#NUM!</v>
      </c>
      <c r="BK20" s="167" t="e">
        <f>_xll.qlPolynomialFunctionValue(O$23,$BF20)</f>
        <v>#NUM!</v>
      </c>
      <c r="BL20" s="167" t="e">
        <f>_xll.qlPolynomialFunctionValue(P$23,$BF20)</f>
        <v>#NUM!</v>
      </c>
      <c r="BM20" s="167" t="e">
        <f>_xll.qlPolynomialFunctionValue(Q$23,$BF20)</f>
        <v>#NUM!</v>
      </c>
      <c r="BN20" s="167" t="e">
        <f>_xll.qlPolynomialFunctionValue(R$23,$BF20)</f>
        <v>#NUM!</v>
      </c>
    </row>
    <row r="21" spans="1:66" ht="12" customHeight="1" x14ac:dyDescent="0.2">
      <c r="A21" s="117"/>
      <c r="B21" s="198"/>
      <c r="C21" s="198"/>
      <c r="D21" s="198"/>
      <c r="E21" s="198"/>
      <c r="F21" s="198"/>
      <c r="G21" s="198"/>
      <c r="H21" s="198"/>
      <c r="I21" s="198"/>
      <c r="J21" s="198"/>
      <c r="K21" s="198"/>
      <c r="L21" s="500">
        <f>SUMSQ(_xll.ohFilter(L$14:L$20,M$14:M$20))</f>
        <v>3.309995926200278E-11</v>
      </c>
      <c r="M21" s="198"/>
      <c r="N21" s="198"/>
      <c r="O21" s="198"/>
      <c r="P21" s="500">
        <f>SUMSQ(_xll.ohFilter(P$14:P$20,Q$14:Q$20))</f>
        <v>4.298878913062127E-11</v>
      </c>
      <c r="Q21" s="198"/>
      <c r="R21" s="198"/>
      <c r="S21" s="198"/>
      <c r="T21" s="500">
        <f>SUMSQ(_xll.ohFilter(T$14:T$20,U$14:U$20))</f>
        <v>3.1961281987508399E-11</v>
      </c>
      <c r="U21" s="198"/>
      <c r="V21" s="198"/>
      <c r="W21" s="198"/>
      <c r="X21" s="500">
        <f>SUMSQ(_xll.ohFilter(X$14:X$20,Y$14:Y$20))</f>
        <v>3.8844389744733491E-11</v>
      </c>
      <c r="Y21" s="198"/>
      <c r="AA21" s="339"/>
      <c r="AB21" s="127">
        <v>6.8179012345679024E-2</v>
      </c>
      <c r="AC21" s="133">
        <v>0.26111111111111113</v>
      </c>
      <c r="AD21" s="128">
        <v>1</v>
      </c>
      <c r="AE21" s="550"/>
      <c r="AF21" s="129">
        <v>1.7759752691834756E-3</v>
      </c>
      <c r="AG21" s="550"/>
      <c r="AH21" s="199">
        <v>1.9985550378597071E-3</v>
      </c>
      <c r="AI21" s="127">
        <v>3.0338624338624327</v>
      </c>
      <c r="AJ21" s="133">
        <v>-2.9434343434343413</v>
      </c>
      <c r="AK21" s="128">
        <v>0.9095719095719087</v>
      </c>
      <c r="AL21" s="352"/>
      <c r="AM21" s="339"/>
      <c r="AN21" s="127">
        <v>0.14427577732053043</v>
      </c>
      <c r="AO21" s="133">
        <v>0.25979938271604941</v>
      </c>
      <c r="AP21" s="128">
        <v>0.50555555555555554</v>
      </c>
      <c r="AQ21" s="550"/>
      <c r="AR21" s="129">
        <v>1.3317045046809042E-3</v>
      </c>
      <c r="AS21" s="550"/>
      <c r="AT21" s="199">
        <v>1.0104966673489361E-3</v>
      </c>
      <c r="AU21" s="127">
        <v>27.3399014221439</v>
      </c>
      <c r="AV21" s="133">
        <v>-41.659917701055996</v>
      </c>
      <c r="AW21" s="128">
        <v>16.45540107318585</v>
      </c>
      <c r="AX21" s="352"/>
      <c r="AZ21" s="117"/>
      <c r="BA21" s="117"/>
      <c r="BB21" s="117"/>
      <c r="BC21" s="117"/>
      <c r="BE21" s="486">
        <f>_xll.qlCalendarAdvance(Calendar,BE20,"1d","mf",,Trigger)</f>
        <v>42185</v>
      </c>
      <c r="BF21" s="155">
        <f>_xll.qlDayCounterYearFraction(DayCounter,SettlementDate,BE21,,,Trigger)</f>
        <v>6.9444444444444448E-2</v>
      </c>
      <c r="BG21" s="167" t="e">
        <f>_xll.qlPolynomialFunctionValue(G$23,$BF21)</f>
        <v>#NUM!</v>
      </c>
      <c r="BH21" s="167" t="e">
        <f>_xll.qlPolynomialFunctionValue(H$23,$BF21)</f>
        <v>#NUM!</v>
      </c>
      <c r="BI21" s="498" t="e">
        <f>_xll.qlPolynomialFunctionValue(I$23,$BF21)</f>
        <v>#NUM!</v>
      </c>
      <c r="BJ21" s="167" t="e">
        <f>_xll.qlPolynomialFunctionValue(J$23,$BF21)</f>
        <v>#NUM!</v>
      </c>
      <c r="BK21" s="167" t="e">
        <f>_xll.qlPolynomialFunctionValue(O$23,$BF21)</f>
        <v>#NUM!</v>
      </c>
      <c r="BL21" s="167" t="e">
        <f>_xll.qlPolynomialFunctionValue(P$23,$BF21)</f>
        <v>#NUM!</v>
      </c>
      <c r="BM21" s="167" t="e">
        <f>_xll.qlPolynomialFunctionValue(Q$23,$BF21)</f>
        <v>#NUM!</v>
      </c>
      <c r="BN21" s="167" t="e">
        <f>_xll.qlPolynomialFunctionValue(R$23,$BF21)</f>
        <v>#NUM!</v>
      </c>
    </row>
    <row r="22" spans="1:66" ht="12" customHeight="1" x14ac:dyDescent="0.2">
      <c r="A22" s="117"/>
      <c r="B22" s="198"/>
      <c r="C22" s="118"/>
      <c r="D22" s="119"/>
      <c r="E22" s="119"/>
      <c r="F22" s="381" t="s">
        <v>179</v>
      </c>
      <c r="G22" s="120" t="b">
        <v>1</v>
      </c>
      <c r="H22" s="120"/>
      <c r="I22" s="120"/>
      <c r="J22" s="382"/>
      <c r="K22" s="120" t="b">
        <v>0</v>
      </c>
      <c r="L22" s="120"/>
      <c r="M22" s="120"/>
      <c r="N22" s="382"/>
      <c r="O22" s="121"/>
      <c r="P22" s="121"/>
      <c r="Q22" s="285"/>
      <c r="R22" s="246"/>
      <c r="S22" s="481"/>
      <c r="T22" s="481"/>
      <c r="U22" s="481"/>
      <c r="V22" s="121"/>
      <c r="W22" s="481"/>
      <c r="X22" s="481"/>
      <c r="Y22" s="481"/>
      <c r="AA22" s="340"/>
      <c r="AB22" s="341"/>
      <c r="AC22" s="341"/>
      <c r="AD22" s="341"/>
      <c r="AE22" s="341"/>
      <c r="AF22" s="341"/>
      <c r="AG22" s="341"/>
      <c r="AH22" s="341"/>
      <c r="AI22" s="341"/>
      <c r="AJ22" s="341"/>
      <c r="AK22" s="341"/>
      <c r="AL22" s="354"/>
      <c r="AM22" s="340"/>
      <c r="AN22" s="341"/>
      <c r="AO22" s="341"/>
      <c r="AP22" s="341"/>
      <c r="AQ22" s="341"/>
      <c r="AR22" s="341"/>
      <c r="AS22" s="341"/>
      <c r="AT22" s="341"/>
      <c r="AU22" s="341"/>
      <c r="AV22" s="341"/>
      <c r="AW22" s="341"/>
      <c r="AX22" s="354"/>
      <c r="AZ22" s="117"/>
      <c r="BA22" s="117"/>
      <c r="BB22" s="117"/>
      <c r="BC22" s="117"/>
      <c r="BE22" s="486">
        <f>_xll.qlCalendarAdvance(Calendar,BE21,"1d","mf",,Trigger)</f>
        <v>42186</v>
      </c>
      <c r="BF22" s="155">
        <f>_xll.qlDayCounterYearFraction(DayCounter,SettlementDate,BE22,,,Trigger)</f>
        <v>7.2222222222222215E-2</v>
      </c>
      <c r="BG22" s="167" t="e">
        <f>_xll.qlPolynomialFunctionValue(G$23,$BF22)</f>
        <v>#NUM!</v>
      </c>
      <c r="BH22" s="167" t="e">
        <f>_xll.qlPolynomialFunctionValue(H$23,$BF22)</f>
        <v>#NUM!</v>
      </c>
      <c r="BI22" s="498" t="e">
        <f>_xll.qlPolynomialFunctionValue(I$23,$BF22)</f>
        <v>#NUM!</v>
      </c>
      <c r="BJ22" s="167" t="e">
        <f>_xll.qlPolynomialFunctionValue(J$23,$BF22)</f>
        <v>#NUM!</v>
      </c>
      <c r="BK22" s="167" t="e">
        <f>_xll.qlPolynomialFunctionValue(O$23,$BF22)</f>
        <v>#NUM!</v>
      </c>
      <c r="BL22" s="167" t="e">
        <f>_xll.qlPolynomialFunctionValue(P$23,$BF22)</f>
        <v>#NUM!</v>
      </c>
      <c r="BM22" s="167" t="e">
        <f>_xll.qlPolynomialFunctionValue(Q$23,$BF22)</f>
        <v>#NUM!</v>
      </c>
      <c r="BN22" s="167" t="e">
        <f>_xll.qlPolynomialFunctionValue(R$23,$BF22)</f>
        <v>#NUM!</v>
      </c>
    </row>
    <row r="23" spans="1:66" ht="12" customHeight="1" x14ac:dyDescent="0.2">
      <c r="A23" s="117"/>
      <c r="B23" s="198"/>
      <c r="C23" s="142" t="s">
        <v>137</v>
      </c>
      <c r="D23" s="177" t="s">
        <v>42</v>
      </c>
      <c r="E23" s="119"/>
      <c r="F23" s="495" t="s">
        <v>172</v>
      </c>
      <c r="G23" s="496"/>
      <c r="H23" s="496"/>
      <c r="I23" s="496"/>
      <c r="J23" s="496"/>
      <c r="K23" s="496"/>
      <c r="L23" s="496"/>
      <c r="M23" s="496"/>
      <c r="N23" s="496"/>
      <c r="O23" s="496"/>
      <c r="P23" s="496"/>
      <c r="Q23" s="496"/>
      <c r="R23" s="496"/>
      <c r="S23" s="481" t="s">
        <v>153</v>
      </c>
      <c r="X23" s="481"/>
      <c r="Y23" s="481"/>
      <c r="AA23" s="338"/>
      <c r="AB23" s="338"/>
      <c r="AC23" s="338"/>
      <c r="AD23" s="338"/>
      <c r="AE23" s="338"/>
      <c r="AF23" s="338"/>
      <c r="AG23" s="338"/>
      <c r="AH23" s="338"/>
      <c r="AI23" s="338"/>
      <c r="AJ23" s="338"/>
      <c r="AK23" s="338"/>
      <c r="BE23" s="486">
        <f>_xll.qlCalendarAdvance(Calendar,BE22,"1d","mf",,Trigger)</f>
        <v>42187</v>
      </c>
      <c r="BF23" s="155">
        <f>_xll.qlDayCounterYearFraction(DayCounter,SettlementDate,BE23,,,Trigger)</f>
        <v>7.4999999999999997E-2</v>
      </c>
      <c r="BG23" s="167" t="e">
        <f>_xll.qlPolynomialFunctionValue(G$23,$BF23)</f>
        <v>#NUM!</v>
      </c>
      <c r="BH23" s="167" t="e">
        <f>_xll.qlPolynomialFunctionValue(H$23,$BF23)</f>
        <v>#NUM!</v>
      </c>
      <c r="BI23" s="498" t="e">
        <f>_xll.qlPolynomialFunctionValue(I$23,$BF23)</f>
        <v>#NUM!</v>
      </c>
      <c r="BJ23" s="167" t="e">
        <f>_xll.qlPolynomialFunctionValue(J$23,$BF23)</f>
        <v>#NUM!</v>
      </c>
      <c r="BK23" s="167" t="e">
        <f>_xll.qlPolynomialFunctionValue(O$23,$BF23)</f>
        <v>#NUM!</v>
      </c>
      <c r="BL23" s="167" t="e">
        <f>_xll.qlPolynomialFunctionValue(P$23,$BF23)</f>
        <v>#NUM!</v>
      </c>
      <c r="BM23" s="167" t="e">
        <f>_xll.qlPolynomialFunctionValue(Q$23,$BF23)</f>
        <v>#NUM!</v>
      </c>
      <c r="BN23" s="167" t="e">
        <f>_xll.qlPolynomialFunctionValue(R$23,$BF23)</f>
        <v>#NUM!</v>
      </c>
    </row>
    <row r="24" spans="1:66" ht="12" customHeight="1" x14ac:dyDescent="0.2">
      <c r="A24" s="117"/>
      <c r="B24" s="198"/>
      <c r="C24" s="142" t="s">
        <v>100</v>
      </c>
      <c r="D24" s="177" t="str">
        <f>PROPER(Currency)&amp;IborType&amp;$D$23</f>
        <v>Euribor6M</v>
      </c>
      <c r="E24" s="119"/>
      <c r="F24" s="495" t="s">
        <v>167</v>
      </c>
      <c r="G24" s="496" t="str">
        <f>_xll.qlPolynomialTenorBasis(,$D$24,Discounting,SettlementDate,IsSimple,G$25:G$28,,Trigger)</f>
        <v>obj_008af#0068</v>
      </c>
      <c r="H24" s="496" t="str">
        <f>_xll.qlPolynomialTenorBasis(,$D$24,Discounting,SettlementDate,IsSimple,H$25:H$28,,Trigger)</f>
        <v>obj_008b2#0055</v>
      </c>
      <c r="I24" s="496" t="str">
        <f>_xll.qlPolynomialTenorBasis(,$D$24,Discounting,SettlementDate,IsSimple,I$25:I$28,,Trigger)</f>
        <v>obj_008b0#0055</v>
      </c>
      <c r="J24" s="496" t="str">
        <f>_xll.qlPolynomialTenorBasis(,$D$24,Discounting,SettlementDate,IsSimple,J$25:J$28,,Trigger)</f>
        <v>obj_008b1#0055</v>
      </c>
      <c r="K24" s="496" t="str">
        <f>_xll.qlPolynomialTenorBasis(,$D$24,Discounting,SettlementDate,$K$22,K$25:K$28,,Trigger)</f>
        <v>obj_008b3#0054</v>
      </c>
      <c r="L24" s="496" t="str">
        <f>_xll.qlPolynomialTenorBasis(,$D$24,Discounting,SettlementDate,$K$22,L$25:L$28,,Trigger)</f>
        <v>obj_008b4#0050</v>
      </c>
      <c r="M24" s="496" t="str">
        <f>_xll.qlPolynomialTenorBasis(,$D$24,Discounting,SettlementDate,$K$22,M$25:M$28,,Trigger)</f>
        <v>obj_008b5#0050</v>
      </c>
      <c r="N24" s="496" t="str">
        <f>_xll.qlPolynomialTenorBasis(,$D$24,Discounting,SettlementDate,$K$22,N$25:N$28,,Trigger)</f>
        <v>obj_008b6#0050</v>
      </c>
      <c r="O24" s="496" t="str">
        <f>_xll.qlPolynomialTenorBasis(,$D$24,Discounting,SettlementDate,IsSimple,O$25:O$28,,Trigger)</f>
        <v>obj_008b7#0001</v>
      </c>
      <c r="P24" s="496" t="str">
        <f>_xll.qlPolynomialTenorBasis(,$D$24,Discounting,SettlementDate,IsSimple,P$25:P$28,,Trigger)</f>
        <v>obj_008b8#0000</v>
      </c>
      <c r="Q24" s="496" t="str">
        <f>_xll.qlPolynomialTenorBasis(,$D$24,Discounting,SettlementDate,IsSimple,Q$25:Q$28,,Trigger)</f>
        <v>obj_008b9#0000</v>
      </c>
      <c r="R24" s="496" t="str">
        <f>_xll.qlPolynomialTenorBasis(,$D$24,Discounting,SettlementDate,IsSimple,R$25:R$28,,Trigger)</f>
        <v>obj_008ba#0000</v>
      </c>
      <c r="S24" s="481" t="s">
        <v>153</v>
      </c>
      <c r="X24" s="481"/>
      <c r="Y24" s="481"/>
      <c r="BE24" s="486">
        <f>_xll.qlCalendarAdvance(Calendar,BE23,"1d","mf",,Trigger)</f>
        <v>42188</v>
      </c>
      <c r="BF24" s="155">
        <f>_xll.qlDayCounterYearFraction(DayCounter,SettlementDate,BE24,,,Trigger)</f>
        <v>7.7777777777777779E-2</v>
      </c>
      <c r="BG24" s="167" t="e">
        <f>_xll.qlPolynomialFunctionValue(G$23,$BF24)</f>
        <v>#NUM!</v>
      </c>
      <c r="BH24" s="167" t="e">
        <f>_xll.qlPolynomialFunctionValue(H$23,$BF24)</f>
        <v>#NUM!</v>
      </c>
      <c r="BI24" s="498" t="e">
        <f>_xll.qlPolynomialFunctionValue(I$23,$BF24)</f>
        <v>#NUM!</v>
      </c>
      <c r="BJ24" s="167" t="e">
        <f>_xll.qlPolynomialFunctionValue(J$23,$BF24)</f>
        <v>#NUM!</v>
      </c>
      <c r="BK24" s="167" t="e">
        <f>_xll.qlPolynomialFunctionValue(O$23,$BF24)</f>
        <v>#NUM!</v>
      </c>
      <c r="BL24" s="167" t="e">
        <f>_xll.qlPolynomialFunctionValue(P$23,$BF24)</f>
        <v>#NUM!</v>
      </c>
      <c r="BM24" s="167" t="e">
        <f>_xll.qlPolynomialFunctionValue(Q$23,$BF24)</f>
        <v>#NUM!</v>
      </c>
      <c r="BN24" s="167" t="e">
        <f>_xll.qlPolynomialFunctionValue(R$23,$BF24)</f>
        <v>#NUM!</v>
      </c>
    </row>
    <row r="25" spans="1:66" ht="12" customHeight="1" x14ac:dyDescent="0.2">
      <c r="B25" s="118"/>
      <c r="C25" s="142" t="s">
        <v>157</v>
      </c>
      <c r="D25" s="177" t="str">
        <f>_xll.qlIborIndex(,,'6MSynthDepo_allScenario'!D23,2,Currency,Calendar,"mf",TRUE,DayCounter,Discounting,,Trigger)</f>
        <v>obj_00853#0000</v>
      </c>
      <c r="E25" s="141"/>
      <c r="F25" s="399" t="s">
        <v>158</v>
      </c>
      <c r="G25" s="333">
        <f>AF6</f>
        <v>1.808302591147706E-3</v>
      </c>
      <c r="H25" s="333">
        <f>AF16</f>
        <v>1.808302591147706E-3</v>
      </c>
      <c r="I25" s="333">
        <f>AF10</f>
        <v>1.8059000402078198E-3</v>
      </c>
      <c r="J25" s="333">
        <f>AF21</f>
        <v>1.7759752691834756E-3</v>
      </c>
      <c r="K25" s="333">
        <f>AR6</f>
        <v>1.5904674558594595E-3</v>
      </c>
      <c r="L25" s="333">
        <f>AR16</f>
        <v>1.5959717227207945E-3</v>
      </c>
      <c r="M25" s="333">
        <f>AR10</f>
        <v>1.5855289129935012E-3</v>
      </c>
      <c r="N25" s="333">
        <f>AR21</f>
        <v>1.3317045046809042E-3</v>
      </c>
      <c r="O25" s="333">
        <v>1.8095566576902594E-3</v>
      </c>
      <c r="P25" s="333">
        <v>1.8116769802743672E-3</v>
      </c>
      <c r="Q25" s="333">
        <v>1.8414462610542503E-3</v>
      </c>
      <c r="R25" s="333">
        <v>1.8467798668432606E-3</v>
      </c>
      <c r="T25" s="333">
        <f t="array" ref="T25:T28">_xll.qlTenorBasisCoefficients(K24)</f>
        <v>1.808636848186874E-3</v>
      </c>
      <c r="X25" s="481"/>
      <c r="Y25" s="481"/>
      <c r="BE25" s="486">
        <f>_xll.qlCalendarAdvance(Calendar,BE24,"1d","mf",,Trigger)</f>
        <v>42191</v>
      </c>
      <c r="BF25" s="155">
        <f>_xll.qlDayCounterYearFraction(DayCounter,SettlementDate,BE25,,,Trigger)</f>
        <v>8.611111111111111E-2</v>
      </c>
      <c r="BG25" s="167" t="e">
        <f>_xll.qlPolynomialFunctionValue(G$23,$BF25)</f>
        <v>#NUM!</v>
      </c>
      <c r="BH25" s="167" t="e">
        <f>_xll.qlPolynomialFunctionValue(H$23,$BF25)</f>
        <v>#NUM!</v>
      </c>
      <c r="BI25" s="498" t="e">
        <f>_xll.qlPolynomialFunctionValue(I$23,$BF25)</f>
        <v>#NUM!</v>
      </c>
      <c r="BJ25" s="167" t="e">
        <f>_xll.qlPolynomialFunctionValue(J$23,$BF25)</f>
        <v>#NUM!</v>
      </c>
      <c r="BK25" s="167" t="e">
        <f>_xll.qlPolynomialFunctionValue(O$23,$BF25)</f>
        <v>#NUM!</v>
      </c>
      <c r="BL25" s="167" t="e">
        <f>_xll.qlPolynomialFunctionValue(P$23,$BF25)</f>
        <v>#NUM!</v>
      </c>
      <c r="BM25" s="167" t="e">
        <f>_xll.qlPolynomialFunctionValue(Q$23,$BF25)</f>
        <v>#NUM!</v>
      </c>
      <c r="BN25" s="167" t="e">
        <f>_xll.qlPolynomialFunctionValue(R$23,$BF25)</f>
        <v>#NUM!</v>
      </c>
    </row>
    <row r="26" spans="1:66" ht="12" customHeight="1" x14ac:dyDescent="0.2">
      <c r="C26" s="142" t="s">
        <v>176</v>
      </c>
      <c r="D26" s="177" t="s">
        <v>175</v>
      </c>
      <c r="E26" s="141"/>
      <c r="F26" s="399" t="s">
        <v>159</v>
      </c>
      <c r="G26" s="333">
        <f>AF5</f>
        <v>8.3592644933340107E-4</v>
      </c>
      <c r="H26" s="333">
        <f>AF15</f>
        <v>8.2174746017998207E-4</v>
      </c>
      <c r="I26" s="333">
        <f>AF9</f>
        <v>8.6382704089336612E-4</v>
      </c>
      <c r="J26" s="333">
        <f>AF20</f>
        <v>1.3879457168988266E-3</v>
      </c>
      <c r="K26" s="333">
        <f>AR5</f>
        <v>8.4909168905804647E-4</v>
      </c>
      <c r="L26" s="333">
        <f>AR15</f>
        <v>7.9868665380537773E-4</v>
      </c>
      <c r="M26" s="333">
        <f>AR9</f>
        <v>8.635459608608495E-4</v>
      </c>
      <c r="N26" s="333">
        <f>AR20</f>
        <v>2.4400254397393961E-3</v>
      </c>
      <c r="O26" s="333">
        <v>7.4060642076051865E-4</v>
      </c>
      <c r="P26" s="333">
        <v>6.8552900267839162E-4</v>
      </c>
      <c r="Q26" s="333">
        <v>5.9498147394970182E-4</v>
      </c>
      <c r="R26" s="333">
        <v>5.3072555301927568E-4</v>
      </c>
      <c r="S26" s="141"/>
      <c r="T26" s="333">
        <v>8.4909168905804647E-4</v>
      </c>
      <c r="BE26" s="486">
        <f>_xll.qlCalendarAdvance(Calendar,BE25,"1d","mf",,Trigger)</f>
        <v>42192</v>
      </c>
      <c r="BF26" s="155">
        <f>_xll.qlDayCounterYearFraction(DayCounter,SettlementDate,BE26,,,Trigger)</f>
        <v>8.8888888888888892E-2</v>
      </c>
      <c r="BG26" s="167" t="e">
        <f>_xll.qlPolynomialFunctionValue(G$23,$BF26)</f>
        <v>#NUM!</v>
      </c>
      <c r="BH26" s="167" t="e">
        <f>_xll.qlPolynomialFunctionValue(H$23,$BF26)</f>
        <v>#NUM!</v>
      </c>
      <c r="BI26" s="498" t="e">
        <f>_xll.qlPolynomialFunctionValue(I$23,$BF26)</f>
        <v>#NUM!</v>
      </c>
      <c r="BJ26" s="167" t="e">
        <f>_xll.qlPolynomialFunctionValue(J$23,$BF26)</f>
        <v>#NUM!</v>
      </c>
      <c r="BK26" s="167" t="e">
        <f>_xll.qlPolynomialFunctionValue(O$23,$BF26)</f>
        <v>#NUM!</v>
      </c>
      <c r="BL26" s="167" t="e">
        <f>_xll.qlPolynomialFunctionValue(P$23,$BF26)</f>
        <v>#NUM!</v>
      </c>
      <c r="BM26" s="167" t="e">
        <f>_xll.qlPolynomialFunctionValue(Q$23,$BF26)</f>
        <v>#NUM!</v>
      </c>
      <c r="BN26" s="167" t="e">
        <f>_xll.qlPolynomialFunctionValue(R$23,$BF26)</f>
        <v>#NUM!</v>
      </c>
    </row>
    <row r="27" spans="1:66" ht="12" customHeight="1" x14ac:dyDescent="0.2">
      <c r="C27" s="142" t="s">
        <v>177</v>
      </c>
      <c r="D27" s="177" t="s">
        <v>175</v>
      </c>
      <c r="F27" s="399" t="s">
        <v>160</v>
      </c>
      <c r="G27" s="332"/>
      <c r="H27" s="333">
        <f>AF14</f>
        <v>1.6465922887848317E-4</v>
      </c>
      <c r="I27" s="332"/>
      <c r="J27" s="333">
        <f>AF19</f>
        <v>-2.0508991669778154E-3</v>
      </c>
      <c r="K27" s="332"/>
      <c r="L27" s="333">
        <f>AR14</f>
        <v>8.4599096159349019E-5</v>
      </c>
      <c r="M27" s="332"/>
      <c r="N27" s="333">
        <f>AR19</f>
        <v>-2.0562775811459322E-3</v>
      </c>
      <c r="O27" s="332"/>
      <c r="P27" s="333">
        <v>1.7149952994252512E-4</v>
      </c>
      <c r="Q27" s="332"/>
      <c r="R27" s="333">
        <v>1.5001330123429942E-4</v>
      </c>
      <c r="S27" s="141"/>
      <c r="T27" s="333">
        <v>0</v>
      </c>
      <c r="BE27" s="486">
        <f>_xll.qlCalendarAdvance(Calendar,BE26,"1d","mf",,Trigger)</f>
        <v>42193</v>
      </c>
      <c r="BF27" s="155">
        <f>_xll.qlDayCounterYearFraction(DayCounter,SettlementDate,BE27,,,Trigger)</f>
        <v>9.166666666666666E-2</v>
      </c>
      <c r="BG27" s="167" t="e">
        <f>_xll.qlPolynomialFunctionValue(G$23,$BF27)</f>
        <v>#NUM!</v>
      </c>
      <c r="BH27" s="167" t="e">
        <f>_xll.qlPolynomialFunctionValue(H$23,$BF27)</f>
        <v>#NUM!</v>
      </c>
      <c r="BI27" s="498" t="e">
        <f>_xll.qlPolynomialFunctionValue(I$23,$BF27)</f>
        <v>#NUM!</v>
      </c>
      <c r="BJ27" s="167" t="e">
        <f>_xll.qlPolynomialFunctionValue(J$23,$BF27)</f>
        <v>#NUM!</v>
      </c>
      <c r="BK27" s="167" t="e">
        <f>_xll.qlPolynomialFunctionValue(O$23,$BF27)</f>
        <v>#NUM!</v>
      </c>
      <c r="BL27" s="167" t="e">
        <f>_xll.qlPolynomialFunctionValue(P$23,$BF27)</f>
        <v>#NUM!</v>
      </c>
      <c r="BM27" s="167" t="e">
        <f>_xll.qlPolynomialFunctionValue(Q$23,$BF27)</f>
        <v>#NUM!</v>
      </c>
      <c r="BN27" s="167" t="e">
        <f>_xll.qlPolynomialFunctionValue(R$23,$BF27)</f>
        <v>#NUM!</v>
      </c>
    </row>
    <row r="28" spans="1:66" ht="12" customHeight="1" thickBot="1" x14ac:dyDescent="0.25">
      <c r="F28" s="399" t="s">
        <v>161</v>
      </c>
      <c r="G28" s="332"/>
      <c r="H28" s="332"/>
      <c r="I28" s="332"/>
      <c r="J28" s="332"/>
      <c r="K28" s="332"/>
      <c r="L28" s="332"/>
      <c r="M28" s="332"/>
      <c r="N28" s="332"/>
      <c r="O28" s="332"/>
      <c r="P28" s="332"/>
      <c r="Q28" s="332"/>
      <c r="R28" s="332"/>
      <c r="S28" s="141"/>
      <c r="T28" s="333">
        <v>0</v>
      </c>
      <c r="BE28" s="486">
        <f>_xll.qlCalendarAdvance(Calendar,BE27,"1d","mf",,Trigger)</f>
        <v>42194</v>
      </c>
      <c r="BF28" s="155">
        <f>_xll.qlDayCounterYearFraction(DayCounter,SettlementDate,BE28,,,Trigger)</f>
        <v>9.4444444444444442E-2</v>
      </c>
      <c r="BG28" s="167" t="e">
        <f>_xll.qlPolynomialFunctionValue(G$23,$BF28)</f>
        <v>#NUM!</v>
      </c>
      <c r="BH28" s="167" t="e">
        <f>_xll.qlPolynomialFunctionValue(H$23,$BF28)</f>
        <v>#NUM!</v>
      </c>
      <c r="BI28" s="498" t="e">
        <f>_xll.qlPolynomialFunctionValue(I$23,$BF28)</f>
        <v>#NUM!</v>
      </c>
      <c r="BJ28" s="167" t="e">
        <f>_xll.qlPolynomialFunctionValue(J$23,$BF28)</f>
        <v>#NUM!</v>
      </c>
      <c r="BK28" s="167" t="e">
        <f>_xll.qlPolynomialFunctionValue(O$23,$BF28)</f>
        <v>#NUM!</v>
      </c>
      <c r="BL28" s="167" t="e">
        <f>_xll.qlPolynomialFunctionValue(P$23,$BF28)</f>
        <v>#NUM!</v>
      </c>
      <c r="BM28" s="167" t="e">
        <f>_xll.qlPolynomialFunctionValue(Q$23,$BF28)</f>
        <v>#NUM!</v>
      </c>
      <c r="BN28" s="167" t="e">
        <f>_xll.qlPolynomialFunctionValue(R$23,$BF28)</f>
        <v>#NUM!</v>
      </c>
    </row>
    <row r="29" spans="1:66" ht="12" customHeight="1" thickBot="1" x14ac:dyDescent="0.25">
      <c r="G29" s="413" t="s">
        <v>143</v>
      </c>
      <c r="H29" s="414"/>
      <c r="I29" s="414"/>
      <c r="J29" s="414"/>
      <c r="K29" s="414"/>
      <c r="L29" s="414"/>
      <c r="M29" s="414"/>
      <c r="N29" s="415"/>
      <c r="BE29" s="486">
        <f>_xll.qlCalendarAdvance(Calendar,BE28,"1d","mf",,Trigger)</f>
        <v>42195</v>
      </c>
      <c r="BF29" s="155">
        <f>_xll.qlDayCounterYearFraction(DayCounter,SettlementDate,BE29,,,Trigger)</f>
        <v>9.7222222222222224E-2</v>
      </c>
      <c r="BG29" s="167" t="e">
        <f>_xll.qlPolynomialFunctionValue(G$23,$BF29)</f>
        <v>#NUM!</v>
      </c>
      <c r="BH29" s="167" t="e">
        <f>_xll.qlPolynomialFunctionValue(H$23,$BF29)</f>
        <v>#NUM!</v>
      </c>
      <c r="BI29" s="498" t="e">
        <f>_xll.qlPolynomialFunctionValue(I$23,$BF29)</f>
        <v>#NUM!</v>
      </c>
      <c r="BJ29" s="167" t="e">
        <f>_xll.qlPolynomialFunctionValue(J$23,$BF29)</f>
        <v>#NUM!</v>
      </c>
      <c r="BK29" s="167" t="e">
        <f>_xll.qlPolynomialFunctionValue(O$23,$BF29)</f>
        <v>#NUM!</v>
      </c>
      <c r="BL29" s="167" t="e">
        <f>_xll.qlPolynomialFunctionValue(P$23,$BF29)</f>
        <v>#NUM!</v>
      </c>
      <c r="BM29" s="167" t="e">
        <f>_xll.qlPolynomialFunctionValue(Q$23,$BF29)</f>
        <v>#NUM!</v>
      </c>
      <c r="BN29" s="167" t="e">
        <f>_xll.qlPolynomialFunctionValue(R$23,$BF29)</f>
        <v>#NUM!</v>
      </c>
    </row>
    <row r="30" spans="1:66" ht="12" customHeight="1" x14ac:dyDescent="0.2">
      <c r="G30" s="540" t="s">
        <v>195</v>
      </c>
      <c r="H30" s="541"/>
      <c r="I30" s="541"/>
      <c r="J30" s="542"/>
      <c r="K30" s="540" t="s">
        <v>196</v>
      </c>
      <c r="L30" s="541"/>
      <c r="M30" s="541"/>
      <c r="N30" s="542"/>
      <c r="O30" s="413" t="s">
        <v>144</v>
      </c>
      <c r="P30" s="414"/>
      <c r="Q30" s="414"/>
      <c r="R30" s="415"/>
      <c r="BE30" s="486">
        <f>_xll.qlCalendarAdvance(Calendar,BE29,"1d","mf",,Trigger)</f>
        <v>42198</v>
      </c>
      <c r="BF30" s="155">
        <f>_xll.qlDayCounterYearFraction(DayCounter,SettlementDate,BE30,,,Trigger)</f>
        <v>0.10555555555555556</v>
      </c>
      <c r="BG30" s="167" t="e">
        <f>_xll.qlPolynomialFunctionValue(G$23,$BF30)</f>
        <v>#NUM!</v>
      </c>
      <c r="BH30" s="167" t="e">
        <f>_xll.qlPolynomialFunctionValue(H$23,$BF30)</f>
        <v>#NUM!</v>
      </c>
      <c r="BI30" s="498" t="e">
        <f>_xll.qlPolynomialFunctionValue(I$23,$BF30)</f>
        <v>#NUM!</v>
      </c>
      <c r="BJ30" s="167" t="e">
        <f>_xll.qlPolynomialFunctionValue(J$23,$BF30)</f>
        <v>#NUM!</v>
      </c>
      <c r="BK30" s="167" t="e">
        <f>_xll.qlPolynomialFunctionValue(O$23,$BF30)</f>
        <v>#NUM!</v>
      </c>
      <c r="BL30" s="167" t="e">
        <f>_xll.qlPolynomialFunctionValue(P$23,$BF30)</f>
        <v>#NUM!</v>
      </c>
      <c r="BM30" s="167" t="e">
        <f>_xll.qlPolynomialFunctionValue(Q$23,$BF30)</f>
        <v>#NUM!</v>
      </c>
      <c r="BN30" s="167" t="e">
        <f>_xll.qlPolynomialFunctionValue(R$23,$BF30)</f>
        <v>#NUM!</v>
      </c>
    </row>
    <row r="31" spans="1:66" ht="12" customHeight="1" x14ac:dyDescent="0.2">
      <c r="G31" s="400" t="str">
        <f>"with 0X"&amp;SUBSTITUTE($D$23,"M","")</f>
        <v>with 0X6</v>
      </c>
      <c r="H31" s="363"/>
      <c r="I31" s="362" t="str">
        <f>"without 0X"&amp;SUBSTITUTE($D$23,"M","")</f>
        <v>without 0X6</v>
      </c>
      <c r="J31" s="401"/>
      <c r="K31" s="400" t="str">
        <f>"with 0X"&amp;SUBSTITUTE($D$23,"M","")</f>
        <v>with 0X6</v>
      </c>
      <c r="L31" s="363"/>
      <c r="M31" s="362" t="str">
        <f>"without 0X"&amp;SUBSTITUTE($D$23,"M","")</f>
        <v>without 0X6</v>
      </c>
      <c r="N31" s="401"/>
      <c r="O31" s="400" t="str">
        <f>"with 0X"&amp;SUBSTITUTE($D$23,"M","")</f>
        <v>with 0X6</v>
      </c>
      <c r="P31" s="363"/>
      <c r="Q31" s="362" t="str">
        <f>"without 0X"&amp;SUBSTITUTE($D$23,"M","")</f>
        <v>without 0X6</v>
      </c>
      <c r="R31" s="401"/>
      <c r="BE31" s="486">
        <f>_xll.qlCalendarAdvance(Calendar,BE30,"1d","mf",,Trigger)</f>
        <v>42199</v>
      </c>
      <c r="BF31" s="155">
        <f>_xll.qlDayCounterYearFraction(DayCounter,SettlementDate,BE31,,,Trigger)</f>
        <v>0.10833333333333334</v>
      </c>
      <c r="BG31" s="167" t="e">
        <f>_xll.qlPolynomialFunctionValue(G$23,$BF31)</f>
        <v>#NUM!</v>
      </c>
      <c r="BH31" s="167" t="e">
        <f>_xll.qlPolynomialFunctionValue(H$23,$BF31)</f>
        <v>#NUM!</v>
      </c>
      <c r="BI31" s="498" t="e">
        <f>_xll.qlPolynomialFunctionValue(I$23,$BF31)</f>
        <v>#NUM!</v>
      </c>
      <c r="BJ31" s="167" t="e">
        <f>_xll.qlPolynomialFunctionValue(J$23,$BF31)</f>
        <v>#NUM!</v>
      </c>
      <c r="BK31" s="167" t="e">
        <f>_xll.qlPolynomialFunctionValue(O$23,$BF31)</f>
        <v>#NUM!</v>
      </c>
      <c r="BL31" s="167" t="e">
        <f>_xll.qlPolynomialFunctionValue(P$23,$BF31)</f>
        <v>#NUM!</v>
      </c>
      <c r="BM31" s="167" t="e">
        <f>_xll.qlPolynomialFunctionValue(Q$23,$BF31)</f>
        <v>#NUM!</v>
      </c>
      <c r="BN31" s="167" t="e">
        <f>_xll.qlPolynomialFunctionValue(R$23,$BF31)</f>
        <v>#NUM!</v>
      </c>
    </row>
    <row r="32" spans="1:66" ht="12" customHeight="1" x14ac:dyDescent="0.2">
      <c r="D32" s="142" t="s">
        <v>95</v>
      </c>
      <c r="E32" s="142" t="s">
        <v>70</v>
      </c>
      <c r="F32" s="142" t="s">
        <v>71</v>
      </c>
      <c r="G32" s="402" t="str">
        <f t="shared" ref="G32:N32" si="17">IF(COUNT(G$25:G$28)=2,"Linear","Quadratic")</f>
        <v>Linear</v>
      </c>
      <c r="H32" s="145" t="str">
        <f t="shared" si="17"/>
        <v>Quadratic</v>
      </c>
      <c r="I32" s="145" t="str">
        <f t="shared" si="17"/>
        <v>Linear</v>
      </c>
      <c r="J32" s="403" t="str">
        <f t="shared" si="17"/>
        <v>Quadratic</v>
      </c>
      <c r="K32" s="402" t="str">
        <f t="shared" si="17"/>
        <v>Linear</v>
      </c>
      <c r="L32" s="145" t="str">
        <f t="shared" si="17"/>
        <v>Quadratic</v>
      </c>
      <c r="M32" s="145" t="str">
        <f t="shared" si="17"/>
        <v>Linear</v>
      </c>
      <c r="N32" s="403" t="str">
        <f t="shared" si="17"/>
        <v>Quadratic</v>
      </c>
      <c r="O32" s="402" t="str">
        <f>IF(COUNT(O$25:O$28)=2,"Linear","Quadratic")</f>
        <v>Linear</v>
      </c>
      <c r="P32" s="145" t="str">
        <f>IF(COUNT(P$25:P$28)=2,"Linear","Quadratic")</f>
        <v>Quadratic</v>
      </c>
      <c r="Q32" s="145" t="str">
        <f>IF(COUNT(Q$25:Q$28)=2,"Linear","Quadratic")</f>
        <v>Linear</v>
      </c>
      <c r="R32" s="403" t="str">
        <f>IF(COUNT(R$25:R$28)=2,"Linear","Quadratic")</f>
        <v>Quadratic</v>
      </c>
      <c r="X32" s="141"/>
      <c r="Z32" s="117"/>
      <c r="BE32" s="486">
        <f>_xll.qlCalendarAdvance(Calendar,BE31,"1d","mf",,Trigger)</f>
        <v>42200</v>
      </c>
      <c r="BF32" s="155">
        <f>_xll.qlDayCounterYearFraction(DayCounter,SettlementDate,BE32,,,Trigger)</f>
        <v>0.1111111111111111</v>
      </c>
      <c r="BG32" s="167" t="e">
        <f>_xll.qlPolynomialFunctionValue(G$23,$BF32)</f>
        <v>#NUM!</v>
      </c>
      <c r="BH32" s="167" t="e">
        <f>_xll.qlPolynomialFunctionValue(H$23,$BF32)</f>
        <v>#NUM!</v>
      </c>
      <c r="BI32" s="498" t="e">
        <f>_xll.qlPolynomialFunctionValue(I$23,$BF32)</f>
        <v>#NUM!</v>
      </c>
      <c r="BJ32" s="167" t="e">
        <f>_xll.qlPolynomialFunctionValue(J$23,$BF32)</f>
        <v>#NUM!</v>
      </c>
      <c r="BK32" s="167" t="e">
        <f>_xll.qlPolynomialFunctionValue(O$23,$BF32)</f>
        <v>#NUM!</v>
      </c>
      <c r="BL32" s="167" t="e">
        <f>_xll.qlPolynomialFunctionValue(P$23,$BF32)</f>
        <v>#NUM!</v>
      </c>
      <c r="BM32" s="167" t="e">
        <f>_xll.qlPolynomialFunctionValue(Q$23,$BF32)</f>
        <v>#NUM!</v>
      </c>
      <c r="BN32" s="167" t="e">
        <f>_xll.qlPolynomialFunctionValue(R$23,$BF32)</f>
        <v>#NUM!</v>
      </c>
    </row>
    <row r="33" spans="3:66" ht="12" customHeight="1" x14ac:dyDescent="0.2">
      <c r="C33" s="115">
        <v>0</v>
      </c>
      <c r="D33" s="162" t="s">
        <v>43</v>
      </c>
      <c r="E33" s="483">
        <f>_xll.qlCalendarAdvance(Calendar,SettlementDate,C33&amp;"M","mf",TRUE,Trigger)</f>
        <v>42160</v>
      </c>
      <c r="F33" s="484">
        <f>_xll.qlCalendarAdvance(Calendar,SettlementDate,D33,"Following",,Trigger)</f>
        <v>42163</v>
      </c>
      <c r="G33" s="404">
        <f>_xll.qlTenorBasisForwardRate2(TenorBasis6M,$E33,$F33,InterestRatesTrigger)</f>
        <v>3.1260019015988405E-4</v>
      </c>
      <c r="H33" s="389">
        <f>_xll.qlTenorBasisForwardRate2(H$24,$E33,$F33,InterestRatesTrigger)</f>
        <v>3.7540602546570767E-4</v>
      </c>
      <c r="I33" s="389">
        <f>_xll.qlTenorBasisForwardRate2(I$24,$E33,$F33,InterestRatesTrigger)</f>
        <v>3.5573422919377151E-4</v>
      </c>
      <c r="J33" s="405">
        <f>_xll.qlTenorBasisForwardRate2(J$24,$E33,$F33,InterestRatesTrigger)</f>
        <v>1.1071409661056464E-4</v>
      </c>
      <c r="K33" s="404">
        <f>_xll.qlTenorBasisForwardRate2(K$24,$E33,$F33,InterestRatesTrigger)</f>
        <v>3.6210814051251816E-4</v>
      </c>
      <c r="L33" s="389">
        <f>_xll.qlTenorBasisForwardRate2(L$24,$E33,$F33,InterestRatesTrigger)</f>
        <v>3.6733459487514608E-4</v>
      </c>
      <c r="M33" s="389">
        <f>_xll.qlTenorBasisForwardRate2(M$24,$E33,$F33,InterestRatesTrigger)</f>
        <v>3.572958218889255E-4</v>
      </c>
      <c r="N33" s="405">
        <f>_xll.qlTenorBasisForwardRate2(N$24,$E33,$F33,InterestRatesTrigger)</f>
        <v>1.1329224595790777E-4</v>
      </c>
      <c r="O33" s="404">
        <f>_xll.qlTenorBasisForwardRate2(O$24,$E33,$F33,InterestRatesTrigger)</f>
        <v>3.9006855684142749E-4</v>
      </c>
      <c r="P33" s="389">
        <f>_xll.qlTenorBasisForwardRate2(P$24,$E33,$F33,InterestRatesTrigger)</f>
        <v>4.1298614237739173E-4</v>
      </c>
      <c r="Q33" s="389">
        <f>_xll.qlTenorBasisForwardRate2(Q$24,$E33,$F33,InterestRatesTrigger)</f>
        <v>4.5783624742057327E-4</v>
      </c>
      <c r="R33" s="405">
        <f>_xll.qlTenorBasisForwardRate2(R$24,$E33,$F33,InterestRatesTrigger)</f>
        <v>4.8532353069674627E-4</v>
      </c>
      <c r="X33" s="141"/>
      <c r="BE33" s="486">
        <f>_xll.qlCalendarAdvance(Calendar,BE32,"1d","mf",,Trigger)</f>
        <v>42201</v>
      </c>
      <c r="BF33" s="155">
        <f>_xll.qlDayCounterYearFraction(DayCounter,SettlementDate,BE33,,,Trigger)</f>
        <v>0.11388888888888889</v>
      </c>
      <c r="BG33" s="167" t="e">
        <f>_xll.qlPolynomialFunctionValue(G$23,$BF33)</f>
        <v>#NUM!</v>
      </c>
      <c r="BH33" s="167" t="e">
        <f>_xll.qlPolynomialFunctionValue(H$23,$BF33)</f>
        <v>#NUM!</v>
      </c>
      <c r="BI33" s="498" t="e">
        <f>_xll.qlPolynomialFunctionValue(I$23,$BF33)</f>
        <v>#NUM!</v>
      </c>
      <c r="BJ33" s="167" t="e">
        <f>_xll.qlPolynomialFunctionValue(J$23,$BF33)</f>
        <v>#NUM!</v>
      </c>
      <c r="BK33" s="167" t="e">
        <f>_xll.qlPolynomialFunctionValue(O$23,$BF33)</f>
        <v>#NUM!</v>
      </c>
      <c r="BL33" s="167" t="e">
        <f>_xll.qlPolynomialFunctionValue(P$23,$BF33)</f>
        <v>#NUM!</v>
      </c>
      <c r="BM33" s="167" t="e">
        <f>_xll.qlPolynomialFunctionValue(Q$23,$BF33)</f>
        <v>#NUM!</v>
      </c>
      <c r="BN33" s="167" t="e">
        <f>_xll.qlPolynomialFunctionValue(R$23,$BF33)</f>
        <v>#NUM!</v>
      </c>
    </row>
    <row r="34" spans="3:66" ht="12" customHeight="1" x14ac:dyDescent="0.2">
      <c r="C34" s="115">
        <v>0</v>
      </c>
      <c r="D34" s="168" t="s">
        <v>44</v>
      </c>
      <c r="E34" s="485">
        <f>_xll.qlCalendarAdvance(Calendar,SettlementDate,C34&amp;"M","mf",TRUE,Trigger)</f>
        <v>42160</v>
      </c>
      <c r="F34" s="486">
        <f>_xll.qlCalendarAdvance(Calendar,SettlementDate,D34,"Following",,Trigger)</f>
        <v>42167</v>
      </c>
      <c r="G34" s="404">
        <f>_xll.qlTenorBasisForwardRate2(TenorBasis6M,$E34,$F34,InterestRatesTrigger)</f>
        <v>3.1991165637710949E-4</v>
      </c>
      <c r="H34" s="389">
        <f>_xll.qlTenorBasisForwardRate2(H$24,$E34,$F34,InterestRatesTrigger)</f>
        <v>3.7940683504647917E-4</v>
      </c>
      <c r="I34" s="389">
        <f>_xll.qlTenorBasisForwardRate2(I$24,$E34,$F34,InterestRatesTrigger)</f>
        <v>3.6040342388180387E-4</v>
      </c>
      <c r="J34" s="405">
        <f>_xll.qlTenorBasisForwardRate2(J$24,$E34,$F34,InterestRatesTrigger)</f>
        <v>1.2370862387050302E-4</v>
      </c>
      <c r="K34" s="404">
        <f>_xll.qlTenorBasisForwardRate2(K$24,$E34,$F34,InterestRatesTrigger)</f>
        <v>3.6669772500782675E-4</v>
      </c>
      <c r="L34" s="389">
        <f>_xll.qlTenorBasisForwardRate2(L$24,$E34,$F34,InterestRatesTrigger)</f>
        <v>3.7166014140562912E-4</v>
      </c>
      <c r="M34" s="389">
        <f>_xll.qlTenorBasisForwardRate2(M$24,$E34,$F34,InterestRatesTrigger)</f>
        <v>3.619635038213228E-4</v>
      </c>
      <c r="N34" s="405">
        <f>_xll.qlTenorBasisForwardRate2(N$24,$E34,$F34,InterestRatesTrigger)</f>
        <v>1.2627622335210323E-4</v>
      </c>
      <c r="O34" s="404">
        <f>_xll.qlTenorBasisForwardRate2(O$24,$E34,$F34,InterestRatesTrigger)</f>
        <v>3.9407195939565397E-4</v>
      </c>
      <c r="P34" s="389">
        <f>_xll.qlTenorBasisForwardRate2(P$24,$E34,$F34,InterestRatesTrigger)</f>
        <v>4.1623261349599261E-4</v>
      </c>
      <c r="Q34" s="389">
        <f>_xll.qlTenorBasisForwardRate2(Q$24,$E34,$F34,InterestRatesTrigger)</f>
        <v>4.6105295322134462E-4</v>
      </c>
      <c r="R34" s="405">
        <f>_xll.qlTenorBasisForwardRate2(R$24,$E34,$F34,InterestRatesTrigger)</f>
        <v>4.877912934604061E-4</v>
      </c>
      <c r="X34" s="141"/>
      <c r="BE34" s="486">
        <f>_xll.qlCalendarAdvance(Calendar,BE33,"1d","mf",,Trigger)</f>
        <v>42202</v>
      </c>
      <c r="BF34" s="155">
        <f>_xll.qlDayCounterYearFraction(DayCounter,SettlementDate,BE34,,,Trigger)</f>
        <v>0.11666666666666667</v>
      </c>
      <c r="BG34" s="167" t="e">
        <f>_xll.qlPolynomialFunctionValue(G$23,$BF34)</f>
        <v>#NUM!</v>
      </c>
      <c r="BH34" s="167" t="e">
        <f>_xll.qlPolynomialFunctionValue(H$23,$BF34)</f>
        <v>#NUM!</v>
      </c>
      <c r="BI34" s="498" t="e">
        <f>_xll.qlPolynomialFunctionValue(I$23,$BF34)</f>
        <v>#NUM!</v>
      </c>
      <c r="BJ34" s="167" t="e">
        <f>_xll.qlPolynomialFunctionValue(J$23,$BF34)</f>
        <v>#NUM!</v>
      </c>
      <c r="BK34" s="167" t="e">
        <f>_xll.qlPolynomialFunctionValue(O$23,$BF34)</f>
        <v>#NUM!</v>
      </c>
      <c r="BL34" s="167" t="e">
        <f>_xll.qlPolynomialFunctionValue(P$23,$BF34)</f>
        <v>#NUM!</v>
      </c>
      <c r="BM34" s="167" t="e">
        <f>_xll.qlPolynomialFunctionValue(Q$23,$BF34)</f>
        <v>#NUM!</v>
      </c>
      <c r="BN34" s="167" t="e">
        <f>_xll.qlPolynomialFunctionValue(R$23,$BF34)</f>
        <v>#NUM!</v>
      </c>
    </row>
    <row r="35" spans="3:66" ht="12" customHeight="1" x14ac:dyDescent="0.2">
      <c r="C35" s="115">
        <v>0</v>
      </c>
      <c r="D35" s="168" t="s">
        <v>45</v>
      </c>
      <c r="E35" s="485">
        <f>_xll.qlCalendarAdvance(Calendar,SettlementDate,C35&amp;"M","mf",TRUE,Trigger)</f>
        <v>42160</v>
      </c>
      <c r="F35" s="486">
        <f>_xll.qlCalendarAdvance(Calendar,SettlementDate,D35,"Following",,Trigger)</f>
        <v>42174</v>
      </c>
      <c r="G35" s="404">
        <f>_xll.qlTenorBasisForwardRate2(TenorBasis6M,$E35,$F35,InterestRatesTrigger)</f>
        <v>3.6250116961892128E-4</v>
      </c>
      <c r="H35" s="389">
        <f>_xll.qlTenorBasisForwardRate2(H$24,$E35,$F35,InterestRatesTrigger)</f>
        <v>4.164272694273663E-4</v>
      </c>
      <c r="I35" s="389">
        <f>_xll.qlTenorBasisForwardRate2(I$24,$E35,$F35,InterestRatesTrigger)</f>
        <v>3.9856223197227384E-4</v>
      </c>
      <c r="J35" s="405">
        <f>_xll.qlTenorBasisForwardRate2(J$24,$E35,$F35,InterestRatesTrigger)</f>
        <v>1.760468015879876E-4</v>
      </c>
      <c r="K35" s="404">
        <f>_xll.qlTenorBasisForwardRate2(K$24,$E35,$F35,InterestRatesTrigger)</f>
        <v>4.0471722244385584E-4</v>
      </c>
      <c r="L35" s="389">
        <f>_xll.qlTenorBasisForwardRate2(L$24,$E35,$F35,InterestRatesTrigger)</f>
        <v>4.0923364899089369E-4</v>
      </c>
      <c r="M35" s="389">
        <f>_xll.qlTenorBasisForwardRate2(M$24,$E35,$F35,InterestRatesTrigger)</f>
        <v>4.0011966678196335E-4</v>
      </c>
      <c r="N35" s="405">
        <f>_xll.qlTenorBasisForwardRate2(N$24,$E35,$F35,InterestRatesTrigger)</f>
        <v>1.7859492137173305E-4</v>
      </c>
      <c r="O35" s="404">
        <f>_xll.qlTenorBasisForwardRate2(O$24,$E35,$F35,InterestRatesTrigger)</f>
        <v>4.3106566311885378E-4</v>
      </c>
      <c r="P35" s="389">
        <f>_xll.qlTenorBasisForwardRate2(P$24,$E35,$F35,InterestRatesTrigger)</f>
        <v>4.5193428751882133E-4</v>
      </c>
      <c r="Q35" s="389">
        <f>_xll.qlTenorBasisForwardRate2(Q$24,$E35,$F35,InterestRatesTrigger)</f>
        <v>4.9667000874339549E-4</v>
      </c>
      <c r="R35" s="405">
        <f>_xll.qlTenorBasisForwardRate2(R$24,$E35,$F35,InterestRatesTrigger)</f>
        <v>5.2212621880328867E-4</v>
      </c>
      <c r="X35" s="141"/>
      <c r="BE35" s="486">
        <f>_xll.qlCalendarAdvance(Calendar,BE34,"1d","mf",,Trigger)</f>
        <v>42205</v>
      </c>
      <c r="BF35" s="155">
        <f>_xll.qlDayCounterYearFraction(DayCounter,SettlementDate,BE35,,,Trigger)</f>
        <v>0.125</v>
      </c>
      <c r="BG35" s="167" t="e">
        <f>_xll.qlPolynomialFunctionValue(G$23,$BF35)</f>
        <v>#NUM!</v>
      </c>
      <c r="BH35" s="167" t="e">
        <f>_xll.qlPolynomialFunctionValue(H$23,$BF35)</f>
        <v>#NUM!</v>
      </c>
      <c r="BI35" s="498" t="e">
        <f>_xll.qlPolynomialFunctionValue(I$23,$BF35)</f>
        <v>#NUM!</v>
      </c>
      <c r="BJ35" s="167" t="e">
        <f>_xll.qlPolynomialFunctionValue(J$23,$BF35)</f>
        <v>#NUM!</v>
      </c>
      <c r="BK35" s="167" t="e">
        <f>_xll.qlPolynomialFunctionValue(O$23,$BF35)</f>
        <v>#NUM!</v>
      </c>
      <c r="BL35" s="167" t="e">
        <f>_xll.qlPolynomialFunctionValue(P$23,$BF35)</f>
        <v>#NUM!</v>
      </c>
      <c r="BM35" s="167" t="e">
        <f>_xll.qlPolynomialFunctionValue(Q$23,$BF35)</f>
        <v>#NUM!</v>
      </c>
      <c r="BN35" s="167" t="e">
        <f>_xll.qlPolynomialFunctionValue(R$23,$BF35)</f>
        <v>#NUM!</v>
      </c>
    </row>
    <row r="36" spans="3:66" ht="12" customHeight="1" x14ac:dyDescent="0.2">
      <c r="C36" s="115">
        <v>0</v>
      </c>
      <c r="D36" s="168" t="s">
        <v>46</v>
      </c>
      <c r="E36" s="485">
        <f>_xll.qlCalendarAdvance(Calendar,SettlementDate,C36&amp;"M","mf",TRUE,Trigger)</f>
        <v>42160</v>
      </c>
      <c r="F36" s="486">
        <f>_xll.qlCalendarAdvance(Calendar,SettlementDate,D36,"Following",,Trigger)</f>
        <v>42181</v>
      </c>
      <c r="G36" s="404">
        <f>_xll.qlTenorBasisForwardRate2(TenorBasis6M,$E36,$F36,InterestRatesTrigger)</f>
        <v>3.7484653275449934E-4</v>
      </c>
      <c r="H36" s="389">
        <f>_xll.qlTenorBasisForwardRate2(H$24,$E36,$F36,InterestRatesTrigger)</f>
        <v>4.2348669461083385E-4</v>
      </c>
      <c r="I36" s="389">
        <f>_xll.qlTenorBasisForwardRate2(I$24,$E36,$F36,InterestRatesTrigger)</f>
        <v>4.0672023317256389E-4</v>
      </c>
      <c r="J36" s="405">
        <f>_xll.qlTenorBasisForwardRate2(J$24,$E36,$F36,InterestRatesTrigger)</f>
        <v>1.9788835792868196E-4</v>
      </c>
      <c r="K36" s="404">
        <f>_xll.qlTenorBasisForwardRate2(K$24,$E36,$F36,InterestRatesTrigger)</f>
        <v>4.1273590898148271E-4</v>
      </c>
      <c r="L36" s="389">
        <f>_xll.qlTenorBasisForwardRate2(L$24,$E36,$F36,InterestRatesTrigger)</f>
        <v>4.168267967928431E-4</v>
      </c>
      <c r="M36" s="389">
        <f>_xll.qlTenorBasisForwardRate2(M$24,$E36,$F36,InterestRatesTrigger)</f>
        <v>4.0827502239183995E-4</v>
      </c>
      <c r="N36" s="405">
        <f>_xll.qlTenorBasisForwardRate2(N$24,$E36,$F36,InterestRatesTrigger)</f>
        <v>2.0041569775562453E-4</v>
      </c>
      <c r="O36" s="404">
        <f>_xll.qlTenorBasisForwardRate2(O$24,$E36,$F36,InterestRatesTrigger)</f>
        <v>4.3805853040598412E-4</v>
      </c>
      <c r="P36" s="389">
        <f>_xll.qlTenorBasisForwardRate2(P$24,$E36,$F36,InterestRatesTrigger)</f>
        <v>4.5767657111791697E-4</v>
      </c>
      <c r="Q36" s="389">
        <f>_xll.qlTenorBasisForwardRate2(Q$24,$E36,$F36,InterestRatesTrigger)</f>
        <v>5.0228617931580288E-4</v>
      </c>
      <c r="R36" s="405">
        <f>_xll.qlTenorBasisForwardRate2(R$24,$E36,$F36,InterestRatesTrigger)</f>
        <v>5.2649650299686963E-4</v>
      </c>
      <c r="X36" s="141"/>
      <c r="BE36" s="486">
        <f>_xll.qlCalendarAdvance(Calendar,BE35,"1d","mf",,Trigger)</f>
        <v>42206</v>
      </c>
      <c r="BF36" s="155">
        <f>_xll.qlDayCounterYearFraction(DayCounter,SettlementDate,BE36,,,Trigger)</f>
        <v>0.12777777777777777</v>
      </c>
      <c r="BG36" s="167" t="e">
        <f>_xll.qlPolynomialFunctionValue(G$23,$BF36)</f>
        <v>#NUM!</v>
      </c>
      <c r="BH36" s="167" t="e">
        <f>_xll.qlPolynomialFunctionValue(H$23,$BF36)</f>
        <v>#NUM!</v>
      </c>
      <c r="BI36" s="498" t="e">
        <f>_xll.qlPolynomialFunctionValue(I$23,$BF36)</f>
        <v>#NUM!</v>
      </c>
      <c r="BJ36" s="167" t="e">
        <f>_xll.qlPolynomialFunctionValue(J$23,$BF36)</f>
        <v>#NUM!</v>
      </c>
      <c r="BK36" s="167" t="e">
        <f>_xll.qlPolynomialFunctionValue(O$23,$BF36)</f>
        <v>#NUM!</v>
      </c>
      <c r="BL36" s="167" t="e">
        <f>_xll.qlPolynomialFunctionValue(P$23,$BF36)</f>
        <v>#NUM!</v>
      </c>
      <c r="BM36" s="167" t="e">
        <f>_xll.qlPolynomialFunctionValue(Q$23,$BF36)</f>
        <v>#NUM!</v>
      </c>
      <c r="BN36" s="167" t="e">
        <f>_xll.qlPolynomialFunctionValue(R$23,$BF36)</f>
        <v>#NUM!</v>
      </c>
    </row>
    <row r="37" spans="3:66" ht="12" customHeight="1" x14ac:dyDescent="0.2">
      <c r="C37" s="115">
        <v>0</v>
      </c>
      <c r="D37" s="390" t="s">
        <v>40</v>
      </c>
      <c r="E37" s="487">
        <f>_xll.qlCalendarAdvance(Calendar,SettlementDate,C37&amp;"M","mf",TRUE,Trigger)</f>
        <v>42160</v>
      </c>
      <c r="F37" s="488">
        <f>_xll.qlCalendarAdvance(Calendar,SettlementDate,D37,"mf",TRUE,Trigger)</f>
        <v>42191</v>
      </c>
      <c r="G37" s="406">
        <f>_xll.qlTenorBasisForwardRate2(TenorBasis6M,$E37,$F37,InterestRatesTrigger)</f>
        <v>3.82727609145684E-4</v>
      </c>
      <c r="H37" s="396">
        <f>_xll.qlTenorBasisForwardRate2(H$24,$E37,$F37,InterestRatesTrigger)</f>
        <v>4.2430171332559361E-4</v>
      </c>
      <c r="I37" s="396">
        <f>_xll.qlTenorBasisForwardRate2(I$24,$E37,$F37,InterestRatesTrigger)</f>
        <v>4.0903560231800757E-4</v>
      </c>
      <c r="J37" s="407">
        <f>_xll.qlTenorBasisForwardRate2(J$24,$E37,$F37,InterestRatesTrigger)</f>
        <v>2.1889152314971414E-4</v>
      </c>
      <c r="K37" s="406">
        <f>_xll.qlTenorBasisForwardRate2(K$24,$E37,$F37,InterestRatesTrigger)</f>
        <v>4.1485225166857092E-4</v>
      </c>
      <c r="L37" s="396">
        <f>_xll.qlTenorBasisForwardRate2(L$24,$E37,$F37,InterestRatesTrigger)</f>
        <v>4.1837070588558061E-4</v>
      </c>
      <c r="M37" s="396">
        <f>_xll.qlTenorBasisForwardRate2(M$24,$E37,$F37,InterestRatesTrigger)</f>
        <v>4.1058661164672025E-4</v>
      </c>
      <c r="N37" s="407">
        <f>_xll.qlTenorBasisForwardRate2(N$24,$E37,$F37,InterestRatesTrigger)</f>
        <v>2.2138692208236471E-4</v>
      </c>
      <c r="O37" s="406">
        <f>_xll.qlTenorBasisForwardRate2(O$24,$E37,$F37,InterestRatesTrigger)</f>
        <v>4.3870937942060552E-4</v>
      </c>
      <c r="P37" s="396">
        <f>_xll.qlTenorBasisForwardRate2(P$24,$E37,$F37,InterestRatesTrigger)</f>
        <v>4.5661277660344248E-4</v>
      </c>
      <c r="Q37" s="396">
        <f>_xll.qlTenorBasisForwardRate2(Q$24,$E37,$F37,InterestRatesTrigger)</f>
        <v>5.0097025029757682E-4</v>
      </c>
      <c r="R37" s="407">
        <f>_xll.qlTenorBasisForwardRate2(R$24,$E37,$F37,InterestRatesTrigger)</f>
        <v>5.2346361799762795E-4</v>
      </c>
      <c r="X37" s="141"/>
      <c r="BE37" s="486">
        <f>_xll.qlCalendarAdvance(Calendar,BE36,"1d","mf",,Trigger)</f>
        <v>42207</v>
      </c>
      <c r="BF37" s="155">
        <f>_xll.qlDayCounterYearFraction(DayCounter,SettlementDate,BE37,,,Trigger)</f>
        <v>0.13055555555555556</v>
      </c>
      <c r="BG37" s="167" t="e">
        <f>_xll.qlPolynomialFunctionValue(G$23,$BF37)</f>
        <v>#NUM!</v>
      </c>
      <c r="BH37" s="167" t="e">
        <f>_xll.qlPolynomialFunctionValue(H$23,$BF37)</f>
        <v>#NUM!</v>
      </c>
      <c r="BI37" s="498" t="e">
        <f>_xll.qlPolynomialFunctionValue(I$23,$BF37)</f>
        <v>#NUM!</v>
      </c>
      <c r="BJ37" s="167" t="e">
        <f>_xll.qlPolynomialFunctionValue(J$23,$BF37)</f>
        <v>#NUM!</v>
      </c>
      <c r="BK37" s="167" t="e">
        <f>_xll.qlPolynomialFunctionValue(O$23,$BF37)</f>
        <v>#NUM!</v>
      </c>
      <c r="BL37" s="167" t="e">
        <f>_xll.qlPolynomialFunctionValue(P$23,$BF37)</f>
        <v>#NUM!</v>
      </c>
      <c r="BM37" s="167" t="e">
        <f>_xll.qlPolynomialFunctionValue(Q$23,$BF37)</f>
        <v>#NUM!</v>
      </c>
      <c r="BN37" s="167" t="e">
        <f>_xll.qlPolynomialFunctionValue(R$23,$BF37)</f>
        <v>#NUM!</v>
      </c>
    </row>
    <row r="38" spans="3:66" ht="12" customHeight="1" x14ac:dyDescent="0.2">
      <c r="C38" s="115">
        <v>0</v>
      </c>
      <c r="D38" s="168" t="s">
        <v>47</v>
      </c>
      <c r="E38" s="485">
        <f>_xll.qlCalendarAdvance(Calendar,SettlementDate,C38&amp;"M","mf",TRUE,Trigger)</f>
        <v>42160</v>
      </c>
      <c r="F38" s="486">
        <f>_xll.qlCalendarAdvance(Calendar,SettlementDate,D38,"mf",TRUE,Trigger)</f>
        <v>42221</v>
      </c>
      <c r="G38" s="404">
        <f>_xll.qlTenorBasisForwardRate2(TenorBasis6M,$E38,$F38,InterestRatesTrigger)</f>
        <v>4.0340609918106276E-4</v>
      </c>
      <c r="H38" s="389">
        <f>_xll.qlTenorBasisForwardRate2(H$24,$E38,$F38,InterestRatesTrigger)</f>
        <v>4.2712614411781317E-4</v>
      </c>
      <c r="I38" s="389">
        <f>_xll.qlTenorBasisForwardRate2(I$24,$E38,$F38,InterestRatesTrigger)</f>
        <v>4.1587364672362011E-4</v>
      </c>
      <c r="J38" s="405">
        <f>_xll.qlTenorBasisForwardRate2(J$24,$E38,$F38,InterestRatesTrigger)</f>
        <v>2.7572091016762727E-4</v>
      </c>
      <c r="K38" s="404">
        <f>_xll.qlTenorBasisForwardRate2(K$24,$E38,$F38,InterestRatesTrigger)</f>
        <v>4.2109319280552463E-4</v>
      </c>
      <c r="L38" s="389">
        <f>_xll.qlTenorBasisForwardRate2(L$24,$E38,$F38,InterestRatesTrigger)</f>
        <v>4.2314480919705276E-4</v>
      </c>
      <c r="M38" s="389">
        <f>_xll.qlTenorBasisForwardRate2(M$24,$E38,$F38,InterestRatesTrigger)</f>
        <v>4.1741331700734696E-4</v>
      </c>
      <c r="N38" s="405">
        <f>_xll.qlTenorBasisForwardRate2(N$24,$E38,$F38,InterestRatesTrigger)</f>
        <v>2.7810456997355863E-4</v>
      </c>
      <c r="O38" s="404">
        <f>_xll.qlTenorBasisForwardRate2(O$24,$E38,$F38,InterestRatesTrigger)</f>
        <v>4.4055363823768053E-4</v>
      </c>
      <c r="P38" s="389">
        <f>_xll.qlTenorBasisForwardRate2(P$24,$E38,$F38,InterestRatesTrigger)</f>
        <v>4.5382075040196281E-4</v>
      </c>
      <c r="Q38" s="389">
        <f>_xll.qlTenorBasisForwardRate2(Q$24,$E38,$F38,InterestRatesTrigger)</f>
        <v>4.9691386004264233E-4</v>
      </c>
      <c r="R38" s="405">
        <f>_xll.qlTenorBasisForwardRate2(R$24,$E38,$F38,InterestRatesTrigger)</f>
        <v>5.1470033096038387E-4</v>
      </c>
      <c r="X38" s="141"/>
      <c r="BE38" s="486">
        <f>_xll.qlCalendarAdvance(Calendar,BE37,"1d","mf",,Trigger)</f>
        <v>42208</v>
      </c>
      <c r="BF38" s="155">
        <f>_xll.qlDayCounterYearFraction(DayCounter,SettlementDate,BE38,,,Trigger)</f>
        <v>0.13333333333333333</v>
      </c>
      <c r="BG38" s="167" t="e">
        <f>_xll.qlPolynomialFunctionValue(G$23,$BF38)</f>
        <v>#NUM!</v>
      </c>
      <c r="BH38" s="167" t="e">
        <f>_xll.qlPolynomialFunctionValue(H$23,$BF38)</f>
        <v>#NUM!</v>
      </c>
      <c r="BI38" s="498" t="e">
        <f>_xll.qlPolynomialFunctionValue(I$23,$BF38)</f>
        <v>#NUM!</v>
      </c>
      <c r="BJ38" s="167" t="e">
        <f>_xll.qlPolynomialFunctionValue(J$23,$BF38)</f>
        <v>#NUM!</v>
      </c>
      <c r="BK38" s="167" t="e">
        <f>_xll.qlPolynomialFunctionValue(O$23,$BF38)</f>
        <v>#NUM!</v>
      </c>
      <c r="BL38" s="167" t="e">
        <f>_xll.qlPolynomialFunctionValue(P$23,$BF38)</f>
        <v>#NUM!</v>
      </c>
      <c r="BM38" s="167" t="e">
        <f>_xll.qlPolynomialFunctionValue(Q$23,$BF38)</f>
        <v>#NUM!</v>
      </c>
      <c r="BN38" s="167" t="e">
        <f>_xll.qlPolynomialFunctionValue(R$23,$BF38)</f>
        <v>#NUM!</v>
      </c>
    </row>
    <row r="39" spans="3:66" x14ac:dyDescent="0.2">
      <c r="C39" s="115">
        <v>0</v>
      </c>
      <c r="D39" s="168" t="s">
        <v>41</v>
      </c>
      <c r="E39" s="485">
        <f>_xll.qlCalendarAdvance(Calendar,SettlementDate,C39&amp;"M","mf",TRUE,Trigger)</f>
        <v>42160</v>
      </c>
      <c r="F39" s="486">
        <f>_xll.qlCalendarAdvance(Calendar,SettlementDate,D39,"mf",TRUE,Trigger)</f>
        <v>42254</v>
      </c>
      <c r="G39" s="404">
        <f>_xll.qlTenorBasisForwardRate2(TenorBasis6M,$E39,$F39,InterestRatesTrigger)</f>
        <v>4.1680187673849475E-4</v>
      </c>
      <c r="H39" s="389">
        <f>_xll.qlTenorBasisForwardRate2(H$24,$E39,$F39,InterestRatesTrigger)</f>
        <v>4.2645672374633058E-4</v>
      </c>
      <c r="I39" s="389">
        <f>_xll.qlTenorBasisForwardRate2(I$24,$E39,$F39,InterestRatesTrigger)</f>
        <v>4.1877465956240351E-4</v>
      </c>
      <c r="J39" s="405">
        <f>_xll.qlTenorBasisForwardRate2(J$24,$E39,$F39,InterestRatesTrigger)</f>
        <v>3.230926467576344E-4</v>
      </c>
      <c r="K39" s="404">
        <f>_xll.qlTenorBasisForwardRate2(K$24,$E39,$F39,InterestRatesTrigger)</f>
        <v>4.2333734340081248E-4</v>
      </c>
      <c r="L39" s="389">
        <f>_xll.qlTenorBasisForwardRate2(L$24,$E39,$F39,InterestRatesTrigger)</f>
        <v>4.242093984851271E-4</v>
      </c>
      <c r="M39" s="389">
        <f>_xll.qlTenorBasisForwardRate2(M$24,$E39,$F39,InterestRatesTrigger)</f>
        <v>4.2030185613926347E-4</v>
      </c>
      <c r="N39" s="405">
        <f>_xll.qlTenorBasisForwardRate2(N$24,$E39,$F39,InterestRatesTrigger)</f>
        <v>3.2532580593181104E-4</v>
      </c>
      <c r="O39" s="404">
        <f>_xll.qlTenorBasisForwardRate2(O$24,$E39,$F39,InterestRatesTrigger)</f>
        <v>4.3796106380053902E-4</v>
      </c>
      <c r="P39" s="389">
        <f>_xll.qlTenorBasisForwardRate2(P$24,$E39,$F39,InterestRatesTrigger)</f>
        <v>4.4700782892055321E-4</v>
      </c>
      <c r="Q39" s="389">
        <f>_xll.qlTenorBasisForwardRate2(Q$24,$E39,$F39,InterestRatesTrigger)</f>
        <v>4.878299695390376E-4</v>
      </c>
      <c r="R39" s="405">
        <f>_xll.qlTenorBasisForwardRate2(R$24,$E39,$F39,InterestRatesTrigger)</f>
        <v>5.012081102457593E-4</v>
      </c>
      <c r="X39" s="141"/>
      <c r="BE39" s="486">
        <f>_xll.qlCalendarAdvance(Calendar,BE38,"1d","mf",,Trigger)</f>
        <v>42209</v>
      </c>
      <c r="BF39" s="155">
        <f>_xll.qlDayCounterYearFraction(DayCounter,SettlementDate,BE39,,,Trigger)</f>
        <v>0.1361111111111111</v>
      </c>
      <c r="BG39" s="167" t="e">
        <f>_xll.qlPolynomialFunctionValue(G$23,$BF39)</f>
        <v>#NUM!</v>
      </c>
      <c r="BH39" s="167" t="e">
        <f>_xll.qlPolynomialFunctionValue(H$23,$BF39)</f>
        <v>#NUM!</v>
      </c>
      <c r="BI39" s="498" t="e">
        <f>_xll.qlPolynomialFunctionValue(I$23,$BF39)</f>
        <v>#NUM!</v>
      </c>
      <c r="BJ39" s="167" t="e">
        <f>_xll.qlPolynomialFunctionValue(J$23,$BF39)</f>
        <v>#NUM!</v>
      </c>
      <c r="BK39" s="167" t="e">
        <f>_xll.qlPolynomialFunctionValue(O$23,$BF39)</f>
        <v>#NUM!</v>
      </c>
      <c r="BL39" s="167" t="e">
        <f>_xll.qlPolynomialFunctionValue(P$23,$BF39)</f>
        <v>#NUM!</v>
      </c>
      <c r="BM39" s="167" t="e">
        <f>_xll.qlPolynomialFunctionValue(Q$23,$BF39)</f>
        <v>#NUM!</v>
      </c>
      <c r="BN39" s="167" t="e">
        <f>_xll.qlPolynomialFunctionValue(R$23,$BF39)</f>
        <v>#NUM!</v>
      </c>
    </row>
    <row r="40" spans="3:66" x14ac:dyDescent="0.2">
      <c r="C40" s="115">
        <v>0</v>
      </c>
      <c r="D40" s="168" t="s">
        <v>48</v>
      </c>
      <c r="E40" s="485">
        <f>_xll.qlCalendarAdvance(Calendar,SettlementDate,C40&amp;"M","mf",TRUE,Trigger)</f>
        <v>42160</v>
      </c>
      <c r="F40" s="486">
        <f>_xll.qlCalendarAdvance(Calendar,SettlementDate,D40,"mf",TRUE,Trigger)</f>
        <v>42282</v>
      </c>
      <c r="G40" s="404">
        <f>_xll.qlTenorBasisForwardRate2(TenorBasis6M,$E40,$F40,InterestRatesTrigger)</f>
        <v>4.4930675507820391E-4</v>
      </c>
      <c r="H40" s="389">
        <f>_xll.qlTenorBasisForwardRate2(H$24,$E40,$F40,InterestRatesTrigger)</f>
        <v>4.5138240483978025E-4</v>
      </c>
      <c r="I40" s="389">
        <f>_xll.qlTenorBasisForwardRate2(I$24,$E40,$F40,InterestRatesTrigger)</f>
        <v>4.4603584384781075E-4</v>
      </c>
      <c r="J40" s="405">
        <f>_xll.qlTenorBasisForwardRate2(J$24,$E40,$F40,InterestRatesTrigger)</f>
        <v>3.7944301503719212E-4</v>
      </c>
      <c r="K40" s="404">
        <f>_xll.qlTenorBasisForwardRate2(K$24,$E40,$F40,InterestRatesTrigger)</f>
        <v>4.5004118494201373E-4</v>
      </c>
      <c r="L40" s="389">
        <f>_xll.qlTenorBasisForwardRate2(L$24,$E40,$F40,InterestRatesTrigger)</f>
        <v>4.5026896041656093E-4</v>
      </c>
      <c r="M40" s="389">
        <f>_xll.qlTenorBasisForwardRate2(M$24,$E40,$F40,InterestRatesTrigger)</f>
        <v>4.4755246928288527E-4</v>
      </c>
      <c r="N40" s="405">
        <f>_xll.qlTenorBasisForwardRate2(N$24,$E40,$F40,InterestRatesTrigger)</f>
        <v>3.8152582105664982E-4</v>
      </c>
      <c r="O40" s="404">
        <f>_xll.qlTenorBasisForwardRate2(O$24,$E40,$F40,InterestRatesTrigger)</f>
        <v>4.6056080631404249E-4</v>
      </c>
      <c r="P40" s="389">
        <f>_xll.qlTenorBasisForwardRate2(P$24,$E40,$F40,InterestRatesTrigger)</f>
        <v>4.6674942294958554E-4</v>
      </c>
      <c r="Q40" s="389">
        <f>_xll.qlTenorBasisForwardRate2(Q$24,$E40,$F40,InterestRatesTrigger)</f>
        <v>5.0492184222099658E-4</v>
      </c>
      <c r="R40" s="405">
        <f>_xll.qlTenorBasisForwardRate2(R$24,$E40,$F40,InterestRatesTrigger)</f>
        <v>5.1519175278427341E-4</v>
      </c>
      <c r="X40" s="141"/>
      <c r="Z40" s="117"/>
      <c r="BE40" s="486">
        <f>_xll.qlCalendarAdvance(Calendar,BE39,"1d","mf",,Trigger)</f>
        <v>42212</v>
      </c>
      <c r="BF40" s="155">
        <f>_xll.qlDayCounterYearFraction(DayCounter,SettlementDate,BE40,,,Trigger)</f>
        <v>0.14444444444444443</v>
      </c>
      <c r="BG40" s="167" t="e">
        <f>_xll.qlPolynomialFunctionValue(G$23,$BF40)</f>
        <v>#NUM!</v>
      </c>
      <c r="BH40" s="167" t="e">
        <f>_xll.qlPolynomialFunctionValue(H$23,$BF40)</f>
        <v>#NUM!</v>
      </c>
      <c r="BI40" s="498" t="e">
        <f>_xll.qlPolynomialFunctionValue(I$23,$BF40)</f>
        <v>#NUM!</v>
      </c>
      <c r="BJ40" s="167" t="e">
        <f>_xll.qlPolynomialFunctionValue(J$23,$BF40)</f>
        <v>#NUM!</v>
      </c>
      <c r="BK40" s="167" t="e">
        <f>_xll.qlPolynomialFunctionValue(O$23,$BF40)</f>
        <v>#NUM!</v>
      </c>
      <c r="BL40" s="167" t="e">
        <f>_xll.qlPolynomialFunctionValue(P$23,$BF40)</f>
        <v>#NUM!</v>
      </c>
      <c r="BM40" s="167" t="e">
        <f>_xll.qlPolynomialFunctionValue(Q$23,$BF40)</f>
        <v>#NUM!</v>
      </c>
      <c r="BN40" s="167" t="e">
        <f>_xll.qlPolynomialFunctionValue(R$23,$BF40)</f>
        <v>#NUM!</v>
      </c>
    </row>
    <row r="41" spans="3:66" x14ac:dyDescent="0.2">
      <c r="C41" s="115">
        <v>0</v>
      </c>
      <c r="D41" s="172" t="s">
        <v>49</v>
      </c>
      <c r="E41" s="489">
        <f>_xll.qlCalendarAdvance(Calendar,SettlementDate,C41&amp;"M","mf",TRUE,Trigger)</f>
        <v>42160</v>
      </c>
      <c r="F41" s="490">
        <f>_xll.qlCalendarAdvance(Calendar,SettlementDate,D41,"mf",TRUE,Trigger)</f>
        <v>42313</v>
      </c>
      <c r="G41" s="408">
        <f>_xll.qlTenorBasisForwardRate2(TenorBasis6M,$E41,$F41,InterestRatesTrigger)</f>
        <v>4.8454705394456962E-4</v>
      </c>
      <c r="H41" s="371">
        <f>_xll.qlTenorBasisForwardRate2(H$24,$E41,$F41,InterestRatesTrigger)</f>
        <v>4.8265155646271966E-4</v>
      </c>
      <c r="I41" s="371">
        <f>_xll.qlTenorBasisForwardRate2(I$24,$E41,$F41,InterestRatesTrigger)</f>
        <v>4.7914759517009954E-4</v>
      </c>
      <c r="J41" s="409">
        <f>_xll.qlTenorBasisForwardRate2(J$24,$E41,$F41,InterestRatesTrigger)</f>
        <v>4.3550473735093679E-4</v>
      </c>
      <c r="K41" s="408">
        <f>_xll.qlTenorBasisForwardRate2(K$24,$E41,$F41,InterestRatesTrigger)</f>
        <v>4.8253584454789855E-4</v>
      </c>
      <c r="L41" s="371">
        <f>_xll.qlTenorBasisForwardRate2(L$24,$E41,$F41,InterestRatesTrigger)</f>
        <v>4.8243216339273395E-4</v>
      </c>
      <c r="M41" s="371">
        <f>_xll.qlTenorBasisForwardRate2(M$24,$E41,$F41,InterestRatesTrigger)</f>
        <v>4.806525251165121E-4</v>
      </c>
      <c r="N41" s="409">
        <f>_xll.qlTenorBasisForwardRate2(N$24,$E41,$F41,InterestRatesTrigger)</f>
        <v>4.3739679967317902E-4</v>
      </c>
      <c r="O41" s="408">
        <f>_xll.qlTenorBasisForwardRate2(O$24,$E41,$F41,InterestRatesTrigger)</f>
        <v>4.8851127547547767E-4</v>
      </c>
      <c r="P41" s="371">
        <f>_xll.qlTenorBasisForwardRate2(P$24,$E41,$F41,InterestRatesTrigger)</f>
        <v>4.9230948165276467E-4</v>
      </c>
      <c r="Q41" s="371">
        <f>_xll.qlTenorBasisForwardRate2(Q$24,$E41,$F41,InterestRatesTrigger)</f>
        <v>5.2677394886124773E-4</v>
      </c>
      <c r="R41" s="409">
        <f>_xll.qlTenorBasisForwardRate2(R$24,$E41,$F41,InterestRatesTrigger)</f>
        <v>5.3427955850093205E-4</v>
      </c>
      <c r="S41" s="398" t="str">
        <f>"Fixing "&amp;DAY(_xll.qlInterestRateIndexFixingDate($D$24,'6MSynthDepo_used'!G4))&amp;"/"&amp;MONTH(_xll.qlInterestRateIndexFixingDate($D$24,'6MSynthDepo_used'!G4))</f>
        <v>Fixing 3/6</v>
      </c>
      <c r="X41" s="141"/>
      <c r="Z41" s="117"/>
      <c r="BE41" s="486">
        <f>_xll.qlCalendarAdvance(Calendar,BE40,"1d","mf",,Trigger)</f>
        <v>42213</v>
      </c>
      <c r="BF41" s="155">
        <f>_xll.qlDayCounterYearFraction(DayCounter,SettlementDate,BE41,,,Trigger)</f>
        <v>0.14722222222222223</v>
      </c>
      <c r="BG41" s="167" t="e">
        <f>_xll.qlPolynomialFunctionValue(G$23,$BF41)</f>
        <v>#NUM!</v>
      </c>
      <c r="BH41" s="167" t="e">
        <f>_xll.qlPolynomialFunctionValue(H$23,$BF41)</f>
        <v>#NUM!</v>
      </c>
      <c r="BI41" s="498" t="e">
        <f>_xll.qlPolynomialFunctionValue(I$23,$BF41)</f>
        <v>#NUM!</v>
      </c>
      <c r="BJ41" s="167" t="e">
        <f>_xll.qlPolynomialFunctionValue(J$23,$BF41)</f>
        <v>#NUM!</v>
      </c>
      <c r="BK41" s="167" t="e">
        <f>_xll.qlPolynomialFunctionValue(O$23,$BF41)</f>
        <v>#NUM!</v>
      </c>
      <c r="BL41" s="167" t="e">
        <f>_xll.qlPolynomialFunctionValue(P$23,$BF41)</f>
        <v>#NUM!</v>
      </c>
      <c r="BM41" s="167" t="e">
        <f>_xll.qlPolynomialFunctionValue(Q$23,$BF41)</f>
        <v>#NUM!</v>
      </c>
      <c r="BN41" s="167" t="e">
        <f>_xll.qlPolynomialFunctionValue(R$23,$BF41)</f>
        <v>#NUM!</v>
      </c>
    </row>
    <row r="42" spans="3:66" ht="12" thickBot="1" x14ac:dyDescent="0.25">
      <c r="C42" s="115">
        <v>0</v>
      </c>
      <c r="D42" s="387" t="s">
        <v>42</v>
      </c>
      <c r="E42" s="491">
        <f>_xll.qlCalendarAdvance(Calendar,SettlementDate,C42&amp;"M","mf",TRUE,Trigger)</f>
        <v>42160</v>
      </c>
      <c r="F42" s="492">
        <f>_xll.qlCalendarAdvance(Calendar,SettlementDate,D42,"mf",TRUE,Trigger)</f>
        <v>42345</v>
      </c>
      <c r="G42" s="410">
        <f>_xll.qlTenorBasisForwardRate(TenorBasis6M,$E42,InterestRatesTrigger)</f>
        <v>5.1798462386715908E-4</v>
      </c>
      <c r="H42" s="411">
        <f>_xll.qlTenorBasisForwardRate(H$24,$E42,InterestRatesTrigger)</f>
        <v>5.1659683936449222E-4</v>
      </c>
      <c r="I42" s="411">
        <f>_xll.qlTenorBasisForwardRate(I$24,$E42,InterestRatesTrigger)</f>
        <v>5.1417571154734173E-4</v>
      </c>
      <c r="J42" s="412">
        <f>_xll.qlTenorBasisForwardRate(J$24,$E42,InterestRatesTrigger)</f>
        <v>4.8401981014281842E-4</v>
      </c>
      <c r="K42" s="411">
        <f>_xll.qlTenorBasisForwardRate(K$24,$E42,InterestRatesTrigger)</f>
        <v>5.1692691252032679E-4</v>
      </c>
      <c r="L42" s="411">
        <f>_xll.qlTenorBasisForwardRate(L$24,$E42,InterestRatesTrigger)</f>
        <v>5.1690203563577446E-4</v>
      </c>
      <c r="M42" s="411">
        <f>_xll.qlTenorBasisForwardRate(M$24,$E42,InterestRatesTrigger)</f>
        <v>5.1566857700929391E-4</v>
      </c>
      <c r="N42" s="412">
        <f>_xll.qlTenorBasisForwardRate(N$24,$E42,InterestRatesTrigger)</f>
        <v>4.8568819779787488E-4</v>
      </c>
      <c r="O42" s="410">
        <f>_xll.qlTenorBasisTenorForwardRate(O$24,$E42,InterestRatesTrigger)</f>
        <v>5.4591207018663771E-4</v>
      </c>
      <c r="P42" s="411">
        <f>_xll.qlTenorBasisTenorForwardRate(P$24,$E42,InterestRatesTrigger)</f>
        <v>5.4803239277074556E-4</v>
      </c>
      <c r="Q42" s="411">
        <f>_xll.qlTenorBasisTenorForwardRate(Q$24,$E42,InterestRatesTrigger)</f>
        <v>5.7780167355062865E-4</v>
      </c>
      <c r="R42" s="412">
        <f>_xll.qlTenorBasisTenorForwardRate(R$24,$E42,InterestRatesTrigger)</f>
        <v>5.8313527933963891E-4</v>
      </c>
      <c r="S42" s="397">
        <f>'6MSynthDepo_used'!$I$4</f>
        <v>4.8000000000000001E-4</v>
      </c>
      <c r="X42" s="141"/>
      <c r="Z42" s="117"/>
      <c r="BE42" s="486">
        <f>_xll.qlCalendarAdvance(Calendar,BE41,"1d","mf",,Trigger)</f>
        <v>42214</v>
      </c>
      <c r="BF42" s="155">
        <f>_xll.qlDayCounterYearFraction(DayCounter,SettlementDate,BE42,,,Trigger)</f>
        <v>0.15</v>
      </c>
      <c r="BG42" s="167" t="e">
        <f>_xll.qlPolynomialFunctionValue(G$23,$BF42)</f>
        <v>#NUM!</v>
      </c>
      <c r="BH42" s="167" t="e">
        <f>_xll.qlPolynomialFunctionValue(H$23,$BF42)</f>
        <v>#NUM!</v>
      </c>
      <c r="BI42" s="498" t="e">
        <f>_xll.qlPolynomialFunctionValue(I$23,$BF42)</f>
        <v>#NUM!</v>
      </c>
      <c r="BJ42" s="167" t="e">
        <f>_xll.qlPolynomialFunctionValue(J$23,$BF42)</f>
        <v>#NUM!</v>
      </c>
      <c r="BK42" s="167" t="e">
        <f>_xll.qlPolynomialFunctionValue(O$23,$BF42)</f>
        <v>#NUM!</v>
      </c>
      <c r="BL42" s="167" t="e">
        <f>_xll.qlPolynomialFunctionValue(P$23,$BF42)</f>
        <v>#NUM!</v>
      </c>
      <c r="BM42" s="167" t="e">
        <f>_xll.qlPolynomialFunctionValue(Q$23,$BF42)</f>
        <v>#NUM!</v>
      </c>
      <c r="BN42" s="167" t="e">
        <f>_xll.qlPolynomialFunctionValue(R$23,$BF42)</f>
        <v>#NUM!</v>
      </c>
    </row>
    <row r="43" spans="3:66" ht="11.25" customHeight="1" x14ac:dyDescent="0.2">
      <c r="C43" s="115">
        <v>1</v>
      </c>
      <c r="D43" s="162" t="str">
        <f t="shared" ref="D43:D48" si="18">C43+SUBSTITUTE($D$23,"M","")&amp;"M"</f>
        <v>7M</v>
      </c>
      <c r="E43" s="483">
        <f>_xll.qlCalendarAdvance(Calendar,SettlementDate,C43&amp;"M","mf",TRUE,Trigger)</f>
        <v>42191</v>
      </c>
      <c r="F43" s="483">
        <f>_xll.qlCalendarAdvance(Calendar,SettlementDate,D43,"mf",TRUE,Trigger)</f>
        <v>42374</v>
      </c>
      <c r="G43" s="420">
        <f>_xll.qlTenorBasisTenorForwardRate(TenorBasis6M,$E43,InterestRatesTrigger)</f>
        <v>6.4139551595106216E-4</v>
      </c>
      <c r="H43" s="420">
        <f>_xll.qlTenorBasisTenorForwardRate(H$24,$E43,InterestRatesTrigger)</f>
        <v>6.3899744111953899E-4</v>
      </c>
      <c r="I43" s="420">
        <f>_xll.qlTenorBasisTenorForwardRate(I$24,$E43,InterestRatesTrigger)</f>
        <v>6.3898102594110696E-4</v>
      </c>
      <c r="J43" s="421">
        <f>_xll.qlTenorBasisTenorForwardRate(J$24,$E43,InterestRatesTrigger)</f>
        <v>6.387765680677187E-4</v>
      </c>
      <c r="K43" s="420">
        <f>_xll.qlTenorBasisTenorForwardRate(K$24,$E43,InterestRatesTrigger)</f>
        <v>6.4046633828483256E-4</v>
      </c>
      <c r="L43" s="420">
        <f>_xll.qlTenorBasisTenorForwardRate(L$24,$E43,InterestRatesTrigger)</f>
        <v>6.4048796430851728E-4</v>
      </c>
      <c r="M43" s="420">
        <f>_xll.qlTenorBasisTenorForwardRate(M$24,$E43,InterestRatesTrigger)</f>
        <v>6.4046936334171659E-4</v>
      </c>
      <c r="N43" s="421">
        <f>_xll.qlTenorBasisTenorForwardRate(N$24,$E43,InterestRatesTrigger)</f>
        <v>6.4001724561519799E-4</v>
      </c>
      <c r="O43" s="422">
        <f>_xll.qlTenorBasisTenorForwardRate(O$24,$E43,InterestRatesTrigger)</f>
        <v>6.3217233048075677E-4</v>
      </c>
      <c r="P43" s="420">
        <f>_xll.qlTenorBasisTenorForwardRate(P$24,$E43,InterestRatesTrigger)</f>
        <v>6.3085193294983737E-4</v>
      </c>
      <c r="Q43" s="420">
        <f>_xll.qlTenorBasisTenorForwardRate(Q$24,$E43,InterestRatesTrigger)</f>
        <v>6.5169378767725378E-4</v>
      </c>
      <c r="R43" s="420">
        <f>_xll.qlTenorBasisTenorForwardRate(R$24,$E43,InterestRatesTrigger)</f>
        <v>6.5265214135260961E-4</v>
      </c>
      <c r="S43" s="180">
        <f>'6MSynthDepo_used'!I5</f>
        <v>6.4000000000000005E-4</v>
      </c>
      <c r="X43" s="141"/>
      <c r="Z43" s="117"/>
      <c r="BE43" s="486">
        <f>_xll.qlCalendarAdvance(Calendar,BE42,"1d","mf",,Trigger)</f>
        <v>42215</v>
      </c>
      <c r="BF43" s="155">
        <f>_xll.qlDayCounterYearFraction(DayCounter,SettlementDate,BE43,,,Trigger)</f>
        <v>0.15277777777777779</v>
      </c>
      <c r="BG43" s="167" t="e">
        <f>_xll.qlPolynomialFunctionValue(G$23,$BF43)</f>
        <v>#NUM!</v>
      </c>
      <c r="BH43" s="167" t="e">
        <f>_xll.qlPolynomialFunctionValue(H$23,$BF43)</f>
        <v>#NUM!</v>
      </c>
      <c r="BI43" s="498" t="e">
        <f>_xll.qlPolynomialFunctionValue(I$23,$BF43)</f>
        <v>#NUM!</v>
      </c>
      <c r="BJ43" s="167" t="e">
        <f>_xll.qlPolynomialFunctionValue(J$23,$BF43)</f>
        <v>#NUM!</v>
      </c>
      <c r="BK43" s="167" t="e">
        <f>_xll.qlPolynomialFunctionValue(O$23,$BF43)</f>
        <v>#NUM!</v>
      </c>
      <c r="BL43" s="167" t="e">
        <f>_xll.qlPolynomialFunctionValue(P$23,$BF43)</f>
        <v>#NUM!</v>
      </c>
      <c r="BM43" s="167" t="e">
        <f>_xll.qlPolynomialFunctionValue(Q$23,$BF43)</f>
        <v>#NUM!</v>
      </c>
      <c r="BN43" s="167" t="e">
        <f>_xll.qlPolynomialFunctionValue(R$23,$BF43)</f>
        <v>#NUM!</v>
      </c>
    </row>
    <row r="44" spans="3:66" x14ac:dyDescent="0.2">
      <c r="C44" s="115">
        <v>2</v>
      </c>
      <c r="D44" s="168" t="str">
        <f t="shared" si="18"/>
        <v>8M</v>
      </c>
      <c r="E44" s="485">
        <f>_xll.qlCalendarAdvance(Calendar,SettlementDate,C44&amp;"M","mf",TRUE,Trigger)</f>
        <v>42221</v>
      </c>
      <c r="F44" s="485">
        <f>_xll.qlCalendarAdvance(Calendar,SettlementDate,D44,"mf",TRUE,Trigger)</f>
        <v>42405</v>
      </c>
      <c r="G44" s="167">
        <f>_xll.qlTenorBasisTenorForwardRate(TenorBasis6M,$E44,InterestRatesTrigger)</f>
        <v>6.989002325456684E-4</v>
      </c>
      <c r="H44" s="167">
        <f>_xll.qlTenorBasisTenorForwardRate(H$24,$E44,InterestRatesTrigger)</f>
        <v>7.0772506438033394E-4</v>
      </c>
      <c r="I44" s="167">
        <f>_xll.qlTenorBasisTenorForwardRate(I$24,$E44,InterestRatesTrigger)</f>
        <v>7.0775602722484752E-4</v>
      </c>
      <c r="J44" s="423">
        <f>_xll.qlTenorBasisTenorForwardRate(J$24,$E44,InterestRatesTrigger)</f>
        <v>7.0814168232876101E-4</v>
      </c>
      <c r="K44" s="167">
        <f>_xll.qlTenorBasisTenorForwardRate(K$24,$E44,InterestRatesTrigger)</f>
        <v>7.0803021476019087E-4</v>
      </c>
      <c r="L44" s="167">
        <f>_xll.qlTenorBasisTenorForwardRate(L$24,$E44,InterestRatesTrigger)</f>
        <v>7.0923483596793549E-4</v>
      </c>
      <c r="M44" s="167">
        <f>_xll.qlTenorBasisTenorForwardRate(M$24,$E44,InterestRatesTrigger)</f>
        <v>7.0922126215703101E-4</v>
      </c>
      <c r="N44" s="423">
        <f>_xll.qlTenorBasisTenorForwardRate(N$24,$E44,InterestRatesTrigger)</f>
        <v>7.0889133519188652E-4</v>
      </c>
      <c r="O44" s="424">
        <f>_xll.qlTenorBasisTenorForwardRate(O$24,$E44,InterestRatesTrigger)</f>
        <v>6.9160172690594757E-4</v>
      </c>
      <c r="P44" s="167">
        <f>_xll.qlTenorBasisTenorForwardRate(P$24,$E44,InterestRatesTrigger)</f>
        <v>6.8930734532280128E-4</v>
      </c>
      <c r="Q44" s="167">
        <f>_xll.qlTenorBasisTenorForwardRate(Q$24,$E44,InterestRatesTrigger)</f>
        <v>6.9915401039196638E-4</v>
      </c>
      <c r="R44" s="167">
        <f>_xll.qlTenorBasisTenorForwardRate(R$24,$E44,InterestRatesTrigger)</f>
        <v>6.9793885592109219E-4</v>
      </c>
      <c r="S44" s="167">
        <f>'6MSynthDepo_used'!I6</f>
        <v>7.1000000000000013E-4</v>
      </c>
      <c r="X44" s="141"/>
      <c r="Z44" s="117"/>
      <c r="BE44" s="486">
        <f>_xll.qlCalendarAdvance(Calendar,BE43,"1d","mf",,Trigger)</f>
        <v>42216</v>
      </c>
      <c r="BF44" s="155">
        <f>_xll.qlDayCounterYearFraction(DayCounter,SettlementDate,BE44,,,Trigger)</f>
        <v>0.15555555555555556</v>
      </c>
      <c r="BG44" s="167" t="e">
        <f>_xll.qlPolynomialFunctionValue(G$23,$BF44)</f>
        <v>#NUM!</v>
      </c>
      <c r="BH44" s="167" t="e">
        <f>_xll.qlPolynomialFunctionValue(H$23,$BF44)</f>
        <v>#NUM!</v>
      </c>
      <c r="BI44" s="498" t="e">
        <f>_xll.qlPolynomialFunctionValue(I$23,$BF44)</f>
        <v>#NUM!</v>
      </c>
      <c r="BJ44" s="167" t="e">
        <f>_xll.qlPolynomialFunctionValue(J$23,$BF44)</f>
        <v>#NUM!</v>
      </c>
      <c r="BK44" s="167" t="e">
        <f>_xll.qlPolynomialFunctionValue(O$23,$BF44)</f>
        <v>#NUM!</v>
      </c>
      <c r="BL44" s="167" t="e">
        <f>_xll.qlPolynomialFunctionValue(P$23,$BF44)</f>
        <v>#NUM!</v>
      </c>
      <c r="BM44" s="167" t="e">
        <f>_xll.qlPolynomialFunctionValue(Q$23,$BF44)</f>
        <v>#NUM!</v>
      </c>
      <c r="BN44" s="167" t="e">
        <f>_xll.qlPolynomialFunctionValue(R$23,$BF44)</f>
        <v>#NUM!</v>
      </c>
    </row>
    <row r="45" spans="3:66" x14ac:dyDescent="0.2">
      <c r="C45" s="115">
        <v>3</v>
      </c>
      <c r="D45" s="168" t="str">
        <f t="shared" si="18"/>
        <v>9M</v>
      </c>
      <c r="E45" s="485">
        <f>_xll.qlCalendarAdvance(Calendar,SettlementDate,C45&amp;"M","mf",TRUE,Trigger)</f>
        <v>42254</v>
      </c>
      <c r="F45" s="485">
        <f>_xll.qlCalendarAdvance(Calendar,SettlementDate,D45,"mf",TRUE,Trigger)</f>
        <v>42436</v>
      </c>
      <c r="G45" s="167">
        <f>_xll.qlTenorBasisTenorForwardRate(TenorBasis6M,$E45,InterestRatesTrigger)</f>
        <v>7.7024590298034601E-4</v>
      </c>
      <c r="H45" s="167">
        <f>_xll.qlTenorBasisTenorForwardRate(H$24,$E45,InterestRatesTrigger)</f>
        <v>8.0437031361035166E-4</v>
      </c>
      <c r="I45" s="167">
        <f>_xll.qlTenorBasisTenorForwardRate(I$24,$E45,InterestRatesTrigger)</f>
        <v>8.0188385550518772E-4</v>
      </c>
      <c r="J45" s="423">
        <f>_xll.qlTenorBasisTenorForwardRate(J$24,$E45,InterestRatesTrigger)</f>
        <v>7.7091398584568788E-4</v>
      </c>
      <c r="K45" s="167">
        <f>_xll.qlTenorBasisTenorForwardRate(K$24,$E45,InterestRatesTrigger)</f>
        <v>8.0082580575131053E-4</v>
      </c>
      <c r="L45" s="167">
        <f>_xll.qlTenorBasisTenorForwardRate(L$24,$E45,InterestRatesTrigger)</f>
        <v>8.0465190571793205E-4</v>
      </c>
      <c r="M45" s="167">
        <f>_xll.qlTenorBasisTenorForwardRate(M$24,$E45,InterestRatesTrigger)</f>
        <v>8.0332367772210271E-4</v>
      </c>
      <c r="N45" s="423">
        <f>_xll.qlTenorBasisTenorForwardRate(N$24,$E45,InterestRatesTrigger)</f>
        <v>7.7103958043907555E-4</v>
      </c>
      <c r="O45" s="424">
        <f>_xll.qlTenorBasisTenorForwardRate(O$24,$E45,InterestRatesTrigger)</f>
        <v>7.7398485589446958E-4</v>
      </c>
      <c r="P45" s="167">
        <f>_xll.qlTenorBasisTenorForwardRate(P$24,$E45,InterestRatesTrigger)</f>
        <v>7.7329537275273299E-4</v>
      </c>
      <c r="Q45" s="167">
        <f>_xll.qlTenorBasisTenorForwardRate(Q$24,$E45,InterestRatesTrigger)</f>
        <v>7.6837104829896238E-4</v>
      </c>
      <c r="R45" s="167">
        <f>_xll.qlTenorBasisTenorForwardRate(R$24,$E45,InterestRatesTrigger)</f>
        <v>7.6710601931659654E-4</v>
      </c>
      <c r="S45" s="167">
        <f>'6MSynthDepo_used'!I7</f>
        <v>7.7000000000000018E-4</v>
      </c>
      <c r="X45" s="141"/>
      <c r="Z45" s="117"/>
      <c r="BE45" s="486">
        <f>_xll.qlCalendarAdvance(Calendar,BE44,"1d","mf",,Trigger)</f>
        <v>42219</v>
      </c>
      <c r="BF45" s="155">
        <f>_xll.qlDayCounterYearFraction(DayCounter,SettlementDate,BE45,,,Trigger)</f>
        <v>0.16388888888888889</v>
      </c>
      <c r="BG45" s="167" t="e">
        <f>_xll.qlPolynomialFunctionValue(G$23,$BF45)</f>
        <v>#NUM!</v>
      </c>
      <c r="BH45" s="167" t="e">
        <f>_xll.qlPolynomialFunctionValue(H$23,$BF45)</f>
        <v>#NUM!</v>
      </c>
      <c r="BI45" s="498" t="e">
        <f>_xll.qlPolynomialFunctionValue(I$23,$BF45)</f>
        <v>#NUM!</v>
      </c>
      <c r="BJ45" s="167" t="e">
        <f>_xll.qlPolynomialFunctionValue(J$23,$BF45)</f>
        <v>#NUM!</v>
      </c>
      <c r="BK45" s="167" t="e">
        <f>_xll.qlPolynomialFunctionValue(O$23,$BF45)</f>
        <v>#NUM!</v>
      </c>
      <c r="BL45" s="167" t="e">
        <f>_xll.qlPolynomialFunctionValue(P$23,$BF45)</f>
        <v>#NUM!</v>
      </c>
      <c r="BM45" s="167" t="e">
        <f>_xll.qlPolynomialFunctionValue(Q$23,$BF45)</f>
        <v>#NUM!</v>
      </c>
      <c r="BN45" s="167" t="e">
        <f>_xll.qlPolynomialFunctionValue(R$23,$BF45)</f>
        <v>#NUM!</v>
      </c>
    </row>
    <row r="46" spans="3:66" x14ac:dyDescent="0.2">
      <c r="C46" s="115">
        <v>4</v>
      </c>
      <c r="D46" s="168" t="str">
        <f t="shared" si="18"/>
        <v>10M</v>
      </c>
      <c r="E46" s="485">
        <f>_xll.qlCalendarAdvance(Calendar,SettlementDate,C46&amp;"M","mf",TRUE,Trigger)</f>
        <v>42282</v>
      </c>
      <c r="F46" s="485">
        <f>_xll.qlCalendarAdvance(Calendar,SettlementDate,D46,"mf",TRUE,Trigger)</f>
        <v>42465</v>
      </c>
      <c r="G46" s="167">
        <f>_xll.qlTenorBasisTenorForwardRate(TenorBasis6M,$E46,InterestRatesTrigger)</f>
        <v>8.2982277581174582E-4</v>
      </c>
      <c r="H46" s="167">
        <f>_xll.qlTenorBasisTenorForwardRate(H$24,$E46,InterestRatesTrigger)</f>
        <v>8.9514328119532261E-4</v>
      </c>
      <c r="I46" s="167">
        <f>_xll.qlTenorBasisTenorForwardRate(I$24,$E46,InterestRatesTrigger)</f>
        <v>8.8840982964773977E-4</v>
      </c>
      <c r="J46" s="423">
        <f>_xll.qlTenorBasisTenorForwardRate(J$24,$E46,InterestRatesTrigger)</f>
        <v>8.0454189060857341E-4</v>
      </c>
      <c r="K46" s="167">
        <f>_xll.qlTenorBasisTenorForwardRate(K$24,$E46,InterestRatesTrigger)</f>
        <v>8.8622139673937201E-4</v>
      </c>
      <c r="L46" s="167">
        <f>_xll.qlTenorBasisTenorForwardRate(L$24,$E46,InterestRatesTrigger)</f>
        <v>8.9335637736929672E-4</v>
      </c>
      <c r="M46" s="167">
        <f>_xll.qlTenorBasisTenorForwardRate(M$24,$E46,InterestRatesTrigger)</f>
        <v>8.8982808956079048E-4</v>
      </c>
      <c r="N46" s="423">
        <f>_xll.qlTenorBasisTenorForwardRate(N$24,$E46,InterestRatesTrigger)</f>
        <v>8.0406902770529631E-4</v>
      </c>
      <c r="O46" s="424">
        <f>_xll.qlTenorBasisTenorForwardRate(O$24,$E46,InterestRatesTrigger)</f>
        <v>8.5088037616345654E-4</v>
      </c>
      <c r="P46" s="167">
        <f>_xll.qlTenorBasisTenorForwardRate(P$24,$E46,InterestRatesTrigger)</f>
        <v>8.5375132045120423E-4</v>
      </c>
      <c r="Q46" s="167">
        <f>_xll.qlTenorBasisTenorForwardRate(Q$24,$E46,InterestRatesTrigger)</f>
        <v>8.3409533977150323E-4</v>
      </c>
      <c r="R46" s="167">
        <f>_xll.qlTenorBasisTenorForwardRate(R$24,$E46,InterestRatesTrigger)</f>
        <v>8.3471122603744692E-4</v>
      </c>
      <c r="S46" s="167">
        <f>'6MSynthDepo_used'!I8</f>
        <v>8.200000000000002E-4</v>
      </c>
      <c r="X46" s="141"/>
      <c r="Z46" s="117"/>
      <c r="BE46" s="486">
        <f>_xll.qlCalendarAdvance(Calendar,BE45,"1d","mf",,Trigger)</f>
        <v>42220</v>
      </c>
      <c r="BF46" s="155">
        <f>_xll.qlDayCounterYearFraction(DayCounter,SettlementDate,BE46,,,Trigger)</f>
        <v>0.16666666666666666</v>
      </c>
      <c r="BG46" s="167" t="e">
        <f>_xll.qlPolynomialFunctionValue(G$23,$BF46)</f>
        <v>#NUM!</v>
      </c>
      <c r="BH46" s="167" t="e">
        <f>_xll.qlPolynomialFunctionValue(H$23,$BF46)</f>
        <v>#NUM!</v>
      </c>
      <c r="BI46" s="498" t="e">
        <f>_xll.qlPolynomialFunctionValue(I$23,$BF46)</f>
        <v>#NUM!</v>
      </c>
      <c r="BJ46" s="167" t="e">
        <f>_xll.qlPolynomialFunctionValue(J$23,$BF46)</f>
        <v>#NUM!</v>
      </c>
      <c r="BK46" s="167" t="e">
        <f>_xll.qlPolynomialFunctionValue(O$23,$BF46)</f>
        <v>#NUM!</v>
      </c>
      <c r="BL46" s="167" t="e">
        <f>_xll.qlPolynomialFunctionValue(P$23,$BF46)</f>
        <v>#NUM!</v>
      </c>
      <c r="BM46" s="167" t="e">
        <f>_xll.qlPolynomialFunctionValue(Q$23,$BF46)</f>
        <v>#NUM!</v>
      </c>
      <c r="BN46" s="167" t="e">
        <f>_xll.qlPolynomialFunctionValue(R$23,$BF46)</f>
        <v>#NUM!</v>
      </c>
    </row>
    <row r="47" spans="3:66" x14ac:dyDescent="0.2">
      <c r="C47" s="115">
        <v>5</v>
      </c>
      <c r="D47" s="168" t="str">
        <f t="shared" si="18"/>
        <v>11M</v>
      </c>
      <c r="E47" s="485">
        <f>_xll.qlCalendarAdvance(Calendar,SettlementDate,C47&amp;"M","mf",TRUE,Trigger)</f>
        <v>42313</v>
      </c>
      <c r="F47" s="485">
        <f>_xll.qlCalendarAdvance(Calendar,SettlementDate,D47,"mf",TRUE,Trigger)</f>
        <v>42495</v>
      </c>
      <c r="G47" s="167">
        <f>_xll.qlTenorBasisTenorForwardRate(TenorBasis6M,$E47,InterestRatesTrigger)</f>
        <v>9.0276822007948998E-4</v>
      </c>
      <c r="H47" s="167">
        <f>_xll.qlTenorBasisTenorForwardRate(H$24,$E47,InterestRatesTrigger)</f>
        <v>1.0120580482939495E-3</v>
      </c>
      <c r="I47" s="167">
        <f>_xll.qlTenorBasisTenorForwardRate(I$24,$E47,InterestRatesTrigger)</f>
        <v>9.9836201862351357E-4</v>
      </c>
      <c r="J47" s="423">
        <f>_xll.qlTenorBasisTenorForwardRate(J$24,$E47,InterestRatesTrigger)</f>
        <v>8.2777227377099356E-4</v>
      </c>
      <c r="K47" s="167">
        <f>_xll.qlTenorBasisTenorForwardRate(K$24,$E47,InterestRatesTrigger)</f>
        <v>9.949220900798176E-4</v>
      </c>
      <c r="L47" s="167">
        <f>_xll.qlTenorBasisTenorForwardRate(L$24,$E47,InterestRatesTrigger)</f>
        <v>1.0068819060661315E-3</v>
      </c>
      <c r="M47" s="167">
        <f>_xll.qlTenorBasisTenorForwardRate(M$24,$E47,InterestRatesTrigger)</f>
        <v>9.9975640598585764E-4</v>
      </c>
      <c r="N47" s="423">
        <f>_xll.qlTenorBasisTenorForwardRate(N$24,$E47,InterestRatesTrigger)</f>
        <v>8.2656299453493713E-4</v>
      </c>
      <c r="O47" s="424">
        <f>_xll.qlTenorBasisTenorForwardRate(O$24,$E47,InterestRatesTrigger)</f>
        <v>9.5324782577085724E-4</v>
      </c>
      <c r="P47" s="167">
        <f>_xll.qlTenorBasisTenorForwardRate(P$24,$E47,InterestRatesTrigger)</f>
        <v>9.6241512965448256E-4</v>
      </c>
      <c r="Q47" s="167">
        <f>_xll.qlTenorBasisTenorForwardRate(Q$24,$E47,InterestRatesTrigger)</f>
        <v>9.2409464321141E-4</v>
      </c>
      <c r="R47" s="167">
        <f>_xll.qlTenorBasisTenorForwardRate(R$24,$E47,InterestRatesTrigger)</f>
        <v>9.2885245214723261E-4</v>
      </c>
      <c r="S47" s="167">
        <f>'6MSynthDepo_used'!I9</f>
        <v>8.8999999999999995E-4</v>
      </c>
      <c r="X47" s="141"/>
      <c r="BE47" s="486">
        <f>_xll.qlCalendarAdvance(Calendar,BE46,"1d","mf",,Trigger)</f>
        <v>42221</v>
      </c>
      <c r="BF47" s="155">
        <f>_xll.qlDayCounterYearFraction(DayCounter,SettlementDate,BE47,,,Trigger)</f>
        <v>0.16944444444444445</v>
      </c>
      <c r="BG47" s="167" t="e">
        <f>_xll.qlPolynomialFunctionValue(G$23,$BF47)</f>
        <v>#NUM!</v>
      </c>
      <c r="BH47" s="167" t="e">
        <f>_xll.qlPolynomialFunctionValue(H$23,$BF47)</f>
        <v>#NUM!</v>
      </c>
      <c r="BI47" s="498" t="e">
        <f>_xll.qlPolynomialFunctionValue(I$23,$BF47)</f>
        <v>#NUM!</v>
      </c>
      <c r="BJ47" s="167" t="e">
        <f>_xll.qlPolynomialFunctionValue(J$23,$BF47)</f>
        <v>#NUM!</v>
      </c>
      <c r="BK47" s="167" t="e">
        <f>_xll.qlPolynomialFunctionValue(O$23,$BF47)</f>
        <v>#NUM!</v>
      </c>
      <c r="BL47" s="167" t="e">
        <f>_xll.qlPolynomialFunctionValue(P$23,$BF47)</f>
        <v>#NUM!</v>
      </c>
      <c r="BM47" s="167" t="e">
        <f>_xll.qlPolynomialFunctionValue(Q$23,$BF47)</f>
        <v>#NUM!</v>
      </c>
      <c r="BN47" s="167" t="e">
        <f>_xll.qlPolynomialFunctionValue(R$23,$BF47)</f>
        <v>#NUM!</v>
      </c>
    </row>
    <row r="48" spans="3:66" x14ac:dyDescent="0.2">
      <c r="C48" s="115">
        <v>6</v>
      </c>
      <c r="D48" s="435" t="str">
        <f t="shared" si="18"/>
        <v>12M</v>
      </c>
      <c r="E48" s="493">
        <f>_xll.qlCalendarAdvance(Calendar,SettlementDate,C48&amp;"M","mf",TRUE,Trigger)</f>
        <v>42345</v>
      </c>
      <c r="F48" s="493">
        <f>_xll.qlCalendarAdvance(Calendar,SettlementDate,D48,"mf",TRUE,Trigger)</f>
        <v>42527</v>
      </c>
      <c r="G48" s="432">
        <f>_xll.qlTenorBasisTenorForwardRate(TenorBasis6M,$E48,InterestRatesTrigger)</f>
        <v>9.6488338712927041E-4</v>
      </c>
      <c r="H48" s="432">
        <f>_xll.qlTenorBasisTenorForwardRate(H$24,$E48,InterestRatesTrigger)</f>
        <v>1.1288784248623155E-3</v>
      </c>
      <c r="I48" s="432">
        <f>_xll.qlTenorBasisTenorForwardRate(I$24,$E48,InterestRatesTrigger)</f>
        <v>1.1055035457505785E-3</v>
      </c>
      <c r="J48" s="433">
        <f>_xll.qlTenorBasisTenorForwardRate(J$24,$E48,InterestRatesTrigger)</f>
        <v>8.1435970628902636E-4</v>
      </c>
      <c r="K48" s="432">
        <f>_xll.qlTenorBasisTenorForwardRate(K$24,$E48,InterestRatesTrigger)</f>
        <v>1.1007717507446077E-3</v>
      </c>
      <c r="L48" s="432">
        <f>_xll.qlTenorBasisTenorForwardRate(L$24,$E48,InterestRatesTrigger)</f>
        <v>1.1189922204164601E-3</v>
      </c>
      <c r="M48" s="432">
        <f>_xll.qlTenorBasisTenorForwardRate(M$24,$E48,InterestRatesTrigger)</f>
        <v>1.1068732904799346E-3</v>
      </c>
      <c r="N48" s="433">
        <f>_xll.qlTenorBasisTenorForwardRate(N$24,$E48,InterestRatesTrigger)</f>
        <v>8.1230886760484829E-4</v>
      </c>
      <c r="O48" s="434">
        <f>_xll.qlTenorBasisTenorForwardRate(O$24,$E48,InterestRatesTrigger)</f>
        <v>1.0467901370164259E-3</v>
      </c>
      <c r="P48" s="432">
        <f>_xll.qlTenorBasisTenorForwardRate(P$24,$E48,InterestRatesTrigger)</f>
        <v>1.0650520903476709E-3</v>
      </c>
      <c r="Q48" s="432">
        <f>_xll.qlTenorBasisTenorForwardRate(Q$24,$E48,InterestRatesTrigger)</f>
        <v>1.0048698358324688E-3</v>
      </c>
      <c r="R48" s="432">
        <f>_xll.qlTenorBasisTenorForwardRate(R$24,$E48,InterestRatesTrigger)</f>
        <v>1.0161732233735291E-3</v>
      </c>
      <c r="S48" s="432">
        <f>'6MSynthDepo_used'!I10</f>
        <v>9.6000000000000002E-4</v>
      </c>
      <c r="BE48" s="486">
        <f>_xll.qlCalendarAdvance(Calendar,BE47,"1d","mf",,Trigger)</f>
        <v>42222</v>
      </c>
      <c r="BF48" s="155">
        <f>_xll.qlDayCounterYearFraction(DayCounter,SettlementDate,BE48,,,Trigger)</f>
        <v>0.17222222222222222</v>
      </c>
      <c r="BG48" s="167" t="e">
        <f>_xll.qlPolynomialFunctionValue(G$23,$BF48)</f>
        <v>#NUM!</v>
      </c>
      <c r="BH48" s="167" t="e">
        <f>_xll.qlPolynomialFunctionValue(H$23,$BF48)</f>
        <v>#NUM!</v>
      </c>
      <c r="BI48" s="498" t="e">
        <f>_xll.qlPolynomialFunctionValue(I$23,$BF48)</f>
        <v>#NUM!</v>
      </c>
      <c r="BJ48" s="167" t="e">
        <f>_xll.qlPolynomialFunctionValue(J$23,$BF48)</f>
        <v>#NUM!</v>
      </c>
      <c r="BK48" s="167" t="e">
        <f>_xll.qlPolynomialFunctionValue(O$23,$BF48)</f>
        <v>#NUM!</v>
      </c>
      <c r="BL48" s="167" t="e">
        <f>_xll.qlPolynomialFunctionValue(P$23,$BF48)</f>
        <v>#NUM!</v>
      </c>
      <c r="BM48" s="167" t="e">
        <f>_xll.qlPolynomialFunctionValue(Q$23,$BF48)</f>
        <v>#NUM!</v>
      </c>
      <c r="BN48" s="167" t="e">
        <f>_xll.qlPolynomialFunctionValue(R$23,$BF48)</f>
        <v>#NUM!</v>
      </c>
    </row>
    <row r="49" spans="3:66" x14ac:dyDescent="0.2">
      <c r="X49" s="141"/>
      <c r="BE49" s="486">
        <f>_xll.qlCalendarAdvance(Calendar,BE48,"1d","mf",,Trigger)</f>
        <v>42223</v>
      </c>
      <c r="BF49" s="155">
        <f>_xll.qlDayCounterYearFraction(DayCounter,SettlementDate,BE49,,,Trigger)</f>
        <v>0.17499999999999999</v>
      </c>
      <c r="BG49" s="167" t="e">
        <f>_xll.qlPolynomialFunctionValue(G$23,$BF49)</f>
        <v>#NUM!</v>
      </c>
      <c r="BH49" s="167" t="e">
        <f>_xll.qlPolynomialFunctionValue(H$23,$BF49)</f>
        <v>#NUM!</v>
      </c>
      <c r="BI49" s="498" t="e">
        <f>_xll.qlPolynomialFunctionValue(I$23,$BF49)</f>
        <v>#NUM!</v>
      </c>
      <c r="BJ49" s="167" t="e">
        <f>_xll.qlPolynomialFunctionValue(J$23,$BF49)</f>
        <v>#NUM!</v>
      </c>
      <c r="BK49" s="167" t="e">
        <f>_xll.qlPolynomialFunctionValue(O$23,$BF49)</f>
        <v>#NUM!</v>
      </c>
      <c r="BL49" s="167" t="e">
        <f>_xll.qlPolynomialFunctionValue(P$23,$BF49)</f>
        <v>#NUM!</v>
      </c>
      <c r="BM49" s="167" t="e">
        <f>_xll.qlPolynomialFunctionValue(Q$23,$BF49)</f>
        <v>#NUM!</v>
      </c>
      <c r="BN49" s="167" t="e">
        <f>_xll.qlPolynomialFunctionValue(R$23,$BF49)</f>
        <v>#NUM!</v>
      </c>
    </row>
    <row r="50" spans="3:66" x14ac:dyDescent="0.2">
      <c r="F50" s="385" t="s">
        <v>148</v>
      </c>
      <c r="G50" s="385" t="s">
        <v>147</v>
      </c>
      <c r="H50" s="379"/>
      <c r="I50" s="379"/>
      <c r="J50" s="379"/>
      <c r="K50" s="379"/>
      <c r="L50" s="379"/>
      <c r="M50" s="379"/>
      <c r="N50" s="379"/>
      <c r="O50" s="379"/>
      <c r="P50" s="379"/>
      <c r="Q50" s="379"/>
      <c r="R50" s="378"/>
      <c r="X50" s="482"/>
      <c r="BE50" s="486">
        <f>_xll.qlCalendarAdvance(Calendar,BE49,"1d","mf",,Trigger)</f>
        <v>42226</v>
      </c>
      <c r="BF50" s="155">
        <f>_xll.qlDayCounterYearFraction(DayCounter,SettlementDate,BE50,,,Trigger)</f>
        <v>0.18333333333333332</v>
      </c>
      <c r="BG50" s="167" t="e">
        <f>_xll.qlPolynomialFunctionValue(G$23,$BF50)</f>
        <v>#NUM!</v>
      </c>
      <c r="BH50" s="167" t="e">
        <f>_xll.qlPolynomialFunctionValue(H$23,$BF50)</f>
        <v>#NUM!</v>
      </c>
      <c r="BI50" s="498" t="e">
        <f>_xll.qlPolynomialFunctionValue(I$23,$BF50)</f>
        <v>#NUM!</v>
      </c>
      <c r="BJ50" s="167" t="e">
        <f>_xll.qlPolynomialFunctionValue(J$23,$BF50)</f>
        <v>#NUM!</v>
      </c>
      <c r="BK50" s="167" t="e">
        <f>_xll.qlPolynomialFunctionValue(O$23,$BF50)</f>
        <v>#NUM!</v>
      </c>
      <c r="BL50" s="167" t="e">
        <f>_xll.qlPolynomialFunctionValue(P$23,$BF50)</f>
        <v>#NUM!</v>
      </c>
      <c r="BM50" s="167" t="e">
        <f>_xll.qlPolynomialFunctionValue(Q$23,$BF50)</f>
        <v>#NUM!</v>
      </c>
      <c r="BN50" s="167" t="e">
        <f>_xll.qlPolynomialFunctionValue(R$23,$BF50)</f>
        <v>#NUM!</v>
      </c>
    </row>
    <row r="51" spans="3:66" x14ac:dyDescent="0.2">
      <c r="F51" s="501" t="str">
        <f t="shared" ref="F51:F57" si="19">C42&amp;"x"&amp;C42+SUBSTITUTE($D$23,"M","")&amp;"F"</f>
        <v>0x6F</v>
      </c>
      <c r="G51" s="428">
        <f t="shared" ref="G51:J57" si="20">$S42-G42</f>
        <v>-3.7984623867159072E-5</v>
      </c>
      <c r="H51" s="428">
        <f t="shared" si="20"/>
        <v>-3.6596839364492204E-5</v>
      </c>
      <c r="I51" s="428">
        <f t="shared" si="20"/>
        <v>-3.4175711547341722E-5</v>
      </c>
      <c r="J51" s="428">
        <f t="shared" si="20"/>
        <v>-4.0198101428184072E-6</v>
      </c>
      <c r="K51" s="428">
        <f t="shared" ref="K51:O51" si="21">$S42-K42</f>
        <v>-3.6926912520326776E-5</v>
      </c>
      <c r="L51" s="428">
        <f t="shared" si="21"/>
        <v>-3.6902035635774449E-5</v>
      </c>
      <c r="M51" s="428">
        <f t="shared" si="21"/>
        <v>-3.5668577009293899E-5</v>
      </c>
      <c r="N51" s="428">
        <f t="shared" si="21"/>
        <v>-5.6881977978748711E-6</v>
      </c>
      <c r="O51" s="429">
        <f t="shared" si="21"/>
        <v>-6.5912070186637699E-5</v>
      </c>
      <c r="P51" s="428">
        <f t="shared" ref="O51:R57" si="22">$S42-P42</f>
        <v>-6.8032392770745549E-5</v>
      </c>
      <c r="Q51" s="428">
        <f t="shared" si="22"/>
        <v>-9.7801673550628636E-5</v>
      </c>
      <c r="R51" s="428">
        <f t="shared" si="22"/>
        <v>-1.031352793396389E-4</v>
      </c>
      <c r="X51" s="482"/>
      <c r="BE51" s="486">
        <f>_xll.qlCalendarAdvance(Calendar,BE50,"1d","mf",,Trigger)</f>
        <v>42227</v>
      </c>
      <c r="BF51" s="155">
        <f>_xll.qlDayCounterYearFraction(DayCounter,SettlementDate,BE51,,,Trigger)</f>
        <v>0.18611111111111112</v>
      </c>
      <c r="BG51" s="167" t="e">
        <f>_xll.qlPolynomialFunctionValue(G$23,$BF51)</f>
        <v>#NUM!</v>
      </c>
      <c r="BH51" s="167" t="e">
        <f>_xll.qlPolynomialFunctionValue(H$23,$BF51)</f>
        <v>#NUM!</v>
      </c>
      <c r="BI51" s="498" t="e">
        <f>_xll.qlPolynomialFunctionValue(I$23,$BF51)</f>
        <v>#NUM!</v>
      </c>
      <c r="BJ51" s="167" t="e">
        <f>_xll.qlPolynomialFunctionValue(J$23,$BF51)</f>
        <v>#NUM!</v>
      </c>
      <c r="BK51" s="167" t="e">
        <f>_xll.qlPolynomialFunctionValue(O$23,$BF51)</f>
        <v>#NUM!</v>
      </c>
      <c r="BL51" s="167" t="e">
        <f>_xll.qlPolynomialFunctionValue(P$23,$BF51)</f>
        <v>#NUM!</v>
      </c>
      <c r="BM51" s="167" t="e">
        <f>_xll.qlPolynomialFunctionValue(Q$23,$BF51)</f>
        <v>#NUM!</v>
      </c>
      <c r="BN51" s="167" t="e">
        <f>_xll.qlPolynomialFunctionValue(R$23,$BF51)</f>
        <v>#NUM!</v>
      </c>
    </row>
    <row r="52" spans="3:66" x14ac:dyDescent="0.2">
      <c r="F52" s="502" t="str">
        <f t="shared" si="19"/>
        <v>1x7F</v>
      </c>
      <c r="G52" s="167">
        <f t="shared" si="20"/>
        <v>-1.3955159510621032E-6</v>
      </c>
      <c r="H52" s="167">
        <f t="shared" si="20"/>
        <v>1.0025588804610632E-6</v>
      </c>
      <c r="I52" s="167">
        <f t="shared" si="20"/>
        <v>1.0189740588930967E-6</v>
      </c>
      <c r="J52" s="167">
        <f t="shared" si="20"/>
        <v>1.223431932281349E-6</v>
      </c>
      <c r="K52" s="167">
        <f t="shared" ref="K52:O52" si="23">$S43-K43</f>
        <v>-4.6633828483251104E-7</v>
      </c>
      <c r="L52" s="167">
        <f t="shared" si="23"/>
        <v>-4.8796430851723045E-7</v>
      </c>
      <c r="M52" s="167">
        <f t="shared" si="23"/>
        <v>-4.6936334171653483E-7</v>
      </c>
      <c r="N52" s="167">
        <f t="shared" si="23"/>
        <v>-1.724561519793593E-8</v>
      </c>
      <c r="O52" s="423">
        <f t="shared" si="23"/>
        <v>7.827669519243287E-6</v>
      </c>
      <c r="P52" s="167">
        <f t="shared" si="22"/>
        <v>9.148067050162678E-6</v>
      </c>
      <c r="Q52" s="167">
        <f t="shared" si="22"/>
        <v>-1.1693787677253729E-5</v>
      </c>
      <c r="R52" s="167">
        <f t="shared" si="22"/>
        <v>-1.2652141352609563E-5</v>
      </c>
      <c r="X52" s="482"/>
      <c r="BE52" s="486">
        <f>_xll.qlCalendarAdvance(Calendar,BE51,"1d","mf",,Trigger)</f>
        <v>42228</v>
      </c>
      <c r="BF52" s="155">
        <f>_xll.qlDayCounterYearFraction(DayCounter,SettlementDate,BE52,,,Trigger)</f>
        <v>0.18888888888888888</v>
      </c>
      <c r="BG52" s="167" t="e">
        <f>_xll.qlPolynomialFunctionValue(G$23,$BF52)</f>
        <v>#NUM!</v>
      </c>
      <c r="BH52" s="167" t="e">
        <f>_xll.qlPolynomialFunctionValue(H$23,$BF52)</f>
        <v>#NUM!</v>
      </c>
      <c r="BI52" s="498" t="e">
        <f>_xll.qlPolynomialFunctionValue(I$23,$BF52)</f>
        <v>#NUM!</v>
      </c>
      <c r="BJ52" s="167" t="e">
        <f>_xll.qlPolynomialFunctionValue(J$23,$BF52)</f>
        <v>#NUM!</v>
      </c>
      <c r="BK52" s="167" t="e">
        <f>_xll.qlPolynomialFunctionValue(O$23,$BF52)</f>
        <v>#NUM!</v>
      </c>
      <c r="BL52" s="167" t="e">
        <f>_xll.qlPolynomialFunctionValue(P$23,$BF52)</f>
        <v>#NUM!</v>
      </c>
      <c r="BM52" s="167" t="e">
        <f>_xll.qlPolynomialFunctionValue(Q$23,$BF52)</f>
        <v>#NUM!</v>
      </c>
      <c r="BN52" s="167" t="e">
        <f>_xll.qlPolynomialFunctionValue(R$23,$BF52)</f>
        <v>#NUM!</v>
      </c>
    </row>
    <row r="53" spans="3:66" x14ac:dyDescent="0.2">
      <c r="F53" s="502" t="str">
        <f t="shared" si="19"/>
        <v>2x8F</v>
      </c>
      <c r="G53" s="167">
        <f t="shared" si="20"/>
        <v>1.109976745433173E-5</v>
      </c>
      <c r="H53" s="167">
        <f t="shared" si="20"/>
        <v>2.2749356196661869E-6</v>
      </c>
      <c r="I53" s="167">
        <f t="shared" si="20"/>
        <v>2.2439727751526108E-6</v>
      </c>
      <c r="J53" s="167">
        <f t="shared" si="20"/>
        <v>1.8583176712391215E-6</v>
      </c>
      <c r="K53" s="167">
        <f t="shared" ref="K53:O53" si="24">$S44-K44</f>
        <v>1.9697852398092592E-6</v>
      </c>
      <c r="L53" s="167">
        <f t="shared" si="24"/>
        <v>7.651640320646344E-7</v>
      </c>
      <c r="M53" s="167">
        <f t="shared" si="24"/>
        <v>7.7873784296912142E-7</v>
      </c>
      <c r="N53" s="167">
        <f t="shared" si="24"/>
        <v>1.1086648081136061E-6</v>
      </c>
      <c r="O53" s="423">
        <f t="shared" si="24"/>
        <v>1.8398273094052562E-5</v>
      </c>
      <c r="P53" s="167">
        <f t="shared" si="22"/>
        <v>2.0692654677198843E-5</v>
      </c>
      <c r="Q53" s="167">
        <f t="shared" si="22"/>
        <v>1.0845989608033752E-5</v>
      </c>
      <c r="R53" s="167">
        <f t="shared" si="22"/>
        <v>1.2061144078907935E-5</v>
      </c>
      <c r="X53" s="482"/>
      <c r="BE53" s="486">
        <f>_xll.qlCalendarAdvance(Calendar,BE52,"1d","mf",,Trigger)</f>
        <v>42229</v>
      </c>
      <c r="BF53" s="155">
        <f>_xll.qlDayCounterYearFraction(DayCounter,SettlementDate,BE53,,,Trigger)</f>
        <v>0.19166666666666668</v>
      </c>
      <c r="BG53" s="167" t="e">
        <f>_xll.qlPolynomialFunctionValue(G$23,$BF53)</f>
        <v>#NUM!</v>
      </c>
      <c r="BH53" s="167" t="e">
        <f>_xll.qlPolynomialFunctionValue(H$23,$BF53)</f>
        <v>#NUM!</v>
      </c>
      <c r="BI53" s="498" t="e">
        <f>_xll.qlPolynomialFunctionValue(I$23,$BF53)</f>
        <v>#NUM!</v>
      </c>
      <c r="BJ53" s="167" t="e">
        <f>_xll.qlPolynomialFunctionValue(J$23,$BF53)</f>
        <v>#NUM!</v>
      </c>
      <c r="BK53" s="167" t="e">
        <f>_xll.qlPolynomialFunctionValue(O$23,$BF53)</f>
        <v>#NUM!</v>
      </c>
      <c r="BL53" s="167" t="e">
        <f>_xll.qlPolynomialFunctionValue(P$23,$BF53)</f>
        <v>#NUM!</v>
      </c>
      <c r="BM53" s="167" t="e">
        <f>_xll.qlPolynomialFunctionValue(Q$23,$BF53)</f>
        <v>#NUM!</v>
      </c>
      <c r="BN53" s="167" t="e">
        <f>_xll.qlPolynomialFunctionValue(R$23,$BF53)</f>
        <v>#NUM!</v>
      </c>
    </row>
    <row r="54" spans="3:66" x14ac:dyDescent="0.2">
      <c r="F54" s="502" t="str">
        <f t="shared" si="19"/>
        <v>3x9F</v>
      </c>
      <c r="G54" s="167">
        <f t="shared" si="20"/>
        <v>-2.4590298034583239E-7</v>
      </c>
      <c r="H54" s="167">
        <f t="shared" si="20"/>
        <v>-3.4370313610351485E-5</v>
      </c>
      <c r="I54" s="167">
        <f t="shared" si="20"/>
        <v>-3.1883855505187545E-5</v>
      </c>
      <c r="J54" s="167">
        <f t="shared" si="20"/>
        <v>-9.1398584568770039E-7</v>
      </c>
      <c r="K54" s="167">
        <f t="shared" ref="K54:O54" si="25">$S45-K45</f>
        <v>-3.0825805751310349E-5</v>
      </c>
      <c r="L54" s="167">
        <f t="shared" si="25"/>
        <v>-3.4651905717931878E-5</v>
      </c>
      <c r="M54" s="167">
        <f t="shared" si="25"/>
        <v>-3.3323677722102538E-5</v>
      </c>
      <c r="N54" s="167">
        <f t="shared" si="25"/>
        <v>-1.0395804390753724E-6</v>
      </c>
      <c r="O54" s="423">
        <f t="shared" si="25"/>
        <v>-3.9848558944694011E-6</v>
      </c>
      <c r="P54" s="167">
        <f t="shared" si="22"/>
        <v>-3.2953727527328157E-6</v>
      </c>
      <c r="Q54" s="167">
        <f t="shared" si="22"/>
        <v>1.6289517010377929E-6</v>
      </c>
      <c r="R54" s="167">
        <f t="shared" si="22"/>
        <v>2.8939806834036392E-6</v>
      </c>
      <c r="X54" s="482"/>
      <c r="BE54" s="486">
        <f>_xll.qlCalendarAdvance(Calendar,BE53,"1d","mf",,Trigger)</f>
        <v>42230</v>
      </c>
      <c r="BF54" s="155">
        <f>_xll.qlDayCounterYearFraction(DayCounter,SettlementDate,BE54,,,Trigger)</f>
        <v>0.19444444444444445</v>
      </c>
      <c r="BG54" s="167" t="e">
        <f>_xll.qlPolynomialFunctionValue(G$23,$BF54)</f>
        <v>#NUM!</v>
      </c>
      <c r="BH54" s="167" t="e">
        <f>_xll.qlPolynomialFunctionValue(H$23,$BF54)</f>
        <v>#NUM!</v>
      </c>
      <c r="BI54" s="498" t="e">
        <f>_xll.qlPolynomialFunctionValue(I$23,$BF54)</f>
        <v>#NUM!</v>
      </c>
      <c r="BJ54" s="167" t="e">
        <f>_xll.qlPolynomialFunctionValue(J$23,$BF54)</f>
        <v>#NUM!</v>
      </c>
      <c r="BK54" s="167" t="e">
        <f>_xll.qlPolynomialFunctionValue(O$23,$BF54)</f>
        <v>#NUM!</v>
      </c>
      <c r="BL54" s="167" t="e">
        <f>_xll.qlPolynomialFunctionValue(P$23,$BF54)</f>
        <v>#NUM!</v>
      </c>
      <c r="BM54" s="167" t="e">
        <f>_xll.qlPolynomialFunctionValue(Q$23,$BF54)</f>
        <v>#NUM!</v>
      </c>
      <c r="BN54" s="167" t="e">
        <f>_xll.qlPolynomialFunctionValue(R$23,$BF54)</f>
        <v>#NUM!</v>
      </c>
    </row>
    <row r="55" spans="3:66" x14ac:dyDescent="0.2">
      <c r="F55" s="502" t="str">
        <f t="shared" si="19"/>
        <v>4x10F</v>
      </c>
      <c r="G55" s="167">
        <f t="shared" si="20"/>
        <v>-9.8227758117456175E-6</v>
      </c>
      <c r="H55" s="167">
        <f t="shared" si="20"/>
        <v>-7.5143281195322407E-5</v>
      </c>
      <c r="I55" s="167">
        <f t="shared" si="20"/>
        <v>-6.8409829647739576E-5</v>
      </c>
      <c r="J55" s="167">
        <f t="shared" si="20"/>
        <v>1.5458109391426784E-5</v>
      </c>
      <c r="K55" s="167">
        <f t="shared" ref="K55:O55" si="26">$S46-K46</f>
        <v>-6.6221396739371812E-5</v>
      </c>
      <c r="L55" s="167">
        <f t="shared" si="26"/>
        <v>-7.3356377369296517E-5</v>
      </c>
      <c r="M55" s="167">
        <f t="shared" si="26"/>
        <v>-6.9828089560790285E-5</v>
      </c>
      <c r="N55" s="167">
        <f t="shared" si="26"/>
        <v>1.5930972294703888E-5</v>
      </c>
      <c r="O55" s="423">
        <f t="shared" si="26"/>
        <v>-3.0880376163456343E-5</v>
      </c>
      <c r="P55" s="167">
        <f t="shared" si="22"/>
        <v>-3.3751320451204034E-5</v>
      </c>
      <c r="Q55" s="167">
        <f t="shared" si="22"/>
        <v>-1.4095339771503027E-5</v>
      </c>
      <c r="R55" s="167">
        <f t="shared" si="22"/>
        <v>-1.4711226037446724E-5</v>
      </c>
      <c r="X55" s="482"/>
      <c r="BE55" s="486">
        <f>_xll.qlCalendarAdvance(Calendar,BE54,"1d","mf",,Trigger)</f>
        <v>42233</v>
      </c>
      <c r="BF55" s="155">
        <f>_xll.qlDayCounterYearFraction(DayCounter,SettlementDate,BE55,,,Trigger)</f>
        <v>0.20277777777777778</v>
      </c>
      <c r="BG55" s="167" t="e">
        <f>_xll.qlPolynomialFunctionValue(G$23,$BF55)</f>
        <v>#NUM!</v>
      </c>
      <c r="BH55" s="167" t="e">
        <f>_xll.qlPolynomialFunctionValue(H$23,$BF55)</f>
        <v>#NUM!</v>
      </c>
      <c r="BI55" s="498" t="e">
        <f>_xll.qlPolynomialFunctionValue(I$23,$BF55)</f>
        <v>#NUM!</v>
      </c>
      <c r="BJ55" s="167" t="e">
        <f>_xll.qlPolynomialFunctionValue(J$23,$BF55)</f>
        <v>#NUM!</v>
      </c>
      <c r="BK55" s="167" t="e">
        <f>_xll.qlPolynomialFunctionValue(O$23,$BF55)</f>
        <v>#NUM!</v>
      </c>
      <c r="BL55" s="167" t="e">
        <f>_xll.qlPolynomialFunctionValue(P$23,$BF55)</f>
        <v>#NUM!</v>
      </c>
      <c r="BM55" s="167" t="e">
        <f>_xll.qlPolynomialFunctionValue(Q$23,$BF55)</f>
        <v>#NUM!</v>
      </c>
      <c r="BN55" s="167" t="e">
        <f>_xll.qlPolynomialFunctionValue(R$23,$BF55)</f>
        <v>#NUM!</v>
      </c>
    </row>
    <row r="56" spans="3:66" x14ac:dyDescent="0.2">
      <c r="F56" s="502" t="str">
        <f t="shared" si="19"/>
        <v>5x11F</v>
      </c>
      <c r="G56" s="167">
        <f t="shared" si="20"/>
        <v>-1.2768220079490029E-5</v>
      </c>
      <c r="H56" s="167">
        <f t="shared" si="20"/>
        <v>-1.2205804829394954E-4</v>
      </c>
      <c r="I56" s="167">
        <f t="shared" si="20"/>
        <v>-1.0836201862351362E-4</v>
      </c>
      <c r="J56" s="167">
        <f t="shared" si="20"/>
        <v>6.2227726229006387E-5</v>
      </c>
      <c r="K56" s="167">
        <f t="shared" ref="K56:O56" si="27">$S47-K47</f>
        <v>-1.0492209007981765E-4</v>
      </c>
      <c r="L56" s="167">
        <f t="shared" si="27"/>
        <v>-1.1688190606613151E-4</v>
      </c>
      <c r="M56" s="167">
        <f t="shared" si="27"/>
        <v>-1.097564059858577E-4</v>
      </c>
      <c r="N56" s="167">
        <f t="shared" si="27"/>
        <v>6.3437005465062819E-5</v>
      </c>
      <c r="O56" s="423">
        <f t="shared" si="27"/>
        <v>-6.3247825770857292E-5</v>
      </c>
      <c r="P56" s="167">
        <f t="shared" si="22"/>
        <v>-7.2415129654482616E-5</v>
      </c>
      <c r="Q56" s="167">
        <f t="shared" si="22"/>
        <v>-3.4094643211410054E-5</v>
      </c>
      <c r="R56" s="167">
        <f t="shared" si="22"/>
        <v>-3.8852452147232659E-5</v>
      </c>
      <c r="X56" s="482"/>
      <c r="BE56" s="486">
        <f>_xll.qlCalendarAdvance(Calendar,BE55,"1d","mf",,Trigger)</f>
        <v>42234</v>
      </c>
      <c r="BF56" s="155">
        <f>_xll.qlDayCounterYearFraction(DayCounter,SettlementDate,BE56,,,Trigger)</f>
        <v>0.20555555555555555</v>
      </c>
      <c r="BG56" s="167" t="e">
        <f>_xll.qlPolynomialFunctionValue(G$23,$BF56)</f>
        <v>#NUM!</v>
      </c>
      <c r="BH56" s="167" t="e">
        <f>_xll.qlPolynomialFunctionValue(H$23,$BF56)</f>
        <v>#NUM!</v>
      </c>
      <c r="BI56" s="498" t="e">
        <f>_xll.qlPolynomialFunctionValue(I$23,$BF56)</f>
        <v>#NUM!</v>
      </c>
      <c r="BJ56" s="167" t="e">
        <f>_xll.qlPolynomialFunctionValue(J$23,$BF56)</f>
        <v>#NUM!</v>
      </c>
      <c r="BK56" s="167" t="e">
        <f>_xll.qlPolynomialFunctionValue(O$23,$BF56)</f>
        <v>#NUM!</v>
      </c>
      <c r="BL56" s="167" t="e">
        <f>_xll.qlPolynomialFunctionValue(P$23,$BF56)</f>
        <v>#NUM!</v>
      </c>
      <c r="BM56" s="167" t="e">
        <f>_xll.qlPolynomialFunctionValue(Q$23,$BF56)</f>
        <v>#NUM!</v>
      </c>
      <c r="BN56" s="167" t="e">
        <f>_xll.qlPolynomialFunctionValue(R$23,$BF56)</f>
        <v>#NUM!</v>
      </c>
    </row>
    <row r="57" spans="3:66" x14ac:dyDescent="0.2">
      <c r="F57" s="503" t="str">
        <f t="shared" si="19"/>
        <v>6x12F</v>
      </c>
      <c r="G57" s="432">
        <f t="shared" si="20"/>
        <v>-4.8833871292703864E-6</v>
      </c>
      <c r="H57" s="432">
        <f t="shared" si="20"/>
        <v>-1.6887842486231549E-4</v>
      </c>
      <c r="I57" s="432">
        <f t="shared" si="20"/>
        <v>-1.4550354575057847E-4</v>
      </c>
      <c r="J57" s="432">
        <f t="shared" si="20"/>
        <v>1.4564029371097367E-4</v>
      </c>
      <c r="K57" s="432">
        <f t="shared" ref="K57:O57" si="28">$S48-K48</f>
        <v>-1.4077175074460769E-4</v>
      </c>
      <c r="L57" s="432">
        <f t="shared" si="28"/>
        <v>-1.5899222041646009E-4</v>
      </c>
      <c r="M57" s="432">
        <f t="shared" si="28"/>
        <v>-1.4687329047993454E-4</v>
      </c>
      <c r="N57" s="432">
        <f t="shared" si="28"/>
        <v>1.4769113239515173E-4</v>
      </c>
      <c r="O57" s="433">
        <f t="shared" si="28"/>
        <v>-8.6790137016425875E-5</v>
      </c>
      <c r="P57" s="432">
        <f t="shared" si="22"/>
        <v>-1.0505209034767087E-4</v>
      </c>
      <c r="Q57" s="432">
        <f t="shared" si="22"/>
        <v>-4.4869835832468783E-5</v>
      </c>
      <c r="R57" s="432">
        <f t="shared" si="22"/>
        <v>-5.6173223373529057E-5</v>
      </c>
      <c r="X57" s="482"/>
      <c r="BE57" s="486">
        <f>_xll.qlCalendarAdvance(Calendar,BE56,"1d","mf",,Trigger)</f>
        <v>42235</v>
      </c>
      <c r="BF57" s="155">
        <f>_xll.qlDayCounterYearFraction(DayCounter,SettlementDate,BE57,,,Trigger)</f>
        <v>0.20833333333333334</v>
      </c>
      <c r="BG57" s="167" t="e">
        <f>_xll.qlPolynomialFunctionValue(G$23,$BF57)</f>
        <v>#NUM!</v>
      </c>
      <c r="BH57" s="167" t="e">
        <f>_xll.qlPolynomialFunctionValue(H$23,$BF57)</f>
        <v>#NUM!</v>
      </c>
      <c r="BI57" s="498" t="e">
        <f>_xll.qlPolynomialFunctionValue(I$23,$BF57)</f>
        <v>#NUM!</v>
      </c>
      <c r="BJ57" s="167" t="e">
        <f>_xll.qlPolynomialFunctionValue(J$23,$BF57)</f>
        <v>#NUM!</v>
      </c>
      <c r="BK57" s="167" t="e">
        <f>_xll.qlPolynomialFunctionValue(O$23,$BF57)</f>
        <v>#NUM!</v>
      </c>
      <c r="BL57" s="167" t="e">
        <f>_xll.qlPolynomialFunctionValue(P$23,$BF57)</f>
        <v>#NUM!</v>
      </c>
      <c r="BM57" s="167" t="e">
        <f>_xll.qlPolynomialFunctionValue(Q$23,$BF57)</f>
        <v>#NUM!</v>
      </c>
      <c r="BN57" s="167" t="e">
        <f>_xll.qlPolynomialFunctionValue(R$23,$BF57)</f>
        <v>#NUM!</v>
      </c>
    </row>
    <row r="58" spans="3:66" x14ac:dyDescent="0.2">
      <c r="K58" s="198"/>
      <c r="L58" s="198"/>
      <c r="M58" s="198"/>
      <c r="N58" s="198"/>
      <c r="X58" s="482"/>
      <c r="BE58" s="486">
        <f>_xll.qlCalendarAdvance(Calendar,BE57,"1d","mf",,Trigger)</f>
        <v>42236</v>
      </c>
      <c r="BF58" s="155">
        <f>_xll.qlDayCounterYearFraction(DayCounter,SettlementDate,BE58,,,Trigger)</f>
        <v>0.21111111111111111</v>
      </c>
      <c r="BG58" s="167" t="e">
        <f>_xll.qlPolynomialFunctionValue(G$23,$BF58)</f>
        <v>#NUM!</v>
      </c>
      <c r="BH58" s="167" t="e">
        <f>_xll.qlPolynomialFunctionValue(H$23,$BF58)</f>
        <v>#NUM!</v>
      </c>
      <c r="BI58" s="498" t="e">
        <f>_xll.qlPolynomialFunctionValue(I$23,$BF58)</f>
        <v>#NUM!</v>
      </c>
      <c r="BJ58" s="167" t="e">
        <f>_xll.qlPolynomialFunctionValue(J$23,$BF58)</f>
        <v>#NUM!</v>
      </c>
      <c r="BK58" s="167" t="e">
        <f>_xll.qlPolynomialFunctionValue(O$23,$BF58)</f>
        <v>#NUM!</v>
      </c>
      <c r="BL58" s="167" t="e">
        <f>_xll.qlPolynomialFunctionValue(P$23,$BF58)</f>
        <v>#NUM!</v>
      </c>
      <c r="BM58" s="167" t="e">
        <f>_xll.qlPolynomialFunctionValue(Q$23,$BF58)</f>
        <v>#NUM!</v>
      </c>
      <c r="BN58" s="167" t="e">
        <f>_xll.qlPolynomialFunctionValue(R$23,$BF58)</f>
        <v>#NUM!</v>
      </c>
    </row>
    <row r="59" spans="3:66" x14ac:dyDescent="0.2">
      <c r="K59" s="198"/>
      <c r="L59" s="198"/>
      <c r="M59" s="198"/>
      <c r="N59" s="198"/>
      <c r="X59" s="482"/>
      <c r="BE59" s="486">
        <f>_xll.qlCalendarAdvance(Calendar,BE58,"1d","mf",,Trigger)</f>
        <v>42237</v>
      </c>
      <c r="BF59" s="155">
        <f>_xll.qlDayCounterYearFraction(DayCounter,SettlementDate,BE59,,,Trigger)</f>
        <v>0.21388888888888888</v>
      </c>
      <c r="BG59" s="167" t="e">
        <f>_xll.qlPolynomialFunctionValue(G$23,$BF59)</f>
        <v>#NUM!</v>
      </c>
      <c r="BH59" s="167" t="e">
        <f>_xll.qlPolynomialFunctionValue(H$23,$BF59)</f>
        <v>#NUM!</v>
      </c>
      <c r="BI59" s="498" t="e">
        <f>_xll.qlPolynomialFunctionValue(I$23,$BF59)</f>
        <v>#NUM!</v>
      </c>
      <c r="BJ59" s="167" t="e">
        <f>_xll.qlPolynomialFunctionValue(J$23,$BF59)</f>
        <v>#NUM!</v>
      </c>
      <c r="BK59" s="167" t="e">
        <f>_xll.qlPolynomialFunctionValue(O$23,$BF59)</f>
        <v>#NUM!</v>
      </c>
      <c r="BL59" s="167" t="e">
        <f>_xll.qlPolynomialFunctionValue(P$23,$BF59)</f>
        <v>#NUM!</v>
      </c>
      <c r="BM59" s="167" t="e">
        <f>_xll.qlPolynomialFunctionValue(Q$23,$BF59)</f>
        <v>#NUM!</v>
      </c>
      <c r="BN59" s="167" t="e">
        <f>_xll.qlPolynomialFunctionValue(R$23,$BF59)</f>
        <v>#NUM!</v>
      </c>
    </row>
    <row r="60" spans="3:66" x14ac:dyDescent="0.2">
      <c r="K60" s="198"/>
      <c r="L60" s="198"/>
      <c r="M60" s="198"/>
      <c r="N60" s="198"/>
      <c r="X60" s="482"/>
      <c r="BE60" s="486">
        <f>_xll.qlCalendarAdvance(Calendar,BE59,"1d","mf",,Trigger)</f>
        <v>42240</v>
      </c>
      <c r="BF60" s="155">
        <f>_xll.qlDayCounterYearFraction(DayCounter,SettlementDate,BE60,,,Trigger)</f>
        <v>0.22222222222222221</v>
      </c>
      <c r="BG60" s="167" t="e">
        <f>_xll.qlPolynomialFunctionValue(G$23,$BF60)</f>
        <v>#NUM!</v>
      </c>
      <c r="BH60" s="167" t="e">
        <f>_xll.qlPolynomialFunctionValue(H$23,$BF60)</f>
        <v>#NUM!</v>
      </c>
      <c r="BI60" s="498" t="e">
        <f>_xll.qlPolynomialFunctionValue(I$23,$BF60)</f>
        <v>#NUM!</v>
      </c>
      <c r="BJ60" s="167" t="e">
        <f>_xll.qlPolynomialFunctionValue(J$23,$BF60)</f>
        <v>#NUM!</v>
      </c>
      <c r="BK60" s="167" t="e">
        <f>_xll.qlPolynomialFunctionValue(O$23,$BF60)</f>
        <v>#NUM!</v>
      </c>
      <c r="BL60" s="167" t="e">
        <f>_xll.qlPolynomialFunctionValue(P$23,$BF60)</f>
        <v>#NUM!</v>
      </c>
      <c r="BM60" s="167" t="e">
        <f>_xll.qlPolynomialFunctionValue(Q$23,$BF60)</f>
        <v>#NUM!</v>
      </c>
      <c r="BN60" s="167" t="e">
        <f>_xll.qlPolynomialFunctionValue(R$23,$BF60)</f>
        <v>#NUM!</v>
      </c>
    </row>
    <row r="61" spans="3:66" x14ac:dyDescent="0.2">
      <c r="C61" s="514"/>
      <c r="D61" s="514"/>
      <c r="E61" s="515"/>
      <c r="H61" s="141"/>
      <c r="K61" s="198"/>
      <c r="L61" s="198"/>
      <c r="M61" s="198"/>
      <c r="N61" s="198"/>
      <c r="P61" s="141"/>
      <c r="Q61" s="141"/>
      <c r="R61" s="140"/>
      <c r="S61" s="140"/>
      <c r="X61" s="482"/>
      <c r="BE61" s="486">
        <f>_xll.qlCalendarAdvance(Calendar,BE60,"1d","mf",,Trigger)</f>
        <v>42241</v>
      </c>
      <c r="BF61" s="155">
        <f>_xll.qlDayCounterYearFraction(DayCounter,SettlementDate,BE61,,,Trigger)</f>
        <v>0.22500000000000001</v>
      </c>
      <c r="BG61" s="167" t="e">
        <f>_xll.qlPolynomialFunctionValue(G$23,$BF61)</f>
        <v>#NUM!</v>
      </c>
      <c r="BH61" s="167" t="e">
        <f>_xll.qlPolynomialFunctionValue(H$23,$BF61)</f>
        <v>#NUM!</v>
      </c>
      <c r="BI61" s="498" t="e">
        <f>_xll.qlPolynomialFunctionValue(I$23,$BF61)</f>
        <v>#NUM!</v>
      </c>
      <c r="BJ61" s="167" t="e">
        <f>_xll.qlPolynomialFunctionValue(J$23,$BF61)</f>
        <v>#NUM!</v>
      </c>
      <c r="BK61" s="167" t="e">
        <f>_xll.qlPolynomialFunctionValue(O$23,$BF61)</f>
        <v>#NUM!</v>
      </c>
      <c r="BL61" s="167" t="e">
        <f>_xll.qlPolynomialFunctionValue(P$23,$BF61)</f>
        <v>#NUM!</v>
      </c>
      <c r="BM61" s="167" t="e">
        <f>_xll.qlPolynomialFunctionValue(Q$23,$BF61)</f>
        <v>#NUM!</v>
      </c>
      <c r="BN61" s="167" t="e">
        <f>_xll.qlPolynomialFunctionValue(R$23,$BF61)</f>
        <v>#NUM!</v>
      </c>
    </row>
    <row r="62" spans="3:66" x14ac:dyDescent="0.2">
      <c r="C62" s="514"/>
      <c r="D62" s="514"/>
      <c r="E62" s="515"/>
      <c r="H62" s="141"/>
      <c r="K62" s="198"/>
      <c r="L62" s="198"/>
      <c r="M62" s="198"/>
      <c r="N62" s="198"/>
      <c r="P62" s="141"/>
      <c r="Q62" s="141"/>
      <c r="R62" s="141"/>
      <c r="S62" s="141"/>
      <c r="X62" s="482"/>
      <c r="BE62" s="486">
        <f>_xll.qlCalendarAdvance(Calendar,BE61,"1d","mf",,Trigger)</f>
        <v>42242</v>
      </c>
      <c r="BF62" s="155">
        <f>_xll.qlDayCounterYearFraction(DayCounter,SettlementDate,BE62,,,Trigger)</f>
        <v>0.22777777777777777</v>
      </c>
      <c r="BG62" s="167" t="e">
        <f>_xll.qlPolynomialFunctionValue(G$23,$BF62)</f>
        <v>#NUM!</v>
      </c>
      <c r="BH62" s="167" t="e">
        <f>_xll.qlPolynomialFunctionValue(H$23,$BF62)</f>
        <v>#NUM!</v>
      </c>
      <c r="BI62" s="498" t="e">
        <f>_xll.qlPolynomialFunctionValue(I$23,$BF62)</f>
        <v>#NUM!</v>
      </c>
      <c r="BJ62" s="167" t="e">
        <f>_xll.qlPolynomialFunctionValue(J$23,$BF62)</f>
        <v>#NUM!</v>
      </c>
      <c r="BK62" s="167" t="e">
        <f>_xll.qlPolynomialFunctionValue(O$23,$BF62)</f>
        <v>#NUM!</v>
      </c>
      <c r="BL62" s="167" t="e">
        <f>_xll.qlPolynomialFunctionValue(P$23,$BF62)</f>
        <v>#NUM!</v>
      </c>
      <c r="BM62" s="167" t="e">
        <f>_xll.qlPolynomialFunctionValue(Q$23,$BF62)</f>
        <v>#NUM!</v>
      </c>
      <c r="BN62" s="167" t="e">
        <f>_xll.qlPolynomialFunctionValue(R$23,$BF62)</f>
        <v>#NUM!</v>
      </c>
    </row>
    <row r="63" spans="3:66" x14ac:dyDescent="0.2">
      <c r="C63" s="514"/>
      <c r="D63" s="514"/>
      <c r="E63" s="515"/>
      <c r="H63" s="141"/>
      <c r="K63" s="198"/>
      <c r="L63" s="198"/>
      <c r="M63" s="198"/>
      <c r="N63" s="198"/>
      <c r="P63" s="141"/>
      <c r="Q63" s="141"/>
      <c r="R63" s="141"/>
      <c r="S63" s="141"/>
      <c r="X63" s="482"/>
      <c r="BE63" s="486">
        <f>_xll.qlCalendarAdvance(Calendar,BE62,"1d","mf",,Trigger)</f>
        <v>42243</v>
      </c>
      <c r="BF63" s="155">
        <f>_xll.qlDayCounterYearFraction(DayCounter,SettlementDate,BE63,,,Trigger)</f>
        <v>0.23055555555555557</v>
      </c>
      <c r="BG63" s="167" t="e">
        <f>_xll.qlPolynomialFunctionValue(G$23,$BF63)</f>
        <v>#NUM!</v>
      </c>
      <c r="BH63" s="167" t="e">
        <f>_xll.qlPolynomialFunctionValue(H$23,$BF63)</f>
        <v>#NUM!</v>
      </c>
      <c r="BI63" s="498" t="e">
        <f>_xll.qlPolynomialFunctionValue(I$23,$BF63)</f>
        <v>#NUM!</v>
      </c>
      <c r="BJ63" s="167" t="e">
        <f>_xll.qlPolynomialFunctionValue(J$23,$BF63)</f>
        <v>#NUM!</v>
      </c>
      <c r="BK63" s="167" t="e">
        <f>_xll.qlPolynomialFunctionValue(O$23,$BF63)</f>
        <v>#NUM!</v>
      </c>
      <c r="BL63" s="167" t="e">
        <f>_xll.qlPolynomialFunctionValue(P$23,$BF63)</f>
        <v>#NUM!</v>
      </c>
      <c r="BM63" s="167" t="e">
        <f>_xll.qlPolynomialFunctionValue(Q$23,$BF63)</f>
        <v>#NUM!</v>
      </c>
      <c r="BN63" s="167" t="e">
        <f>_xll.qlPolynomialFunctionValue(R$23,$BF63)</f>
        <v>#NUM!</v>
      </c>
    </row>
    <row r="64" spans="3:66" x14ac:dyDescent="0.2">
      <c r="C64" s="514"/>
      <c r="D64" s="514"/>
      <c r="E64" s="515"/>
      <c r="H64" s="141"/>
      <c r="K64" s="198"/>
      <c r="L64" s="198"/>
      <c r="M64" s="198"/>
      <c r="N64" s="198"/>
      <c r="P64" s="141"/>
      <c r="Q64" s="141"/>
      <c r="R64" s="141"/>
      <c r="S64" s="141"/>
      <c r="X64" s="482"/>
      <c r="BE64" s="486">
        <f>_xll.qlCalendarAdvance(Calendar,BE63,"1d","mf",,Trigger)</f>
        <v>42244</v>
      </c>
      <c r="BF64" s="155">
        <f>_xll.qlDayCounterYearFraction(DayCounter,SettlementDate,BE64,,,Trigger)</f>
        <v>0.23333333333333334</v>
      </c>
      <c r="BG64" s="167" t="e">
        <f>_xll.qlPolynomialFunctionValue(G$23,$BF64)</f>
        <v>#NUM!</v>
      </c>
      <c r="BH64" s="167" t="e">
        <f>_xll.qlPolynomialFunctionValue(H$23,$BF64)</f>
        <v>#NUM!</v>
      </c>
      <c r="BI64" s="498" t="e">
        <f>_xll.qlPolynomialFunctionValue(I$23,$BF64)</f>
        <v>#NUM!</v>
      </c>
      <c r="BJ64" s="167" t="e">
        <f>_xll.qlPolynomialFunctionValue(J$23,$BF64)</f>
        <v>#NUM!</v>
      </c>
      <c r="BK64" s="167" t="e">
        <f>_xll.qlPolynomialFunctionValue(O$23,$BF64)</f>
        <v>#NUM!</v>
      </c>
      <c r="BL64" s="167" t="e">
        <f>_xll.qlPolynomialFunctionValue(P$23,$BF64)</f>
        <v>#NUM!</v>
      </c>
      <c r="BM64" s="167" t="e">
        <f>_xll.qlPolynomialFunctionValue(Q$23,$BF64)</f>
        <v>#NUM!</v>
      </c>
      <c r="BN64" s="167" t="e">
        <f>_xll.qlPolynomialFunctionValue(R$23,$BF64)</f>
        <v>#NUM!</v>
      </c>
    </row>
    <row r="65" spans="3:66" x14ac:dyDescent="0.2">
      <c r="C65" s="514"/>
      <c r="D65" s="514"/>
      <c r="E65" s="515"/>
      <c r="H65" s="141"/>
      <c r="K65" s="198"/>
      <c r="L65" s="198"/>
      <c r="M65" s="198"/>
      <c r="N65" s="198"/>
      <c r="P65" s="141"/>
      <c r="Q65" s="141"/>
      <c r="R65" s="141"/>
      <c r="S65" s="141"/>
      <c r="BE65" s="486">
        <f>_xll.qlCalendarAdvance(Calendar,BE64,"1d","mf",,Trigger)</f>
        <v>42247</v>
      </c>
      <c r="BF65" s="155">
        <f>_xll.qlDayCounterYearFraction(DayCounter,SettlementDate,BE65,,,Trigger)</f>
        <v>0.24166666666666667</v>
      </c>
      <c r="BG65" s="167" t="e">
        <f>_xll.qlPolynomialFunctionValue(G$23,$BF65)</f>
        <v>#NUM!</v>
      </c>
      <c r="BH65" s="167" t="e">
        <f>_xll.qlPolynomialFunctionValue(H$23,$BF65)</f>
        <v>#NUM!</v>
      </c>
      <c r="BI65" s="498" t="e">
        <f>_xll.qlPolynomialFunctionValue(I$23,$BF65)</f>
        <v>#NUM!</v>
      </c>
      <c r="BJ65" s="167" t="e">
        <f>_xll.qlPolynomialFunctionValue(J$23,$BF65)</f>
        <v>#NUM!</v>
      </c>
      <c r="BK65" s="167" t="e">
        <f>_xll.qlPolynomialFunctionValue(O$23,$BF65)</f>
        <v>#NUM!</v>
      </c>
      <c r="BL65" s="167" t="e">
        <f>_xll.qlPolynomialFunctionValue(P$23,$BF65)</f>
        <v>#NUM!</v>
      </c>
      <c r="BM65" s="167" t="e">
        <f>_xll.qlPolynomialFunctionValue(Q$23,$BF65)</f>
        <v>#NUM!</v>
      </c>
      <c r="BN65" s="167" t="e">
        <f>_xll.qlPolynomialFunctionValue(R$23,$BF65)</f>
        <v>#NUM!</v>
      </c>
    </row>
    <row r="66" spans="3:66" x14ac:dyDescent="0.2">
      <c r="C66" s="514"/>
      <c r="D66" s="514"/>
      <c r="E66" s="515"/>
      <c r="H66" s="141"/>
      <c r="K66" s="198"/>
      <c r="L66" s="198"/>
      <c r="M66" s="198"/>
      <c r="N66" s="198"/>
      <c r="P66" s="141"/>
      <c r="Q66" s="141"/>
      <c r="R66" s="141"/>
      <c r="S66" s="141"/>
      <c r="BE66" s="486">
        <f>_xll.qlCalendarAdvance(Calendar,BE65,"1d","mf",,Trigger)</f>
        <v>42248</v>
      </c>
      <c r="BF66" s="155">
        <f>_xll.qlDayCounterYearFraction(DayCounter,SettlementDate,BE66,,,Trigger)</f>
        <v>0.24444444444444444</v>
      </c>
      <c r="BG66" s="167" t="e">
        <f>_xll.qlPolynomialFunctionValue(G$23,$BF66)</f>
        <v>#NUM!</v>
      </c>
      <c r="BH66" s="167" t="e">
        <f>_xll.qlPolynomialFunctionValue(H$23,$BF66)</f>
        <v>#NUM!</v>
      </c>
      <c r="BI66" s="498" t="e">
        <f>_xll.qlPolynomialFunctionValue(I$23,$BF66)</f>
        <v>#NUM!</v>
      </c>
      <c r="BJ66" s="167" t="e">
        <f>_xll.qlPolynomialFunctionValue(J$23,$BF66)</f>
        <v>#NUM!</v>
      </c>
      <c r="BK66" s="167" t="e">
        <f>_xll.qlPolynomialFunctionValue(O$23,$BF66)</f>
        <v>#NUM!</v>
      </c>
      <c r="BL66" s="167" t="e">
        <f>_xll.qlPolynomialFunctionValue(P$23,$BF66)</f>
        <v>#NUM!</v>
      </c>
      <c r="BM66" s="167" t="e">
        <f>_xll.qlPolynomialFunctionValue(Q$23,$BF66)</f>
        <v>#NUM!</v>
      </c>
      <c r="BN66" s="167" t="e">
        <f>_xll.qlPolynomialFunctionValue(R$23,$BF66)</f>
        <v>#NUM!</v>
      </c>
    </row>
    <row r="67" spans="3:66" x14ac:dyDescent="0.2">
      <c r="C67" s="514"/>
      <c r="D67" s="514"/>
      <c r="E67" s="515"/>
      <c r="H67" s="141"/>
      <c r="K67" s="198"/>
      <c r="L67" s="198"/>
      <c r="M67" s="198"/>
      <c r="N67" s="198"/>
      <c r="P67" s="141"/>
      <c r="Q67" s="141"/>
      <c r="R67" s="141"/>
      <c r="S67" s="141"/>
      <c r="BE67" s="486">
        <f>_xll.qlCalendarAdvance(Calendar,BE66,"1d","mf",,Trigger)</f>
        <v>42249</v>
      </c>
      <c r="BF67" s="155">
        <f>_xll.qlDayCounterYearFraction(DayCounter,SettlementDate,BE67,,,Trigger)</f>
        <v>0.24722222222222223</v>
      </c>
      <c r="BG67" s="167" t="e">
        <f>_xll.qlPolynomialFunctionValue(G$23,$BF67)</f>
        <v>#NUM!</v>
      </c>
      <c r="BH67" s="167" t="e">
        <f>_xll.qlPolynomialFunctionValue(H$23,$BF67)</f>
        <v>#NUM!</v>
      </c>
      <c r="BI67" s="498" t="e">
        <f>_xll.qlPolynomialFunctionValue(I$23,$BF67)</f>
        <v>#NUM!</v>
      </c>
      <c r="BJ67" s="167" t="e">
        <f>_xll.qlPolynomialFunctionValue(J$23,$BF67)</f>
        <v>#NUM!</v>
      </c>
      <c r="BK67" s="167" t="e">
        <f>_xll.qlPolynomialFunctionValue(O$23,$BF67)</f>
        <v>#NUM!</v>
      </c>
      <c r="BL67" s="167" t="e">
        <f>_xll.qlPolynomialFunctionValue(P$23,$BF67)</f>
        <v>#NUM!</v>
      </c>
      <c r="BM67" s="167" t="e">
        <f>_xll.qlPolynomialFunctionValue(Q$23,$BF67)</f>
        <v>#NUM!</v>
      </c>
      <c r="BN67" s="167" t="e">
        <f>_xll.qlPolynomialFunctionValue(R$23,$BF67)</f>
        <v>#NUM!</v>
      </c>
    </row>
    <row r="68" spans="3:66" x14ac:dyDescent="0.2">
      <c r="C68" s="514"/>
      <c r="D68" s="514"/>
      <c r="E68" s="515"/>
      <c r="H68" s="141"/>
      <c r="K68" s="198"/>
      <c r="L68" s="198"/>
      <c r="M68" s="198"/>
      <c r="N68" s="198"/>
      <c r="P68" s="141"/>
      <c r="Q68" s="141"/>
      <c r="R68" s="141"/>
      <c r="S68" s="141"/>
      <c r="BE68" s="486">
        <f>_xll.qlCalendarAdvance(Calendar,BE67,"1d","mf",,Trigger)</f>
        <v>42250</v>
      </c>
      <c r="BF68" s="155">
        <f>_xll.qlDayCounterYearFraction(DayCounter,SettlementDate,BE68,,,Trigger)</f>
        <v>0.25</v>
      </c>
      <c r="BG68" s="167" t="e">
        <f>_xll.qlPolynomialFunctionValue(G$23,$BF68)</f>
        <v>#NUM!</v>
      </c>
      <c r="BH68" s="167" t="e">
        <f>_xll.qlPolynomialFunctionValue(H$23,$BF68)</f>
        <v>#NUM!</v>
      </c>
      <c r="BI68" s="498" t="e">
        <f>_xll.qlPolynomialFunctionValue(I$23,$BF68)</f>
        <v>#NUM!</v>
      </c>
      <c r="BJ68" s="167" t="e">
        <f>_xll.qlPolynomialFunctionValue(J$23,$BF68)</f>
        <v>#NUM!</v>
      </c>
      <c r="BK68" s="167" t="e">
        <f>_xll.qlPolynomialFunctionValue(O$23,$BF68)</f>
        <v>#NUM!</v>
      </c>
      <c r="BL68" s="167" t="e">
        <f>_xll.qlPolynomialFunctionValue(P$23,$BF68)</f>
        <v>#NUM!</v>
      </c>
      <c r="BM68" s="167" t="e">
        <f>_xll.qlPolynomialFunctionValue(Q$23,$BF68)</f>
        <v>#NUM!</v>
      </c>
      <c r="BN68" s="167" t="e">
        <f>_xll.qlPolynomialFunctionValue(R$23,$BF68)</f>
        <v>#NUM!</v>
      </c>
    </row>
    <row r="69" spans="3:66" x14ac:dyDescent="0.2">
      <c r="C69" s="514"/>
      <c r="D69" s="514"/>
      <c r="E69" s="515"/>
      <c r="G69" s="516"/>
      <c r="H69" s="141"/>
      <c r="J69" s="516"/>
      <c r="K69" s="198"/>
      <c r="L69" s="198"/>
      <c r="M69" s="198"/>
      <c r="N69" s="198"/>
      <c r="P69" s="141"/>
      <c r="Q69" s="141"/>
      <c r="R69" s="141"/>
      <c r="S69" s="141"/>
      <c r="BE69" s="486">
        <f>_xll.qlCalendarAdvance(Calendar,BE68,"1d","mf",,Trigger)</f>
        <v>42251</v>
      </c>
      <c r="BF69" s="155">
        <f>_xll.qlDayCounterYearFraction(DayCounter,SettlementDate,BE69,,,Trigger)</f>
        <v>0.25277777777777777</v>
      </c>
      <c r="BG69" s="167" t="e">
        <f>_xll.qlPolynomialFunctionValue(G$23,$BF69)</f>
        <v>#NUM!</v>
      </c>
      <c r="BH69" s="167" t="e">
        <f>_xll.qlPolynomialFunctionValue(H$23,$BF69)</f>
        <v>#NUM!</v>
      </c>
      <c r="BI69" s="498" t="e">
        <f>_xll.qlPolynomialFunctionValue(I$23,$BF69)</f>
        <v>#NUM!</v>
      </c>
      <c r="BJ69" s="167" t="e">
        <f>_xll.qlPolynomialFunctionValue(J$23,$BF69)</f>
        <v>#NUM!</v>
      </c>
      <c r="BK69" s="167" t="e">
        <f>_xll.qlPolynomialFunctionValue(O$23,$BF69)</f>
        <v>#NUM!</v>
      </c>
      <c r="BL69" s="167" t="e">
        <f>_xll.qlPolynomialFunctionValue(P$23,$BF69)</f>
        <v>#NUM!</v>
      </c>
      <c r="BM69" s="167" t="e">
        <f>_xll.qlPolynomialFunctionValue(Q$23,$BF69)</f>
        <v>#NUM!</v>
      </c>
      <c r="BN69" s="167" t="e">
        <f>_xll.qlPolynomialFunctionValue(R$23,$BF69)</f>
        <v>#NUM!</v>
      </c>
    </row>
    <row r="70" spans="3:66" x14ac:dyDescent="0.2">
      <c r="C70" s="514"/>
      <c r="D70" s="514"/>
      <c r="E70" s="515"/>
      <c r="H70" s="141"/>
      <c r="K70" s="198"/>
      <c r="L70" s="198"/>
      <c r="M70" s="198"/>
      <c r="N70" s="198"/>
      <c r="P70" s="141"/>
      <c r="Q70" s="141"/>
      <c r="R70" s="141"/>
      <c r="S70" s="141"/>
      <c r="T70" s="141"/>
      <c r="BE70" s="486">
        <f>_xll.qlCalendarAdvance(Calendar,BE69,"1d","mf",,Trigger)</f>
        <v>42254</v>
      </c>
      <c r="BF70" s="155">
        <f>_xll.qlDayCounterYearFraction(DayCounter,SettlementDate,BE70,,,Trigger)</f>
        <v>0.26111111111111113</v>
      </c>
      <c r="BG70" s="167" t="e">
        <f>_xll.qlPolynomialFunctionValue(G$23,$BF70)</f>
        <v>#NUM!</v>
      </c>
      <c r="BH70" s="167" t="e">
        <f>_xll.qlPolynomialFunctionValue(H$23,$BF70)</f>
        <v>#NUM!</v>
      </c>
      <c r="BI70" s="498" t="e">
        <f>_xll.qlPolynomialFunctionValue(I$23,$BF70)</f>
        <v>#NUM!</v>
      </c>
      <c r="BJ70" s="167" t="e">
        <f>_xll.qlPolynomialFunctionValue(J$23,$BF70)</f>
        <v>#NUM!</v>
      </c>
      <c r="BK70" s="167" t="e">
        <f>_xll.qlPolynomialFunctionValue(O$23,$BF70)</f>
        <v>#NUM!</v>
      </c>
      <c r="BL70" s="167" t="e">
        <f>_xll.qlPolynomialFunctionValue(P$23,$BF70)</f>
        <v>#NUM!</v>
      </c>
      <c r="BM70" s="167" t="e">
        <f>_xll.qlPolynomialFunctionValue(Q$23,$BF70)</f>
        <v>#NUM!</v>
      </c>
      <c r="BN70" s="167" t="e">
        <f>_xll.qlPolynomialFunctionValue(R$23,$BF70)</f>
        <v>#NUM!</v>
      </c>
    </row>
    <row r="71" spans="3:66" x14ac:dyDescent="0.2">
      <c r="C71" s="514"/>
      <c r="D71" s="514"/>
      <c r="K71" s="198"/>
      <c r="L71" s="198"/>
      <c r="M71" s="198"/>
      <c r="N71" s="198"/>
      <c r="S71" s="141"/>
      <c r="T71" s="141"/>
      <c r="BE71" s="486">
        <f>_xll.qlCalendarAdvance(Calendar,BE70,"1d","mf",,Trigger)</f>
        <v>42255</v>
      </c>
      <c r="BF71" s="155">
        <f>_xll.qlDayCounterYearFraction(DayCounter,SettlementDate,BE71,,,Trigger)</f>
        <v>0.2638888888888889</v>
      </c>
      <c r="BG71" s="167" t="e">
        <f>_xll.qlPolynomialFunctionValue(G$23,$BF71)</f>
        <v>#NUM!</v>
      </c>
      <c r="BH71" s="167" t="e">
        <f>_xll.qlPolynomialFunctionValue(H$23,$BF71)</f>
        <v>#NUM!</v>
      </c>
      <c r="BI71" s="498" t="e">
        <f>_xll.qlPolynomialFunctionValue(I$23,$BF71)</f>
        <v>#NUM!</v>
      </c>
      <c r="BJ71" s="167" t="e">
        <f>_xll.qlPolynomialFunctionValue(J$23,$BF71)</f>
        <v>#NUM!</v>
      </c>
      <c r="BK71" s="167" t="e">
        <f>_xll.qlPolynomialFunctionValue(O$23,$BF71)</f>
        <v>#NUM!</v>
      </c>
      <c r="BL71" s="167" t="e">
        <f>_xll.qlPolynomialFunctionValue(P$23,$BF71)</f>
        <v>#NUM!</v>
      </c>
      <c r="BM71" s="167" t="e">
        <f>_xll.qlPolynomialFunctionValue(Q$23,$BF71)</f>
        <v>#NUM!</v>
      </c>
      <c r="BN71" s="167" t="e">
        <f>_xll.qlPolynomialFunctionValue(R$23,$BF71)</f>
        <v>#NUM!</v>
      </c>
    </row>
    <row r="72" spans="3:66" x14ac:dyDescent="0.2">
      <c r="C72" s="514"/>
      <c r="D72" s="514"/>
      <c r="K72" s="198"/>
      <c r="L72" s="198"/>
      <c r="M72" s="198"/>
      <c r="N72" s="198"/>
      <c r="S72" s="141"/>
      <c r="T72" s="141"/>
      <c r="BE72" s="486">
        <f>_xll.qlCalendarAdvance(Calendar,BE71,"1d","mf",,Trigger)</f>
        <v>42256</v>
      </c>
      <c r="BF72" s="155">
        <f>_xll.qlDayCounterYearFraction(DayCounter,SettlementDate,BE72,,,Trigger)</f>
        <v>0.26666666666666666</v>
      </c>
      <c r="BG72" s="167" t="e">
        <f>_xll.qlPolynomialFunctionValue(G$23,$BF72)</f>
        <v>#NUM!</v>
      </c>
      <c r="BH72" s="167" t="e">
        <f>_xll.qlPolynomialFunctionValue(H$23,$BF72)</f>
        <v>#NUM!</v>
      </c>
      <c r="BI72" s="498" t="e">
        <f>_xll.qlPolynomialFunctionValue(I$23,$BF72)</f>
        <v>#NUM!</v>
      </c>
      <c r="BJ72" s="167" t="e">
        <f>_xll.qlPolynomialFunctionValue(J$23,$BF72)</f>
        <v>#NUM!</v>
      </c>
      <c r="BK72" s="167" t="e">
        <f>_xll.qlPolynomialFunctionValue(O$23,$BF72)</f>
        <v>#NUM!</v>
      </c>
      <c r="BL72" s="167" t="e">
        <f>_xll.qlPolynomialFunctionValue(P$23,$BF72)</f>
        <v>#NUM!</v>
      </c>
      <c r="BM72" s="167" t="e">
        <f>_xll.qlPolynomialFunctionValue(Q$23,$BF72)</f>
        <v>#NUM!</v>
      </c>
      <c r="BN72" s="167" t="e">
        <f>_xll.qlPolynomialFunctionValue(R$23,$BF72)</f>
        <v>#NUM!</v>
      </c>
    </row>
    <row r="73" spans="3:66" ht="11.25" customHeight="1" x14ac:dyDescent="0.2">
      <c r="C73" s="514"/>
      <c r="D73" s="514"/>
      <c r="K73" s="198"/>
      <c r="L73" s="198"/>
      <c r="M73" s="198"/>
      <c r="N73" s="198"/>
      <c r="S73" s="141"/>
      <c r="T73" s="141"/>
      <c r="BE73" s="486">
        <f>_xll.qlCalendarAdvance(Calendar,BE72,"1d","mf",,Trigger)</f>
        <v>42257</v>
      </c>
      <c r="BF73" s="155">
        <f>_xll.qlDayCounterYearFraction(DayCounter,SettlementDate,BE73,,,Trigger)</f>
        <v>0.26944444444444443</v>
      </c>
      <c r="BG73" s="167" t="e">
        <f>_xll.qlPolynomialFunctionValue(G$23,$BF73)</f>
        <v>#NUM!</v>
      </c>
      <c r="BH73" s="167" t="e">
        <f>_xll.qlPolynomialFunctionValue(H$23,$BF73)</f>
        <v>#NUM!</v>
      </c>
      <c r="BI73" s="498" t="e">
        <f>_xll.qlPolynomialFunctionValue(I$23,$BF73)</f>
        <v>#NUM!</v>
      </c>
      <c r="BJ73" s="167" t="e">
        <f>_xll.qlPolynomialFunctionValue(J$23,$BF73)</f>
        <v>#NUM!</v>
      </c>
      <c r="BK73" s="167" t="e">
        <f>_xll.qlPolynomialFunctionValue(O$23,$BF73)</f>
        <v>#NUM!</v>
      </c>
      <c r="BL73" s="167" t="e">
        <f>_xll.qlPolynomialFunctionValue(P$23,$BF73)</f>
        <v>#NUM!</v>
      </c>
      <c r="BM73" s="167" t="e">
        <f>_xll.qlPolynomialFunctionValue(Q$23,$BF73)</f>
        <v>#NUM!</v>
      </c>
      <c r="BN73" s="167" t="e">
        <f>_xll.qlPolynomialFunctionValue(R$23,$BF73)</f>
        <v>#NUM!</v>
      </c>
    </row>
    <row r="74" spans="3:66" x14ac:dyDescent="0.2">
      <c r="C74" s="514"/>
      <c r="D74" s="514"/>
      <c r="K74" s="198"/>
      <c r="L74" s="198"/>
      <c r="M74" s="198"/>
      <c r="N74" s="198"/>
      <c r="S74" s="141"/>
      <c r="T74" s="141"/>
      <c r="BE74" s="486">
        <f>_xll.qlCalendarAdvance(Calendar,BE73,"1d","mf",,Trigger)</f>
        <v>42258</v>
      </c>
      <c r="BF74" s="155">
        <f>_xll.qlDayCounterYearFraction(DayCounter,SettlementDate,BE74,,,Trigger)</f>
        <v>0.2722222222222222</v>
      </c>
      <c r="BG74" s="167" t="e">
        <f>_xll.qlPolynomialFunctionValue(G$23,$BF74)</f>
        <v>#NUM!</v>
      </c>
      <c r="BH74" s="167" t="e">
        <f>_xll.qlPolynomialFunctionValue(H$23,$BF74)</f>
        <v>#NUM!</v>
      </c>
      <c r="BI74" s="498" t="e">
        <f>_xll.qlPolynomialFunctionValue(I$23,$BF74)</f>
        <v>#NUM!</v>
      </c>
      <c r="BJ74" s="167" t="e">
        <f>_xll.qlPolynomialFunctionValue(J$23,$BF74)</f>
        <v>#NUM!</v>
      </c>
      <c r="BK74" s="167" t="e">
        <f>_xll.qlPolynomialFunctionValue(O$23,$BF74)</f>
        <v>#NUM!</v>
      </c>
      <c r="BL74" s="167" t="e">
        <f>_xll.qlPolynomialFunctionValue(P$23,$BF74)</f>
        <v>#NUM!</v>
      </c>
      <c r="BM74" s="167" t="e">
        <f>_xll.qlPolynomialFunctionValue(Q$23,$BF74)</f>
        <v>#NUM!</v>
      </c>
      <c r="BN74" s="167" t="e">
        <f>_xll.qlPolynomialFunctionValue(R$23,$BF74)</f>
        <v>#NUM!</v>
      </c>
    </row>
    <row r="75" spans="3:66" x14ac:dyDescent="0.2">
      <c r="C75" s="514"/>
      <c r="D75" s="514"/>
      <c r="K75" s="198"/>
      <c r="L75" s="198"/>
      <c r="M75" s="198"/>
      <c r="N75" s="198"/>
      <c r="S75" s="141"/>
      <c r="T75" s="141"/>
      <c r="BE75" s="486">
        <f>_xll.qlCalendarAdvance(Calendar,BE74,"1d","mf",,Trigger)</f>
        <v>42261</v>
      </c>
      <c r="BF75" s="155">
        <f>_xll.qlDayCounterYearFraction(DayCounter,SettlementDate,BE75,,,Trigger)</f>
        <v>0.28055555555555556</v>
      </c>
      <c r="BG75" s="167" t="e">
        <f>_xll.qlPolynomialFunctionValue(G$23,$BF75)</f>
        <v>#NUM!</v>
      </c>
      <c r="BH75" s="167" t="e">
        <f>_xll.qlPolynomialFunctionValue(H$23,$BF75)</f>
        <v>#NUM!</v>
      </c>
      <c r="BI75" s="498" t="e">
        <f>_xll.qlPolynomialFunctionValue(I$23,$BF75)</f>
        <v>#NUM!</v>
      </c>
      <c r="BJ75" s="167" t="e">
        <f>_xll.qlPolynomialFunctionValue(J$23,$BF75)</f>
        <v>#NUM!</v>
      </c>
      <c r="BK75" s="167" t="e">
        <f>_xll.qlPolynomialFunctionValue(O$23,$BF75)</f>
        <v>#NUM!</v>
      </c>
      <c r="BL75" s="167" t="e">
        <f>_xll.qlPolynomialFunctionValue(P$23,$BF75)</f>
        <v>#NUM!</v>
      </c>
      <c r="BM75" s="167" t="e">
        <f>_xll.qlPolynomialFunctionValue(Q$23,$BF75)</f>
        <v>#NUM!</v>
      </c>
      <c r="BN75" s="167" t="e">
        <f>_xll.qlPolynomialFunctionValue(R$23,$BF75)</f>
        <v>#NUM!</v>
      </c>
    </row>
    <row r="76" spans="3:66" x14ac:dyDescent="0.2">
      <c r="C76" s="514"/>
      <c r="D76" s="514"/>
      <c r="K76" s="198"/>
      <c r="L76" s="198"/>
      <c r="M76" s="198"/>
      <c r="N76" s="198"/>
      <c r="S76" s="141"/>
      <c r="BE76" s="486">
        <f>_xll.qlCalendarAdvance(Calendar,BE75,"1d","mf",,Trigger)</f>
        <v>42262</v>
      </c>
      <c r="BF76" s="155">
        <f>_xll.qlDayCounterYearFraction(DayCounter,SettlementDate,BE76,,,Trigger)</f>
        <v>0.28333333333333333</v>
      </c>
      <c r="BG76" s="167" t="e">
        <f>_xll.qlPolynomialFunctionValue(G$23,$BF76)</f>
        <v>#NUM!</v>
      </c>
      <c r="BH76" s="167" t="e">
        <f>_xll.qlPolynomialFunctionValue(H$23,$BF76)</f>
        <v>#NUM!</v>
      </c>
      <c r="BI76" s="498" t="e">
        <f>_xll.qlPolynomialFunctionValue(I$23,$BF76)</f>
        <v>#NUM!</v>
      </c>
      <c r="BJ76" s="167" t="e">
        <f>_xll.qlPolynomialFunctionValue(J$23,$BF76)</f>
        <v>#NUM!</v>
      </c>
      <c r="BK76" s="167" t="e">
        <f>_xll.qlPolynomialFunctionValue(O$23,$BF76)</f>
        <v>#NUM!</v>
      </c>
      <c r="BL76" s="167" t="e">
        <f>_xll.qlPolynomialFunctionValue(P$23,$BF76)</f>
        <v>#NUM!</v>
      </c>
      <c r="BM76" s="167" t="e">
        <f>_xll.qlPolynomialFunctionValue(Q$23,$BF76)</f>
        <v>#NUM!</v>
      </c>
      <c r="BN76" s="167" t="e">
        <f>_xll.qlPolynomialFunctionValue(R$23,$BF76)</f>
        <v>#NUM!</v>
      </c>
    </row>
    <row r="77" spans="3:66" x14ac:dyDescent="0.2">
      <c r="K77" s="198"/>
      <c r="L77" s="198"/>
      <c r="M77" s="198"/>
      <c r="N77" s="198"/>
      <c r="S77" s="141"/>
      <c r="BE77" s="486">
        <f>_xll.qlCalendarAdvance(Calendar,BE76,"1d","mf",,Trigger)</f>
        <v>42263</v>
      </c>
      <c r="BF77" s="155">
        <f>_xll.qlDayCounterYearFraction(DayCounter,SettlementDate,BE77,,,Trigger)</f>
        <v>0.28611111111111109</v>
      </c>
      <c r="BG77" s="167" t="e">
        <f>_xll.qlPolynomialFunctionValue(G$23,$BF77)</f>
        <v>#NUM!</v>
      </c>
      <c r="BH77" s="167" t="e">
        <f>_xll.qlPolynomialFunctionValue(H$23,$BF77)</f>
        <v>#NUM!</v>
      </c>
      <c r="BI77" s="498" t="e">
        <f>_xll.qlPolynomialFunctionValue(I$23,$BF77)</f>
        <v>#NUM!</v>
      </c>
      <c r="BJ77" s="167" t="e">
        <f>_xll.qlPolynomialFunctionValue(J$23,$BF77)</f>
        <v>#NUM!</v>
      </c>
      <c r="BK77" s="167" t="e">
        <f>_xll.qlPolynomialFunctionValue(O$23,$BF77)</f>
        <v>#NUM!</v>
      </c>
      <c r="BL77" s="167" t="e">
        <f>_xll.qlPolynomialFunctionValue(P$23,$BF77)</f>
        <v>#NUM!</v>
      </c>
      <c r="BM77" s="167" t="e">
        <f>_xll.qlPolynomialFunctionValue(Q$23,$BF77)</f>
        <v>#NUM!</v>
      </c>
      <c r="BN77" s="167" t="e">
        <f>_xll.qlPolynomialFunctionValue(R$23,$BF77)</f>
        <v>#NUM!</v>
      </c>
    </row>
    <row r="78" spans="3:66" x14ac:dyDescent="0.2">
      <c r="K78" s="198"/>
      <c r="L78" s="198"/>
      <c r="M78" s="198"/>
      <c r="N78" s="198"/>
      <c r="BE78" s="486">
        <f>_xll.qlCalendarAdvance(Calendar,BE77,"1d","mf",,Trigger)</f>
        <v>42264</v>
      </c>
      <c r="BF78" s="155">
        <f>_xll.qlDayCounterYearFraction(DayCounter,SettlementDate,BE78,,,Trigger)</f>
        <v>0.28888888888888886</v>
      </c>
      <c r="BG78" s="167" t="e">
        <f>_xll.qlPolynomialFunctionValue(G$23,$BF78)</f>
        <v>#NUM!</v>
      </c>
      <c r="BH78" s="167" t="e">
        <f>_xll.qlPolynomialFunctionValue(H$23,$BF78)</f>
        <v>#NUM!</v>
      </c>
      <c r="BI78" s="498" t="e">
        <f>_xll.qlPolynomialFunctionValue(I$23,$BF78)</f>
        <v>#NUM!</v>
      </c>
      <c r="BJ78" s="167" t="e">
        <f>_xll.qlPolynomialFunctionValue(J$23,$BF78)</f>
        <v>#NUM!</v>
      </c>
      <c r="BK78" s="167" t="e">
        <f>_xll.qlPolynomialFunctionValue(O$23,$BF78)</f>
        <v>#NUM!</v>
      </c>
      <c r="BL78" s="167" t="e">
        <f>_xll.qlPolynomialFunctionValue(P$23,$BF78)</f>
        <v>#NUM!</v>
      </c>
      <c r="BM78" s="167" t="e">
        <f>_xll.qlPolynomialFunctionValue(Q$23,$BF78)</f>
        <v>#NUM!</v>
      </c>
      <c r="BN78" s="167" t="e">
        <f>_xll.qlPolynomialFunctionValue(R$23,$BF78)</f>
        <v>#NUM!</v>
      </c>
    </row>
    <row r="79" spans="3:66" x14ac:dyDescent="0.2">
      <c r="K79" s="198"/>
      <c r="L79" s="198"/>
      <c r="M79" s="198"/>
      <c r="N79" s="198"/>
      <c r="BE79" s="486">
        <f>_xll.qlCalendarAdvance(Calendar,BE78,"1d","mf",,Trigger)</f>
        <v>42265</v>
      </c>
      <c r="BF79" s="155">
        <f>_xll.qlDayCounterYearFraction(DayCounter,SettlementDate,BE79,,,Trigger)</f>
        <v>0.29166666666666669</v>
      </c>
      <c r="BG79" s="167" t="e">
        <f>_xll.qlPolynomialFunctionValue(G$23,$BF79)</f>
        <v>#NUM!</v>
      </c>
      <c r="BH79" s="167" t="e">
        <f>_xll.qlPolynomialFunctionValue(H$23,$BF79)</f>
        <v>#NUM!</v>
      </c>
      <c r="BI79" s="498" t="e">
        <f>_xll.qlPolynomialFunctionValue(I$23,$BF79)</f>
        <v>#NUM!</v>
      </c>
      <c r="BJ79" s="167" t="e">
        <f>_xll.qlPolynomialFunctionValue(J$23,$BF79)</f>
        <v>#NUM!</v>
      </c>
      <c r="BK79" s="167" t="e">
        <f>_xll.qlPolynomialFunctionValue(O$23,$BF79)</f>
        <v>#NUM!</v>
      </c>
      <c r="BL79" s="167" t="e">
        <f>_xll.qlPolynomialFunctionValue(P$23,$BF79)</f>
        <v>#NUM!</v>
      </c>
      <c r="BM79" s="167" t="e">
        <f>_xll.qlPolynomialFunctionValue(Q$23,$BF79)</f>
        <v>#NUM!</v>
      </c>
      <c r="BN79" s="167" t="e">
        <f>_xll.qlPolynomialFunctionValue(R$23,$BF79)</f>
        <v>#NUM!</v>
      </c>
    </row>
    <row r="80" spans="3:66" x14ac:dyDescent="0.2">
      <c r="K80" s="198"/>
      <c r="L80" s="198"/>
      <c r="M80" s="198"/>
      <c r="N80" s="198"/>
      <c r="R80" s="140"/>
      <c r="BE80" s="486">
        <f>_xll.qlCalendarAdvance(Calendar,BE79,"1d","mf",,Trigger)</f>
        <v>42268</v>
      </c>
      <c r="BF80" s="155">
        <f>_xll.qlDayCounterYearFraction(DayCounter,SettlementDate,BE80,,,Trigger)</f>
        <v>0.3</v>
      </c>
      <c r="BG80" s="167" t="e">
        <f>_xll.qlPolynomialFunctionValue(G$23,$BF80)</f>
        <v>#NUM!</v>
      </c>
      <c r="BH80" s="167" t="e">
        <f>_xll.qlPolynomialFunctionValue(H$23,$BF80)</f>
        <v>#NUM!</v>
      </c>
      <c r="BI80" s="498" t="e">
        <f>_xll.qlPolynomialFunctionValue(I$23,$BF80)</f>
        <v>#NUM!</v>
      </c>
      <c r="BJ80" s="167" t="e">
        <f>_xll.qlPolynomialFunctionValue(J$23,$BF80)</f>
        <v>#NUM!</v>
      </c>
      <c r="BK80" s="167" t="e">
        <f>_xll.qlPolynomialFunctionValue(O$23,$BF80)</f>
        <v>#NUM!</v>
      </c>
      <c r="BL80" s="167" t="e">
        <f>_xll.qlPolynomialFunctionValue(P$23,$BF80)</f>
        <v>#NUM!</v>
      </c>
      <c r="BM80" s="167" t="e">
        <f>_xll.qlPolynomialFunctionValue(Q$23,$BF80)</f>
        <v>#NUM!</v>
      </c>
      <c r="BN80" s="167" t="e">
        <f>_xll.qlPolynomialFunctionValue(R$23,$BF80)</f>
        <v>#NUM!</v>
      </c>
    </row>
    <row r="81" spans="8:66" x14ac:dyDescent="0.2">
      <c r="K81" s="198"/>
      <c r="L81" s="198"/>
      <c r="M81" s="198"/>
      <c r="N81" s="198"/>
      <c r="R81" s="140"/>
      <c r="BE81" s="486">
        <f>_xll.qlCalendarAdvance(Calendar,BE80,"1d","mf",,Trigger)</f>
        <v>42269</v>
      </c>
      <c r="BF81" s="155">
        <f>_xll.qlDayCounterYearFraction(DayCounter,SettlementDate,BE81,,,Trigger)</f>
        <v>0.30277777777777776</v>
      </c>
      <c r="BG81" s="167" t="e">
        <f>_xll.qlPolynomialFunctionValue(G$23,$BF81)</f>
        <v>#NUM!</v>
      </c>
      <c r="BH81" s="167" t="e">
        <f>_xll.qlPolynomialFunctionValue(H$23,$BF81)</f>
        <v>#NUM!</v>
      </c>
      <c r="BI81" s="498" t="e">
        <f>_xll.qlPolynomialFunctionValue(I$23,$BF81)</f>
        <v>#NUM!</v>
      </c>
      <c r="BJ81" s="167" t="e">
        <f>_xll.qlPolynomialFunctionValue(J$23,$BF81)</f>
        <v>#NUM!</v>
      </c>
      <c r="BK81" s="167" t="e">
        <f>_xll.qlPolynomialFunctionValue(O$23,$BF81)</f>
        <v>#NUM!</v>
      </c>
      <c r="BL81" s="167" t="e">
        <f>_xll.qlPolynomialFunctionValue(P$23,$BF81)</f>
        <v>#NUM!</v>
      </c>
      <c r="BM81" s="167" t="e">
        <f>_xll.qlPolynomialFunctionValue(Q$23,$BF81)</f>
        <v>#NUM!</v>
      </c>
      <c r="BN81" s="167" t="e">
        <f>_xll.qlPolynomialFunctionValue(R$23,$BF81)</f>
        <v>#NUM!</v>
      </c>
    </row>
    <row r="82" spans="8:66" x14ac:dyDescent="0.2">
      <c r="K82" s="198"/>
      <c r="L82" s="198"/>
      <c r="M82" s="198"/>
      <c r="N82" s="198"/>
      <c r="R82" s="140"/>
      <c r="BE82" s="486">
        <f>_xll.qlCalendarAdvance(Calendar,BE81,"1d","mf",,Trigger)</f>
        <v>42270</v>
      </c>
      <c r="BF82" s="155">
        <f>_xll.qlDayCounterYearFraction(DayCounter,SettlementDate,BE82,,,Trigger)</f>
        <v>0.30555555555555558</v>
      </c>
      <c r="BG82" s="167" t="e">
        <f>_xll.qlPolynomialFunctionValue(G$23,$BF82)</f>
        <v>#NUM!</v>
      </c>
      <c r="BH82" s="167" t="e">
        <f>_xll.qlPolynomialFunctionValue(H$23,$BF82)</f>
        <v>#NUM!</v>
      </c>
      <c r="BI82" s="498" t="e">
        <f>_xll.qlPolynomialFunctionValue(I$23,$BF82)</f>
        <v>#NUM!</v>
      </c>
      <c r="BJ82" s="167" t="e">
        <f>_xll.qlPolynomialFunctionValue(J$23,$BF82)</f>
        <v>#NUM!</v>
      </c>
      <c r="BK82" s="167" t="e">
        <f>_xll.qlPolynomialFunctionValue(O$23,$BF82)</f>
        <v>#NUM!</v>
      </c>
      <c r="BL82" s="167" t="e">
        <f>_xll.qlPolynomialFunctionValue(P$23,$BF82)</f>
        <v>#NUM!</v>
      </c>
      <c r="BM82" s="167" t="e">
        <f>_xll.qlPolynomialFunctionValue(Q$23,$BF82)</f>
        <v>#NUM!</v>
      </c>
      <c r="BN82" s="167" t="e">
        <f>_xll.qlPolynomialFunctionValue(R$23,$BF82)</f>
        <v>#NUM!</v>
      </c>
    </row>
    <row r="83" spans="8:66" x14ac:dyDescent="0.2">
      <c r="K83" s="198"/>
      <c r="L83" s="198"/>
      <c r="M83" s="198"/>
      <c r="N83" s="198"/>
      <c r="R83" s="140"/>
      <c r="BE83" s="486">
        <f>_xll.qlCalendarAdvance(Calendar,BE82,"1d","mf",,Trigger)</f>
        <v>42271</v>
      </c>
      <c r="BF83" s="155">
        <f>_xll.qlDayCounterYearFraction(DayCounter,SettlementDate,BE83,,,Trigger)</f>
        <v>0.30833333333333335</v>
      </c>
      <c r="BG83" s="167" t="e">
        <f>_xll.qlPolynomialFunctionValue(G$23,$BF83)</f>
        <v>#NUM!</v>
      </c>
      <c r="BH83" s="167" t="e">
        <f>_xll.qlPolynomialFunctionValue(H$23,$BF83)</f>
        <v>#NUM!</v>
      </c>
      <c r="BI83" s="498" t="e">
        <f>_xll.qlPolynomialFunctionValue(I$23,$BF83)</f>
        <v>#NUM!</v>
      </c>
      <c r="BJ83" s="167" t="e">
        <f>_xll.qlPolynomialFunctionValue(J$23,$BF83)</f>
        <v>#NUM!</v>
      </c>
      <c r="BK83" s="167" t="e">
        <f>_xll.qlPolynomialFunctionValue(O$23,$BF83)</f>
        <v>#NUM!</v>
      </c>
      <c r="BL83" s="167" t="e">
        <f>_xll.qlPolynomialFunctionValue(P$23,$BF83)</f>
        <v>#NUM!</v>
      </c>
      <c r="BM83" s="167" t="e">
        <f>_xll.qlPolynomialFunctionValue(Q$23,$BF83)</f>
        <v>#NUM!</v>
      </c>
      <c r="BN83" s="167" t="e">
        <f>_xll.qlPolynomialFunctionValue(R$23,$BF83)</f>
        <v>#NUM!</v>
      </c>
    </row>
    <row r="84" spans="8:66" x14ac:dyDescent="0.2">
      <c r="H84" s="141"/>
      <c r="K84" s="198"/>
      <c r="L84" s="198"/>
      <c r="M84" s="198"/>
      <c r="N84" s="198"/>
      <c r="R84" s="140"/>
      <c r="BE84" s="486">
        <f>_xll.qlCalendarAdvance(Calendar,BE83,"1d","mf",,Trigger)</f>
        <v>42272</v>
      </c>
      <c r="BF84" s="155">
        <f>_xll.qlDayCounterYearFraction(DayCounter,SettlementDate,BE84,,,Trigger)</f>
        <v>0.31111111111111112</v>
      </c>
      <c r="BG84" s="167" t="e">
        <f>_xll.qlPolynomialFunctionValue(G$23,$BF84)</f>
        <v>#NUM!</v>
      </c>
      <c r="BH84" s="167" t="e">
        <f>_xll.qlPolynomialFunctionValue(H$23,$BF84)</f>
        <v>#NUM!</v>
      </c>
      <c r="BI84" s="498" t="e">
        <f>_xll.qlPolynomialFunctionValue(I$23,$BF84)</f>
        <v>#NUM!</v>
      </c>
      <c r="BJ84" s="167" t="e">
        <f>_xll.qlPolynomialFunctionValue(J$23,$BF84)</f>
        <v>#NUM!</v>
      </c>
      <c r="BK84" s="167" t="e">
        <f>_xll.qlPolynomialFunctionValue(O$23,$BF84)</f>
        <v>#NUM!</v>
      </c>
      <c r="BL84" s="167" t="e">
        <f>_xll.qlPolynomialFunctionValue(P$23,$BF84)</f>
        <v>#NUM!</v>
      </c>
      <c r="BM84" s="167" t="e">
        <f>_xll.qlPolynomialFunctionValue(Q$23,$BF84)</f>
        <v>#NUM!</v>
      </c>
      <c r="BN84" s="167" t="e">
        <f>_xll.qlPolynomialFunctionValue(R$23,$BF84)</f>
        <v>#NUM!</v>
      </c>
    </row>
    <row r="85" spans="8:66" x14ac:dyDescent="0.2">
      <c r="K85" s="198"/>
      <c r="L85" s="198"/>
      <c r="M85" s="198"/>
      <c r="N85" s="198"/>
      <c r="R85" s="140"/>
      <c r="BE85" s="486">
        <f>_xll.qlCalendarAdvance(Calendar,BE84,"1d","mf",,Trigger)</f>
        <v>42275</v>
      </c>
      <c r="BF85" s="155">
        <f>_xll.qlDayCounterYearFraction(DayCounter,SettlementDate,BE85,,,Trigger)</f>
        <v>0.31944444444444442</v>
      </c>
      <c r="BG85" s="167" t="e">
        <f>_xll.qlPolynomialFunctionValue(G$23,$BF85)</f>
        <v>#NUM!</v>
      </c>
      <c r="BH85" s="167" t="e">
        <f>_xll.qlPolynomialFunctionValue(H$23,$BF85)</f>
        <v>#NUM!</v>
      </c>
      <c r="BI85" s="498" t="e">
        <f>_xll.qlPolynomialFunctionValue(I$23,$BF85)</f>
        <v>#NUM!</v>
      </c>
      <c r="BJ85" s="167" t="e">
        <f>_xll.qlPolynomialFunctionValue(J$23,$BF85)</f>
        <v>#NUM!</v>
      </c>
      <c r="BK85" s="167" t="e">
        <f>_xll.qlPolynomialFunctionValue(O$23,$BF85)</f>
        <v>#NUM!</v>
      </c>
      <c r="BL85" s="167" t="e">
        <f>_xll.qlPolynomialFunctionValue(P$23,$BF85)</f>
        <v>#NUM!</v>
      </c>
      <c r="BM85" s="167" t="e">
        <f>_xll.qlPolynomialFunctionValue(Q$23,$BF85)</f>
        <v>#NUM!</v>
      </c>
      <c r="BN85" s="167" t="e">
        <f>_xll.qlPolynomialFunctionValue(R$23,$BF85)</f>
        <v>#NUM!</v>
      </c>
    </row>
    <row r="86" spans="8:66" x14ac:dyDescent="0.2">
      <c r="K86" s="198"/>
      <c r="L86" s="198"/>
      <c r="M86" s="198"/>
      <c r="N86" s="198"/>
      <c r="R86" s="140"/>
      <c r="S86" s="140"/>
      <c r="BE86" s="486">
        <f>_xll.qlCalendarAdvance(Calendar,BE85,"1d","mf",,Trigger)</f>
        <v>42276</v>
      </c>
      <c r="BF86" s="155">
        <f>_xll.qlDayCounterYearFraction(DayCounter,SettlementDate,BE86,,,Trigger)</f>
        <v>0.32222222222222224</v>
      </c>
      <c r="BG86" s="167" t="e">
        <f>_xll.qlPolynomialFunctionValue(G$23,$BF86)</f>
        <v>#NUM!</v>
      </c>
      <c r="BH86" s="167" t="e">
        <f>_xll.qlPolynomialFunctionValue(H$23,$BF86)</f>
        <v>#NUM!</v>
      </c>
      <c r="BI86" s="498" t="e">
        <f>_xll.qlPolynomialFunctionValue(I$23,$BF86)</f>
        <v>#NUM!</v>
      </c>
      <c r="BJ86" s="167" t="e">
        <f>_xll.qlPolynomialFunctionValue(J$23,$BF86)</f>
        <v>#NUM!</v>
      </c>
      <c r="BK86" s="167" t="e">
        <f>_xll.qlPolynomialFunctionValue(O$23,$BF86)</f>
        <v>#NUM!</v>
      </c>
      <c r="BL86" s="167" t="e">
        <f>_xll.qlPolynomialFunctionValue(P$23,$BF86)</f>
        <v>#NUM!</v>
      </c>
      <c r="BM86" s="167" t="e">
        <f>_xll.qlPolynomialFunctionValue(Q$23,$BF86)</f>
        <v>#NUM!</v>
      </c>
      <c r="BN86" s="167" t="e">
        <f>_xll.qlPolynomialFunctionValue(R$23,$BF86)</f>
        <v>#NUM!</v>
      </c>
    </row>
    <row r="87" spans="8:66" x14ac:dyDescent="0.2">
      <c r="K87" s="198"/>
      <c r="L87" s="198"/>
      <c r="M87" s="198"/>
      <c r="N87" s="198"/>
      <c r="R87" s="140"/>
      <c r="S87" s="140"/>
      <c r="BE87" s="486">
        <f>_xll.qlCalendarAdvance(Calendar,BE86,"1d","mf",,Trigger)</f>
        <v>42277</v>
      </c>
      <c r="BF87" s="155">
        <f>_xll.qlDayCounterYearFraction(DayCounter,SettlementDate,BE87,,,Trigger)</f>
        <v>0.32500000000000001</v>
      </c>
      <c r="BG87" s="167" t="e">
        <f>_xll.qlPolynomialFunctionValue(G$23,$BF87)</f>
        <v>#NUM!</v>
      </c>
      <c r="BH87" s="167" t="e">
        <f>_xll.qlPolynomialFunctionValue(H$23,$BF87)</f>
        <v>#NUM!</v>
      </c>
      <c r="BI87" s="498" t="e">
        <f>_xll.qlPolynomialFunctionValue(I$23,$BF87)</f>
        <v>#NUM!</v>
      </c>
      <c r="BJ87" s="167" t="e">
        <f>_xll.qlPolynomialFunctionValue(J$23,$BF87)</f>
        <v>#NUM!</v>
      </c>
      <c r="BK87" s="167" t="e">
        <f>_xll.qlPolynomialFunctionValue(O$23,$BF87)</f>
        <v>#NUM!</v>
      </c>
      <c r="BL87" s="167" t="e">
        <f>_xll.qlPolynomialFunctionValue(P$23,$BF87)</f>
        <v>#NUM!</v>
      </c>
      <c r="BM87" s="167" t="e">
        <f>_xll.qlPolynomialFunctionValue(Q$23,$BF87)</f>
        <v>#NUM!</v>
      </c>
      <c r="BN87" s="167" t="e">
        <f>_xll.qlPolynomialFunctionValue(R$23,$BF87)</f>
        <v>#NUM!</v>
      </c>
    </row>
    <row r="88" spans="8:66" x14ac:dyDescent="0.2">
      <c r="K88" s="198"/>
      <c r="L88" s="198"/>
      <c r="M88" s="198"/>
      <c r="N88" s="198"/>
      <c r="R88" s="140"/>
      <c r="S88" s="140"/>
      <c r="BE88" s="486">
        <f>_xll.qlCalendarAdvance(Calendar,BE87,"1d","mf",,Trigger)</f>
        <v>42278</v>
      </c>
      <c r="BF88" s="155">
        <f>_xll.qlDayCounterYearFraction(DayCounter,SettlementDate,BE88,,,Trigger)</f>
        <v>0.32777777777777778</v>
      </c>
      <c r="BG88" s="167" t="e">
        <f>_xll.qlPolynomialFunctionValue(G$23,$BF88)</f>
        <v>#NUM!</v>
      </c>
      <c r="BH88" s="167" t="e">
        <f>_xll.qlPolynomialFunctionValue(H$23,$BF88)</f>
        <v>#NUM!</v>
      </c>
      <c r="BI88" s="498" t="e">
        <f>_xll.qlPolynomialFunctionValue(I$23,$BF88)</f>
        <v>#NUM!</v>
      </c>
      <c r="BJ88" s="167" t="e">
        <f>_xll.qlPolynomialFunctionValue(J$23,$BF88)</f>
        <v>#NUM!</v>
      </c>
      <c r="BK88" s="167" t="e">
        <f>_xll.qlPolynomialFunctionValue(O$23,$BF88)</f>
        <v>#NUM!</v>
      </c>
      <c r="BL88" s="167" t="e">
        <f>_xll.qlPolynomialFunctionValue(P$23,$BF88)</f>
        <v>#NUM!</v>
      </c>
      <c r="BM88" s="167" t="e">
        <f>_xll.qlPolynomialFunctionValue(Q$23,$BF88)</f>
        <v>#NUM!</v>
      </c>
      <c r="BN88" s="167" t="e">
        <f>_xll.qlPolynomialFunctionValue(R$23,$BF88)</f>
        <v>#NUM!</v>
      </c>
    </row>
    <row r="89" spans="8:66" x14ac:dyDescent="0.2">
      <c r="K89" s="198"/>
      <c r="L89" s="198"/>
      <c r="M89" s="198"/>
      <c r="N89" s="198"/>
      <c r="R89" s="140"/>
      <c r="S89" s="140"/>
      <c r="BE89" s="486">
        <f>_xll.qlCalendarAdvance(Calendar,BE88,"1d","mf",,Trigger)</f>
        <v>42279</v>
      </c>
      <c r="BF89" s="155">
        <f>_xll.qlDayCounterYearFraction(DayCounter,SettlementDate,BE89,,,Trigger)</f>
        <v>0.33055555555555555</v>
      </c>
      <c r="BG89" s="167" t="e">
        <f>_xll.qlPolynomialFunctionValue(G$23,$BF89)</f>
        <v>#NUM!</v>
      </c>
      <c r="BH89" s="167" t="e">
        <f>_xll.qlPolynomialFunctionValue(H$23,$BF89)</f>
        <v>#NUM!</v>
      </c>
      <c r="BI89" s="498" t="e">
        <f>_xll.qlPolynomialFunctionValue(I$23,$BF89)</f>
        <v>#NUM!</v>
      </c>
      <c r="BJ89" s="167" t="e">
        <f>_xll.qlPolynomialFunctionValue(J$23,$BF89)</f>
        <v>#NUM!</v>
      </c>
      <c r="BK89" s="167" t="e">
        <f>_xll.qlPolynomialFunctionValue(O$23,$BF89)</f>
        <v>#NUM!</v>
      </c>
      <c r="BL89" s="167" t="e">
        <f>_xll.qlPolynomialFunctionValue(P$23,$BF89)</f>
        <v>#NUM!</v>
      </c>
      <c r="BM89" s="167" t="e">
        <f>_xll.qlPolynomialFunctionValue(Q$23,$BF89)</f>
        <v>#NUM!</v>
      </c>
      <c r="BN89" s="167" t="e">
        <f>_xll.qlPolynomialFunctionValue(R$23,$BF89)</f>
        <v>#NUM!</v>
      </c>
    </row>
    <row r="90" spans="8:66" x14ac:dyDescent="0.2">
      <c r="K90" s="198"/>
      <c r="L90" s="198"/>
      <c r="M90" s="198"/>
      <c r="N90" s="198"/>
      <c r="R90" s="140"/>
      <c r="S90" s="140"/>
      <c r="BE90" s="486">
        <f>_xll.qlCalendarAdvance(Calendar,BE89,"1d","mf",,Trigger)</f>
        <v>42282</v>
      </c>
      <c r="BF90" s="155">
        <f>_xll.qlDayCounterYearFraction(DayCounter,SettlementDate,BE90,,,Trigger)</f>
        <v>0.33888888888888891</v>
      </c>
      <c r="BG90" s="167" t="e">
        <f>_xll.qlPolynomialFunctionValue(G$23,$BF90)</f>
        <v>#NUM!</v>
      </c>
      <c r="BH90" s="167" t="e">
        <f>_xll.qlPolynomialFunctionValue(H$23,$BF90)</f>
        <v>#NUM!</v>
      </c>
      <c r="BI90" s="498" t="e">
        <f>_xll.qlPolynomialFunctionValue(I$23,$BF90)</f>
        <v>#NUM!</v>
      </c>
      <c r="BJ90" s="167" t="e">
        <f>_xll.qlPolynomialFunctionValue(J$23,$BF90)</f>
        <v>#NUM!</v>
      </c>
      <c r="BK90" s="167" t="e">
        <f>_xll.qlPolynomialFunctionValue(O$23,$BF90)</f>
        <v>#NUM!</v>
      </c>
      <c r="BL90" s="167" t="e">
        <f>_xll.qlPolynomialFunctionValue(P$23,$BF90)</f>
        <v>#NUM!</v>
      </c>
      <c r="BM90" s="167" t="e">
        <f>_xll.qlPolynomialFunctionValue(Q$23,$BF90)</f>
        <v>#NUM!</v>
      </c>
      <c r="BN90" s="167" t="e">
        <f>_xll.qlPolynomialFunctionValue(R$23,$BF90)</f>
        <v>#NUM!</v>
      </c>
    </row>
    <row r="91" spans="8:66" x14ac:dyDescent="0.2">
      <c r="K91" s="198"/>
      <c r="L91" s="198"/>
      <c r="M91" s="198"/>
      <c r="N91" s="198"/>
      <c r="R91" s="140"/>
      <c r="S91" s="140"/>
      <c r="BE91" s="486">
        <f>_xll.qlCalendarAdvance(Calendar,BE90,"1d","mf",,Trigger)</f>
        <v>42283</v>
      </c>
      <c r="BF91" s="155">
        <f>_xll.qlDayCounterYearFraction(DayCounter,SettlementDate,BE91,,,Trigger)</f>
        <v>0.34166666666666667</v>
      </c>
      <c r="BG91" s="167" t="e">
        <f>_xll.qlPolynomialFunctionValue(G$23,$BF91)</f>
        <v>#NUM!</v>
      </c>
      <c r="BH91" s="167" t="e">
        <f>_xll.qlPolynomialFunctionValue(H$23,$BF91)</f>
        <v>#NUM!</v>
      </c>
      <c r="BI91" s="498" t="e">
        <f>_xll.qlPolynomialFunctionValue(I$23,$BF91)</f>
        <v>#NUM!</v>
      </c>
      <c r="BJ91" s="167" t="e">
        <f>_xll.qlPolynomialFunctionValue(J$23,$BF91)</f>
        <v>#NUM!</v>
      </c>
      <c r="BK91" s="167" t="e">
        <f>_xll.qlPolynomialFunctionValue(O$23,$BF91)</f>
        <v>#NUM!</v>
      </c>
      <c r="BL91" s="167" t="e">
        <f>_xll.qlPolynomialFunctionValue(P$23,$BF91)</f>
        <v>#NUM!</v>
      </c>
      <c r="BM91" s="167" t="e">
        <f>_xll.qlPolynomialFunctionValue(Q$23,$BF91)</f>
        <v>#NUM!</v>
      </c>
      <c r="BN91" s="167" t="e">
        <f>_xll.qlPolynomialFunctionValue(R$23,$BF91)</f>
        <v>#NUM!</v>
      </c>
    </row>
    <row r="92" spans="8:66" x14ac:dyDescent="0.2">
      <c r="K92" s="198"/>
      <c r="L92" s="198"/>
      <c r="M92" s="198"/>
      <c r="N92" s="198"/>
      <c r="R92" s="140"/>
      <c r="S92" s="140"/>
      <c r="BE92" s="486">
        <f>_xll.qlCalendarAdvance(Calendar,BE91,"1d","mf",,Trigger)</f>
        <v>42284</v>
      </c>
      <c r="BF92" s="155">
        <f>_xll.qlDayCounterYearFraction(DayCounter,SettlementDate,BE92,,,Trigger)</f>
        <v>0.34444444444444444</v>
      </c>
      <c r="BG92" s="167" t="e">
        <f>_xll.qlPolynomialFunctionValue(G$23,$BF92)</f>
        <v>#NUM!</v>
      </c>
      <c r="BH92" s="167" t="e">
        <f>_xll.qlPolynomialFunctionValue(H$23,$BF92)</f>
        <v>#NUM!</v>
      </c>
      <c r="BI92" s="498" t="e">
        <f>_xll.qlPolynomialFunctionValue(I$23,$BF92)</f>
        <v>#NUM!</v>
      </c>
      <c r="BJ92" s="167" t="e">
        <f>_xll.qlPolynomialFunctionValue(J$23,$BF92)</f>
        <v>#NUM!</v>
      </c>
      <c r="BK92" s="167" t="e">
        <f>_xll.qlPolynomialFunctionValue(O$23,$BF92)</f>
        <v>#NUM!</v>
      </c>
      <c r="BL92" s="167" t="e">
        <f>_xll.qlPolynomialFunctionValue(P$23,$BF92)</f>
        <v>#NUM!</v>
      </c>
      <c r="BM92" s="167" t="e">
        <f>_xll.qlPolynomialFunctionValue(Q$23,$BF92)</f>
        <v>#NUM!</v>
      </c>
      <c r="BN92" s="167" t="e">
        <f>_xll.qlPolynomialFunctionValue(R$23,$BF92)</f>
        <v>#NUM!</v>
      </c>
    </row>
    <row r="93" spans="8:66" x14ac:dyDescent="0.2">
      <c r="K93" s="198"/>
      <c r="L93" s="198"/>
      <c r="M93" s="198"/>
      <c r="N93" s="198"/>
      <c r="R93" s="140"/>
      <c r="S93" s="140"/>
      <c r="BE93" s="486">
        <f>_xll.qlCalendarAdvance(Calendar,BE92,"1d","mf",,Trigger)</f>
        <v>42285</v>
      </c>
      <c r="BF93" s="155">
        <f>_xll.qlDayCounterYearFraction(DayCounter,SettlementDate,BE93,,,Trigger)</f>
        <v>0.34722222222222221</v>
      </c>
      <c r="BG93" s="167" t="e">
        <f>_xll.qlPolynomialFunctionValue(G$23,$BF93)</f>
        <v>#NUM!</v>
      </c>
      <c r="BH93" s="167" t="e">
        <f>_xll.qlPolynomialFunctionValue(H$23,$BF93)</f>
        <v>#NUM!</v>
      </c>
      <c r="BI93" s="498" t="e">
        <f>_xll.qlPolynomialFunctionValue(I$23,$BF93)</f>
        <v>#NUM!</v>
      </c>
      <c r="BJ93" s="167" t="e">
        <f>_xll.qlPolynomialFunctionValue(J$23,$BF93)</f>
        <v>#NUM!</v>
      </c>
      <c r="BK93" s="167" t="e">
        <f>_xll.qlPolynomialFunctionValue(O$23,$BF93)</f>
        <v>#NUM!</v>
      </c>
      <c r="BL93" s="167" t="e">
        <f>_xll.qlPolynomialFunctionValue(P$23,$BF93)</f>
        <v>#NUM!</v>
      </c>
      <c r="BM93" s="167" t="e">
        <f>_xll.qlPolynomialFunctionValue(Q$23,$BF93)</f>
        <v>#NUM!</v>
      </c>
      <c r="BN93" s="167" t="e">
        <f>_xll.qlPolynomialFunctionValue(R$23,$BF93)</f>
        <v>#NUM!</v>
      </c>
    </row>
    <row r="94" spans="8:66" x14ac:dyDescent="0.2">
      <c r="K94" s="198"/>
      <c r="L94" s="198"/>
      <c r="M94" s="198"/>
      <c r="N94" s="198"/>
      <c r="R94" s="140"/>
      <c r="S94" s="140"/>
      <c r="BE94" s="486">
        <f>_xll.qlCalendarAdvance(Calendar,BE93,"1d","mf",,Trigger)</f>
        <v>42286</v>
      </c>
      <c r="BF94" s="155">
        <f>_xll.qlDayCounterYearFraction(DayCounter,SettlementDate,BE94,,,Trigger)</f>
        <v>0.35</v>
      </c>
      <c r="BG94" s="167" t="e">
        <f>_xll.qlPolynomialFunctionValue(G$23,$BF94)</f>
        <v>#NUM!</v>
      </c>
      <c r="BH94" s="167" t="e">
        <f>_xll.qlPolynomialFunctionValue(H$23,$BF94)</f>
        <v>#NUM!</v>
      </c>
      <c r="BI94" s="498" t="e">
        <f>_xll.qlPolynomialFunctionValue(I$23,$BF94)</f>
        <v>#NUM!</v>
      </c>
      <c r="BJ94" s="167" t="e">
        <f>_xll.qlPolynomialFunctionValue(J$23,$BF94)</f>
        <v>#NUM!</v>
      </c>
      <c r="BK94" s="167" t="e">
        <f>_xll.qlPolynomialFunctionValue(O$23,$BF94)</f>
        <v>#NUM!</v>
      </c>
      <c r="BL94" s="167" t="e">
        <f>_xll.qlPolynomialFunctionValue(P$23,$BF94)</f>
        <v>#NUM!</v>
      </c>
      <c r="BM94" s="167" t="e">
        <f>_xll.qlPolynomialFunctionValue(Q$23,$BF94)</f>
        <v>#NUM!</v>
      </c>
      <c r="BN94" s="167" t="e">
        <f>_xll.qlPolynomialFunctionValue(R$23,$BF94)</f>
        <v>#NUM!</v>
      </c>
    </row>
    <row r="95" spans="8:66" x14ac:dyDescent="0.2">
      <c r="K95" s="198"/>
      <c r="L95" s="198"/>
      <c r="M95" s="198"/>
      <c r="N95" s="198"/>
      <c r="R95" s="140"/>
      <c r="S95" s="140"/>
      <c r="BE95" s="486">
        <f>_xll.qlCalendarAdvance(Calendar,BE94,"1d","mf",,Trigger)</f>
        <v>42289</v>
      </c>
      <c r="BF95" s="155">
        <f>_xll.qlDayCounterYearFraction(DayCounter,SettlementDate,BE95,,,Trigger)</f>
        <v>0.35833333333333334</v>
      </c>
      <c r="BG95" s="167" t="e">
        <f>_xll.qlPolynomialFunctionValue(G$23,$BF95)</f>
        <v>#NUM!</v>
      </c>
      <c r="BH95" s="167" t="e">
        <f>_xll.qlPolynomialFunctionValue(H$23,$BF95)</f>
        <v>#NUM!</v>
      </c>
      <c r="BI95" s="498" t="e">
        <f>_xll.qlPolynomialFunctionValue(I$23,$BF95)</f>
        <v>#NUM!</v>
      </c>
      <c r="BJ95" s="167" t="e">
        <f>_xll.qlPolynomialFunctionValue(J$23,$BF95)</f>
        <v>#NUM!</v>
      </c>
      <c r="BK95" s="167" t="e">
        <f>_xll.qlPolynomialFunctionValue(O$23,$BF95)</f>
        <v>#NUM!</v>
      </c>
      <c r="BL95" s="167" t="e">
        <f>_xll.qlPolynomialFunctionValue(P$23,$BF95)</f>
        <v>#NUM!</v>
      </c>
      <c r="BM95" s="167" t="e">
        <f>_xll.qlPolynomialFunctionValue(Q$23,$BF95)</f>
        <v>#NUM!</v>
      </c>
      <c r="BN95" s="167" t="e">
        <f>_xll.qlPolynomialFunctionValue(R$23,$BF95)</f>
        <v>#NUM!</v>
      </c>
    </row>
    <row r="96" spans="8:66" x14ac:dyDescent="0.2">
      <c r="K96" s="198"/>
      <c r="L96" s="198"/>
      <c r="M96" s="198"/>
      <c r="N96" s="198"/>
      <c r="R96" s="140"/>
      <c r="S96" s="140"/>
      <c r="BE96" s="486">
        <f>_xll.qlCalendarAdvance(Calendar,BE95,"1d","mf",,Trigger)</f>
        <v>42290</v>
      </c>
      <c r="BF96" s="155">
        <f>_xll.qlDayCounterYearFraction(DayCounter,SettlementDate,BE96,,,Trigger)</f>
        <v>0.3611111111111111</v>
      </c>
      <c r="BG96" s="167" t="e">
        <f>_xll.qlPolynomialFunctionValue(G$23,$BF96)</f>
        <v>#NUM!</v>
      </c>
      <c r="BH96" s="167" t="e">
        <f>_xll.qlPolynomialFunctionValue(H$23,$BF96)</f>
        <v>#NUM!</v>
      </c>
      <c r="BI96" s="498" t="e">
        <f>_xll.qlPolynomialFunctionValue(I$23,$BF96)</f>
        <v>#NUM!</v>
      </c>
      <c r="BJ96" s="167" t="e">
        <f>_xll.qlPolynomialFunctionValue(J$23,$BF96)</f>
        <v>#NUM!</v>
      </c>
      <c r="BK96" s="167" t="e">
        <f>_xll.qlPolynomialFunctionValue(O$23,$BF96)</f>
        <v>#NUM!</v>
      </c>
      <c r="BL96" s="167" t="e">
        <f>_xll.qlPolynomialFunctionValue(P$23,$BF96)</f>
        <v>#NUM!</v>
      </c>
      <c r="BM96" s="167" t="e">
        <f>_xll.qlPolynomialFunctionValue(Q$23,$BF96)</f>
        <v>#NUM!</v>
      </c>
      <c r="BN96" s="167" t="e">
        <f>_xll.qlPolynomialFunctionValue(R$23,$BF96)</f>
        <v>#NUM!</v>
      </c>
    </row>
    <row r="97" spans="11:66" x14ac:dyDescent="0.2">
      <c r="K97" s="198"/>
      <c r="L97" s="198"/>
      <c r="M97" s="198"/>
      <c r="N97" s="198"/>
      <c r="R97" s="140"/>
      <c r="S97" s="140"/>
      <c r="BE97" s="486">
        <f>_xll.qlCalendarAdvance(Calendar,BE96,"1d","mf",,Trigger)</f>
        <v>42291</v>
      </c>
      <c r="BF97" s="155">
        <f>_xll.qlDayCounterYearFraction(DayCounter,SettlementDate,BE97,,,Trigger)</f>
        <v>0.36388888888888887</v>
      </c>
      <c r="BG97" s="167" t="e">
        <f>_xll.qlPolynomialFunctionValue(G$23,$BF97)</f>
        <v>#NUM!</v>
      </c>
      <c r="BH97" s="167" t="e">
        <f>_xll.qlPolynomialFunctionValue(H$23,$BF97)</f>
        <v>#NUM!</v>
      </c>
      <c r="BI97" s="498" t="e">
        <f>_xll.qlPolynomialFunctionValue(I$23,$BF97)</f>
        <v>#NUM!</v>
      </c>
      <c r="BJ97" s="167" t="e">
        <f>_xll.qlPolynomialFunctionValue(J$23,$BF97)</f>
        <v>#NUM!</v>
      </c>
      <c r="BK97" s="167" t="e">
        <f>_xll.qlPolynomialFunctionValue(O$23,$BF97)</f>
        <v>#NUM!</v>
      </c>
      <c r="BL97" s="167" t="e">
        <f>_xll.qlPolynomialFunctionValue(P$23,$BF97)</f>
        <v>#NUM!</v>
      </c>
      <c r="BM97" s="167" t="e">
        <f>_xll.qlPolynomialFunctionValue(Q$23,$BF97)</f>
        <v>#NUM!</v>
      </c>
      <c r="BN97" s="167" t="e">
        <f>_xll.qlPolynomialFunctionValue(R$23,$BF97)</f>
        <v>#NUM!</v>
      </c>
    </row>
    <row r="98" spans="11:66" x14ac:dyDescent="0.2">
      <c r="K98" s="198"/>
      <c r="L98" s="198"/>
      <c r="M98" s="198"/>
      <c r="N98" s="198"/>
      <c r="R98" s="140"/>
      <c r="S98" s="140"/>
      <c r="BE98" s="486">
        <f>_xll.qlCalendarAdvance(Calendar,BE97,"1d","mf",,Trigger)</f>
        <v>42292</v>
      </c>
      <c r="BF98" s="155">
        <f>_xll.qlDayCounterYearFraction(DayCounter,SettlementDate,BE98,,,Trigger)</f>
        <v>0.36666666666666664</v>
      </c>
      <c r="BG98" s="167" t="e">
        <f>_xll.qlPolynomialFunctionValue(G$23,$BF98)</f>
        <v>#NUM!</v>
      </c>
      <c r="BH98" s="167" t="e">
        <f>_xll.qlPolynomialFunctionValue(H$23,$BF98)</f>
        <v>#NUM!</v>
      </c>
      <c r="BI98" s="498" t="e">
        <f>_xll.qlPolynomialFunctionValue(I$23,$BF98)</f>
        <v>#NUM!</v>
      </c>
      <c r="BJ98" s="167" t="e">
        <f>_xll.qlPolynomialFunctionValue(J$23,$BF98)</f>
        <v>#NUM!</v>
      </c>
      <c r="BK98" s="167" t="e">
        <f>_xll.qlPolynomialFunctionValue(O$23,$BF98)</f>
        <v>#NUM!</v>
      </c>
      <c r="BL98" s="167" t="e">
        <f>_xll.qlPolynomialFunctionValue(P$23,$BF98)</f>
        <v>#NUM!</v>
      </c>
      <c r="BM98" s="167" t="e">
        <f>_xll.qlPolynomialFunctionValue(Q$23,$BF98)</f>
        <v>#NUM!</v>
      </c>
      <c r="BN98" s="167" t="e">
        <f>_xll.qlPolynomialFunctionValue(R$23,$BF98)</f>
        <v>#NUM!</v>
      </c>
    </row>
    <row r="99" spans="11:66" x14ac:dyDescent="0.2">
      <c r="K99" s="198"/>
      <c r="L99" s="198"/>
      <c r="M99" s="198"/>
      <c r="N99" s="198"/>
      <c r="R99" s="140"/>
      <c r="S99" s="140"/>
      <c r="BE99" s="486">
        <f>_xll.qlCalendarAdvance(Calendar,BE98,"1d","mf",,Trigger)</f>
        <v>42293</v>
      </c>
      <c r="BF99" s="155">
        <f>_xll.qlDayCounterYearFraction(DayCounter,SettlementDate,BE99,,,Trigger)</f>
        <v>0.36944444444444446</v>
      </c>
      <c r="BG99" s="167" t="e">
        <f>_xll.qlPolynomialFunctionValue(G$23,$BF99)</f>
        <v>#NUM!</v>
      </c>
      <c r="BH99" s="167" t="e">
        <f>_xll.qlPolynomialFunctionValue(H$23,$BF99)</f>
        <v>#NUM!</v>
      </c>
      <c r="BI99" s="498" t="e">
        <f>_xll.qlPolynomialFunctionValue(I$23,$BF99)</f>
        <v>#NUM!</v>
      </c>
      <c r="BJ99" s="167" t="e">
        <f>_xll.qlPolynomialFunctionValue(J$23,$BF99)</f>
        <v>#NUM!</v>
      </c>
      <c r="BK99" s="167" t="e">
        <f>_xll.qlPolynomialFunctionValue(O$23,$BF99)</f>
        <v>#NUM!</v>
      </c>
      <c r="BL99" s="167" t="e">
        <f>_xll.qlPolynomialFunctionValue(P$23,$BF99)</f>
        <v>#NUM!</v>
      </c>
      <c r="BM99" s="167" t="e">
        <f>_xll.qlPolynomialFunctionValue(Q$23,$BF99)</f>
        <v>#NUM!</v>
      </c>
      <c r="BN99" s="167" t="e">
        <f>_xll.qlPolynomialFunctionValue(R$23,$BF99)</f>
        <v>#NUM!</v>
      </c>
    </row>
    <row r="100" spans="11:66" x14ac:dyDescent="0.2">
      <c r="K100" s="198"/>
      <c r="L100" s="198"/>
      <c r="M100" s="198"/>
      <c r="N100" s="198"/>
      <c r="R100" s="140"/>
      <c r="S100" s="140"/>
      <c r="BE100" s="486">
        <f>_xll.qlCalendarAdvance(Calendar,BE99,"1d","mf",,Trigger)</f>
        <v>42296</v>
      </c>
      <c r="BF100" s="155">
        <f>_xll.qlDayCounterYearFraction(DayCounter,SettlementDate,BE100,,,Trigger)</f>
        <v>0.37777777777777777</v>
      </c>
      <c r="BG100" s="167" t="e">
        <f>_xll.qlPolynomialFunctionValue(G$23,$BF100)</f>
        <v>#NUM!</v>
      </c>
      <c r="BH100" s="167" t="e">
        <f>_xll.qlPolynomialFunctionValue(H$23,$BF100)</f>
        <v>#NUM!</v>
      </c>
      <c r="BI100" s="498" t="e">
        <f>_xll.qlPolynomialFunctionValue(I$23,$BF100)</f>
        <v>#NUM!</v>
      </c>
      <c r="BJ100" s="167" t="e">
        <f>_xll.qlPolynomialFunctionValue(J$23,$BF100)</f>
        <v>#NUM!</v>
      </c>
      <c r="BK100" s="167" t="e">
        <f>_xll.qlPolynomialFunctionValue(O$23,$BF100)</f>
        <v>#NUM!</v>
      </c>
      <c r="BL100" s="167" t="e">
        <f>_xll.qlPolynomialFunctionValue(P$23,$BF100)</f>
        <v>#NUM!</v>
      </c>
      <c r="BM100" s="167" t="e">
        <f>_xll.qlPolynomialFunctionValue(Q$23,$BF100)</f>
        <v>#NUM!</v>
      </c>
      <c r="BN100" s="167" t="e">
        <f>_xll.qlPolynomialFunctionValue(R$23,$BF100)</f>
        <v>#NUM!</v>
      </c>
    </row>
    <row r="101" spans="11:66" x14ac:dyDescent="0.2">
      <c r="K101" s="198"/>
      <c r="L101" s="198"/>
      <c r="M101" s="198"/>
      <c r="N101" s="198"/>
      <c r="R101" s="140"/>
      <c r="S101" s="140"/>
      <c r="BE101" s="486">
        <f>_xll.qlCalendarAdvance(Calendar,BE100,"1d","mf",,Trigger)</f>
        <v>42297</v>
      </c>
      <c r="BF101" s="155">
        <f>_xll.qlDayCounterYearFraction(DayCounter,SettlementDate,BE101,,,Trigger)</f>
        <v>0.38055555555555554</v>
      </c>
      <c r="BG101" s="167" t="e">
        <f>_xll.qlPolynomialFunctionValue(G$23,$BF101)</f>
        <v>#NUM!</v>
      </c>
      <c r="BH101" s="167" t="e">
        <f>_xll.qlPolynomialFunctionValue(H$23,$BF101)</f>
        <v>#NUM!</v>
      </c>
      <c r="BI101" s="498" t="e">
        <f>_xll.qlPolynomialFunctionValue(I$23,$BF101)</f>
        <v>#NUM!</v>
      </c>
      <c r="BJ101" s="167" t="e">
        <f>_xll.qlPolynomialFunctionValue(J$23,$BF101)</f>
        <v>#NUM!</v>
      </c>
      <c r="BK101" s="167" t="e">
        <f>_xll.qlPolynomialFunctionValue(O$23,$BF101)</f>
        <v>#NUM!</v>
      </c>
      <c r="BL101" s="167" t="e">
        <f>_xll.qlPolynomialFunctionValue(P$23,$BF101)</f>
        <v>#NUM!</v>
      </c>
      <c r="BM101" s="167" t="e">
        <f>_xll.qlPolynomialFunctionValue(Q$23,$BF101)</f>
        <v>#NUM!</v>
      </c>
      <c r="BN101" s="167" t="e">
        <f>_xll.qlPolynomialFunctionValue(R$23,$BF101)</f>
        <v>#NUM!</v>
      </c>
    </row>
    <row r="102" spans="11:66" x14ac:dyDescent="0.2">
      <c r="K102" s="198"/>
      <c r="L102" s="198"/>
      <c r="M102" s="198"/>
      <c r="N102" s="198"/>
      <c r="R102" s="140"/>
      <c r="S102" s="140"/>
      <c r="BE102" s="486">
        <f>_xll.qlCalendarAdvance(Calendar,BE101,"1d","mf",,Trigger)</f>
        <v>42298</v>
      </c>
      <c r="BF102" s="155">
        <f>_xll.qlDayCounterYearFraction(DayCounter,SettlementDate,BE102,,,Trigger)</f>
        <v>0.38333333333333336</v>
      </c>
      <c r="BG102" s="167" t="e">
        <f>_xll.qlPolynomialFunctionValue(G$23,$BF102)</f>
        <v>#NUM!</v>
      </c>
      <c r="BH102" s="167" t="e">
        <f>_xll.qlPolynomialFunctionValue(H$23,$BF102)</f>
        <v>#NUM!</v>
      </c>
      <c r="BI102" s="498" t="e">
        <f>_xll.qlPolynomialFunctionValue(I$23,$BF102)</f>
        <v>#NUM!</v>
      </c>
      <c r="BJ102" s="167" t="e">
        <f>_xll.qlPolynomialFunctionValue(J$23,$BF102)</f>
        <v>#NUM!</v>
      </c>
      <c r="BK102" s="167" t="e">
        <f>_xll.qlPolynomialFunctionValue(O$23,$BF102)</f>
        <v>#NUM!</v>
      </c>
      <c r="BL102" s="167" t="e">
        <f>_xll.qlPolynomialFunctionValue(P$23,$BF102)</f>
        <v>#NUM!</v>
      </c>
      <c r="BM102" s="167" t="e">
        <f>_xll.qlPolynomialFunctionValue(Q$23,$BF102)</f>
        <v>#NUM!</v>
      </c>
      <c r="BN102" s="167" t="e">
        <f>_xll.qlPolynomialFunctionValue(R$23,$BF102)</f>
        <v>#NUM!</v>
      </c>
    </row>
    <row r="103" spans="11:66" x14ac:dyDescent="0.2">
      <c r="K103" s="198"/>
      <c r="L103" s="198"/>
      <c r="M103" s="198"/>
      <c r="N103" s="198"/>
      <c r="R103" s="140"/>
      <c r="S103" s="140"/>
      <c r="BE103" s="486">
        <f>_xll.qlCalendarAdvance(Calendar,BE102,"1d","mf",,Trigger)</f>
        <v>42299</v>
      </c>
      <c r="BF103" s="155">
        <f>_xll.qlDayCounterYearFraction(DayCounter,SettlementDate,BE103,,,Trigger)</f>
        <v>0.38611111111111113</v>
      </c>
      <c r="BG103" s="167" t="e">
        <f>_xll.qlPolynomialFunctionValue(G$23,$BF103)</f>
        <v>#NUM!</v>
      </c>
      <c r="BH103" s="167" t="e">
        <f>_xll.qlPolynomialFunctionValue(H$23,$BF103)</f>
        <v>#NUM!</v>
      </c>
      <c r="BI103" s="498" t="e">
        <f>_xll.qlPolynomialFunctionValue(I$23,$BF103)</f>
        <v>#NUM!</v>
      </c>
      <c r="BJ103" s="167" t="e">
        <f>_xll.qlPolynomialFunctionValue(J$23,$BF103)</f>
        <v>#NUM!</v>
      </c>
      <c r="BK103" s="167" t="e">
        <f>_xll.qlPolynomialFunctionValue(O$23,$BF103)</f>
        <v>#NUM!</v>
      </c>
      <c r="BL103" s="167" t="e">
        <f>_xll.qlPolynomialFunctionValue(P$23,$BF103)</f>
        <v>#NUM!</v>
      </c>
      <c r="BM103" s="167" t="e">
        <f>_xll.qlPolynomialFunctionValue(Q$23,$BF103)</f>
        <v>#NUM!</v>
      </c>
      <c r="BN103" s="167" t="e">
        <f>_xll.qlPolynomialFunctionValue(R$23,$BF103)</f>
        <v>#NUM!</v>
      </c>
    </row>
    <row r="104" spans="11:66" x14ac:dyDescent="0.2">
      <c r="K104" s="198"/>
      <c r="L104" s="198"/>
      <c r="M104" s="198"/>
      <c r="N104" s="198"/>
      <c r="R104" s="140"/>
      <c r="S104" s="140"/>
      <c r="BE104" s="486">
        <f>_xll.qlCalendarAdvance(Calendar,BE103,"1d","mf",,Trigger)</f>
        <v>42300</v>
      </c>
      <c r="BF104" s="155">
        <f>_xll.qlDayCounterYearFraction(DayCounter,SettlementDate,BE104,,,Trigger)</f>
        <v>0.3888888888888889</v>
      </c>
      <c r="BG104" s="167" t="e">
        <f>_xll.qlPolynomialFunctionValue(G$23,$BF104)</f>
        <v>#NUM!</v>
      </c>
      <c r="BH104" s="167" t="e">
        <f>_xll.qlPolynomialFunctionValue(H$23,$BF104)</f>
        <v>#NUM!</v>
      </c>
      <c r="BI104" s="498" t="e">
        <f>_xll.qlPolynomialFunctionValue(I$23,$BF104)</f>
        <v>#NUM!</v>
      </c>
      <c r="BJ104" s="167" t="e">
        <f>_xll.qlPolynomialFunctionValue(J$23,$BF104)</f>
        <v>#NUM!</v>
      </c>
      <c r="BK104" s="167" t="e">
        <f>_xll.qlPolynomialFunctionValue(O$23,$BF104)</f>
        <v>#NUM!</v>
      </c>
      <c r="BL104" s="167" t="e">
        <f>_xll.qlPolynomialFunctionValue(P$23,$BF104)</f>
        <v>#NUM!</v>
      </c>
      <c r="BM104" s="167" t="e">
        <f>_xll.qlPolynomialFunctionValue(Q$23,$BF104)</f>
        <v>#NUM!</v>
      </c>
      <c r="BN104" s="167" t="e">
        <f>_xll.qlPolynomialFunctionValue(R$23,$BF104)</f>
        <v>#NUM!</v>
      </c>
    </row>
    <row r="105" spans="11:66" x14ac:dyDescent="0.2">
      <c r="R105" s="140"/>
      <c r="S105" s="140"/>
      <c r="BE105" s="486">
        <f>_xll.qlCalendarAdvance(Calendar,BE104,"1d","mf",,Trigger)</f>
        <v>42303</v>
      </c>
      <c r="BF105" s="155">
        <f>_xll.qlDayCounterYearFraction(DayCounter,SettlementDate,BE105,,,Trigger)</f>
        <v>0.3972222222222222</v>
      </c>
      <c r="BG105" s="167" t="e">
        <f>_xll.qlPolynomialFunctionValue(G$23,$BF105)</f>
        <v>#NUM!</v>
      </c>
      <c r="BH105" s="167" t="e">
        <f>_xll.qlPolynomialFunctionValue(H$23,$BF105)</f>
        <v>#NUM!</v>
      </c>
      <c r="BI105" s="498" t="e">
        <f>_xll.qlPolynomialFunctionValue(I$23,$BF105)</f>
        <v>#NUM!</v>
      </c>
      <c r="BJ105" s="167" t="e">
        <f>_xll.qlPolynomialFunctionValue(J$23,$BF105)</f>
        <v>#NUM!</v>
      </c>
      <c r="BK105" s="167" t="e">
        <f>_xll.qlPolynomialFunctionValue(O$23,$BF105)</f>
        <v>#NUM!</v>
      </c>
      <c r="BL105" s="167" t="e">
        <f>_xll.qlPolynomialFunctionValue(P$23,$BF105)</f>
        <v>#NUM!</v>
      </c>
      <c r="BM105" s="167" t="e">
        <f>_xll.qlPolynomialFunctionValue(Q$23,$BF105)</f>
        <v>#NUM!</v>
      </c>
      <c r="BN105" s="167" t="e">
        <f>_xll.qlPolynomialFunctionValue(R$23,$BF105)</f>
        <v>#NUM!</v>
      </c>
    </row>
    <row r="106" spans="11:66" x14ac:dyDescent="0.2">
      <c r="R106" s="140"/>
      <c r="S106" s="140"/>
      <c r="BE106" s="486">
        <f>_xll.qlCalendarAdvance(Calendar,BE105,"1d","mf",,Trigger)</f>
        <v>42304</v>
      </c>
      <c r="BF106" s="155">
        <f>_xll.qlDayCounterYearFraction(DayCounter,SettlementDate,BE106,,,Trigger)</f>
        <v>0.4</v>
      </c>
      <c r="BG106" s="167" t="e">
        <f>_xll.qlPolynomialFunctionValue(G$23,$BF106)</f>
        <v>#NUM!</v>
      </c>
      <c r="BH106" s="167" t="e">
        <f>_xll.qlPolynomialFunctionValue(H$23,$BF106)</f>
        <v>#NUM!</v>
      </c>
      <c r="BI106" s="498" t="e">
        <f>_xll.qlPolynomialFunctionValue(I$23,$BF106)</f>
        <v>#NUM!</v>
      </c>
      <c r="BJ106" s="167" t="e">
        <f>_xll.qlPolynomialFunctionValue(J$23,$BF106)</f>
        <v>#NUM!</v>
      </c>
      <c r="BK106" s="167" t="e">
        <f>_xll.qlPolynomialFunctionValue(O$23,$BF106)</f>
        <v>#NUM!</v>
      </c>
      <c r="BL106" s="167" t="e">
        <f>_xll.qlPolynomialFunctionValue(P$23,$BF106)</f>
        <v>#NUM!</v>
      </c>
      <c r="BM106" s="167" t="e">
        <f>_xll.qlPolynomialFunctionValue(Q$23,$BF106)</f>
        <v>#NUM!</v>
      </c>
      <c r="BN106" s="167" t="e">
        <f>_xll.qlPolynomialFunctionValue(R$23,$BF106)</f>
        <v>#NUM!</v>
      </c>
    </row>
    <row r="107" spans="11:66" x14ac:dyDescent="0.2">
      <c r="R107" s="140"/>
      <c r="S107" s="140"/>
      <c r="BE107" s="486">
        <f>_xll.qlCalendarAdvance(Calendar,BE106,"1d","mf",,Trigger)</f>
        <v>42305</v>
      </c>
      <c r="BF107" s="155">
        <f>_xll.qlDayCounterYearFraction(DayCounter,SettlementDate,BE107,,,Trigger)</f>
        <v>0.40277777777777779</v>
      </c>
      <c r="BG107" s="167" t="e">
        <f>_xll.qlPolynomialFunctionValue(G$23,$BF107)</f>
        <v>#NUM!</v>
      </c>
      <c r="BH107" s="167" t="e">
        <f>_xll.qlPolynomialFunctionValue(H$23,$BF107)</f>
        <v>#NUM!</v>
      </c>
      <c r="BI107" s="498" t="e">
        <f>_xll.qlPolynomialFunctionValue(I$23,$BF107)</f>
        <v>#NUM!</v>
      </c>
      <c r="BJ107" s="167" t="e">
        <f>_xll.qlPolynomialFunctionValue(J$23,$BF107)</f>
        <v>#NUM!</v>
      </c>
      <c r="BK107" s="167" t="e">
        <f>_xll.qlPolynomialFunctionValue(O$23,$BF107)</f>
        <v>#NUM!</v>
      </c>
      <c r="BL107" s="167" t="e">
        <f>_xll.qlPolynomialFunctionValue(P$23,$BF107)</f>
        <v>#NUM!</v>
      </c>
      <c r="BM107" s="167" t="e">
        <f>_xll.qlPolynomialFunctionValue(Q$23,$BF107)</f>
        <v>#NUM!</v>
      </c>
      <c r="BN107" s="167" t="e">
        <f>_xll.qlPolynomialFunctionValue(R$23,$BF107)</f>
        <v>#NUM!</v>
      </c>
    </row>
    <row r="108" spans="11:66" x14ac:dyDescent="0.2">
      <c r="R108" s="140"/>
      <c r="S108" s="140"/>
      <c r="BE108" s="486">
        <f>_xll.qlCalendarAdvance(Calendar,BE107,"1d","mf",,Trigger)</f>
        <v>42306</v>
      </c>
      <c r="BF108" s="155">
        <f>_xll.qlDayCounterYearFraction(DayCounter,SettlementDate,BE108,,,Trigger)</f>
        <v>0.40555555555555556</v>
      </c>
      <c r="BG108" s="167" t="e">
        <f>_xll.qlPolynomialFunctionValue(G$23,$BF108)</f>
        <v>#NUM!</v>
      </c>
      <c r="BH108" s="167" t="e">
        <f>_xll.qlPolynomialFunctionValue(H$23,$BF108)</f>
        <v>#NUM!</v>
      </c>
      <c r="BI108" s="498" t="e">
        <f>_xll.qlPolynomialFunctionValue(I$23,$BF108)</f>
        <v>#NUM!</v>
      </c>
      <c r="BJ108" s="167" t="e">
        <f>_xll.qlPolynomialFunctionValue(J$23,$BF108)</f>
        <v>#NUM!</v>
      </c>
      <c r="BK108" s="167" t="e">
        <f>_xll.qlPolynomialFunctionValue(O$23,$BF108)</f>
        <v>#NUM!</v>
      </c>
      <c r="BL108" s="167" t="e">
        <f>_xll.qlPolynomialFunctionValue(P$23,$BF108)</f>
        <v>#NUM!</v>
      </c>
      <c r="BM108" s="167" t="e">
        <f>_xll.qlPolynomialFunctionValue(Q$23,$BF108)</f>
        <v>#NUM!</v>
      </c>
      <c r="BN108" s="167" t="e">
        <f>_xll.qlPolynomialFunctionValue(R$23,$BF108)</f>
        <v>#NUM!</v>
      </c>
    </row>
    <row r="109" spans="11:66" x14ac:dyDescent="0.2">
      <c r="R109" s="140"/>
      <c r="S109" s="140"/>
      <c r="BE109" s="486">
        <f>_xll.qlCalendarAdvance(Calendar,BE108,"1d","mf",,Trigger)</f>
        <v>42307</v>
      </c>
      <c r="BF109" s="155">
        <f>_xll.qlDayCounterYearFraction(DayCounter,SettlementDate,BE109,,,Trigger)</f>
        <v>0.40833333333333333</v>
      </c>
      <c r="BG109" s="167" t="e">
        <f>_xll.qlPolynomialFunctionValue(G$23,$BF109)</f>
        <v>#NUM!</v>
      </c>
      <c r="BH109" s="167" t="e">
        <f>_xll.qlPolynomialFunctionValue(H$23,$BF109)</f>
        <v>#NUM!</v>
      </c>
      <c r="BI109" s="498" t="e">
        <f>_xll.qlPolynomialFunctionValue(I$23,$BF109)</f>
        <v>#NUM!</v>
      </c>
      <c r="BJ109" s="167" t="e">
        <f>_xll.qlPolynomialFunctionValue(J$23,$BF109)</f>
        <v>#NUM!</v>
      </c>
      <c r="BK109" s="167" t="e">
        <f>_xll.qlPolynomialFunctionValue(O$23,$BF109)</f>
        <v>#NUM!</v>
      </c>
      <c r="BL109" s="167" t="e">
        <f>_xll.qlPolynomialFunctionValue(P$23,$BF109)</f>
        <v>#NUM!</v>
      </c>
      <c r="BM109" s="167" t="e">
        <f>_xll.qlPolynomialFunctionValue(Q$23,$BF109)</f>
        <v>#NUM!</v>
      </c>
      <c r="BN109" s="167" t="e">
        <f>_xll.qlPolynomialFunctionValue(R$23,$BF109)</f>
        <v>#NUM!</v>
      </c>
    </row>
    <row r="110" spans="11:66" x14ac:dyDescent="0.2">
      <c r="R110" s="140"/>
      <c r="S110" s="140"/>
      <c r="BE110" s="486">
        <f>_xll.qlCalendarAdvance(Calendar,BE109,"1d","mf",,Trigger)</f>
        <v>42310</v>
      </c>
      <c r="BF110" s="155">
        <f>_xll.qlDayCounterYearFraction(DayCounter,SettlementDate,BE110,,,Trigger)</f>
        <v>0.41666666666666669</v>
      </c>
      <c r="BG110" s="167" t="e">
        <f>_xll.qlPolynomialFunctionValue(G$23,$BF110)</f>
        <v>#NUM!</v>
      </c>
      <c r="BH110" s="167" t="e">
        <f>_xll.qlPolynomialFunctionValue(H$23,$BF110)</f>
        <v>#NUM!</v>
      </c>
      <c r="BI110" s="498" t="e">
        <f>_xll.qlPolynomialFunctionValue(I$23,$BF110)</f>
        <v>#NUM!</v>
      </c>
      <c r="BJ110" s="167" t="e">
        <f>_xll.qlPolynomialFunctionValue(J$23,$BF110)</f>
        <v>#NUM!</v>
      </c>
      <c r="BK110" s="167" t="e">
        <f>_xll.qlPolynomialFunctionValue(O$23,$BF110)</f>
        <v>#NUM!</v>
      </c>
      <c r="BL110" s="167" t="e">
        <f>_xll.qlPolynomialFunctionValue(P$23,$BF110)</f>
        <v>#NUM!</v>
      </c>
      <c r="BM110" s="167" t="e">
        <f>_xll.qlPolynomialFunctionValue(Q$23,$BF110)</f>
        <v>#NUM!</v>
      </c>
      <c r="BN110" s="167" t="e">
        <f>_xll.qlPolynomialFunctionValue(R$23,$BF110)</f>
        <v>#NUM!</v>
      </c>
    </row>
    <row r="111" spans="11:66" x14ac:dyDescent="0.2">
      <c r="R111" s="140"/>
      <c r="S111" s="140"/>
      <c r="BE111" s="486">
        <f>_xll.qlCalendarAdvance(Calendar,BE110,"1d","mf",,Trigger)</f>
        <v>42311</v>
      </c>
      <c r="BF111" s="155">
        <f>_xll.qlDayCounterYearFraction(DayCounter,SettlementDate,BE111,,,Trigger)</f>
        <v>0.41944444444444445</v>
      </c>
      <c r="BG111" s="167" t="e">
        <f>_xll.qlPolynomialFunctionValue(G$23,$BF111)</f>
        <v>#NUM!</v>
      </c>
      <c r="BH111" s="167" t="e">
        <f>_xll.qlPolynomialFunctionValue(H$23,$BF111)</f>
        <v>#NUM!</v>
      </c>
      <c r="BI111" s="498" t="e">
        <f>_xll.qlPolynomialFunctionValue(I$23,$BF111)</f>
        <v>#NUM!</v>
      </c>
      <c r="BJ111" s="167" t="e">
        <f>_xll.qlPolynomialFunctionValue(J$23,$BF111)</f>
        <v>#NUM!</v>
      </c>
      <c r="BK111" s="167" t="e">
        <f>_xll.qlPolynomialFunctionValue(O$23,$BF111)</f>
        <v>#NUM!</v>
      </c>
      <c r="BL111" s="167" t="e">
        <f>_xll.qlPolynomialFunctionValue(P$23,$BF111)</f>
        <v>#NUM!</v>
      </c>
      <c r="BM111" s="167" t="e">
        <f>_xll.qlPolynomialFunctionValue(Q$23,$BF111)</f>
        <v>#NUM!</v>
      </c>
      <c r="BN111" s="167" t="e">
        <f>_xll.qlPolynomialFunctionValue(R$23,$BF111)</f>
        <v>#NUM!</v>
      </c>
    </row>
    <row r="112" spans="11:66" x14ac:dyDescent="0.2">
      <c r="R112" s="140"/>
      <c r="S112" s="140"/>
      <c r="BE112" s="486">
        <f>_xll.qlCalendarAdvance(Calendar,BE111,"1d","mf",,Trigger)</f>
        <v>42312</v>
      </c>
      <c r="BF112" s="155">
        <f>_xll.qlDayCounterYearFraction(DayCounter,SettlementDate,BE112,,,Trigger)</f>
        <v>0.42222222222222222</v>
      </c>
      <c r="BG112" s="167" t="e">
        <f>_xll.qlPolynomialFunctionValue(G$23,$BF112)</f>
        <v>#NUM!</v>
      </c>
      <c r="BH112" s="167" t="e">
        <f>_xll.qlPolynomialFunctionValue(H$23,$BF112)</f>
        <v>#NUM!</v>
      </c>
      <c r="BI112" s="498" t="e">
        <f>_xll.qlPolynomialFunctionValue(I$23,$BF112)</f>
        <v>#NUM!</v>
      </c>
      <c r="BJ112" s="167" t="e">
        <f>_xll.qlPolynomialFunctionValue(J$23,$BF112)</f>
        <v>#NUM!</v>
      </c>
      <c r="BK112" s="167" t="e">
        <f>_xll.qlPolynomialFunctionValue(O$23,$BF112)</f>
        <v>#NUM!</v>
      </c>
      <c r="BL112" s="167" t="e">
        <f>_xll.qlPolynomialFunctionValue(P$23,$BF112)</f>
        <v>#NUM!</v>
      </c>
      <c r="BM112" s="167" t="e">
        <f>_xll.qlPolynomialFunctionValue(Q$23,$BF112)</f>
        <v>#NUM!</v>
      </c>
      <c r="BN112" s="167" t="e">
        <f>_xll.qlPolynomialFunctionValue(R$23,$BF112)</f>
        <v>#NUM!</v>
      </c>
    </row>
    <row r="113" spans="18:66" x14ac:dyDescent="0.2">
      <c r="R113" s="140"/>
      <c r="S113" s="140"/>
      <c r="BE113" s="486">
        <f>_xll.qlCalendarAdvance(Calendar,BE112,"1d","mf",,Trigger)</f>
        <v>42313</v>
      </c>
      <c r="BF113" s="155">
        <f>_xll.qlDayCounterYearFraction(DayCounter,SettlementDate,BE113,,,Trigger)</f>
        <v>0.42499999999999999</v>
      </c>
      <c r="BG113" s="167" t="e">
        <f>_xll.qlPolynomialFunctionValue(G$23,$BF113)</f>
        <v>#NUM!</v>
      </c>
      <c r="BH113" s="167" t="e">
        <f>_xll.qlPolynomialFunctionValue(H$23,$BF113)</f>
        <v>#NUM!</v>
      </c>
      <c r="BI113" s="498" t="e">
        <f>_xll.qlPolynomialFunctionValue(I$23,$BF113)</f>
        <v>#NUM!</v>
      </c>
      <c r="BJ113" s="167" t="e">
        <f>_xll.qlPolynomialFunctionValue(J$23,$BF113)</f>
        <v>#NUM!</v>
      </c>
      <c r="BK113" s="167" t="e">
        <f>_xll.qlPolynomialFunctionValue(O$23,$BF113)</f>
        <v>#NUM!</v>
      </c>
      <c r="BL113" s="167" t="e">
        <f>_xll.qlPolynomialFunctionValue(P$23,$BF113)</f>
        <v>#NUM!</v>
      </c>
      <c r="BM113" s="167" t="e">
        <f>_xll.qlPolynomialFunctionValue(Q$23,$BF113)</f>
        <v>#NUM!</v>
      </c>
      <c r="BN113" s="167" t="e">
        <f>_xll.qlPolynomialFunctionValue(R$23,$BF113)</f>
        <v>#NUM!</v>
      </c>
    </row>
    <row r="114" spans="18:66" x14ac:dyDescent="0.2">
      <c r="R114" s="140"/>
      <c r="S114" s="140"/>
      <c r="BE114" s="486">
        <f>_xll.qlCalendarAdvance(Calendar,BE113,"1d","mf",,Trigger)</f>
        <v>42314</v>
      </c>
      <c r="BF114" s="155">
        <f>_xll.qlDayCounterYearFraction(DayCounter,SettlementDate,BE114,,,Trigger)</f>
        <v>0.42777777777777776</v>
      </c>
      <c r="BG114" s="167" t="e">
        <f>_xll.qlPolynomialFunctionValue(G$23,$BF114)</f>
        <v>#NUM!</v>
      </c>
      <c r="BH114" s="167" t="e">
        <f>_xll.qlPolynomialFunctionValue(H$23,$BF114)</f>
        <v>#NUM!</v>
      </c>
      <c r="BI114" s="498" t="e">
        <f>_xll.qlPolynomialFunctionValue(I$23,$BF114)</f>
        <v>#NUM!</v>
      </c>
      <c r="BJ114" s="167" t="e">
        <f>_xll.qlPolynomialFunctionValue(J$23,$BF114)</f>
        <v>#NUM!</v>
      </c>
      <c r="BK114" s="167" t="e">
        <f>_xll.qlPolynomialFunctionValue(O$23,$BF114)</f>
        <v>#NUM!</v>
      </c>
      <c r="BL114" s="167" t="e">
        <f>_xll.qlPolynomialFunctionValue(P$23,$BF114)</f>
        <v>#NUM!</v>
      </c>
      <c r="BM114" s="167" t="e">
        <f>_xll.qlPolynomialFunctionValue(Q$23,$BF114)</f>
        <v>#NUM!</v>
      </c>
      <c r="BN114" s="167" t="e">
        <f>_xll.qlPolynomialFunctionValue(R$23,$BF114)</f>
        <v>#NUM!</v>
      </c>
    </row>
    <row r="115" spans="18:66" x14ac:dyDescent="0.2">
      <c r="R115" s="140"/>
      <c r="S115" s="140"/>
      <c r="BE115" s="486">
        <f>_xll.qlCalendarAdvance(Calendar,BE114,"1d","mf",,Trigger)</f>
        <v>42317</v>
      </c>
      <c r="BF115" s="155">
        <f>_xll.qlDayCounterYearFraction(DayCounter,SettlementDate,BE115,,,Trigger)</f>
        <v>0.43611111111111112</v>
      </c>
      <c r="BG115" s="167" t="e">
        <f>_xll.qlPolynomialFunctionValue(G$23,$BF115)</f>
        <v>#NUM!</v>
      </c>
      <c r="BH115" s="167" t="e">
        <f>_xll.qlPolynomialFunctionValue(H$23,$BF115)</f>
        <v>#NUM!</v>
      </c>
      <c r="BI115" s="498" t="e">
        <f>_xll.qlPolynomialFunctionValue(I$23,$BF115)</f>
        <v>#NUM!</v>
      </c>
      <c r="BJ115" s="167" t="e">
        <f>_xll.qlPolynomialFunctionValue(J$23,$BF115)</f>
        <v>#NUM!</v>
      </c>
      <c r="BK115" s="167" t="e">
        <f>_xll.qlPolynomialFunctionValue(O$23,$BF115)</f>
        <v>#NUM!</v>
      </c>
      <c r="BL115" s="167" t="e">
        <f>_xll.qlPolynomialFunctionValue(P$23,$BF115)</f>
        <v>#NUM!</v>
      </c>
      <c r="BM115" s="167" t="e">
        <f>_xll.qlPolynomialFunctionValue(Q$23,$BF115)</f>
        <v>#NUM!</v>
      </c>
      <c r="BN115" s="167" t="e">
        <f>_xll.qlPolynomialFunctionValue(R$23,$BF115)</f>
        <v>#NUM!</v>
      </c>
    </row>
    <row r="116" spans="18:66" x14ac:dyDescent="0.2">
      <c r="R116" s="140"/>
      <c r="S116" s="140"/>
      <c r="BE116" s="486">
        <f>_xll.qlCalendarAdvance(Calendar,BE115,"1d","mf",,Trigger)</f>
        <v>42318</v>
      </c>
      <c r="BF116" s="155">
        <f>_xll.qlDayCounterYearFraction(DayCounter,SettlementDate,BE116,,,Trigger)</f>
        <v>0.43888888888888888</v>
      </c>
      <c r="BG116" s="167" t="e">
        <f>_xll.qlPolynomialFunctionValue(G$23,$BF116)</f>
        <v>#NUM!</v>
      </c>
      <c r="BH116" s="167" t="e">
        <f>_xll.qlPolynomialFunctionValue(H$23,$BF116)</f>
        <v>#NUM!</v>
      </c>
      <c r="BI116" s="498" t="e">
        <f>_xll.qlPolynomialFunctionValue(I$23,$BF116)</f>
        <v>#NUM!</v>
      </c>
      <c r="BJ116" s="167" t="e">
        <f>_xll.qlPolynomialFunctionValue(J$23,$BF116)</f>
        <v>#NUM!</v>
      </c>
      <c r="BK116" s="167" t="e">
        <f>_xll.qlPolynomialFunctionValue(O$23,$BF116)</f>
        <v>#NUM!</v>
      </c>
      <c r="BL116" s="167" t="e">
        <f>_xll.qlPolynomialFunctionValue(P$23,$BF116)</f>
        <v>#NUM!</v>
      </c>
      <c r="BM116" s="167" t="e">
        <f>_xll.qlPolynomialFunctionValue(Q$23,$BF116)</f>
        <v>#NUM!</v>
      </c>
      <c r="BN116" s="167" t="e">
        <f>_xll.qlPolynomialFunctionValue(R$23,$BF116)</f>
        <v>#NUM!</v>
      </c>
    </row>
    <row r="117" spans="18:66" x14ac:dyDescent="0.2">
      <c r="R117" s="140"/>
      <c r="S117" s="140"/>
      <c r="BE117" s="486">
        <f>_xll.qlCalendarAdvance(Calendar,BE116,"1d","mf",,Trigger)</f>
        <v>42319</v>
      </c>
      <c r="BF117" s="155">
        <f>_xll.qlDayCounterYearFraction(DayCounter,SettlementDate,BE117,,,Trigger)</f>
        <v>0.44166666666666665</v>
      </c>
      <c r="BG117" s="167" t="e">
        <f>_xll.qlPolynomialFunctionValue(G$23,$BF117)</f>
        <v>#NUM!</v>
      </c>
      <c r="BH117" s="167" t="e">
        <f>_xll.qlPolynomialFunctionValue(H$23,$BF117)</f>
        <v>#NUM!</v>
      </c>
      <c r="BI117" s="498" t="e">
        <f>_xll.qlPolynomialFunctionValue(I$23,$BF117)</f>
        <v>#NUM!</v>
      </c>
      <c r="BJ117" s="167" t="e">
        <f>_xll.qlPolynomialFunctionValue(J$23,$BF117)</f>
        <v>#NUM!</v>
      </c>
      <c r="BK117" s="167" t="e">
        <f>_xll.qlPolynomialFunctionValue(O$23,$BF117)</f>
        <v>#NUM!</v>
      </c>
      <c r="BL117" s="167" t="e">
        <f>_xll.qlPolynomialFunctionValue(P$23,$BF117)</f>
        <v>#NUM!</v>
      </c>
      <c r="BM117" s="167" t="e">
        <f>_xll.qlPolynomialFunctionValue(Q$23,$BF117)</f>
        <v>#NUM!</v>
      </c>
      <c r="BN117" s="167" t="e">
        <f>_xll.qlPolynomialFunctionValue(R$23,$BF117)</f>
        <v>#NUM!</v>
      </c>
    </row>
    <row r="118" spans="18:66" x14ac:dyDescent="0.2">
      <c r="R118" s="140"/>
      <c r="S118" s="140"/>
      <c r="BE118" s="486">
        <f>_xll.qlCalendarAdvance(Calendar,BE117,"1d","mf",,Trigger)</f>
        <v>42320</v>
      </c>
      <c r="BF118" s="155">
        <f>_xll.qlDayCounterYearFraction(DayCounter,SettlementDate,BE118,,,Trigger)</f>
        <v>0.44444444444444442</v>
      </c>
      <c r="BG118" s="167" t="e">
        <f>_xll.qlPolynomialFunctionValue(G$23,$BF118)</f>
        <v>#NUM!</v>
      </c>
      <c r="BH118" s="167" t="e">
        <f>_xll.qlPolynomialFunctionValue(H$23,$BF118)</f>
        <v>#NUM!</v>
      </c>
      <c r="BI118" s="498" t="e">
        <f>_xll.qlPolynomialFunctionValue(I$23,$BF118)</f>
        <v>#NUM!</v>
      </c>
      <c r="BJ118" s="167" t="e">
        <f>_xll.qlPolynomialFunctionValue(J$23,$BF118)</f>
        <v>#NUM!</v>
      </c>
      <c r="BK118" s="167" t="e">
        <f>_xll.qlPolynomialFunctionValue(O$23,$BF118)</f>
        <v>#NUM!</v>
      </c>
      <c r="BL118" s="167" t="e">
        <f>_xll.qlPolynomialFunctionValue(P$23,$BF118)</f>
        <v>#NUM!</v>
      </c>
      <c r="BM118" s="167" t="e">
        <f>_xll.qlPolynomialFunctionValue(Q$23,$BF118)</f>
        <v>#NUM!</v>
      </c>
      <c r="BN118" s="167" t="e">
        <f>_xll.qlPolynomialFunctionValue(R$23,$BF118)</f>
        <v>#NUM!</v>
      </c>
    </row>
    <row r="119" spans="18:66" x14ac:dyDescent="0.2">
      <c r="R119" s="140"/>
      <c r="S119" s="140"/>
      <c r="BE119" s="486">
        <f>_xll.qlCalendarAdvance(Calendar,BE118,"1d","mf",,Trigger)</f>
        <v>42321</v>
      </c>
      <c r="BF119" s="155">
        <f>_xll.qlDayCounterYearFraction(DayCounter,SettlementDate,BE119,,,Trigger)</f>
        <v>0.44722222222222224</v>
      </c>
      <c r="BG119" s="167" t="e">
        <f>_xll.qlPolynomialFunctionValue(G$23,$BF119)</f>
        <v>#NUM!</v>
      </c>
      <c r="BH119" s="167" t="e">
        <f>_xll.qlPolynomialFunctionValue(H$23,$BF119)</f>
        <v>#NUM!</v>
      </c>
      <c r="BI119" s="498" t="e">
        <f>_xll.qlPolynomialFunctionValue(I$23,$BF119)</f>
        <v>#NUM!</v>
      </c>
      <c r="BJ119" s="167" t="e">
        <f>_xll.qlPolynomialFunctionValue(J$23,$BF119)</f>
        <v>#NUM!</v>
      </c>
      <c r="BK119" s="167" t="e">
        <f>_xll.qlPolynomialFunctionValue(O$23,$BF119)</f>
        <v>#NUM!</v>
      </c>
      <c r="BL119" s="167" t="e">
        <f>_xll.qlPolynomialFunctionValue(P$23,$BF119)</f>
        <v>#NUM!</v>
      </c>
      <c r="BM119" s="167" t="e">
        <f>_xll.qlPolynomialFunctionValue(Q$23,$BF119)</f>
        <v>#NUM!</v>
      </c>
      <c r="BN119" s="167" t="e">
        <f>_xll.qlPolynomialFunctionValue(R$23,$BF119)</f>
        <v>#NUM!</v>
      </c>
    </row>
    <row r="120" spans="18:66" x14ac:dyDescent="0.2">
      <c r="R120" s="140"/>
      <c r="S120" s="140"/>
      <c r="BE120" s="486">
        <f>_xll.qlCalendarAdvance(Calendar,BE119,"1d","mf",,Trigger)</f>
        <v>42324</v>
      </c>
      <c r="BF120" s="155">
        <f>_xll.qlDayCounterYearFraction(DayCounter,SettlementDate,BE120,,,Trigger)</f>
        <v>0.45555555555555555</v>
      </c>
      <c r="BG120" s="167" t="e">
        <f>_xll.qlPolynomialFunctionValue(G$23,$BF120)</f>
        <v>#NUM!</v>
      </c>
      <c r="BH120" s="167" t="e">
        <f>_xll.qlPolynomialFunctionValue(H$23,$BF120)</f>
        <v>#NUM!</v>
      </c>
      <c r="BI120" s="498" t="e">
        <f>_xll.qlPolynomialFunctionValue(I$23,$BF120)</f>
        <v>#NUM!</v>
      </c>
      <c r="BJ120" s="167" t="e">
        <f>_xll.qlPolynomialFunctionValue(J$23,$BF120)</f>
        <v>#NUM!</v>
      </c>
      <c r="BK120" s="167" t="e">
        <f>_xll.qlPolynomialFunctionValue(O$23,$BF120)</f>
        <v>#NUM!</v>
      </c>
      <c r="BL120" s="167" t="e">
        <f>_xll.qlPolynomialFunctionValue(P$23,$BF120)</f>
        <v>#NUM!</v>
      </c>
      <c r="BM120" s="167" t="e">
        <f>_xll.qlPolynomialFunctionValue(Q$23,$BF120)</f>
        <v>#NUM!</v>
      </c>
      <c r="BN120" s="167" t="e">
        <f>_xll.qlPolynomialFunctionValue(R$23,$BF120)</f>
        <v>#NUM!</v>
      </c>
    </row>
    <row r="121" spans="18:66" x14ac:dyDescent="0.2">
      <c r="R121" s="140"/>
      <c r="S121" s="140"/>
      <c r="BE121" s="486">
        <f>_xll.qlCalendarAdvance(Calendar,BE120,"1d","mf",,Trigger)</f>
        <v>42325</v>
      </c>
      <c r="BF121" s="155">
        <f>_xll.qlDayCounterYearFraction(DayCounter,SettlementDate,BE121,,,Trigger)</f>
        <v>0.45833333333333331</v>
      </c>
      <c r="BG121" s="167" t="e">
        <f>_xll.qlPolynomialFunctionValue(G$23,$BF121)</f>
        <v>#NUM!</v>
      </c>
      <c r="BH121" s="167" t="e">
        <f>_xll.qlPolynomialFunctionValue(H$23,$BF121)</f>
        <v>#NUM!</v>
      </c>
      <c r="BI121" s="498" t="e">
        <f>_xll.qlPolynomialFunctionValue(I$23,$BF121)</f>
        <v>#NUM!</v>
      </c>
      <c r="BJ121" s="167" t="e">
        <f>_xll.qlPolynomialFunctionValue(J$23,$BF121)</f>
        <v>#NUM!</v>
      </c>
      <c r="BK121" s="167" t="e">
        <f>_xll.qlPolynomialFunctionValue(O$23,$BF121)</f>
        <v>#NUM!</v>
      </c>
      <c r="BL121" s="167" t="e">
        <f>_xll.qlPolynomialFunctionValue(P$23,$BF121)</f>
        <v>#NUM!</v>
      </c>
      <c r="BM121" s="167" t="e">
        <f>_xll.qlPolynomialFunctionValue(Q$23,$BF121)</f>
        <v>#NUM!</v>
      </c>
      <c r="BN121" s="167" t="e">
        <f>_xll.qlPolynomialFunctionValue(R$23,$BF121)</f>
        <v>#NUM!</v>
      </c>
    </row>
    <row r="122" spans="18:66" x14ac:dyDescent="0.2">
      <c r="R122" s="140"/>
      <c r="S122" s="140"/>
      <c r="BE122" s="486">
        <f>_xll.qlCalendarAdvance(Calendar,BE121,"1d","mf",,Trigger)</f>
        <v>42326</v>
      </c>
      <c r="BF122" s="155">
        <f>_xll.qlDayCounterYearFraction(DayCounter,SettlementDate,BE122,,,Trigger)</f>
        <v>0.46111111111111114</v>
      </c>
      <c r="BG122" s="167" t="e">
        <f>_xll.qlPolynomialFunctionValue(G$23,$BF122)</f>
        <v>#NUM!</v>
      </c>
      <c r="BH122" s="167" t="e">
        <f>_xll.qlPolynomialFunctionValue(H$23,$BF122)</f>
        <v>#NUM!</v>
      </c>
      <c r="BI122" s="498" t="e">
        <f>_xll.qlPolynomialFunctionValue(I$23,$BF122)</f>
        <v>#NUM!</v>
      </c>
      <c r="BJ122" s="167" t="e">
        <f>_xll.qlPolynomialFunctionValue(J$23,$BF122)</f>
        <v>#NUM!</v>
      </c>
      <c r="BK122" s="167" t="e">
        <f>_xll.qlPolynomialFunctionValue(O$23,$BF122)</f>
        <v>#NUM!</v>
      </c>
      <c r="BL122" s="167" t="e">
        <f>_xll.qlPolynomialFunctionValue(P$23,$BF122)</f>
        <v>#NUM!</v>
      </c>
      <c r="BM122" s="167" t="e">
        <f>_xll.qlPolynomialFunctionValue(Q$23,$BF122)</f>
        <v>#NUM!</v>
      </c>
      <c r="BN122" s="167" t="e">
        <f>_xll.qlPolynomialFunctionValue(R$23,$BF122)</f>
        <v>#NUM!</v>
      </c>
    </row>
    <row r="123" spans="18:66" x14ac:dyDescent="0.2">
      <c r="R123" s="140"/>
      <c r="S123" s="140"/>
      <c r="BE123" s="486">
        <f>_xll.qlCalendarAdvance(Calendar,BE122,"1d","mf",,Trigger)</f>
        <v>42327</v>
      </c>
      <c r="BF123" s="155">
        <f>_xll.qlDayCounterYearFraction(DayCounter,SettlementDate,BE123,,,Trigger)</f>
        <v>0.46388888888888891</v>
      </c>
      <c r="BG123" s="167" t="e">
        <f>_xll.qlPolynomialFunctionValue(G$23,$BF123)</f>
        <v>#NUM!</v>
      </c>
      <c r="BH123" s="167" t="e">
        <f>_xll.qlPolynomialFunctionValue(H$23,$BF123)</f>
        <v>#NUM!</v>
      </c>
      <c r="BI123" s="498" t="e">
        <f>_xll.qlPolynomialFunctionValue(I$23,$BF123)</f>
        <v>#NUM!</v>
      </c>
      <c r="BJ123" s="167" t="e">
        <f>_xll.qlPolynomialFunctionValue(J$23,$BF123)</f>
        <v>#NUM!</v>
      </c>
      <c r="BK123" s="167" t="e">
        <f>_xll.qlPolynomialFunctionValue(O$23,$BF123)</f>
        <v>#NUM!</v>
      </c>
      <c r="BL123" s="167" t="e">
        <f>_xll.qlPolynomialFunctionValue(P$23,$BF123)</f>
        <v>#NUM!</v>
      </c>
      <c r="BM123" s="167" t="e">
        <f>_xll.qlPolynomialFunctionValue(Q$23,$BF123)</f>
        <v>#NUM!</v>
      </c>
      <c r="BN123" s="167" t="e">
        <f>_xll.qlPolynomialFunctionValue(R$23,$BF123)</f>
        <v>#NUM!</v>
      </c>
    </row>
    <row r="124" spans="18:66" x14ac:dyDescent="0.2">
      <c r="R124" s="140"/>
      <c r="S124" s="140"/>
      <c r="BE124" s="486">
        <f>_xll.qlCalendarAdvance(Calendar,BE123,"1d","mf",,Trigger)</f>
        <v>42328</v>
      </c>
      <c r="BF124" s="155">
        <f>_xll.qlDayCounterYearFraction(DayCounter,SettlementDate,BE124,,,Trigger)</f>
        <v>0.46666666666666667</v>
      </c>
      <c r="BG124" s="167" t="e">
        <f>_xll.qlPolynomialFunctionValue(G$23,$BF124)</f>
        <v>#NUM!</v>
      </c>
      <c r="BH124" s="167" t="e">
        <f>_xll.qlPolynomialFunctionValue(H$23,$BF124)</f>
        <v>#NUM!</v>
      </c>
      <c r="BI124" s="498" t="e">
        <f>_xll.qlPolynomialFunctionValue(I$23,$BF124)</f>
        <v>#NUM!</v>
      </c>
      <c r="BJ124" s="167" t="e">
        <f>_xll.qlPolynomialFunctionValue(J$23,$BF124)</f>
        <v>#NUM!</v>
      </c>
      <c r="BK124" s="167" t="e">
        <f>_xll.qlPolynomialFunctionValue(O$23,$BF124)</f>
        <v>#NUM!</v>
      </c>
      <c r="BL124" s="167" t="e">
        <f>_xll.qlPolynomialFunctionValue(P$23,$BF124)</f>
        <v>#NUM!</v>
      </c>
      <c r="BM124" s="167" t="e">
        <f>_xll.qlPolynomialFunctionValue(Q$23,$BF124)</f>
        <v>#NUM!</v>
      </c>
      <c r="BN124" s="167" t="e">
        <f>_xll.qlPolynomialFunctionValue(R$23,$BF124)</f>
        <v>#NUM!</v>
      </c>
    </row>
    <row r="125" spans="18:66" x14ac:dyDescent="0.2">
      <c r="R125" s="140"/>
      <c r="S125" s="140"/>
      <c r="BE125" s="486">
        <f>_xll.qlCalendarAdvance(Calendar,BE124,"1d","mf",,Trigger)</f>
        <v>42331</v>
      </c>
      <c r="BF125" s="155">
        <f>_xll.qlDayCounterYearFraction(DayCounter,SettlementDate,BE125,,,Trigger)</f>
        <v>0.47499999999999998</v>
      </c>
      <c r="BG125" s="167" t="e">
        <f>_xll.qlPolynomialFunctionValue(G$23,$BF125)</f>
        <v>#NUM!</v>
      </c>
      <c r="BH125" s="167" t="e">
        <f>_xll.qlPolynomialFunctionValue(H$23,$BF125)</f>
        <v>#NUM!</v>
      </c>
      <c r="BI125" s="498" t="e">
        <f>_xll.qlPolynomialFunctionValue(I$23,$BF125)</f>
        <v>#NUM!</v>
      </c>
      <c r="BJ125" s="167" t="e">
        <f>_xll.qlPolynomialFunctionValue(J$23,$BF125)</f>
        <v>#NUM!</v>
      </c>
      <c r="BK125" s="167" t="e">
        <f>_xll.qlPolynomialFunctionValue(O$23,$BF125)</f>
        <v>#NUM!</v>
      </c>
      <c r="BL125" s="167" t="e">
        <f>_xll.qlPolynomialFunctionValue(P$23,$BF125)</f>
        <v>#NUM!</v>
      </c>
      <c r="BM125" s="167" t="e">
        <f>_xll.qlPolynomialFunctionValue(Q$23,$BF125)</f>
        <v>#NUM!</v>
      </c>
      <c r="BN125" s="167" t="e">
        <f>_xll.qlPolynomialFunctionValue(R$23,$BF125)</f>
        <v>#NUM!</v>
      </c>
    </row>
    <row r="126" spans="18:66" x14ac:dyDescent="0.2">
      <c r="R126" s="140"/>
      <c r="S126" s="140"/>
      <c r="BE126" s="486">
        <f>_xll.qlCalendarAdvance(Calendar,BE125,"1d","mf",,Trigger)</f>
        <v>42332</v>
      </c>
      <c r="BF126" s="155">
        <f>_xll.qlDayCounterYearFraction(DayCounter,SettlementDate,BE126,,,Trigger)</f>
        <v>0.4777777777777778</v>
      </c>
      <c r="BG126" s="167" t="e">
        <f>_xll.qlPolynomialFunctionValue(G$23,$BF126)</f>
        <v>#NUM!</v>
      </c>
      <c r="BH126" s="167" t="e">
        <f>_xll.qlPolynomialFunctionValue(H$23,$BF126)</f>
        <v>#NUM!</v>
      </c>
      <c r="BI126" s="498" t="e">
        <f>_xll.qlPolynomialFunctionValue(I$23,$BF126)</f>
        <v>#NUM!</v>
      </c>
      <c r="BJ126" s="167" t="e">
        <f>_xll.qlPolynomialFunctionValue(J$23,$BF126)</f>
        <v>#NUM!</v>
      </c>
      <c r="BK126" s="167" t="e">
        <f>_xll.qlPolynomialFunctionValue(O$23,$BF126)</f>
        <v>#NUM!</v>
      </c>
      <c r="BL126" s="167" t="e">
        <f>_xll.qlPolynomialFunctionValue(P$23,$BF126)</f>
        <v>#NUM!</v>
      </c>
      <c r="BM126" s="167" t="e">
        <f>_xll.qlPolynomialFunctionValue(Q$23,$BF126)</f>
        <v>#NUM!</v>
      </c>
      <c r="BN126" s="167" t="e">
        <f>_xll.qlPolynomialFunctionValue(R$23,$BF126)</f>
        <v>#NUM!</v>
      </c>
    </row>
    <row r="127" spans="18:66" x14ac:dyDescent="0.2">
      <c r="R127" s="140"/>
      <c r="S127" s="140"/>
      <c r="BE127" s="486">
        <f>_xll.qlCalendarAdvance(Calendar,BE126,"1d","mf",,Trigger)</f>
        <v>42333</v>
      </c>
      <c r="BF127" s="155">
        <f>_xll.qlDayCounterYearFraction(DayCounter,SettlementDate,BE127,,,Trigger)</f>
        <v>0.48055555555555557</v>
      </c>
      <c r="BG127" s="167" t="e">
        <f>_xll.qlPolynomialFunctionValue(G$23,$BF127)</f>
        <v>#NUM!</v>
      </c>
      <c r="BH127" s="167" t="e">
        <f>_xll.qlPolynomialFunctionValue(H$23,$BF127)</f>
        <v>#NUM!</v>
      </c>
      <c r="BI127" s="498" t="e">
        <f>_xll.qlPolynomialFunctionValue(I$23,$BF127)</f>
        <v>#NUM!</v>
      </c>
      <c r="BJ127" s="167" t="e">
        <f>_xll.qlPolynomialFunctionValue(J$23,$BF127)</f>
        <v>#NUM!</v>
      </c>
      <c r="BK127" s="167" t="e">
        <f>_xll.qlPolynomialFunctionValue(O$23,$BF127)</f>
        <v>#NUM!</v>
      </c>
      <c r="BL127" s="167" t="e">
        <f>_xll.qlPolynomialFunctionValue(P$23,$BF127)</f>
        <v>#NUM!</v>
      </c>
      <c r="BM127" s="167" t="e">
        <f>_xll.qlPolynomialFunctionValue(Q$23,$BF127)</f>
        <v>#NUM!</v>
      </c>
      <c r="BN127" s="167" t="e">
        <f>_xll.qlPolynomialFunctionValue(R$23,$BF127)</f>
        <v>#NUM!</v>
      </c>
    </row>
    <row r="128" spans="18:66" x14ac:dyDescent="0.2">
      <c r="R128" s="140"/>
      <c r="S128" s="140"/>
      <c r="BE128" s="486">
        <f>_xll.qlCalendarAdvance(Calendar,BE127,"1d","mf",,Trigger)</f>
        <v>42334</v>
      </c>
      <c r="BF128" s="155">
        <f>_xll.qlDayCounterYearFraction(DayCounter,SettlementDate,BE128,,,Trigger)</f>
        <v>0.48333333333333334</v>
      </c>
      <c r="BG128" s="167" t="e">
        <f>_xll.qlPolynomialFunctionValue(G$23,$BF128)</f>
        <v>#NUM!</v>
      </c>
      <c r="BH128" s="167" t="e">
        <f>_xll.qlPolynomialFunctionValue(H$23,$BF128)</f>
        <v>#NUM!</v>
      </c>
      <c r="BI128" s="498" t="e">
        <f>_xll.qlPolynomialFunctionValue(I$23,$BF128)</f>
        <v>#NUM!</v>
      </c>
      <c r="BJ128" s="167" t="e">
        <f>_xll.qlPolynomialFunctionValue(J$23,$BF128)</f>
        <v>#NUM!</v>
      </c>
      <c r="BK128" s="167" t="e">
        <f>_xll.qlPolynomialFunctionValue(O$23,$BF128)</f>
        <v>#NUM!</v>
      </c>
      <c r="BL128" s="167" t="e">
        <f>_xll.qlPolynomialFunctionValue(P$23,$BF128)</f>
        <v>#NUM!</v>
      </c>
      <c r="BM128" s="167" t="e">
        <f>_xll.qlPolynomialFunctionValue(Q$23,$BF128)</f>
        <v>#NUM!</v>
      </c>
      <c r="BN128" s="167" t="e">
        <f>_xll.qlPolynomialFunctionValue(R$23,$BF128)</f>
        <v>#NUM!</v>
      </c>
    </row>
    <row r="129" spans="18:66" x14ac:dyDescent="0.2">
      <c r="R129" s="140"/>
      <c r="S129" s="140"/>
      <c r="BE129" s="486">
        <f>_xll.qlCalendarAdvance(Calendar,BE128,"1d","mf",,Trigger)</f>
        <v>42335</v>
      </c>
      <c r="BF129" s="155">
        <f>_xll.qlDayCounterYearFraction(DayCounter,SettlementDate,BE129,,,Trigger)</f>
        <v>0.4861111111111111</v>
      </c>
      <c r="BG129" s="167" t="e">
        <f>_xll.qlPolynomialFunctionValue(G$23,$BF129)</f>
        <v>#NUM!</v>
      </c>
      <c r="BH129" s="167" t="e">
        <f>_xll.qlPolynomialFunctionValue(H$23,$BF129)</f>
        <v>#NUM!</v>
      </c>
      <c r="BI129" s="498" t="e">
        <f>_xll.qlPolynomialFunctionValue(I$23,$BF129)</f>
        <v>#NUM!</v>
      </c>
      <c r="BJ129" s="167" t="e">
        <f>_xll.qlPolynomialFunctionValue(J$23,$BF129)</f>
        <v>#NUM!</v>
      </c>
      <c r="BK129" s="167" t="e">
        <f>_xll.qlPolynomialFunctionValue(O$23,$BF129)</f>
        <v>#NUM!</v>
      </c>
      <c r="BL129" s="167" t="e">
        <f>_xll.qlPolynomialFunctionValue(P$23,$BF129)</f>
        <v>#NUM!</v>
      </c>
      <c r="BM129" s="167" t="e">
        <f>_xll.qlPolynomialFunctionValue(Q$23,$BF129)</f>
        <v>#NUM!</v>
      </c>
      <c r="BN129" s="167" t="e">
        <f>_xll.qlPolynomialFunctionValue(R$23,$BF129)</f>
        <v>#NUM!</v>
      </c>
    </row>
    <row r="130" spans="18:66" x14ac:dyDescent="0.2">
      <c r="R130" s="140"/>
      <c r="S130" s="140"/>
      <c r="BE130" s="486">
        <f>_xll.qlCalendarAdvance(Calendar,BE129,"1d","mf",,Trigger)</f>
        <v>42338</v>
      </c>
      <c r="BF130" s="155">
        <f>_xll.qlDayCounterYearFraction(DayCounter,SettlementDate,BE130,,,Trigger)</f>
        <v>0.49444444444444446</v>
      </c>
      <c r="BG130" s="167" t="e">
        <f>_xll.qlPolynomialFunctionValue(G$23,$BF130)</f>
        <v>#NUM!</v>
      </c>
      <c r="BH130" s="167" t="e">
        <f>_xll.qlPolynomialFunctionValue(H$23,$BF130)</f>
        <v>#NUM!</v>
      </c>
      <c r="BI130" s="498" t="e">
        <f>_xll.qlPolynomialFunctionValue(I$23,$BF130)</f>
        <v>#NUM!</v>
      </c>
      <c r="BJ130" s="167" t="e">
        <f>_xll.qlPolynomialFunctionValue(J$23,$BF130)</f>
        <v>#NUM!</v>
      </c>
      <c r="BK130" s="167" t="e">
        <f>_xll.qlPolynomialFunctionValue(O$23,$BF130)</f>
        <v>#NUM!</v>
      </c>
      <c r="BL130" s="167" t="e">
        <f>_xll.qlPolynomialFunctionValue(P$23,$BF130)</f>
        <v>#NUM!</v>
      </c>
      <c r="BM130" s="167" t="e">
        <f>_xll.qlPolynomialFunctionValue(Q$23,$BF130)</f>
        <v>#NUM!</v>
      </c>
      <c r="BN130" s="167" t="e">
        <f>_xll.qlPolynomialFunctionValue(R$23,$BF130)</f>
        <v>#NUM!</v>
      </c>
    </row>
    <row r="131" spans="18:66" x14ac:dyDescent="0.2">
      <c r="R131" s="140"/>
      <c r="S131" s="140"/>
      <c r="BE131" s="486">
        <f>_xll.qlCalendarAdvance(Calendar,BE130,"1d","mf",,Trigger)</f>
        <v>42339</v>
      </c>
      <c r="BF131" s="155">
        <f>_xll.qlDayCounterYearFraction(DayCounter,SettlementDate,BE131,,,Trigger)</f>
        <v>0.49722222222222223</v>
      </c>
      <c r="BG131" s="167" t="e">
        <f>_xll.qlPolynomialFunctionValue(G$23,$BF131)</f>
        <v>#NUM!</v>
      </c>
      <c r="BH131" s="167" t="e">
        <f>_xll.qlPolynomialFunctionValue(H$23,$BF131)</f>
        <v>#NUM!</v>
      </c>
      <c r="BI131" s="498" t="e">
        <f>_xll.qlPolynomialFunctionValue(I$23,$BF131)</f>
        <v>#NUM!</v>
      </c>
      <c r="BJ131" s="167" t="e">
        <f>_xll.qlPolynomialFunctionValue(J$23,$BF131)</f>
        <v>#NUM!</v>
      </c>
      <c r="BK131" s="167" t="e">
        <f>_xll.qlPolynomialFunctionValue(O$23,$BF131)</f>
        <v>#NUM!</v>
      </c>
      <c r="BL131" s="167" t="e">
        <f>_xll.qlPolynomialFunctionValue(P$23,$BF131)</f>
        <v>#NUM!</v>
      </c>
      <c r="BM131" s="167" t="e">
        <f>_xll.qlPolynomialFunctionValue(Q$23,$BF131)</f>
        <v>#NUM!</v>
      </c>
      <c r="BN131" s="167" t="e">
        <f>_xll.qlPolynomialFunctionValue(R$23,$BF131)</f>
        <v>#NUM!</v>
      </c>
    </row>
    <row r="132" spans="18:66" x14ac:dyDescent="0.2">
      <c r="R132" s="140"/>
      <c r="S132" s="140"/>
      <c r="BE132" s="486">
        <f>_xll.qlCalendarAdvance(Calendar,BE131,"1d","mf",,Trigger)</f>
        <v>42340</v>
      </c>
      <c r="BF132" s="155">
        <f>_xll.qlDayCounterYearFraction(DayCounter,SettlementDate,BE132,,,Trigger)</f>
        <v>0.5</v>
      </c>
      <c r="BG132" s="167" t="e">
        <f>_xll.qlPolynomialFunctionValue(G$23,$BF132)</f>
        <v>#NUM!</v>
      </c>
      <c r="BH132" s="167" t="e">
        <f>_xll.qlPolynomialFunctionValue(H$23,$BF132)</f>
        <v>#NUM!</v>
      </c>
      <c r="BI132" s="498" t="e">
        <f>_xll.qlPolynomialFunctionValue(I$23,$BF132)</f>
        <v>#NUM!</v>
      </c>
      <c r="BJ132" s="167" t="e">
        <f>_xll.qlPolynomialFunctionValue(J$23,$BF132)</f>
        <v>#NUM!</v>
      </c>
      <c r="BK132" s="167" t="e">
        <f>_xll.qlPolynomialFunctionValue(O$23,$BF132)</f>
        <v>#NUM!</v>
      </c>
      <c r="BL132" s="167" t="e">
        <f>_xll.qlPolynomialFunctionValue(P$23,$BF132)</f>
        <v>#NUM!</v>
      </c>
      <c r="BM132" s="167" t="e">
        <f>_xll.qlPolynomialFunctionValue(Q$23,$BF132)</f>
        <v>#NUM!</v>
      </c>
      <c r="BN132" s="167" t="e">
        <f>_xll.qlPolynomialFunctionValue(R$23,$BF132)</f>
        <v>#NUM!</v>
      </c>
    </row>
    <row r="133" spans="18:66" x14ac:dyDescent="0.2">
      <c r="R133" s="141"/>
      <c r="S133" s="140"/>
      <c r="BE133" s="490">
        <f>_xll.qlCalendarAdvance(Calendar,BE132,"1d","mf",,Trigger)</f>
        <v>42341</v>
      </c>
      <c r="BF133" s="160">
        <f>_xll.qlDayCounterYearFraction(DayCounter,SettlementDate,BE133,,,Trigger)</f>
        <v>0.50277777777777777</v>
      </c>
      <c r="BG133" s="176" t="e">
        <f>_xll.qlPolynomialFunctionValue(G$23,$BF133)</f>
        <v>#NUM!</v>
      </c>
      <c r="BH133" s="176" t="e">
        <f>_xll.qlPolynomialFunctionValue(H$23,$BF133)</f>
        <v>#NUM!</v>
      </c>
      <c r="BI133" s="499" t="e">
        <f>_xll.qlPolynomialFunctionValue(I$23,$BF133)</f>
        <v>#NUM!</v>
      </c>
      <c r="BJ133" s="176" t="e">
        <f>_xll.qlPolynomialFunctionValue(J$23,$BF133)</f>
        <v>#NUM!</v>
      </c>
      <c r="BK133" s="176" t="e">
        <f>_xll.qlPolynomialFunctionValue(O$23,$BF133)</f>
        <v>#NUM!</v>
      </c>
      <c r="BL133" s="176" t="e">
        <f>_xll.qlPolynomialFunctionValue(P$23,$BF133)</f>
        <v>#NUM!</v>
      </c>
      <c r="BM133" s="176" t="e">
        <f>_xll.qlPolynomialFunctionValue(Q$23,$BF133)</f>
        <v>#NUM!</v>
      </c>
      <c r="BN133" s="176" t="e">
        <f>_xll.qlPolynomialFunctionValue(R$23,$BF133)</f>
        <v>#NUM!</v>
      </c>
    </row>
    <row r="134" spans="18:66" x14ac:dyDescent="0.2">
      <c r="R134" s="141"/>
      <c r="S134" s="140"/>
    </row>
    <row r="135" spans="18:66" x14ac:dyDescent="0.2">
      <c r="R135" s="141"/>
      <c r="S135" s="140"/>
    </row>
    <row r="136" spans="18:66" x14ac:dyDescent="0.2">
      <c r="R136" s="141"/>
      <c r="S136" s="140"/>
    </row>
    <row r="137" spans="18:66" x14ac:dyDescent="0.2">
      <c r="R137" s="141"/>
      <c r="S137" s="140"/>
    </row>
    <row r="138" spans="18:66" x14ac:dyDescent="0.2">
      <c r="R138" s="141"/>
      <c r="S138" s="140"/>
    </row>
    <row r="139" spans="18:66" x14ac:dyDescent="0.2">
      <c r="R139" s="141"/>
      <c r="S139" s="141"/>
    </row>
    <row r="140" spans="18:66" x14ac:dyDescent="0.2">
      <c r="R140" s="141"/>
      <c r="S140" s="141"/>
    </row>
    <row r="141" spans="18:66" x14ac:dyDescent="0.2">
      <c r="R141" s="141"/>
      <c r="S141" s="141"/>
    </row>
    <row r="142" spans="18:66" x14ac:dyDescent="0.2">
      <c r="R142" s="141"/>
      <c r="S142" s="141"/>
    </row>
    <row r="143" spans="18:66" x14ac:dyDescent="0.2">
      <c r="R143" s="141"/>
      <c r="S143" s="141"/>
    </row>
    <row r="144" spans="18:66" x14ac:dyDescent="0.2">
      <c r="R144" s="141"/>
      <c r="S144" s="141"/>
    </row>
    <row r="145" spans="18:19" x14ac:dyDescent="0.2">
      <c r="R145" s="141"/>
      <c r="S145" s="141"/>
    </row>
    <row r="146" spans="18:19" x14ac:dyDescent="0.2">
      <c r="R146" s="141"/>
      <c r="S146" s="141"/>
    </row>
    <row r="147" spans="18:19" x14ac:dyDescent="0.2">
      <c r="R147" s="141"/>
      <c r="S147" s="141"/>
    </row>
    <row r="148" spans="18:19" x14ac:dyDescent="0.2">
      <c r="R148" s="141"/>
      <c r="S148" s="141"/>
    </row>
    <row r="149" spans="18:19" x14ac:dyDescent="0.2">
      <c r="S149" s="141"/>
    </row>
    <row r="150" spans="18:19" x14ac:dyDescent="0.2">
      <c r="S150" s="141"/>
    </row>
    <row r="151" spans="18:19" x14ac:dyDescent="0.2">
      <c r="S151" s="141"/>
    </row>
    <row r="152" spans="18:19" x14ac:dyDescent="0.2">
      <c r="S152" s="141"/>
    </row>
    <row r="153" spans="18:19" x14ac:dyDescent="0.2">
      <c r="S153" s="141"/>
    </row>
    <row r="154" spans="18:19" x14ac:dyDescent="0.2">
      <c r="S154" s="141"/>
    </row>
  </sheetData>
  <mergeCells count="16">
    <mergeCell ref="AG5:AG6"/>
    <mergeCell ref="AG9:AG10"/>
    <mergeCell ref="AG14:AG16"/>
    <mergeCell ref="AG19:AG21"/>
    <mergeCell ref="AE5:AE6"/>
    <mergeCell ref="AE9:AE10"/>
    <mergeCell ref="AE14:AE16"/>
    <mergeCell ref="AE19:AE21"/>
    <mergeCell ref="AQ5:AQ6"/>
    <mergeCell ref="AQ9:AQ10"/>
    <mergeCell ref="AQ14:AQ16"/>
    <mergeCell ref="AQ19:AQ21"/>
    <mergeCell ref="AS19:AS21"/>
    <mergeCell ref="AS14:AS16"/>
    <mergeCell ref="AS9:AS10"/>
    <mergeCell ref="AS5:AS6"/>
  </mergeCells>
  <dataValidations disablePrompts="1" count="4">
    <dataValidation type="list" allowBlank="1" showInputMessage="1" showErrorMessage="1" sqref="M14 S3:T3 Q14">
      <formula1>"TRUE"</formula1>
    </dataValidation>
    <dataValidation type="list" allowBlank="1" showInputMessage="1" showErrorMessage="1" sqref="U14 U3:V3 Y14">
      <formula1>"False"</formula1>
    </dataValidation>
    <dataValidation type="list" allowBlank="1" showInputMessage="1" showErrorMessage="1" sqref="Q15:Q20 Y15:Y20 M15:M20 U15:U20 S4:V9 T10:W10">
      <formula1>"TRUE,FALSE"</formula1>
    </dataValidation>
    <dataValidation type="list" allowBlank="1" showInputMessage="1" showErrorMessage="1" sqref="D26:D27">
      <formula1>"FIXING,ESTIMATED"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nstBasisCalibration">
                <anchor moveWithCells="1" sizeWithCells="1">
                  <from>
                    <xdr:col>1</xdr:col>
                    <xdr:colOff>104775</xdr:colOff>
                    <xdr:row>27</xdr:row>
                    <xdr:rowOff>76200</xdr:rowOff>
                  </from>
                  <to>
                    <xdr:col>2</xdr:col>
                    <xdr:colOff>942975</xdr:colOff>
                    <xdr:row>30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383"/>
  <sheetViews>
    <sheetView topLeftCell="D1" workbookViewId="0">
      <selection activeCell="T2" sqref="T2"/>
    </sheetView>
  </sheetViews>
  <sheetFormatPr defaultRowHeight="11.25" outlineLevelCol="1" x14ac:dyDescent="0.2"/>
  <cols>
    <col min="1" max="1" width="7" style="115" hidden="1" customWidth="1" outlineLevel="1"/>
    <col min="2" max="2" width="2.33203125" style="115" hidden="1" customWidth="1" outlineLevel="1"/>
    <col min="3" max="3" width="3.1640625" style="115" hidden="1" customWidth="1" outlineLevel="1"/>
    <col min="4" max="4" width="31.1640625" style="115" bestFit="1" customWidth="1" collapsed="1"/>
    <col min="5" max="5" width="26.33203125" style="115" hidden="1" customWidth="1" outlineLevel="1"/>
    <col min="6" max="6" width="9.33203125" style="115" hidden="1" customWidth="1" outlineLevel="1"/>
    <col min="7" max="7" width="8.1640625" style="115" hidden="1" customWidth="1" outlineLevel="1"/>
    <col min="8" max="8" width="20.1640625" style="115" bestFit="1" customWidth="1" collapsed="1"/>
    <col min="9" max="9" width="20.1640625" style="115" bestFit="1" customWidth="1"/>
    <col min="10" max="11" width="11.33203125" style="115" customWidth="1"/>
    <col min="12" max="12" width="12.83203125" style="115" bestFit="1" customWidth="1"/>
    <col min="13" max="13" width="9.33203125" style="115" bestFit="1" customWidth="1"/>
    <col min="14" max="14" width="10.5" style="115" bestFit="1" customWidth="1"/>
    <col min="15" max="15" width="10.5" style="115" hidden="1" customWidth="1" outlineLevel="1"/>
    <col min="16" max="16" width="8.1640625" style="115" hidden="1" customWidth="1" outlineLevel="1"/>
    <col min="17" max="17" width="11.5" style="115" customWidth="1" collapsed="1"/>
    <col min="18" max="18" width="7" style="115" bestFit="1" customWidth="1"/>
    <col min="19" max="19" width="15.33203125" style="115" bestFit="1" customWidth="1"/>
    <col min="20" max="20" width="17" style="115" customWidth="1"/>
    <col min="21" max="21" width="12.83203125" style="115" bestFit="1" customWidth="1"/>
    <col min="22" max="22" width="2.83203125" style="115" customWidth="1"/>
    <col min="23" max="23" width="20.1640625" style="115" bestFit="1" customWidth="1"/>
    <col min="24" max="24" width="9.33203125" style="115"/>
    <col min="25" max="25" width="2.83203125" style="115" customWidth="1"/>
    <col min="26" max="26" width="3.5" style="115" bestFit="1" customWidth="1"/>
    <col min="27" max="27" width="20.5" style="115" customWidth="1"/>
    <col min="28" max="28" width="9.33203125" style="115"/>
    <col min="29" max="29" width="17.83203125" style="115" bestFit="1" customWidth="1"/>
    <col min="30" max="16384" width="9.33203125" style="115"/>
  </cols>
  <sheetData>
    <row r="1" spans="1:28" ht="26.25" customHeight="1" x14ac:dyDescent="0.2">
      <c r="D1" s="142" t="str">
        <f>T2&amp;" Instruments"</f>
        <v>3M Instruments</v>
      </c>
      <c r="E1" s="142" t="s">
        <v>173</v>
      </c>
      <c r="F1" s="142" t="s">
        <v>174</v>
      </c>
      <c r="G1" s="142" t="s">
        <v>178</v>
      </c>
      <c r="H1" s="142" t="s">
        <v>96</v>
      </c>
      <c r="I1" s="142" t="s">
        <v>97</v>
      </c>
      <c r="J1" s="142" t="str">
        <f>T2&amp;" Market quote"</f>
        <v>3M Market quote</v>
      </c>
      <c r="K1" s="142" t="s">
        <v>125</v>
      </c>
      <c r="L1" s="142" t="s">
        <v>135</v>
      </c>
      <c r="M1" s="142" t="s">
        <v>168</v>
      </c>
      <c r="N1" s="142" t="s">
        <v>170</v>
      </c>
      <c r="O1" s="142" t="s">
        <v>81</v>
      </c>
      <c r="P1" s="142" t="s">
        <v>146</v>
      </c>
      <c r="Q1" s="142" t="s">
        <v>169</v>
      </c>
      <c r="W1" s="142" t="s">
        <v>156</v>
      </c>
      <c r="X1" s="142" t="s">
        <v>168</v>
      </c>
    </row>
    <row r="2" spans="1:28" ht="11.25" customHeight="1" x14ac:dyDescent="0.2">
      <c r="A2" s="356">
        <v>0</v>
      </c>
      <c r="B2" s="357" t="s">
        <v>37</v>
      </c>
      <c r="C2" s="358" t="str">
        <f>SUBSTITUTE($T$2,"M","")</f>
        <v>3</v>
      </c>
      <c r="D2" s="361" t="str">
        <f>Currency&amp;A3&amp;B3&amp;C3&amp;"F"&amp;"_Estimated"</f>
        <v>EUR0x3F_Estimated</v>
      </c>
      <c r="E2" s="361" t="str">
        <f>_xll.qlSimpleQuote(UPPER("B"&amp;$T$2&amp;"_"&amp;A3&amp;B3&amp;C3&amp;"Estimated"),,,Permanent,Trigger,ObjectOverwrite)</f>
        <v>B3M_0X3ESTIMATED#0000</v>
      </c>
      <c r="F2" s="517">
        <f>_xll.qlSimpleQuoteSetValue(E2,M2,AllTriggers)</f>
        <v>0</v>
      </c>
      <c r="G2" s="525">
        <f>_xll.qlDayCounterYearFraction("actual/365 (fixed)",SettlementDate,H2,,,Trigger)</f>
        <v>0</v>
      </c>
      <c r="H2" s="257">
        <f>SettlementDate</f>
        <v>42160</v>
      </c>
      <c r="I2" s="257">
        <f>_xll.qlInterestRateIndexMaturity(PROPER(Currency)&amp;"ibor"&amp;$T$2,H2)</f>
        <v>42254</v>
      </c>
      <c r="J2" s="360" t="e">
        <f>M2+$K$3</f>
        <v>#VALUE!</v>
      </c>
      <c r="K2" s="332"/>
      <c r="L2" s="332"/>
      <c r="M2" s="258" t="e">
        <f>_xll.qlTenorBasisValue($T$17,H2,Trigger)</f>
        <v>#VALUE!</v>
      </c>
      <c r="N2" s="332"/>
      <c r="O2" s="332"/>
      <c r="P2" s="332"/>
      <c r="Q2" s="359"/>
      <c r="S2" s="386" t="s">
        <v>95</v>
      </c>
      <c r="T2" s="387" t="s">
        <v>41</v>
      </c>
      <c r="W2" s="164">
        <f>SettlementDate</f>
        <v>42160</v>
      </c>
      <c r="X2" s="180" t="e">
        <f>_xll.qlTenorBasisValue(TenorBasis3M,W2,AllTriggers)</f>
        <v>#VALUE!</v>
      </c>
      <c r="Z2" s="377" t="s">
        <v>182</v>
      </c>
      <c r="AA2" s="378"/>
      <c r="AB2" s="386" t="s">
        <v>171</v>
      </c>
    </row>
    <row r="3" spans="1:28" ht="11.25" customHeight="1" x14ac:dyDescent="0.2">
      <c r="A3" s="356">
        <v>0</v>
      </c>
      <c r="B3" s="357" t="s">
        <v>37</v>
      </c>
      <c r="C3" s="358" t="str">
        <f>SUBSTITUTE($T$2,"M","")</f>
        <v>3</v>
      </c>
      <c r="D3" s="347" t="str">
        <f>PROPER(Currency&amp;IborType)&amp;T2&amp;"LastFixing"&amp;QuoteSuffix</f>
        <v>Euribor3MLastFixing_Quote</v>
      </c>
      <c r="E3" s="347" t="str">
        <f>_xll.qlSimpleQuote(UPPER("B"&amp;$T$2&amp;"_"&amp;A3&amp;B3&amp;C3&amp;"FIXING"),,,Permanent,Trigger,ObjectOverwrite)</f>
        <v>B3M_0X3FIXING#0000</v>
      </c>
      <c r="F3" s="518">
        <f>_xll.qlSimpleQuoteSetValue(E3,L3,AllTriggers)</f>
        <v>0</v>
      </c>
      <c r="G3" s="526">
        <f>_xll.qlDayCounterYearFraction("actual/365 (fixed)",SettlementDate,H3,,,Trigger)</f>
        <v>0</v>
      </c>
      <c r="H3" s="257">
        <f>SettlementDate</f>
        <v>42160</v>
      </c>
      <c r="I3" s="257">
        <f>_xll.qlInterestRateIndexMaturity(ON_6M_index,H3)</f>
        <v>42345</v>
      </c>
      <c r="J3" s="258">
        <f>_xll.qlQuoteValue(D3,LastFixingsTrigger)</f>
        <v>-1.4000000000000001E-4</v>
      </c>
      <c r="K3" s="258">
        <f>_xll.qlIndexFixing(ON_3M_index,_xll.qlInterestRateIndexFixingDate(ON_3M_index,H3),,AllTriggers)</f>
        <v>-1.2529986182886782E-3</v>
      </c>
      <c r="L3" s="360">
        <f t="shared" ref="L3:L21" si="0">J3-K3</f>
        <v>1.1129986182886783E-3</v>
      </c>
      <c r="M3" s="253" t="e">
        <f>_xll.qlTenorBasisValue($T$17,H3,Trigger)</f>
        <v>#VALUE!</v>
      </c>
      <c r="N3" s="254" t="e">
        <f>O3*10000</f>
        <v>#VALUE!</v>
      </c>
      <c r="O3" s="505" t="e">
        <f t="shared" ref="O3:O21" si="1">L3-M3</f>
        <v>#VALUE!</v>
      </c>
      <c r="P3" s="508">
        <f>_xll.qlYieldTSDiscount(Discounting,H3,,AllTriggers)</f>
        <v>1.0000066667000043</v>
      </c>
      <c r="Q3" s="329" t="b">
        <v>0</v>
      </c>
      <c r="W3" s="169">
        <f>_xll.qlCalendarAdvance(Calendar,W2,"1D","f")</f>
        <v>42163</v>
      </c>
      <c r="X3" s="167" t="e">
        <f>_xll.qlTenorBasisValue(TenorBasis3M,W3,AllTriggers)</f>
        <v>#VALUE!</v>
      </c>
      <c r="Z3" s="504" t="s">
        <v>162</v>
      </c>
      <c r="AA3" s="258">
        <v>1.2093474798235784E-3</v>
      </c>
      <c r="AB3" s="258" t="b">
        <f>U12</f>
        <v>1</v>
      </c>
    </row>
    <row r="4" spans="1:28" ht="11.25" customHeight="1" x14ac:dyDescent="0.2">
      <c r="A4" s="339">
        <v>1</v>
      </c>
      <c r="B4" s="117" t="s">
        <v>37</v>
      </c>
      <c r="C4" s="352">
        <f t="shared" ref="C4:C9" si="2">A4+SUBSTITUTE($T$2,"M","")</f>
        <v>4</v>
      </c>
      <c r="D4" s="348" t="str">
        <f t="shared" ref="D4:D9" si="3">Currency&amp;A4&amp;B4&amp;C4&amp;"F"&amp;QuoteSuffix</f>
        <v>EUR1x4F_Quote</v>
      </c>
      <c r="E4" s="348" t="str">
        <f>_xll.qlSimpleQuote(UPPER("B"&amp;$T$2&amp;"_"&amp;A4&amp;B4&amp;C4),,,Permanent,Trigger,ObjectOverwrite)</f>
        <v>B3M_1X4#0000</v>
      </c>
      <c r="F4" s="519">
        <f>_xll.qlSimpleQuoteSetValue(E4,L4,AllTriggers)</f>
        <v>0</v>
      </c>
      <c r="G4" s="527">
        <f>_xll.qlDayCounterYearFraction("actual/365 (fixed)",SettlementDate,H4,,,Trigger)</f>
        <v>8.4931506849315067E-2</v>
      </c>
      <c r="H4" s="164">
        <f>_xll.qlCalendarAdvance("target",SettlementDate,A4&amp;"M","mf",,Trigger)</f>
        <v>42191</v>
      </c>
      <c r="I4" s="164">
        <f>_xll.qlInterestRateIndexMaturity(ON_6M_index,H4)</f>
        <v>42375</v>
      </c>
      <c r="J4" s="180">
        <f>_xll.qlQuoteValue(D4,AllTriggers)</f>
        <v>-4.9999999999999996E-5</v>
      </c>
      <c r="K4" s="180">
        <f>_xll.qlIndexFixing(ON_3M_index,_xll.qlInterestRateIndexFixingDate(ON_3M_index,H4),,AllTriggers)</f>
        <v>-1.2820644811645002E-3</v>
      </c>
      <c r="L4" s="507">
        <f t="shared" si="0"/>
        <v>1.2320644811645003E-3</v>
      </c>
      <c r="M4" s="180" t="e">
        <f>_xll.qlTenorBasisValue($T$17,H4,Trigger)</f>
        <v>#VALUE!</v>
      </c>
      <c r="N4" s="334" t="e">
        <f t="shared" ref="N4:N21" si="4">O4*10000</f>
        <v>#VALUE!</v>
      </c>
      <c r="O4" s="506" t="e">
        <f t="shared" si="1"/>
        <v>#VALUE!</v>
      </c>
      <c r="P4" s="249">
        <f>_xll.qlYieldTSDiscount(Discounting,H4,,AllTriggers)</f>
        <v>1.0001090930777232</v>
      </c>
      <c r="Q4" s="336" t="b">
        <v>0</v>
      </c>
      <c r="S4" s="377" t="s">
        <v>183</v>
      </c>
      <c r="T4" s="378"/>
      <c r="V4" s="116"/>
      <c r="W4" s="169">
        <f>_xll.qlCalendarAdvance(Calendar,W3,"1D","f")</f>
        <v>42164</v>
      </c>
      <c r="X4" s="167" t="e">
        <f>_xll.qlTenorBasisValue(TenorBasis3M,W4,AllTriggers)</f>
        <v>#VALUE!</v>
      </c>
      <c r="Z4" s="504" t="s">
        <v>163</v>
      </c>
      <c r="AA4" s="258">
        <v>5.6902754313964399E-4</v>
      </c>
      <c r="AB4" s="509" t="b">
        <f>U13</f>
        <v>1</v>
      </c>
    </row>
    <row r="5" spans="1:28" ht="11.25" customHeight="1" x14ac:dyDescent="0.2">
      <c r="A5" s="339">
        <v>2</v>
      </c>
      <c r="B5" s="117" t="s">
        <v>37</v>
      </c>
      <c r="C5" s="352">
        <f t="shared" si="2"/>
        <v>5</v>
      </c>
      <c r="D5" s="349" t="str">
        <f t="shared" si="3"/>
        <v>EUR2x5F_Quote</v>
      </c>
      <c r="E5" s="349" t="str">
        <f>_xll.qlSimpleQuote(UPPER("B"&amp;$T$2&amp;"_"&amp;A5&amp;B5&amp;C5),,,Permanent,Trigger,ObjectOverwrite)</f>
        <v>B3M_2X5#0000</v>
      </c>
      <c r="F5" s="520">
        <f>_xll.qlSimpleQuoteSetValue(E5,L5,AllTriggers)</f>
        <v>0</v>
      </c>
      <c r="G5" s="288">
        <f>_xll.qlDayCounterYearFraction("actual/365 (fixed)",SettlementDate,H5,,,Trigger)</f>
        <v>0.16712328767123288</v>
      </c>
      <c r="H5" s="169">
        <f>_xll.qlCalendarAdvance("target",SettlementDate,A5&amp;"M","mf",,Trigger)</f>
        <v>42221</v>
      </c>
      <c r="I5" s="169">
        <f>_xll.qlInterestRateIndexMaturity(ON_6M_index,H5)</f>
        <v>42405</v>
      </c>
      <c r="J5" s="167">
        <f>_xll.qlQuoteValue(D5,AllTriggers)</f>
        <v>1.0000000000000009E-5</v>
      </c>
      <c r="K5" s="167">
        <f>_xll.qlIndexFixing(ON_3M_index,_xll.qlInterestRateIndexFixingDate(ON_3M_index,H5),,AllTriggers)</f>
        <v>-1.2907666746902783E-3</v>
      </c>
      <c r="L5" s="389">
        <f t="shared" si="0"/>
        <v>1.3007666746902783E-3</v>
      </c>
      <c r="M5" s="167" t="e">
        <f>_xll.qlTenorBasisValue($T$17,H5,Trigger)</f>
        <v>#VALUE!</v>
      </c>
      <c r="N5" s="255" t="e">
        <f t="shared" si="4"/>
        <v>#VALUE!</v>
      </c>
      <c r="O5" s="327" t="e">
        <f t="shared" si="1"/>
        <v>#VALUE!</v>
      </c>
      <c r="P5" s="250">
        <f>_xll.qlYieldTSDiscount(Discounting,H5,,AllTriggers)</f>
        <v>1.0002130018004083</v>
      </c>
      <c r="Q5" s="330" t="b">
        <v>0</v>
      </c>
      <c r="S5" s="504" t="s">
        <v>184</v>
      </c>
      <c r="T5" s="509" t="str">
        <f>_xll.qlPolynomialCalibration(,_xll.ohFilter($G$3:$G$21,$Q$3:$Q$21),_xll.ohFilter($L$3:$L$21,$Q$3:$Q$21),_xll.ohFilter($P$3:$P$21,$Q$3:$Q$21),_xll.ohFilter(AA3:AA7,AB3:AB7),,,,,Trigger)</f>
        <v>obj_008ae#0066</v>
      </c>
      <c r="V5" s="116"/>
      <c r="W5" s="169">
        <f>_xll.qlCalendarAdvance(Calendar,W4,"1D","f")</f>
        <v>42165</v>
      </c>
      <c r="X5" s="167" t="e">
        <f>_xll.qlTenorBasisValue(TenorBasis3M,W5,AllTriggers)</f>
        <v>#VALUE!</v>
      </c>
      <c r="Z5" s="504" t="s">
        <v>164</v>
      </c>
      <c r="AA5" s="258">
        <v>-4.3660782585958248E-4</v>
      </c>
      <c r="AB5" s="509" t="b">
        <f>U14</f>
        <v>1</v>
      </c>
    </row>
    <row r="6" spans="1:28" ht="11.25" customHeight="1" x14ac:dyDescent="0.2">
      <c r="A6" s="339">
        <f>A5+1</f>
        <v>3</v>
      </c>
      <c r="B6" s="117" t="s">
        <v>37</v>
      </c>
      <c r="C6" s="352">
        <f t="shared" si="2"/>
        <v>6</v>
      </c>
      <c r="D6" s="349" t="str">
        <f t="shared" si="3"/>
        <v>EUR3x6F_Quote</v>
      </c>
      <c r="E6" s="349" t="str">
        <f>_xll.qlSimpleQuote(UPPER("B"&amp;$T$2&amp;"_"&amp;A6&amp;B6&amp;C6),,,Permanent,Trigger,ObjectOverwrite)</f>
        <v>B3M_3X6#0000</v>
      </c>
      <c r="F6" s="520">
        <f>_xll.qlSimpleQuoteSetValue(E6,L6,AllTriggers)</f>
        <v>0</v>
      </c>
      <c r="G6" s="288">
        <f>_xll.qlDayCounterYearFraction("actual/365 (fixed)",SettlementDate,H6,,,Trigger)</f>
        <v>0.25753424657534246</v>
      </c>
      <c r="H6" s="169">
        <f>_xll.qlCalendarAdvance("target",SettlementDate,A6&amp;"M","mf",,Trigger)</f>
        <v>42254</v>
      </c>
      <c r="I6" s="169">
        <f>_xll.qlInterestRateIndexMaturity(ON_6M_index,H6)</f>
        <v>42436</v>
      </c>
      <c r="J6" s="167">
        <f>_xll.qlQuoteValue(D6,AllTriggers)</f>
        <v>3.9999999999999983E-5</v>
      </c>
      <c r="K6" s="167">
        <f>_xll.qlIndexFixing(ON_3M_index,_xll.qlInterestRateIndexFixingDate(ON_3M_index,H6),,AllTriggers)</f>
        <v>-1.2750586860603048E-3</v>
      </c>
      <c r="L6" s="389">
        <f t="shared" si="0"/>
        <v>1.3150586860603047E-3</v>
      </c>
      <c r="M6" s="167" t="e">
        <f>_xll.qlTenorBasisValue($T$17,H6,Trigger)</f>
        <v>#VALUE!</v>
      </c>
      <c r="N6" s="255" t="e">
        <f t="shared" si="4"/>
        <v>#VALUE!</v>
      </c>
      <c r="O6" s="327" t="e">
        <f t="shared" si="1"/>
        <v>#VALUE!</v>
      </c>
      <c r="P6" s="250">
        <f>_xll.qlYieldTSDiscount(Discounting,H6,,AllTriggers)</f>
        <v>1.0003339478197761</v>
      </c>
      <c r="Q6" s="330" t="b">
        <v>0</v>
      </c>
      <c r="S6" s="504" t="s">
        <v>185</v>
      </c>
      <c r="T6" s="509" t="b">
        <f>_xll.qlPolynomialCalibrationCompute($T$5)</f>
        <v>1</v>
      </c>
      <c r="V6" s="116"/>
      <c r="W6" s="169">
        <f>_xll.qlCalendarAdvance(Calendar,W5,"1D","f")</f>
        <v>42166</v>
      </c>
      <c r="X6" s="167" t="e">
        <f>_xll.qlTenorBasisValue(TenorBasis3M,W6,AllTriggers)</f>
        <v>#VALUE!</v>
      </c>
      <c r="Z6" s="504" t="s">
        <v>165</v>
      </c>
      <c r="AA6" s="258">
        <v>1.147272926255198E-4</v>
      </c>
      <c r="AB6" s="509" t="b">
        <f>U15</f>
        <v>1</v>
      </c>
    </row>
    <row r="7" spans="1:28" ht="11.25" customHeight="1" x14ac:dyDescent="0.2">
      <c r="A7" s="339">
        <f t="shared" ref="A7:A9" si="5">A6+1</f>
        <v>4</v>
      </c>
      <c r="B7" s="117" t="s">
        <v>37</v>
      </c>
      <c r="C7" s="352">
        <f t="shared" si="2"/>
        <v>7</v>
      </c>
      <c r="D7" s="349" t="str">
        <f t="shared" si="3"/>
        <v>EUR4x7F_Quote</v>
      </c>
      <c r="E7" s="349" t="str">
        <f>_xll.qlSimpleQuote(UPPER("B"&amp;$T$2&amp;"_"&amp;A7&amp;B7&amp;C7),,,Permanent,Trigger,ObjectOverwrite)</f>
        <v>B3M_4X7#0000</v>
      </c>
      <c r="F7" s="520">
        <f>_xll.qlSimpleQuoteSetValue(E7,L7,AllTriggers)</f>
        <v>0</v>
      </c>
      <c r="G7" s="288">
        <f>_xll.qlDayCounterYearFraction("actual/365 (fixed)",SettlementDate,H7,,,Trigger)</f>
        <v>0.33424657534246577</v>
      </c>
      <c r="H7" s="169">
        <f>_xll.qlCalendarAdvance("target",SettlementDate,A7&amp;"M","mf",,Trigger)</f>
        <v>42282</v>
      </c>
      <c r="I7" s="169">
        <f>_xll.qlInterestRateIndexMaturity(ON_6M_index,H7)</f>
        <v>42465</v>
      </c>
      <c r="J7" s="167">
        <f>_xll.qlQuoteValue(D7,AllTriggers)</f>
        <v>8.9999999999999979E-5</v>
      </c>
      <c r="K7" s="167">
        <f>_xll.qlIndexFixing(ON_3M_index,_xll.qlInterestRateIndexFixingDate(ON_3M_index,H7),,AllTriggers)</f>
        <v>-1.1976773872474813E-3</v>
      </c>
      <c r="L7" s="389">
        <f t="shared" si="0"/>
        <v>1.2876773872474814E-3</v>
      </c>
      <c r="M7" s="167" t="e">
        <f>_xll.qlTenorBasisValue($T$17,H7,Trigger)</f>
        <v>#VALUE!</v>
      </c>
      <c r="N7" s="255" t="e">
        <f t="shared" si="4"/>
        <v>#VALUE!</v>
      </c>
      <c r="O7" s="327" t="e">
        <f t="shared" si="1"/>
        <v>#VALUE!</v>
      </c>
      <c r="P7" s="250">
        <f>_xll.qlYieldTSDiscount(Discounting,H7,,AllTriggers)</f>
        <v>1.0004332970861023</v>
      </c>
      <c r="Q7" s="330" t="b">
        <v>0</v>
      </c>
      <c r="S7" s="504" t="s">
        <v>186</v>
      </c>
      <c r="T7" s="509" t="str">
        <f>_xll.qlPolynomialCalibrationEndCriteria(T5,)</f>
        <v>None</v>
      </c>
      <c r="V7" s="116"/>
      <c r="W7" s="169">
        <f>_xll.qlCalendarAdvance(Calendar,W6,"1D","f")</f>
        <v>42167</v>
      </c>
      <c r="X7" s="167" t="e">
        <f>_xll.qlTenorBasisValue(TenorBasis3M,W7,AllTriggers)</f>
        <v>#VALUE!</v>
      </c>
      <c r="Z7" s="504" t="s">
        <v>166</v>
      </c>
      <c r="AA7" s="258">
        <v>0</v>
      </c>
      <c r="AB7" s="509" t="b">
        <f>U16</f>
        <v>0</v>
      </c>
    </row>
    <row r="8" spans="1:28" ht="11.25" customHeight="1" x14ac:dyDescent="0.2">
      <c r="A8" s="339">
        <f t="shared" si="5"/>
        <v>5</v>
      </c>
      <c r="B8" s="117" t="s">
        <v>37</v>
      </c>
      <c r="C8" s="352">
        <f t="shared" si="2"/>
        <v>8</v>
      </c>
      <c r="D8" s="349" t="str">
        <f t="shared" si="3"/>
        <v>EUR5x8F_Quote</v>
      </c>
      <c r="E8" s="349" t="str">
        <f>_xll.qlSimpleQuote(UPPER("B"&amp;$T$2&amp;"_"&amp;A8&amp;B8&amp;C8),,,Permanent,Trigger,ObjectOverwrite)</f>
        <v>B3M_5X8#0000</v>
      </c>
      <c r="F8" s="520">
        <f>_xll.qlSimpleQuoteSetValue(E8,L8,AllTriggers)</f>
        <v>-1.0868036075433254E-6</v>
      </c>
      <c r="G8" s="288">
        <f>_xll.qlDayCounterYearFraction("actual/365 (fixed)",SettlementDate,H8,,,Trigger)</f>
        <v>0.41917808219178082</v>
      </c>
      <c r="H8" s="169">
        <f>_xll.qlCalendarAdvance("target",SettlementDate,A8&amp;"M","mf",,Trigger)</f>
        <v>42313</v>
      </c>
      <c r="I8" s="169">
        <f>_xll.qlInterestRateIndexMaturity(ON_6M_index,H8)</f>
        <v>42495</v>
      </c>
      <c r="J8" s="167">
        <f>_xll.qlQuoteValue(D8,AllTriggers)</f>
        <v>1.2999999999999999E-4</v>
      </c>
      <c r="K8" s="167">
        <f>_xll.qlIndexFixing(ON_3M_index,_xll.qlInterestRateIndexFixingDate(ON_3M_index,H8),,AllTriggers)</f>
        <v>-1.1930818997851755E-3</v>
      </c>
      <c r="L8" s="389">
        <f t="shared" si="0"/>
        <v>1.3230818997851754E-3</v>
      </c>
      <c r="M8" s="167" t="e">
        <f>_xll.qlTenorBasisValue($T$17,H8,Trigger)</f>
        <v>#VALUE!</v>
      </c>
      <c r="N8" s="255" t="e">
        <f t="shared" si="4"/>
        <v>#VALUE!</v>
      </c>
      <c r="O8" s="327" t="e">
        <f t="shared" si="1"/>
        <v>#VALUE!</v>
      </c>
      <c r="P8" s="250">
        <f>_xll.qlYieldTSDiscount(Discounting,H8,,AllTriggers)</f>
        <v>1.0005430435247975</v>
      </c>
      <c r="Q8" s="330" t="b">
        <v>0</v>
      </c>
      <c r="S8" s="504" t="s">
        <v>81</v>
      </c>
      <c r="T8" s="258">
        <f>_xll.qlPolynomialCalibrationError(T5,)</f>
        <v>8.6580663273954722E-5</v>
      </c>
      <c r="V8" s="116"/>
      <c r="W8" s="169">
        <f>_xll.qlCalendarAdvance(Calendar,W7,"1D","f")</f>
        <v>42170</v>
      </c>
      <c r="X8" s="167" t="e">
        <f>_xll.qlTenorBasisValue(TenorBasis3M,W8,AllTriggers)</f>
        <v>#VALUE!</v>
      </c>
    </row>
    <row r="9" spans="1:28" ht="11.25" customHeight="1" x14ac:dyDescent="0.2">
      <c r="A9" s="339">
        <f t="shared" si="5"/>
        <v>6</v>
      </c>
      <c r="B9" s="117" t="s">
        <v>37</v>
      </c>
      <c r="C9" s="352">
        <f t="shared" si="2"/>
        <v>9</v>
      </c>
      <c r="D9" s="349" t="str">
        <f t="shared" si="3"/>
        <v>EUR6x9F_Quote</v>
      </c>
      <c r="E9" s="349" t="str">
        <f>_xll.qlSimpleQuote(UPPER("B"&amp;$T$2&amp;"_"&amp;A9&amp;B9&amp;C9),,,Permanent,Trigger,ObjectOverwrite)</f>
        <v>B3M_6X9#0000</v>
      </c>
      <c r="F9" s="520">
        <f>_xll.qlSimpleQuoteSetValue(E9,L9,AllTriggers)</f>
        <v>-4.5048909244707093E-6</v>
      </c>
      <c r="G9" s="288">
        <f>_xll.qlDayCounterYearFraction("actual/365 (fixed)",SettlementDate,H9,,,Trigger)</f>
        <v>0.50684931506849318</v>
      </c>
      <c r="H9" s="169">
        <f>_xll.qlCalendarAdvance("target",SettlementDate,A9&amp;"M","mf",,Trigger)</f>
        <v>42345</v>
      </c>
      <c r="I9" s="169">
        <f>_xll.qlInterestRateIndexMaturity(ON_6M_index,H9)</f>
        <v>42528</v>
      </c>
      <c r="J9" s="167">
        <f>_xll.qlQuoteValue(D9,AllTriggers)</f>
        <v>1.7999999999999998E-4</v>
      </c>
      <c r="K9" s="167">
        <f>_xll.qlIndexFixing(ON_3M_index,_xll.qlInterestRateIndexFixingDate(ON_3M_index,H9),,AllTriggers)</f>
        <v>-1.1779276044152779E-3</v>
      </c>
      <c r="L9" s="389">
        <f t="shared" si="0"/>
        <v>1.3579276044152779E-3</v>
      </c>
      <c r="M9" s="167" t="e">
        <f>_xll.qlTenorBasisValue($T$17,H9,Trigger)</f>
        <v>#VALUE!</v>
      </c>
      <c r="N9" s="255" t="e">
        <f t="shared" si="4"/>
        <v>#VALUE!</v>
      </c>
      <c r="O9" s="327" t="e">
        <f t="shared" si="1"/>
        <v>#VALUE!</v>
      </c>
      <c r="P9" s="250">
        <f>_xll.qlYieldTSDiscount(Discounting,H9,,AllTriggers)</f>
        <v>1.0006564659042034</v>
      </c>
      <c r="Q9" s="330" t="b">
        <v>0</v>
      </c>
      <c r="S9" s="504" t="s">
        <v>181</v>
      </c>
      <c r="T9" s="258">
        <f>_xll.qlPolynomialCalibrationMaxError(T5,)</f>
        <v>4.263427255019373E-5</v>
      </c>
      <c r="V9" s="116"/>
      <c r="W9" s="169">
        <f>_xll.qlCalendarAdvance(Calendar,W8,"1D","f")</f>
        <v>42171</v>
      </c>
      <c r="X9" s="167" t="e">
        <f>_xll.qlTenorBasisValue(TenorBasis3M,W9,AllTriggers)</f>
        <v>#VALUE!</v>
      </c>
    </row>
    <row r="10" spans="1:28" ht="11.25" customHeight="1" x14ac:dyDescent="0.2">
      <c r="A10" s="535" t="b">
        <v>0</v>
      </c>
      <c r="B10" s="534"/>
      <c r="C10" s="353" t="str">
        <f>_xll.qlIMMNextCode(SettlementDate,A11)</f>
        <v>M5</v>
      </c>
      <c r="D10" s="348" t="str">
        <f t="shared" ref="D10:D21" si="6">Currency&amp;"FUT"&amp;"3M"&amp;C10&amp;QuoteSuffix</f>
        <v>EURFUT3MM5_Quote</v>
      </c>
      <c r="E10" s="348" t="str">
        <f>_xll.qlSimpleQuote(UPPER("B"&amp;$T$2&amp;"_"&amp;C10),,,Permanent,Trigger,ObjectOverwrite)</f>
        <v>B3M_M5#0000</v>
      </c>
      <c r="F10" s="519">
        <f>_xll.qlSimpleQuoteSetValue(E10,L10,AllTriggers)</f>
        <v>0</v>
      </c>
      <c r="G10" s="527">
        <f>_xll.qlDayCounterYearFraction("actual/365 (fixed)",SettlementDate,H10,,,Trigger)</f>
        <v>3.287671232876712E-2</v>
      </c>
      <c r="H10" s="164">
        <f>_xll.qlIMMdate(C10,SettlementDate,Trigger)</f>
        <v>42172</v>
      </c>
      <c r="I10" s="164">
        <f>_xll.qlInterestRateIndexMaturity(ON_6M_index,H10)</f>
        <v>42355</v>
      </c>
      <c r="J10" s="180">
        <f>1-_xll.qlQuoteValue(D10,AllTriggers)/100-_xll.qlQuoteValue(Currency&amp;"FUT"&amp;"3M"&amp;C10&amp;"ConvAdj_Quote")</f>
        <v>-7.4999999999825206E-5</v>
      </c>
      <c r="K10" s="180">
        <f>_xll.qlIndexFixing(ON_3M_index,_xll.qlInterestRateIndexFixingDate(ON_3M_index,H10),,AllTriggers)</f>
        <v>-1.2663017029431204E-3</v>
      </c>
      <c r="L10" s="507">
        <f t="shared" si="0"/>
        <v>1.1913017029432952E-3</v>
      </c>
      <c r="M10" s="180" t="e">
        <f>_xll.qlTenorBasisValue($T$17,H10,Trigger)</f>
        <v>#VALUE!</v>
      </c>
      <c r="N10" s="334" t="e">
        <f t="shared" si="4"/>
        <v>#VALUE!</v>
      </c>
      <c r="O10" s="506" t="e">
        <f t="shared" si="1"/>
        <v>#VALUE!</v>
      </c>
      <c r="P10" s="249">
        <f>_xll.qlYieldTSDiscount(Discounting,H10,,AllTriggers)</f>
        <v>1.0000461685747972</v>
      </c>
      <c r="Q10" s="336" t="b">
        <v>1</v>
      </c>
      <c r="V10" s="116"/>
      <c r="W10" s="169">
        <f>_xll.qlCalendarAdvance(Calendar,W9,"1D","f")</f>
        <v>42172</v>
      </c>
      <c r="X10" s="167" t="e">
        <f>_xll.qlTenorBasisValue(TenorBasis3M,W10,AllTriggers)</f>
        <v>#VALUE!</v>
      </c>
    </row>
    <row r="11" spans="1:28" ht="11.25" customHeight="1" x14ac:dyDescent="0.2">
      <c r="A11" s="339" t="b">
        <v>0</v>
      </c>
      <c r="B11" s="117"/>
      <c r="C11" s="352" t="str">
        <f>_xll.qlIMMNextCode(C10,A11)</f>
        <v>N5</v>
      </c>
      <c r="D11" s="349" t="str">
        <f t="shared" si="6"/>
        <v>EURFUT3MN5_Quote</v>
      </c>
      <c r="E11" s="349" t="str">
        <f>_xll.qlSimpleQuote(UPPER("B"&amp;$T$2&amp;"_"&amp;C11),,,Permanent,Trigger,ObjectOverwrite)</f>
        <v>B3M_N5#0000</v>
      </c>
      <c r="F11" s="520">
        <f>_xll.qlSimpleQuoteSetValue(E11,L11,AllTriggers)</f>
        <v>0</v>
      </c>
      <c r="G11" s="288">
        <f>_xll.qlDayCounterYearFraction("actual/365 (fixed)",SettlementDate,H11,,,Trigger)</f>
        <v>0.1095890410958904</v>
      </c>
      <c r="H11" s="169">
        <f>_xll.qlIMMdate(C11,SettlementDate,Trigger)</f>
        <v>42200</v>
      </c>
      <c r="I11" s="169">
        <f>_xll.qlInterestRateIndexMaturity(ON_6M_index,H11)</f>
        <v>42384</v>
      </c>
      <c r="J11" s="167">
        <f>1-_xll.qlQuoteValue(D11,AllTriggers)/100-_xll.qlQuoteValue(Currency&amp;"FUT"&amp;"3M"&amp;C11&amp;"ConvAdj_Quote")</f>
        <v>-4.9999999999883471E-5</v>
      </c>
      <c r="K11" s="167">
        <f>_xll.qlIndexFixing(ON_3M_index,_xll.qlInterestRateIndexFixingDate(ON_3M_index,H11),,AllTriggers)</f>
        <v>-1.280578739028658E-3</v>
      </c>
      <c r="L11" s="389">
        <f t="shared" si="0"/>
        <v>1.2305787390287746E-3</v>
      </c>
      <c r="M11" s="167" t="e">
        <f>_xll.qlTenorBasisValue($T$17,H11,Trigger)</f>
        <v>#VALUE!</v>
      </c>
      <c r="N11" s="255" t="e">
        <f t="shared" si="4"/>
        <v>#VALUE!</v>
      </c>
      <c r="O11" s="327" t="e">
        <f t="shared" si="1"/>
        <v>#VALUE!</v>
      </c>
      <c r="P11" s="250">
        <f>_xll.qlYieldTSDiscount(Discounting,H11,,AllTriggers)</f>
        <v>1.0001416634364066</v>
      </c>
      <c r="Q11" s="330" t="b">
        <v>1</v>
      </c>
      <c r="S11" s="377" t="s">
        <v>144</v>
      </c>
      <c r="T11" s="378"/>
      <c r="U11" s="386" t="s">
        <v>171</v>
      </c>
      <c r="V11" s="116"/>
      <c r="W11" s="169">
        <f>_xll.qlCalendarAdvance(Calendar,W10,"1D","f")</f>
        <v>42173</v>
      </c>
      <c r="X11" s="167" t="e">
        <f>_xll.qlTenorBasisValue(TenorBasis3M,W11,AllTriggers)</f>
        <v>#VALUE!</v>
      </c>
    </row>
    <row r="12" spans="1:28" ht="11.25" customHeight="1" x14ac:dyDescent="0.2">
      <c r="A12" s="339" t="b">
        <v>1</v>
      </c>
      <c r="B12" s="117"/>
      <c r="C12" s="352" t="str">
        <f>_xll.qlIMMNextCode(C11,A12)</f>
        <v>U5</v>
      </c>
      <c r="D12" s="349" t="str">
        <f t="shared" si="6"/>
        <v>EURFUT3MU5_Quote</v>
      </c>
      <c r="E12" s="349" t="str">
        <f>_xll.qlSimpleQuote(UPPER("B"&amp;$T$2&amp;"_"&amp;C12),,,Permanent,Trigger,ObjectOverwrite)</f>
        <v>B3M_U5#0000</v>
      </c>
      <c r="F12" s="520">
        <f>_xll.qlSimpleQuoteSetValue(E12,L12,AllTriggers)</f>
        <v>0</v>
      </c>
      <c r="G12" s="288">
        <f>_xll.qlDayCounterYearFraction("actual/365 (fixed)",SettlementDate,H12,,,Trigger)</f>
        <v>0.28219178082191781</v>
      </c>
      <c r="H12" s="169">
        <f>_xll.qlIMMdate(C12,SettlementDate,Trigger)</f>
        <v>42263</v>
      </c>
      <c r="I12" s="169">
        <f>_xll.qlInterestRateIndexMaturity(ON_6M_index,H12)</f>
        <v>42445</v>
      </c>
      <c r="J12" s="167">
        <f>1-_xll.qlQuoteValue(D12,AllTriggers)/100-_xll.qlQuoteValue(Currency&amp;"FUT"&amp;"3M"&amp;C12&amp;"ConvAdj_Quote")</f>
        <v>7.4999999999936229E-5</v>
      </c>
      <c r="K12" s="167">
        <f>_xll.qlIndexFixing(ON_3M_index,_xll.qlInterestRateIndexFixingDate(ON_3M_index,H12),,AllTriggers)</f>
        <v>-1.2839249000281465E-3</v>
      </c>
      <c r="L12" s="389">
        <f t="shared" si="0"/>
        <v>1.3589249000280827E-3</v>
      </c>
      <c r="M12" s="167" t="e">
        <f>_xll.qlTenorBasisValue($T$17,H12,Trigger)</f>
        <v>#VALUE!</v>
      </c>
      <c r="N12" s="255" t="e">
        <f t="shared" si="4"/>
        <v>#VALUE!</v>
      </c>
      <c r="O12" s="327" t="e">
        <f t="shared" si="1"/>
        <v>#VALUE!</v>
      </c>
      <c r="P12" s="250">
        <f>_xll.qlYieldTSDiscount(Discounting,H12,,AllTriggers)</f>
        <v>1.0003663211231091</v>
      </c>
      <c r="Q12" s="330" t="b">
        <v>1</v>
      </c>
      <c r="S12" s="504" t="s">
        <v>162</v>
      </c>
      <c r="T12" s="258">
        <f t="array" ref="T12:T16">_xll.qlPolynomialCalibrationCoefficients($T$5,)</f>
        <v>1.1762372280002713E-3</v>
      </c>
      <c r="U12" s="258" t="b">
        <v>1</v>
      </c>
      <c r="V12" s="116"/>
      <c r="W12" s="169">
        <f>_xll.qlCalendarAdvance(Calendar,W11,"1D","f")</f>
        <v>42174</v>
      </c>
      <c r="X12" s="167" t="e">
        <f>_xll.qlTenorBasisValue(TenorBasis3M,W12,AllTriggers)</f>
        <v>#VALUE!</v>
      </c>
      <c r="AB12" s="141"/>
    </row>
    <row r="13" spans="1:28" ht="11.25" customHeight="1" x14ac:dyDescent="0.2">
      <c r="A13" s="339" t="b">
        <v>1</v>
      </c>
      <c r="B13" s="117"/>
      <c r="C13" s="352" t="str">
        <f>_xll.qlIMMNextCode(C12,A13)</f>
        <v>Z5</v>
      </c>
      <c r="D13" s="349" t="str">
        <f t="shared" si="6"/>
        <v>EURFUT3MZ5_Quote</v>
      </c>
      <c r="E13" s="349" t="str">
        <f>_xll.qlSimpleQuote(UPPER("B"&amp;$T$2&amp;"_"&amp;C13),,,Permanent,Trigger,ObjectOverwrite)</f>
        <v>B3M_Z5#0000</v>
      </c>
      <c r="F13" s="520">
        <f>_xll.qlSimpleQuoteSetValue(E13,L13,AllTriggers)</f>
        <v>-5.4937894418299101E-6</v>
      </c>
      <c r="G13" s="288">
        <f>_xll.qlDayCounterYearFraction("actual/365 (fixed)",SettlementDate,H13,,,Trigger)</f>
        <v>0.53150684931506853</v>
      </c>
      <c r="H13" s="169">
        <f>_xll.qlIMMdate(C13,SettlementDate,Trigger)</f>
        <v>42354</v>
      </c>
      <c r="I13" s="169">
        <f>_xll.qlInterestRateIndexMaturity(ON_6M_index,H13)</f>
        <v>42537</v>
      </c>
      <c r="J13" s="167">
        <f>1-_xll.qlQuoteValue(D13,AllTriggers)/100-_xll.qlQuoteValue(Currency&amp;"FUT"&amp;"3M"&amp;C13&amp;"ConvAdj_Quote")</f>
        <v>1.7500000000003624E-4</v>
      </c>
      <c r="K13" s="167">
        <f>_xll.qlIndexFixing(ON_3M_index,_xll.qlInterestRateIndexFixingDate(ON_3M_index,H13),,AllTriggers)</f>
        <v>-1.1630198802805678E-3</v>
      </c>
      <c r="L13" s="389">
        <f t="shared" si="0"/>
        <v>1.338019880280604E-3</v>
      </c>
      <c r="M13" s="167" t="e">
        <f>_xll.qlTenorBasisValue($T$17,H13,Trigger)</f>
        <v>#VALUE!</v>
      </c>
      <c r="N13" s="255" t="e">
        <f t="shared" si="4"/>
        <v>#VALUE!</v>
      </c>
      <c r="O13" s="327" t="e">
        <f t="shared" si="1"/>
        <v>#VALUE!</v>
      </c>
      <c r="P13" s="250">
        <f>_xll.qlYieldTSDiscount(Discounting,H13,,AllTriggers)</f>
        <v>1.0006910930988357</v>
      </c>
      <c r="Q13" s="330" t="b">
        <v>1</v>
      </c>
      <c r="S13" s="504" t="s">
        <v>163</v>
      </c>
      <c r="T13" s="258">
        <v>6.5150921028998029E-4</v>
      </c>
      <c r="U13" s="258" t="b">
        <v>1</v>
      </c>
      <c r="V13" s="116"/>
      <c r="W13" s="169">
        <f>_xll.qlCalendarAdvance(Calendar,W12,"1D","f")</f>
        <v>42177</v>
      </c>
      <c r="X13" s="167" t="e">
        <f>_xll.qlTenorBasisValue(TenorBasis3M,W13,AllTriggers)</f>
        <v>#VALUE!</v>
      </c>
    </row>
    <row r="14" spans="1:28" ht="11.25" customHeight="1" x14ac:dyDescent="0.2">
      <c r="A14" s="339" t="b">
        <v>1</v>
      </c>
      <c r="B14" s="117"/>
      <c r="C14" s="352" t="str">
        <f>_xll.qlIMMNextCode(C13,A14)</f>
        <v>H6</v>
      </c>
      <c r="D14" s="349" t="str">
        <f t="shared" si="6"/>
        <v>EURFUT3MH6_Quote</v>
      </c>
      <c r="E14" s="349" t="str">
        <f>_xll.qlSimpleQuote(UPPER("B"&amp;$T$2&amp;"_"&amp;C14),,,Permanent,Trigger,ObjectOverwrite)</f>
        <v>B3M_H6#0000</v>
      </c>
      <c r="F14" s="520">
        <f>_xll.qlSimpleQuoteSetValue(E14,L14,AllTriggers)</f>
        <v>4.3627507693446387E-7</v>
      </c>
      <c r="G14" s="288">
        <f>_xll.qlDayCounterYearFraction("actual/365 (fixed)",SettlementDate,H14,,,Trigger)</f>
        <v>0.78082191780821919</v>
      </c>
      <c r="H14" s="169">
        <f>_xll.qlIMMdate(C14,SettlementDate,Trigger)</f>
        <v>42445</v>
      </c>
      <c r="I14" s="169">
        <f>_xll.qlInterestRateIndexMaturity(ON_6M_index,H14)</f>
        <v>42629</v>
      </c>
      <c r="J14" s="167">
        <f>1-_xll.qlQuoteValue(D14,AllTriggers)/100-_xll.qlQuoteValue(Currency&amp;"FUT"&amp;"3M"&amp;C14&amp;"ConvAdj_Quote")</f>
        <v>3.2500000000001972E-4</v>
      </c>
      <c r="K14" s="167">
        <f>_xll.qlIndexFixing(ON_3M_index,_xll.qlInterestRateIndexFixingDate(ON_3M_index,H14),,AllTriggers)</f>
        <v>-1.0833070004506488E-3</v>
      </c>
      <c r="L14" s="389">
        <f t="shared" si="0"/>
        <v>1.4083070004506685E-3</v>
      </c>
      <c r="M14" s="167" t="e">
        <f>_xll.qlTenorBasisValue($T$17,H14,Trigger)</f>
        <v>#VALUE!</v>
      </c>
      <c r="N14" s="255" t="e">
        <f t="shared" si="4"/>
        <v>#VALUE!</v>
      </c>
      <c r="O14" s="327" t="e">
        <f t="shared" si="1"/>
        <v>#VALUE!</v>
      </c>
      <c r="P14" s="250">
        <f>_xll.qlYieldTSDiscount(Discounting,H14,,AllTriggers)</f>
        <v>1.0009853683637753</v>
      </c>
      <c r="Q14" s="330" t="b">
        <v>1</v>
      </c>
      <c r="S14" s="504" t="s">
        <v>164</v>
      </c>
      <c r="T14" s="258">
        <v>-5.9373135479473527E-4</v>
      </c>
      <c r="U14" s="258" t="b">
        <v>1</v>
      </c>
      <c r="V14" s="116"/>
      <c r="W14" s="169">
        <f>_xll.qlCalendarAdvance(Calendar,W13,"1D","f")</f>
        <v>42178</v>
      </c>
      <c r="X14" s="167" t="e">
        <f>_xll.qlTenorBasisValue(TenorBasis3M,W14,AllTriggers)</f>
        <v>#VALUE!</v>
      </c>
    </row>
    <row r="15" spans="1:28" ht="11.25" customHeight="1" x14ac:dyDescent="0.2">
      <c r="A15" s="339" t="b">
        <v>1</v>
      </c>
      <c r="B15" s="117"/>
      <c r="C15" s="352" t="str">
        <f>_xll.qlIMMNextCode(C14,A15)</f>
        <v>M6</v>
      </c>
      <c r="D15" s="349" t="str">
        <f t="shared" si="6"/>
        <v>EURFUT3MM6_Quote</v>
      </c>
      <c r="E15" s="349" t="str">
        <f>_xll.qlSimpleQuote(UPPER("B"&amp;$T$2&amp;"_"&amp;C15),,,Permanent,Trigger,ObjectOverwrite)</f>
        <v>B3M_M6#0000</v>
      </c>
      <c r="F15" s="520">
        <f>_xll.qlSimpleQuoteSetValue(E15,L15,AllTriggers)</f>
        <v>4.0269238730527863E-6</v>
      </c>
      <c r="G15" s="288">
        <f>_xll.qlDayCounterYearFraction("actual/365 (fixed)",SettlementDate,H15,,,Trigger)</f>
        <v>1.0301369863013699</v>
      </c>
      <c r="H15" s="169">
        <f>_xll.qlIMMdate(C15,SettlementDate,Trigger)</f>
        <v>42536</v>
      </c>
      <c r="I15" s="169">
        <f>_xll.qlInterestRateIndexMaturity(ON_6M_index,H15)</f>
        <v>42719</v>
      </c>
      <c r="J15" s="167">
        <f>1-_xll.qlQuoteValue(D15,AllTriggers)/100-_xll.qlQuoteValue(Currency&amp;"FUT"&amp;"3M"&amp;C15&amp;"ConvAdj_Quote")</f>
        <v>4.750000000000032E-4</v>
      </c>
      <c r="K15" s="167">
        <f>_xll.qlIndexFixing(ON_3M_index,_xll.qlInterestRateIndexFixingDate(ON_3M_index,H15),,AllTriggers)</f>
        <v>-9.1360705108178852E-4</v>
      </c>
      <c r="L15" s="389">
        <f t="shared" si="0"/>
        <v>1.3886070510817916E-3</v>
      </c>
      <c r="M15" s="167" t="e">
        <f>_xll.qlTenorBasisValue($T$17,H15,Trigger)</f>
        <v>#VALUE!</v>
      </c>
      <c r="N15" s="255" t="e">
        <f t="shared" si="4"/>
        <v>#VALUE!</v>
      </c>
      <c r="O15" s="327" t="e">
        <f t="shared" si="1"/>
        <v>#VALUE!</v>
      </c>
      <c r="P15" s="250">
        <f>_xll.qlYieldTSDiscount(Discounting,H15,,AllTriggers)</f>
        <v>1.0012596281053951</v>
      </c>
      <c r="Q15" s="330" t="b">
        <v>1</v>
      </c>
      <c r="S15" s="504" t="s">
        <v>165</v>
      </c>
      <c r="T15" s="258">
        <v>1.5499551540638611E-4</v>
      </c>
      <c r="U15" s="258" t="b">
        <v>1</v>
      </c>
      <c r="V15" s="116"/>
      <c r="W15" s="169">
        <f>_xll.qlCalendarAdvance(Calendar,W14,"1D","f")</f>
        <v>42179</v>
      </c>
      <c r="X15" s="167" t="e">
        <f>_xll.qlTenorBasisValue(TenorBasis3M,W15,AllTriggers)</f>
        <v>#VALUE!</v>
      </c>
    </row>
    <row r="16" spans="1:28" ht="11.25" customHeight="1" x14ac:dyDescent="0.2">
      <c r="A16" s="339" t="b">
        <v>1</v>
      </c>
      <c r="B16" s="117"/>
      <c r="C16" s="352" t="str">
        <f>_xll.qlIMMNextCode(C15,A16)</f>
        <v>U6</v>
      </c>
      <c r="D16" s="349" t="str">
        <f t="shared" si="6"/>
        <v>EURFUT3MU6_Quote</v>
      </c>
      <c r="E16" s="349" t="str">
        <f>_xll.qlSimpleQuote(UPPER("B"&amp;$T$2&amp;"_"&amp;C16),,,Permanent,Trigger,ObjectOverwrite)</f>
        <v>B3M_U6#0000</v>
      </c>
      <c r="F16" s="520">
        <f>_xll.qlSimpleQuoteSetValue(E16,L16,AllTriggers)</f>
        <v>1.1278840180059839E-5</v>
      </c>
      <c r="G16" s="288">
        <f>_xll.qlDayCounterYearFraction("actual/365 (fixed)",SettlementDate,H16,,,Trigger)</f>
        <v>1.2986301369863014</v>
      </c>
      <c r="H16" s="169">
        <f>_xll.qlIMMdate(C16,SettlementDate,Trigger)</f>
        <v>42634</v>
      </c>
      <c r="I16" s="169">
        <f>_xll.qlInterestRateIndexMaturity(ON_6M_index,H16)</f>
        <v>42815</v>
      </c>
      <c r="J16" s="167">
        <f>1-_xll.qlQuoteValue(D16,AllTriggers)/100-_xll.qlQuoteValue(Currency&amp;"FUT"&amp;"3M"&amp;C16&amp;"ConvAdj_Quote")</f>
        <v>7.7499999999997016E-4</v>
      </c>
      <c r="K16" s="167">
        <f>_xll.qlIndexFixing(ON_3M_index,_xll.qlInterestRateIndexFixingDate(ON_3M_index,H16),,AllTriggers)</f>
        <v>-7.1513301591398233E-4</v>
      </c>
      <c r="L16" s="389">
        <f t="shared" si="0"/>
        <v>1.4901330159139525E-3</v>
      </c>
      <c r="M16" s="167" t="e">
        <f>_xll.qlTenorBasisValue($T$17,H16,Trigger)</f>
        <v>#VALUE!</v>
      </c>
      <c r="N16" s="255" t="e">
        <f t="shared" si="4"/>
        <v>#VALUE!</v>
      </c>
      <c r="O16" s="327" t="e">
        <f t="shared" si="1"/>
        <v>#VALUE!</v>
      </c>
      <c r="P16" s="250">
        <f>_xll.qlYieldTSDiscount(Discounting,H16,,AllTriggers)</f>
        <v>1.0015063057295155</v>
      </c>
      <c r="Q16" s="330" t="b">
        <v>0</v>
      </c>
      <c r="S16" s="504" t="s">
        <v>166</v>
      </c>
      <c r="T16" s="258" t="e">
        <v>#N/A</v>
      </c>
      <c r="U16" s="258" t="b">
        <v>0</v>
      </c>
      <c r="V16" s="116"/>
      <c r="W16" s="169">
        <f>_xll.qlCalendarAdvance(Calendar,W15,"1D","f")</f>
        <v>42180</v>
      </c>
      <c r="X16" s="167" t="e">
        <f>_xll.qlTenorBasisValue(TenorBasis3M,W16,AllTriggers)</f>
        <v>#VALUE!</v>
      </c>
    </row>
    <row r="17" spans="1:24" ht="11.25" customHeight="1" x14ac:dyDescent="0.2">
      <c r="A17" s="339" t="b">
        <v>1</v>
      </c>
      <c r="B17" s="117"/>
      <c r="C17" s="352" t="str">
        <f>_xll.qlIMMNextCode(C16,A17)</f>
        <v>Z6</v>
      </c>
      <c r="D17" s="349" t="str">
        <f t="shared" si="6"/>
        <v>EURFUT3MZ6_Quote</v>
      </c>
      <c r="E17" s="349" t="str">
        <f>_xll.qlSimpleQuote(UPPER("B"&amp;$T$2&amp;"_"&amp;C17),,,Permanent,Trigger,ObjectOverwrite)</f>
        <v>B3M_Z6#0000</v>
      </c>
      <c r="F17" s="520">
        <f>_xll.qlSimpleQuoteSetValue(E17,L17,AllTriggers)</f>
        <v>6.861352506470908E-5</v>
      </c>
      <c r="G17" s="288">
        <f>_xll.qlDayCounterYearFraction("actual/365 (fixed)",SettlementDate,H17,,,Trigger)</f>
        <v>1.547945205479452</v>
      </c>
      <c r="H17" s="169">
        <f>_xll.qlIMMdate(C17,SettlementDate,Trigger)</f>
        <v>42725</v>
      </c>
      <c r="I17" s="169">
        <f>_xll.qlInterestRateIndexMaturity(ON_6M_index,H17)</f>
        <v>42907</v>
      </c>
      <c r="J17" s="167">
        <f>1-_xll.qlQuoteValue(D17,AllTriggers)/100-_xll.qlQuoteValue(Currency&amp;"FUT"&amp;"3M"&amp;C17&amp;"ConvAdj_Quote")</f>
        <v>1.1750000000000371E-3</v>
      </c>
      <c r="K17" s="167">
        <f>_xll.qlIndexFixing(ON_3M_index,_xll.qlInterestRateIndexFixingDate(ON_3M_index,H17),,AllTriggers)</f>
        <v>-3.6714744891241935E-4</v>
      </c>
      <c r="L17" s="389">
        <f t="shared" si="0"/>
        <v>1.5421474489124565E-3</v>
      </c>
      <c r="M17" s="167" t="e">
        <f>_xll.qlTenorBasisValue($T$17,H17,Trigger)</f>
        <v>#VALUE!</v>
      </c>
      <c r="N17" s="255" t="e">
        <f t="shared" si="4"/>
        <v>#VALUE!</v>
      </c>
      <c r="O17" s="327" t="e">
        <f t="shared" si="1"/>
        <v>#VALUE!</v>
      </c>
      <c r="P17" s="250">
        <f>_xll.qlYieldTSDiscount(Discounting,H17,,AllTriggers)</f>
        <v>1.0016873804914173</v>
      </c>
      <c r="Q17" s="330" t="b">
        <v>0</v>
      </c>
      <c r="S17" s="504" t="s">
        <v>167</v>
      </c>
      <c r="T17" s="258" t="e">
        <f>_xll.qlPolynomialTenorBasis(,SettlementDate,PROPER(Currency)&amp;IborType&amp;$T$2,Discounting,TRUE,_xll.ohFilter(Basis_coef,U12:U16),,Trigger)</f>
        <v>#NUM!</v>
      </c>
      <c r="V17" s="116"/>
      <c r="W17" s="169">
        <f>_xll.qlCalendarAdvance(Calendar,W16,"1D","f")</f>
        <v>42181</v>
      </c>
      <c r="X17" s="167" t="e">
        <f>_xll.qlTenorBasisValue(TenorBasis3M,W17,AllTriggers)</f>
        <v>#VALUE!</v>
      </c>
    </row>
    <row r="18" spans="1:24" ht="11.25" customHeight="1" x14ac:dyDescent="0.2">
      <c r="A18" s="339" t="b">
        <v>1</v>
      </c>
      <c r="B18" s="117"/>
      <c r="C18" s="352" t="str">
        <f>_xll.qlIMMNextCode(C17,A18)</f>
        <v>H7</v>
      </c>
      <c r="D18" s="349" t="str">
        <f t="shared" si="6"/>
        <v>EURFUT3MH7_Quote</v>
      </c>
      <c r="E18" s="349" t="str">
        <f>_xll.qlSimpleQuote(UPPER("B"&amp;$T$2&amp;"_"&amp;C18),,,Permanent,Trigger,ObjectOverwrite)</f>
        <v>B3M_H7#0000</v>
      </c>
      <c r="F18" s="520">
        <f>_xll.qlSimpleQuoteSetValue(E18,L18,AllTriggers)</f>
        <v>4.5851685265998858E-6</v>
      </c>
      <c r="G18" s="288">
        <f>_xll.qlDayCounterYearFraction("actual/365 (fixed)",SettlementDate,H18,,,Trigger)</f>
        <v>1.7780821917808218</v>
      </c>
      <c r="H18" s="169">
        <f>_xll.qlIMMdate(C18,SettlementDate,Trigger)</f>
        <v>42809</v>
      </c>
      <c r="I18" s="169">
        <f>_xll.qlInterestRateIndexMaturity(ON_6M_index,H18)</f>
        <v>42993</v>
      </c>
      <c r="J18" s="167">
        <f>1-_xll.qlQuoteValue(D18,AllTriggers)/100-_xll.qlQuoteValue(Currency&amp;"FUT"&amp;"3M"&amp;C18&amp;"ConvAdj_Quote")</f>
        <v>1.6750000000000931E-3</v>
      </c>
      <c r="K18" s="167">
        <f>_xll.qlIndexFixing(ON_3M_index,_xll.qlInterestRateIndexFixingDate(ON_3M_index,H18),,AllTriggers)</f>
        <v>1.2185313307508264E-4</v>
      </c>
      <c r="L18" s="389">
        <f t="shared" si="0"/>
        <v>1.5531468669250106E-3</v>
      </c>
      <c r="M18" s="167" t="e">
        <f>_xll.qlTenorBasisValue($T$17,H18,Trigger)</f>
        <v>#VALUE!</v>
      </c>
      <c r="N18" s="255" t="e">
        <f t="shared" si="4"/>
        <v>#VALUE!</v>
      </c>
      <c r="O18" s="327" t="e">
        <f t="shared" si="1"/>
        <v>#VALUE!</v>
      </c>
      <c r="P18" s="250">
        <f>_xll.qlYieldTSDiscount(Discounting,H18,,AllTriggers)</f>
        <v>1.0017759196364133</v>
      </c>
      <c r="Q18" s="330" t="b">
        <v>0</v>
      </c>
      <c r="S18" s="504" t="s">
        <v>188</v>
      </c>
      <c r="T18" s="258" t="str">
        <f>_xll.qlIborIndex(,,T2,2,Currency,Calendar,"mf",TRUE,DayCounter,Discounting,,Trigger)</f>
        <v>obj_00848#0000</v>
      </c>
      <c r="V18" s="116"/>
      <c r="W18" s="169">
        <f>_xll.qlCalendarAdvance(Calendar,W17,"1D","f")</f>
        <v>42184</v>
      </c>
      <c r="X18" s="167" t="e">
        <f>_xll.qlTenorBasisValue(TenorBasis3M,W18,AllTriggers)</f>
        <v>#VALUE!</v>
      </c>
    </row>
    <row r="19" spans="1:24" ht="11.25" customHeight="1" x14ac:dyDescent="0.2">
      <c r="A19" s="339" t="b">
        <v>1</v>
      </c>
      <c r="B19" s="117"/>
      <c r="C19" s="352" t="str">
        <f>_xll.qlIMMNextCode(C18,A19)</f>
        <v>M7</v>
      </c>
      <c r="D19" s="349" t="str">
        <f t="shared" si="6"/>
        <v>EURFUT3MM7_Quote</v>
      </c>
      <c r="E19" s="349" t="str">
        <f>_xll.qlSimpleQuote(UPPER("B"&amp;$T$2&amp;"_"&amp;C19),,,Permanent,Trigger,ObjectOverwrite)</f>
        <v>B3M_M7#0000</v>
      </c>
      <c r="F19" s="520">
        <f>_xll.qlSimpleQuoteSetValue(E19,L19,AllTriggers)</f>
        <v>-1.2749651769122447E-6</v>
      </c>
      <c r="G19" s="288">
        <f>_xll.qlDayCounterYearFraction("actual/365 (fixed)",SettlementDate,H19,,,Trigger)</f>
        <v>2.0465753424657533</v>
      </c>
      <c r="H19" s="169">
        <f>_xll.qlIMMdate(C19,SettlementDate,Trigger)</f>
        <v>42907</v>
      </c>
      <c r="I19" s="169">
        <f>_xll.qlInterestRateIndexMaturity(ON_6M_index,H19)</f>
        <v>43090</v>
      </c>
      <c r="J19" s="167">
        <f>1-_xll.qlQuoteValue(D19,AllTriggers)/100-_xll.qlQuoteValue(Currency&amp;"FUT"&amp;"3M"&amp;C19&amp;"ConvAdj_Quote")</f>
        <v>2.274999999999916E-3</v>
      </c>
      <c r="K19" s="167">
        <f>_xll.qlIndexFixing(ON_3M_index,_xll.qlInterestRateIndexFixingDate(ON_3M_index,H19),,AllTriggers)</f>
        <v>7.306506689457702E-4</v>
      </c>
      <c r="L19" s="389">
        <f t="shared" si="0"/>
        <v>1.5443493310541459E-3</v>
      </c>
      <c r="M19" s="167" t="e">
        <f>_xll.qlTenorBasisValue($T$17,H19,Trigger)</f>
        <v>#VALUE!</v>
      </c>
      <c r="N19" s="255" t="e">
        <f t="shared" si="4"/>
        <v>#VALUE!</v>
      </c>
      <c r="O19" s="327" t="e">
        <f t="shared" si="1"/>
        <v>#VALUE!</v>
      </c>
      <c r="P19" s="250">
        <f>_xll.qlYieldTSDiscount(Discounting,H19,,AllTriggers)</f>
        <v>1.001737538221332</v>
      </c>
      <c r="Q19" s="330" t="b">
        <v>0</v>
      </c>
      <c r="V19" s="116"/>
      <c r="W19" s="169">
        <f>_xll.qlCalendarAdvance(Calendar,W18,"1D","f")</f>
        <v>42185</v>
      </c>
      <c r="X19" s="167" t="e">
        <f>_xll.qlTenorBasisValue(TenorBasis3M,W19,AllTriggers)</f>
        <v>#VALUE!</v>
      </c>
    </row>
    <row r="20" spans="1:24" ht="11.25" customHeight="1" x14ac:dyDescent="0.2">
      <c r="A20" s="339" t="b">
        <v>1</v>
      </c>
      <c r="B20" s="117"/>
      <c r="C20" s="352" t="str">
        <f>_xll.qlIMMNextCode(C19,A20)</f>
        <v>U7</v>
      </c>
      <c r="D20" s="349" t="str">
        <f t="shared" si="6"/>
        <v>EURFUT3MU7_Quote</v>
      </c>
      <c r="E20" s="349" t="str">
        <f>_xll.qlSimpleQuote(UPPER("B"&amp;$T$2&amp;"_"&amp;C20),,,Permanent,Trigger,ObjectOverwrite)</f>
        <v>B3M_U7#0000</v>
      </c>
      <c r="F20" s="520">
        <f>_xll.qlSimpleQuoteSetValue(E20,L20,AllTriggers)</f>
        <v>8.0022695195523016E-6</v>
      </c>
      <c r="G20" s="288">
        <f>_xll.qlDayCounterYearFraction("actual/365 (fixed)",SettlementDate,H20,,,Trigger)</f>
        <v>2.2958904109589042</v>
      </c>
      <c r="H20" s="169">
        <f>_xll.qlIMMdate(C20,SettlementDate,Trigger)</f>
        <v>42998</v>
      </c>
      <c r="I20" s="169">
        <f>_xll.qlInterestRateIndexMaturity(ON_6M_index,H20)</f>
        <v>43179</v>
      </c>
      <c r="J20" s="167">
        <f>1-_xll.qlQuoteValue(D20,AllTriggers)/100-_xll.qlQuoteValue(Currency&amp;"FUT"&amp;"3M"&amp;C20&amp;"ConvAdj_Quote")</f>
        <v>2.9500000000000082E-3</v>
      </c>
      <c r="K20" s="167">
        <f>_xll.qlIndexFixing(ON_3M_index,_xll.qlInterestRateIndexFixingDate(ON_3M_index,H20),,AllTriggers)</f>
        <v>1.3841906320238911E-3</v>
      </c>
      <c r="L20" s="389">
        <f t="shared" si="0"/>
        <v>1.5658093679761171E-3</v>
      </c>
      <c r="M20" s="167" t="e">
        <f>_xll.qlTenorBasisValue($T$17,H20,Trigger)</f>
        <v>#VALUE!</v>
      </c>
      <c r="N20" s="255" t="e">
        <f t="shared" si="4"/>
        <v>#VALUE!</v>
      </c>
      <c r="O20" s="327" t="e">
        <f t="shared" si="1"/>
        <v>#VALUE!</v>
      </c>
      <c r="P20" s="250">
        <f>_xll.qlYieldTSDiscount(Discounting,H20,,AllTriggers)</f>
        <v>1.0015534064180938</v>
      </c>
      <c r="Q20" s="330" t="b">
        <v>0</v>
      </c>
      <c r="V20" s="116"/>
      <c r="W20" s="169">
        <f>_xll.qlCalendarAdvance(Calendar,W19,"1D","f")</f>
        <v>42186</v>
      </c>
      <c r="X20" s="167" t="e">
        <f>_xll.qlTenorBasisValue(TenorBasis3M,W20,AllTriggers)</f>
        <v>#VALUE!</v>
      </c>
    </row>
    <row r="21" spans="1:24" ht="11.25" customHeight="1" x14ac:dyDescent="0.2">
      <c r="A21" s="340" t="b">
        <v>1</v>
      </c>
      <c r="B21" s="341"/>
      <c r="C21" s="354" t="str">
        <f>_xll.qlIMMNextCode(C20,A21)</f>
        <v>Z7</v>
      </c>
      <c r="D21" s="350" t="str">
        <f t="shared" si="6"/>
        <v>EURFUT3MZ7_Quote</v>
      </c>
      <c r="E21" s="350" t="str">
        <f>_xll.qlSimpleQuote(UPPER("B"&amp;$T$2&amp;"_"&amp;C21),,,Permanent,Trigger,ObjectOverwrite)</f>
        <v>B3M_Z7#0000</v>
      </c>
      <c r="F21" s="521">
        <f>_xll.qlSimpleQuoteSetValue(E21,L21,AllTriggers)</f>
        <v>1.6050828524072358E-5</v>
      </c>
      <c r="G21" s="289">
        <f>_xll.qlDayCounterYearFraction("actual/365 (fixed)",SettlementDate,H21,,,Trigger)</f>
        <v>2.5452054794520547</v>
      </c>
      <c r="H21" s="173">
        <f>_xll.qlIMMdate(C21,SettlementDate,Trigger)</f>
        <v>43089</v>
      </c>
      <c r="I21" s="173">
        <f>_xll.qlInterestRateIndexMaturity(ON_6M_index,H21)</f>
        <v>43271</v>
      </c>
      <c r="J21" s="176">
        <f>1-_xll.qlQuoteValue(D21,AllTriggers)/100-_xll.qlQuoteValue(Currency&amp;"FUT"&amp;"3M"&amp;C21&amp;"ConvAdj_Quote")</f>
        <v>3.7249999999999783E-3</v>
      </c>
      <c r="K21" s="176">
        <f>_xll.qlIndexFixing(ON_3M_index,_xll.qlInterestRateIndexFixingDate(ON_3M_index,H21),,AllTriggers)</f>
        <v>2.1813513303694521E-3</v>
      </c>
      <c r="L21" s="371">
        <f t="shared" si="0"/>
        <v>1.5436486696305263E-3</v>
      </c>
      <c r="M21" s="176" t="e">
        <f>_xll.qlTenorBasisValue($T$17,H21,Trigger)</f>
        <v>#VALUE!</v>
      </c>
      <c r="N21" s="256" t="e">
        <f t="shared" si="4"/>
        <v>#VALUE!</v>
      </c>
      <c r="O21" s="328" t="e">
        <f t="shared" si="1"/>
        <v>#VALUE!</v>
      </c>
      <c r="P21" s="252">
        <f>_xll.qlYieldTSDiscount(Discounting,H21,,AllTriggers)</f>
        <v>1.0012030928327922</v>
      </c>
      <c r="Q21" s="331" t="b">
        <v>1</v>
      </c>
      <c r="V21" s="116"/>
      <c r="W21" s="169">
        <f>_xll.qlCalendarAdvance(Calendar,W20,"1D","f")</f>
        <v>42187</v>
      </c>
      <c r="X21" s="167" t="e">
        <f>_xll.qlTenorBasisValue(TenorBasis3M,W21,AllTriggers)</f>
        <v>#VALUE!</v>
      </c>
    </row>
    <row r="22" spans="1:24" ht="11.25" customHeight="1" x14ac:dyDescent="0.2">
      <c r="H22" s="243"/>
      <c r="I22" s="243"/>
      <c r="J22" s="141"/>
      <c r="K22" s="141"/>
      <c r="L22" s="141"/>
      <c r="M22" s="117"/>
      <c r="N22" s="117"/>
      <c r="O22" s="117"/>
      <c r="P22" s="117"/>
      <c r="Q22" s="117"/>
      <c r="V22" s="116"/>
      <c r="W22" s="169">
        <f>_xll.qlCalendarAdvance(Calendar,W21,"1D","f")</f>
        <v>42188</v>
      </c>
      <c r="X22" s="167" t="e">
        <f>_xll.qlTenorBasisValue(TenorBasis3M,W22,AllTriggers)</f>
        <v>#VALUE!</v>
      </c>
    </row>
    <row r="23" spans="1:24" ht="11.25" customHeight="1" x14ac:dyDescent="0.2">
      <c r="H23" s="243"/>
      <c r="I23" s="243"/>
      <c r="J23" s="141"/>
      <c r="K23" s="141"/>
      <c r="L23" s="141"/>
      <c r="V23" s="116"/>
      <c r="W23" s="169">
        <f>_xll.qlCalendarAdvance(Calendar,W22,"1D","f")</f>
        <v>42191</v>
      </c>
      <c r="X23" s="167" t="e">
        <f>_xll.qlTenorBasisValue(TenorBasis3M,W23,AllTriggers)</f>
        <v>#VALUE!</v>
      </c>
    </row>
    <row r="24" spans="1:24" ht="11.25" customHeight="1" thickBot="1" x14ac:dyDescent="0.25">
      <c r="H24" s="243"/>
      <c r="I24" s="243"/>
      <c r="J24" s="141"/>
      <c r="K24" s="141"/>
      <c r="L24" s="141"/>
      <c r="Q24" s="142"/>
      <c r="R24" s="142" t="s">
        <v>95</v>
      </c>
      <c r="S24" s="142" t="s">
        <v>70</v>
      </c>
      <c r="T24" s="142" t="s">
        <v>71</v>
      </c>
      <c r="U24" s="528" t="s">
        <v>187</v>
      </c>
      <c r="W24" s="169">
        <f>_xll.qlCalendarAdvance(Calendar,W23,"1D","f")</f>
        <v>42192</v>
      </c>
      <c r="X24" s="167" t="e">
        <f>_xll.qlTenorBasisValue(TenorBasis3M,W24,AllTriggers)</f>
        <v>#VALUE!</v>
      </c>
    </row>
    <row r="25" spans="1:24" ht="11.25" customHeight="1" x14ac:dyDescent="0.2">
      <c r="Q25" s="162">
        <v>0</v>
      </c>
      <c r="R25" s="162" t="s">
        <v>43</v>
      </c>
      <c r="S25" s="483">
        <f>_xll.qlCalendarAdvance(Calendar,SettlementDate,Q25&amp;"M","mf",TRUE,Trigger)</f>
        <v>42160</v>
      </c>
      <c r="T25" s="484">
        <f>_xll.qlCalendarAdvance(Calendar,SettlementDate,R25,"Following",,Trigger)</f>
        <v>42163</v>
      </c>
      <c r="U25" s="529" t="e">
        <f>_xll.qlTenorBasisForwardRate2(TenorBasis3M,S25,T25,AllTriggers)</f>
        <v>#VALUE!</v>
      </c>
      <c r="W25" s="169">
        <f>_xll.qlCalendarAdvance(Calendar,W24,"1D","f")</f>
        <v>42193</v>
      </c>
      <c r="X25" s="167" t="e">
        <f>_xll.qlTenorBasisValue(TenorBasis3M,W25,AllTriggers)</f>
        <v>#VALUE!</v>
      </c>
    </row>
    <row r="26" spans="1:24" ht="11.25" customHeight="1" x14ac:dyDescent="0.2">
      <c r="Q26" s="168">
        <v>0</v>
      </c>
      <c r="R26" s="168" t="s">
        <v>44</v>
      </c>
      <c r="S26" s="485">
        <f>_xll.qlCalendarAdvance(Calendar,SettlementDate,Q26&amp;"M","mf",TRUE,Trigger)</f>
        <v>42160</v>
      </c>
      <c r="T26" s="486">
        <f>_xll.qlCalendarAdvance(Calendar,SettlementDate,R26,"Following",,Trigger)</f>
        <v>42167</v>
      </c>
      <c r="U26" s="530" t="e">
        <f>_xll.qlTenorBasisForwardRate2(TenorBasis3M,S26,T26,AllTriggers)</f>
        <v>#VALUE!</v>
      </c>
      <c r="W26" s="169">
        <f>_xll.qlCalendarAdvance(Calendar,W25,"1D","f")</f>
        <v>42194</v>
      </c>
      <c r="X26" s="167" t="e">
        <f>_xll.qlTenorBasisValue(TenorBasis3M,W26,AllTriggers)</f>
        <v>#VALUE!</v>
      </c>
    </row>
    <row r="27" spans="1:24" ht="11.25" customHeight="1" x14ac:dyDescent="0.2">
      <c r="Q27" s="168">
        <v>0</v>
      </c>
      <c r="R27" s="168" t="s">
        <v>45</v>
      </c>
      <c r="S27" s="485">
        <f>_xll.qlCalendarAdvance(Calendar,SettlementDate,Q27&amp;"M","mf",TRUE,Trigger)</f>
        <v>42160</v>
      </c>
      <c r="T27" s="486">
        <f>_xll.qlCalendarAdvance(Calendar,SettlementDate,R27,"Following",,Trigger)</f>
        <v>42174</v>
      </c>
      <c r="U27" s="530" t="e">
        <f>_xll.qlTenorBasisForwardRate2(TenorBasis3M,S27,T27,AllTriggers)</f>
        <v>#VALUE!</v>
      </c>
      <c r="W27" s="169">
        <f>_xll.qlCalendarAdvance(Calendar,W26,"1D","f")</f>
        <v>42195</v>
      </c>
      <c r="X27" s="167" t="e">
        <f>_xll.qlTenorBasisValue(TenorBasis3M,W27,AllTriggers)</f>
        <v>#VALUE!</v>
      </c>
    </row>
    <row r="28" spans="1:24" ht="11.25" customHeight="1" x14ac:dyDescent="0.2">
      <c r="Q28" s="168">
        <v>0</v>
      </c>
      <c r="R28" s="168" t="s">
        <v>46</v>
      </c>
      <c r="S28" s="485">
        <f>_xll.qlCalendarAdvance(Calendar,SettlementDate,Q28&amp;"M","mf",TRUE,Trigger)</f>
        <v>42160</v>
      </c>
      <c r="T28" s="486">
        <f>_xll.qlCalendarAdvance(Calendar,SettlementDate,R28,"Following",,Trigger)</f>
        <v>42181</v>
      </c>
      <c r="U28" s="530" t="e">
        <f>_xll.qlTenorBasisForwardRate2(TenorBasis3M,S28,T28,AllTriggers)</f>
        <v>#VALUE!</v>
      </c>
      <c r="W28" s="169">
        <f>_xll.qlCalendarAdvance(Calendar,W27,"1D","f")</f>
        <v>42198</v>
      </c>
      <c r="X28" s="167" t="e">
        <f>_xll.qlTenorBasisValue(TenorBasis3M,W28,AllTriggers)</f>
        <v>#VALUE!</v>
      </c>
    </row>
    <row r="29" spans="1:24" ht="11.25" customHeight="1" x14ac:dyDescent="0.2">
      <c r="Q29" s="390">
        <v>0</v>
      </c>
      <c r="R29" s="390" t="s">
        <v>40</v>
      </c>
      <c r="S29" s="487">
        <f>_xll.qlCalendarAdvance(Calendar,SettlementDate,Q29&amp;"M","mf",TRUE,Trigger)</f>
        <v>42160</v>
      </c>
      <c r="T29" s="488">
        <f>_xll.qlCalendarAdvance(Calendar,SettlementDate,R29,"mf",TRUE,Trigger)</f>
        <v>42191</v>
      </c>
      <c r="U29" s="531" t="e">
        <f>_xll.qlTenorBasisForwardRate2(TenorBasis3M,S29,T29,AllTriggers)</f>
        <v>#VALUE!</v>
      </c>
      <c r="W29" s="169">
        <f>_xll.qlCalendarAdvance(Calendar,W28,"1D","f")</f>
        <v>42199</v>
      </c>
      <c r="X29" s="167" t="e">
        <f>_xll.qlTenorBasisValue(TenorBasis3M,W29,AllTriggers)</f>
        <v>#VALUE!</v>
      </c>
    </row>
    <row r="30" spans="1:24" ht="11.25" customHeight="1" x14ac:dyDescent="0.2">
      <c r="Q30" s="168">
        <v>0</v>
      </c>
      <c r="R30" s="168" t="s">
        <v>47</v>
      </c>
      <c r="S30" s="485">
        <f>_xll.qlCalendarAdvance(Calendar,SettlementDate,Q30&amp;"M","mf",TRUE,Trigger)</f>
        <v>42160</v>
      </c>
      <c r="T30" s="486">
        <f>_xll.qlCalendarAdvance(Calendar,SettlementDate,R30,"mf",TRUE,Trigger)</f>
        <v>42221</v>
      </c>
      <c r="U30" s="530" t="e">
        <f>_xll.qlTenorBasisForwardRate2(TenorBasis3M,S30,T30,AllTriggers)</f>
        <v>#VALUE!</v>
      </c>
      <c r="W30" s="169">
        <f>_xll.qlCalendarAdvance(Calendar,W29,"1D","f")</f>
        <v>42200</v>
      </c>
      <c r="X30" s="167" t="e">
        <f>_xll.qlTenorBasisValue(TenorBasis3M,W30,AllTriggers)</f>
        <v>#VALUE!</v>
      </c>
    </row>
    <row r="31" spans="1:24" ht="11.25" customHeight="1" thickBot="1" x14ac:dyDescent="0.25">
      <c r="Q31" s="387">
        <v>0</v>
      </c>
      <c r="R31" s="387" t="s">
        <v>41</v>
      </c>
      <c r="S31" s="491">
        <f>_xll.qlCalendarAdvance(Calendar,SettlementDate,Q31&amp;"M","mf",TRUE,Trigger)</f>
        <v>42160</v>
      </c>
      <c r="T31" s="492">
        <f>_xll.qlCalendarAdvance(Calendar,SettlementDate,R31,"mf",TRUE,Trigger)</f>
        <v>42254</v>
      </c>
      <c r="U31" s="533" t="e">
        <f>_xll.qlTenorBasisForwardRate2(TenorBasis3M,S31,T31,AllTriggers)</f>
        <v>#VALUE!</v>
      </c>
      <c r="W31" s="169">
        <f>_xll.qlCalendarAdvance(Calendar,W30,"1D","f")</f>
        <v>42201</v>
      </c>
      <c r="X31" s="167" t="e">
        <f>_xll.qlTenorBasisValue(TenorBasis3M,W31,AllTriggers)</f>
        <v>#VALUE!</v>
      </c>
    </row>
    <row r="32" spans="1:24" ht="11.25" customHeight="1" x14ac:dyDescent="0.2">
      <c r="Q32" s="168">
        <v>1</v>
      </c>
      <c r="R32" s="168" t="s">
        <v>48</v>
      </c>
      <c r="S32" s="485">
        <f>_xll.qlCalendarAdvance(Calendar,SettlementDate,Q32&amp;"M","mf",TRUE,Trigger)</f>
        <v>42191</v>
      </c>
      <c r="T32" s="485">
        <f>_xll.qlCalendarAdvance(Calendar,SettlementDate,R32,"mf",TRUE,Trigger)</f>
        <v>42282</v>
      </c>
      <c r="U32" s="167" t="e">
        <f>_xll.qlTenorBasisForwardRate2(TenorBasis3M,S32,T32,AllTriggers)</f>
        <v>#VALUE!</v>
      </c>
      <c r="W32" s="169">
        <f>_xll.qlCalendarAdvance(Calendar,W31,"1D","f")</f>
        <v>42202</v>
      </c>
      <c r="X32" s="167" t="e">
        <f>_xll.qlTenorBasisValue(TenorBasis3M,W32,AllTriggers)</f>
        <v>#VALUE!</v>
      </c>
    </row>
    <row r="33" spans="8:24" ht="11.25" customHeight="1" x14ac:dyDescent="0.2">
      <c r="Q33" s="168">
        <v>2</v>
      </c>
      <c r="R33" s="168" t="s">
        <v>49</v>
      </c>
      <c r="S33" s="485">
        <f>_xll.qlCalendarAdvance(Calendar,SettlementDate,Q33&amp;"M","mf",TRUE,Trigger)</f>
        <v>42221</v>
      </c>
      <c r="T33" s="485">
        <f>_xll.qlCalendarAdvance(Calendar,SettlementDate,R33,"mf",TRUE,Trigger)</f>
        <v>42313</v>
      </c>
      <c r="U33" s="167" t="e">
        <f>_xll.qlTenorBasisForwardRate2(TenorBasis3M,S33,T33,AllTriggers)</f>
        <v>#VALUE!</v>
      </c>
      <c r="W33" s="169">
        <f>_xll.qlCalendarAdvance(Calendar,W32,"1D","f")</f>
        <v>42205</v>
      </c>
      <c r="X33" s="167" t="e">
        <f>_xll.qlTenorBasisValue(TenorBasis3M,W33,AllTriggers)</f>
        <v>#VALUE!</v>
      </c>
    </row>
    <row r="34" spans="8:24" ht="11.25" customHeight="1" x14ac:dyDescent="0.2">
      <c r="Q34" s="168">
        <v>3</v>
      </c>
      <c r="R34" s="168" t="s">
        <v>42</v>
      </c>
      <c r="S34" s="485">
        <f>_xll.qlCalendarAdvance(Calendar,SettlementDate,Q34&amp;"M","mf",TRUE,Trigger)</f>
        <v>42254</v>
      </c>
      <c r="T34" s="485">
        <f>_xll.qlCalendarAdvance(Calendar,SettlementDate,R34,"mf",TRUE,Trigger)</f>
        <v>42345</v>
      </c>
      <c r="U34" s="167" t="e">
        <f>_xll.qlTenorBasisForwardRate2(TenorBasis3M,S34,T34,AllTriggers)</f>
        <v>#VALUE!</v>
      </c>
      <c r="W34" s="169">
        <f>_xll.qlCalendarAdvance(Calendar,W33,"1D","f")</f>
        <v>42206</v>
      </c>
      <c r="X34" s="167" t="e">
        <f>_xll.qlTenorBasisValue(TenorBasis3M,W34,AllTriggers)</f>
        <v>#VALUE!</v>
      </c>
    </row>
    <row r="35" spans="8:24" ht="11.25" customHeight="1" x14ac:dyDescent="0.2">
      <c r="Q35" s="168">
        <v>4</v>
      </c>
      <c r="R35" s="168" t="str">
        <f>Q35+SUBSTITUTE($T$2,"M","")&amp;"M"</f>
        <v>7M</v>
      </c>
      <c r="S35" s="485">
        <f>_xll.qlCalendarAdvance(Calendar,SettlementDate,Q35&amp;"M","mf",TRUE,Trigger)</f>
        <v>42282</v>
      </c>
      <c r="T35" s="485">
        <f>_xll.qlCalendarAdvance(Calendar,SettlementDate,R35,"mf",TRUE,Trigger)</f>
        <v>42374</v>
      </c>
      <c r="U35" s="167" t="e">
        <f>_xll.qlTenorBasisTenorForwardRate(TenorBasis3M,S35,AllTriggers)</f>
        <v>#VALUE!</v>
      </c>
      <c r="W35" s="169">
        <f>_xll.qlCalendarAdvance(Calendar,W34,"1D","f")</f>
        <v>42207</v>
      </c>
      <c r="X35" s="167" t="e">
        <f>_xll.qlTenorBasisValue(TenorBasis3M,W35,AllTriggers)</f>
        <v>#VALUE!</v>
      </c>
    </row>
    <row r="36" spans="8:24" ht="11.25" customHeight="1" x14ac:dyDescent="0.2">
      <c r="Q36" s="168">
        <v>5</v>
      </c>
      <c r="R36" s="168" t="str">
        <f t="shared" ref="R36:R37" si="7">Q36+SUBSTITUTE($T$2,"M","")&amp;"M"</f>
        <v>8M</v>
      </c>
      <c r="S36" s="485">
        <f>_xll.qlCalendarAdvance(Calendar,SettlementDate,Q36&amp;"M","mf",TRUE,Trigger)</f>
        <v>42313</v>
      </c>
      <c r="T36" s="485">
        <f>_xll.qlCalendarAdvance(Calendar,SettlementDate,R36,"mf",TRUE,Trigger)</f>
        <v>42405</v>
      </c>
      <c r="U36" s="167" t="e">
        <f>_xll.qlTenorBasisTenorForwardRate(TenorBasis3M,S36,AllTriggers)</f>
        <v>#VALUE!</v>
      </c>
      <c r="W36" s="169">
        <f>_xll.qlCalendarAdvance(Calendar,W35,"1D","f")</f>
        <v>42208</v>
      </c>
      <c r="X36" s="167" t="e">
        <f>_xll.qlTenorBasisValue(TenorBasis3M,W36,AllTriggers)</f>
        <v>#VALUE!</v>
      </c>
    </row>
    <row r="37" spans="8:24" ht="11.25" customHeight="1" x14ac:dyDescent="0.2">
      <c r="Q37" s="172">
        <v>6</v>
      </c>
      <c r="R37" s="172" t="str">
        <f t="shared" si="7"/>
        <v>9M</v>
      </c>
      <c r="S37" s="489">
        <f>_xll.qlCalendarAdvance(Calendar,SettlementDate,Q37&amp;"M","mf",TRUE,Trigger)</f>
        <v>42345</v>
      </c>
      <c r="T37" s="489">
        <f>_xll.qlCalendarAdvance(Calendar,SettlementDate,R37,"mf",TRUE,Trigger)</f>
        <v>42436</v>
      </c>
      <c r="U37" s="176" t="e">
        <f>_xll.qlTenorBasisTenorForwardRate(TenorBasis3M,S37,AllTriggers)</f>
        <v>#VALUE!</v>
      </c>
      <c r="W37" s="169">
        <f>_xll.qlCalendarAdvance(Calendar,W36,"1D","f")</f>
        <v>42209</v>
      </c>
      <c r="X37" s="167" t="e">
        <f>_xll.qlTenorBasisValue(TenorBasis3M,W37,AllTriggers)</f>
        <v>#VALUE!</v>
      </c>
    </row>
    <row r="38" spans="8:24" ht="11.25" customHeight="1" x14ac:dyDescent="0.2">
      <c r="W38" s="169">
        <f>_xll.qlCalendarAdvance(Calendar,W37,"1D","f")</f>
        <v>42212</v>
      </c>
      <c r="X38" s="167" t="e">
        <f>_xll.qlTenorBasisValue(TenorBasis3M,W38,AllTriggers)</f>
        <v>#VALUE!</v>
      </c>
    </row>
    <row r="39" spans="8:24" ht="11.25" customHeight="1" x14ac:dyDescent="0.2">
      <c r="W39" s="169">
        <f>_xll.qlCalendarAdvance(Calendar,W38,"1D","f")</f>
        <v>42213</v>
      </c>
      <c r="X39" s="167" t="e">
        <f>_xll.qlTenorBasisValue(TenorBasis3M,W39,AllTriggers)</f>
        <v>#VALUE!</v>
      </c>
    </row>
    <row r="40" spans="8:24" ht="11.25" customHeight="1" x14ac:dyDescent="0.2">
      <c r="W40" s="169">
        <f>_xll.qlCalendarAdvance(Calendar,W39,"1D","f")</f>
        <v>42214</v>
      </c>
      <c r="X40" s="167" t="e">
        <f>_xll.qlTenorBasisValue(TenorBasis3M,W40,AllTriggers)</f>
        <v>#VALUE!</v>
      </c>
    </row>
    <row r="41" spans="8:24" ht="11.25" customHeight="1" x14ac:dyDescent="0.2">
      <c r="W41" s="169">
        <f>_xll.qlCalendarAdvance(Calendar,W40,"1D","f")</f>
        <v>42215</v>
      </c>
      <c r="X41" s="167" t="e">
        <f>_xll.qlTenorBasisValue(TenorBasis3M,W41,AllTriggers)</f>
        <v>#VALUE!</v>
      </c>
    </row>
    <row r="42" spans="8:24" ht="11.25" customHeight="1" x14ac:dyDescent="0.2">
      <c r="H42" s="243"/>
      <c r="I42" s="243"/>
      <c r="J42" s="141"/>
      <c r="K42" s="141"/>
      <c r="L42" s="141"/>
      <c r="W42" s="169">
        <f>_xll.qlCalendarAdvance(Calendar,W41,"1D","f")</f>
        <v>42216</v>
      </c>
      <c r="X42" s="167" t="e">
        <f>_xll.qlTenorBasisValue(TenorBasis3M,W42,AllTriggers)</f>
        <v>#VALUE!</v>
      </c>
    </row>
    <row r="43" spans="8:24" ht="11.25" customHeight="1" x14ac:dyDescent="0.2">
      <c r="H43" s="243"/>
      <c r="I43" s="243"/>
      <c r="J43" s="141"/>
      <c r="K43" s="141"/>
      <c r="L43" s="141"/>
      <c r="W43" s="169">
        <f>_xll.qlCalendarAdvance(Calendar,W42,"1D","f")</f>
        <v>42219</v>
      </c>
      <c r="X43" s="167" t="e">
        <f>_xll.qlTenorBasisValue(TenorBasis3M,W43,AllTriggers)</f>
        <v>#VALUE!</v>
      </c>
    </row>
    <row r="44" spans="8:24" ht="11.25" customHeight="1" x14ac:dyDescent="0.2">
      <c r="H44" s="243"/>
      <c r="I44" s="243"/>
      <c r="J44" s="141"/>
      <c r="K44" s="141"/>
      <c r="L44" s="141"/>
      <c r="W44" s="169">
        <f>_xll.qlCalendarAdvance(Calendar,W43,"1D","f")</f>
        <v>42220</v>
      </c>
      <c r="X44" s="167" t="e">
        <f>_xll.qlTenorBasisValue(TenorBasis3M,W44,AllTriggers)</f>
        <v>#VALUE!</v>
      </c>
    </row>
    <row r="45" spans="8:24" ht="11.25" customHeight="1" x14ac:dyDescent="0.2">
      <c r="H45" s="243"/>
      <c r="I45" s="243"/>
      <c r="J45" s="141"/>
      <c r="K45" s="141"/>
      <c r="L45" s="141"/>
      <c r="W45" s="169">
        <f>_xll.qlCalendarAdvance(Calendar,W44,"1D","f")</f>
        <v>42221</v>
      </c>
      <c r="X45" s="167" t="e">
        <f>_xll.qlTenorBasisValue(TenorBasis3M,W45,AllTriggers)</f>
        <v>#VALUE!</v>
      </c>
    </row>
    <row r="46" spans="8:24" ht="11.25" customHeight="1" x14ac:dyDescent="0.2">
      <c r="H46" s="243"/>
      <c r="I46" s="243"/>
      <c r="J46" s="141"/>
      <c r="K46" s="141"/>
      <c r="L46" s="141"/>
      <c r="W46" s="169">
        <f>_xll.qlCalendarAdvance(Calendar,W45,"1D","f")</f>
        <v>42222</v>
      </c>
      <c r="X46" s="167" t="e">
        <f>_xll.qlTenorBasisValue(TenorBasis3M,W46,AllTriggers)</f>
        <v>#VALUE!</v>
      </c>
    </row>
    <row r="47" spans="8:24" ht="11.25" customHeight="1" x14ac:dyDescent="0.2">
      <c r="H47" s="243"/>
      <c r="I47" s="243"/>
      <c r="J47" s="141"/>
      <c r="K47" s="141"/>
      <c r="L47" s="141"/>
      <c r="W47" s="169">
        <f>_xll.qlCalendarAdvance(Calendar,W46,"1D","f")</f>
        <v>42223</v>
      </c>
      <c r="X47" s="167" t="e">
        <f>_xll.qlTenorBasisValue(TenorBasis3M,W47,AllTriggers)</f>
        <v>#VALUE!</v>
      </c>
    </row>
    <row r="48" spans="8:24" ht="11.25" customHeight="1" x14ac:dyDescent="0.2">
      <c r="H48" s="243"/>
      <c r="I48" s="243"/>
      <c r="J48" s="141"/>
      <c r="K48" s="141"/>
      <c r="L48" s="141"/>
      <c r="W48" s="169">
        <f>_xll.qlCalendarAdvance(Calendar,W47,"1D","f")</f>
        <v>42226</v>
      </c>
      <c r="X48" s="167" t="e">
        <f>_xll.qlTenorBasisValue(TenorBasis3M,W48,AllTriggers)</f>
        <v>#VALUE!</v>
      </c>
    </row>
    <row r="49" spans="8:24" ht="11.25" customHeight="1" x14ac:dyDescent="0.2">
      <c r="H49" s="243"/>
      <c r="I49" s="243"/>
      <c r="J49" s="141"/>
      <c r="K49" s="141"/>
      <c r="L49" s="141"/>
      <c r="W49" s="169">
        <f>_xll.qlCalendarAdvance(Calendar,W48,"1D","f")</f>
        <v>42227</v>
      </c>
      <c r="X49" s="167" t="e">
        <f>_xll.qlTenorBasisValue(TenorBasis3M,W49,AllTriggers)</f>
        <v>#VALUE!</v>
      </c>
    </row>
    <row r="50" spans="8:24" ht="11.25" customHeight="1" x14ac:dyDescent="0.2">
      <c r="H50" s="243"/>
      <c r="I50" s="243"/>
      <c r="J50" s="141"/>
      <c r="K50" s="141"/>
      <c r="L50" s="141"/>
      <c r="W50" s="169">
        <f>_xll.qlCalendarAdvance(Calendar,W49,"1D","f")</f>
        <v>42228</v>
      </c>
      <c r="X50" s="167" t="e">
        <f>_xll.qlTenorBasisValue(TenorBasis3M,W50,AllTriggers)</f>
        <v>#VALUE!</v>
      </c>
    </row>
    <row r="51" spans="8:24" ht="11.25" customHeight="1" x14ac:dyDescent="0.2">
      <c r="H51" s="243"/>
      <c r="I51" s="243"/>
      <c r="J51" s="141"/>
      <c r="K51" s="141"/>
      <c r="L51" s="141"/>
      <c r="W51" s="169">
        <f>_xll.qlCalendarAdvance(Calendar,W50,"1D","f")</f>
        <v>42229</v>
      </c>
      <c r="X51" s="167" t="e">
        <f>_xll.qlTenorBasisValue(TenorBasis3M,W51,AllTriggers)</f>
        <v>#VALUE!</v>
      </c>
    </row>
    <row r="52" spans="8:24" ht="11.25" customHeight="1" x14ac:dyDescent="0.2">
      <c r="H52" s="243"/>
      <c r="I52" s="243"/>
      <c r="J52" s="141"/>
      <c r="K52" s="141"/>
      <c r="L52" s="141"/>
      <c r="W52" s="169">
        <f>_xll.qlCalendarAdvance(Calendar,W51,"1D","f")</f>
        <v>42230</v>
      </c>
      <c r="X52" s="167" t="e">
        <f>_xll.qlTenorBasisValue(TenorBasis3M,W52,AllTriggers)</f>
        <v>#VALUE!</v>
      </c>
    </row>
    <row r="53" spans="8:24" x14ac:dyDescent="0.2">
      <c r="W53" s="169">
        <f>_xll.qlCalendarAdvance(Calendar,W52,"1D","f")</f>
        <v>42233</v>
      </c>
      <c r="X53" s="167" t="e">
        <f>_xll.qlTenorBasisValue(TenorBasis3M,W53,AllTriggers)</f>
        <v>#VALUE!</v>
      </c>
    </row>
    <row r="54" spans="8:24" x14ac:dyDescent="0.2">
      <c r="W54" s="169">
        <f>_xll.qlCalendarAdvance(Calendar,W53,"1D","f")</f>
        <v>42234</v>
      </c>
      <c r="X54" s="167" t="e">
        <f>_xll.qlTenorBasisValue(TenorBasis3M,W54,AllTriggers)</f>
        <v>#VALUE!</v>
      </c>
    </row>
    <row r="55" spans="8:24" x14ac:dyDescent="0.2">
      <c r="W55" s="169">
        <f>_xll.qlCalendarAdvance(Calendar,W54,"1D","f")</f>
        <v>42235</v>
      </c>
      <c r="X55" s="167" t="e">
        <f>_xll.qlTenorBasisValue(TenorBasis3M,W55,AllTriggers)</f>
        <v>#VALUE!</v>
      </c>
    </row>
    <row r="56" spans="8:24" x14ac:dyDescent="0.2">
      <c r="W56" s="169">
        <f>_xll.qlCalendarAdvance(Calendar,W55,"1D","f")</f>
        <v>42236</v>
      </c>
      <c r="X56" s="167" t="e">
        <f>_xll.qlTenorBasisValue(TenorBasis3M,W56,AllTriggers)</f>
        <v>#VALUE!</v>
      </c>
    </row>
    <row r="57" spans="8:24" x14ac:dyDescent="0.2">
      <c r="W57" s="169">
        <f>_xll.qlCalendarAdvance(Calendar,W56,"1D","f")</f>
        <v>42237</v>
      </c>
      <c r="X57" s="167" t="e">
        <f>_xll.qlTenorBasisValue(TenorBasis3M,W57,AllTriggers)</f>
        <v>#VALUE!</v>
      </c>
    </row>
    <row r="58" spans="8:24" x14ac:dyDescent="0.2">
      <c r="W58" s="169">
        <f>_xll.qlCalendarAdvance(Calendar,W57,"1D","f")</f>
        <v>42240</v>
      </c>
      <c r="X58" s="167" t="e">
        <f>_xll.qlTenorBasisValue(TenorBasis3M,W58,AllTriggers)</f>
        <v>#VALUE!</v>
      </c>
    </row>
    <row r="59" spans="8:24" x14ac:dyDescent="0.2">
      <c r="W59" s="169">
        <f>_xll.qlCalendarAdvance(Calendar,W58,"1D","f")</f>
        <v>42241</v>
      </c>
      <c r="X59" s="167" t="e">
        <f>_xll.qlTenorBasisValue(TenorBasis3M,W59,AllTriggers)</f>
        <v>#VALUE!</v>
      </c>
    </row>
    <row r="60" spans="8:24" x14ac:dyDescent="0.2">
      <c r="W60" s="169">
        <f>_xll.qlCalendarAdvance(Calendar,W59,"1D","f")</f>
        <v>42242</v>
      </c>
      <c r="X60" s="167" t="e">
        <f>_xll.qlTenorBasisValue(TenorBasis3M,W60,AllTriggers)</f>
        <v>#VALUE!</v>
      </c>
    </row>
    <row r="61" spans="8:24" x14ac:dyDescent="0.2">
      <c r="W61" s="169">
        <f>_xll.qlCalendarAdvance(Calendar,W60,"1D","f")</f>
        <v>42243</v>
      </c>
      <c r="X61" s="167" t="e">
        <f>_xll.qlTenorBasisValue(TenorBasis3M,W61,AllTriggers)</f>
        <v>#VALUE!</v>
      </c>
    </row>
    <row r="62" spans="8:24" x14ac:dyDescent="0.2">
      <c r="W62" s="169">
        <f>_xll.qlCalendarAdvance(Calendar,W61,"1D","f")</f>
        <v>42244</v>
      </c>
      <c r="X62" s="167" t="e">
        <f>_xll.qlTenorBasisValue(TenorBasis3M,W62,AllTriggers)</f>
        <v>#VALUE!</v>
      </c>
    </row>
    <row r="63" spans="8:24" x14ac:dyDescent="0.2">
      <c r="W63" s="169">
        <f>_xll.qlCalendarAdvance(Calendar,W62,"1D","f")</f>
        <v>42247</v>
      </c>
      <c r="X63" s="167" t="e">
        <f>_xll.qlTenorBasisValue(TenorBasis3M,W63,AllTriggers)</f>
        <v>#VALUE!</v>
      </c>
    </row>
    <row r="64" spans="8:24" x14ac:dyDescent="0.2">
      <c r="W64" s="169">
        <f>_xll.qlCalendarAdvance(Calendar,W63,"1D","f")</f>
        <v>42248</v>
      </c>
      <c r="X64" s="167" t="e">
        <f>_xll.qlTenorBasisValue(TenorBasis3M,W64,AllTriggers)</f>
        <v>#VALUE!</v>
      </c>
    </row>
    <row r="65" spans="23:24" x14ac:dyDescent="0.2">
      <c r="W65" s="169">
        <f>_xll.qlCalendarAdvance(Calendar,W64,"1D","f")</f>
        <v>42249</v>
      </c>
      <c r="X65" s="167" t="e">
        <f>_xll.qlTenorBasisValue(TenorBasis3M,W65,AllTriggers)</f>
        <v>#VALUE!</v>
      </c>
    </row>
    <row r="66" spans="23:24" x14ac:dyDescent="0.2">
      <c r="W66" s="169">
        <f>_xll.qlCalendarAdvance(Calendar,W65,"1D","f")</f>
        <v>42250</v>
      </c>
      <c r="X66" s="167" t="e">
        <f>_xll.qlTenorBasisValue(TenorBasis3M,W66,AllTriggers)</f>
        <v>#VALUE!</v>
      </c>
    </row>
    <row r="67" spans="23:24" x14ac:dyDescent="0.2">
      <c r="W67" s="169">
        <f>_xll.qlCalendarAdvance(Calendar,W66,"1D","f")</f>
        <v>42251</v>
      </c>
      <c r="X67" s="167" t="e">
        <f>_xll.qlTenorBasisValue(TenorBasis3M,W67,AllTriggers)</f>
        <v>#VALUE!</v>
      </c>
    </row>
    <row r="68" spans="23:24" x14ac:dyDescent="0.2">
      <c r="W68" s="169">
        <f>_xll.qlCalendarAdvance(Calendar,W67,"1D","f")</f>
        <v>42254</v>
      </c>
      <c r="X68" s="167" t="e">
        <f>_xll.qlTenorBasisValue(TenorBasis3M,W68,AllTriggers)</f>
        <v>#VALUE!</v>
      </c>
    </row>
    <row r="69" spans="23:24" x14ac:dyDescent="0.2">
      <c r="W69" s="169">
        <f>_xll.qlCalendarAdvance(Calendar,W68,"1D","f")</f>
        <v>42255</v>
      </c>
      <c r="X69" s="167" t="e">
        <f>_xll.qlTenorBasisValue(TenorBasis3M,W69,AllTriggers)</f>
        <v>#VALUE!</v>
      </c>
    </row>
    <row r="70" spans="23:24" x14ac:dyDescent="0.2">
      <c r="W70" s="169">
        <f>_xll.qlCalendarAdvance(Calendar,W69,"1D","f")</f>
        <v>42256</v>
      </c>
      <c r="X70" s="167" t="e">
        <f>_xll.qlTenorBasisValue(TenorBasis3M,W70,AllTriggers)</f>
        <v>#VALUE!</v>
      </c>
    </row>
    <row r="71" spans="23:24" x14ac:dyDescent="0.2">
      <c r="W71" s="169">
        <f>_xll.qlCalendarAdvance(Calendar,W70,"1D","f")</f>
        <v>42257</v>
      </c>
      <c r="X71" s="167" t="e">
        <f>_xll.qlTenorBasisValue(TenorBasis3M,W71,AllTriggers)</f>
        <v>#VALUE!</v>
      </c>
    </row>
    <row r="72" spans="23:24" x14ac:dyDescent="0.2">
      <c r="W72" s="169">
        <f>_xll.qlCalendarAdvance(Calendar,W71,"1D","f")</f>
        <v>42258</v>
      </c>
      <c r="X72" s="167" t="e">
        <f>_xll.qlTenorBasisValue(TenorBasis3M,W72,AllTriggers)</f>
        <v>#VALUE!</v>
      </c>
    </row>
    <row r="73" spans="23:24" x14ac:dyDescent="0.2">
      <c r="W73" s="169">
        <f>_xll.qlCalendarAdvance(Calendar,W72,"1D","f")</f>
        <v>42261</v>
      </c>
      <c r="X73" s="167" t="e">
        <f>_xll.qlTenorBasisValue(TenorBasis3M,W73,AllTriggers)</f>
        <v>#VALUE!</v>
      </c>
    </row>
    <row r="74" spans="23:24" x14ac:dyDescent="0.2">
      <c r="W74" s="169">
        <f>_xll.qlCalendarAdvance(Calendar,W73,"1D","f")</f>
        <v>42262</v>
      </c>
      <c r="X74" s="167" t="e">
        <f>_xll.qlTenorBasisValue(TenorBasis3M,W74,AllTriggers)</f>
        <v>#VALUE!</v>
      </c>
    </row>
    <row r="75" spans="23:24" x14ac:dyDescent="0.2">
      <c r="W75" s="169">
        <f>_xll.qlCalendarAdvance(Calendar,W74,"1D","f")</f>
        <v>42263</v>
      </c>
      <c r="X75" s="167" t="e">
        <f>_xll.qlTenorBasisValue(TenorBasis3M,W75,AllTriggers)</f>
        <v>#VALUE!</v>
      </c>
    </row>
    <row r="76" spans="23:24" x14ac:dyDescent="0.2">
      <c r="W76" s="169">
        <f>_xll.qlCalendarAdvance(Calendar,W75,"1D","f")</f>
        <v>42264</v>
      </c>
      <c r="X76" s="167" t="e">
        <f>_xll.qlTenorBasisValue(TenorBasis3M,W76,AllTriggers)</f>
        <v>#VALUE!</v>
      </c>
    </row>
    <row r="77" spans="23:24" x14ac:dyDescent="0.2">
      <c r="W77" s="169">
        <f>_xll.qlCalendarAdvance(Calendar,W76,"1D","f")</f>
        <v>42265</v>
      </c>
      <c r="X77" s="167" t="e">
        <f>_xll.qlTenorBasisValue(TenorBasis3M,W77,AllTriggers)</f>
        <v>#VALUE!</v>
      </c>
    </row>
    <row r="78" spans="23:24" x14ac:dyDescent="0.2">
      <c r="W78" s="169">
        <f>_xll.qlCalendarAdvance(Calendar,W77,"1D","f")</f>
        <v>42268</v>
      </c>
      <c r="X78" s="167" t="e">
        <f>_xll.qlTenorBasisValue(TenorBasis3M,W78,AllTriggers)</f>
        <v>#VALUE!</v>
      </c>
    </row>
    <row r="79" spans="23:24" x14ac:dyDescent="0.2">
      <c r="W79" s="169">
        <f>_xll.qlCalendarAdvance(Calendar,W78,"1D","f")</f>
        <v>42269</v>
      </c>
      <c r="X79" s="167" t="e">
        <f>_xll.qlTenorBasisValue(TenorBasis3M,W79,AllTriggers)</f>
        <v>#VALUE!</v>
      </c>
    </row>
    <row r="80" spans="23:24" x14ac:dyDescent="0.2">
      <c r="W80" s="169">
        <f>_xll.qlCalendarAdvance(Calendar,W79,"1D","f")</f>
        <v>42270</v>
      </c>
      <c r="X80" s="167" t="e">
        <f>_xll.qlTenorBasisValue(TenorBasis3M,W80,AllTriggers)</f>
        <v>#VALUE!</v>
      </c>
    </row>
    <row r="81" spans="23:24" x14ac:dyDescent="0.2">
      <c r="W81" s="169">
        <f>_xll.qlCalendarAdvance(Calendar,W80,"1D","f")</f>
        <v>42271</v>
      </c>
      <c r="X81" s="167" t="e">
        <f>_xll.qlTenorBasisValue(TenorBasis3M,W81,AllTriggers)</f>
        <v>#VALUE!</v>
      </c>
    </row>
    <row r="82" spans="23:24" x14ac:dyDescent="0.2">
      <c r="W82" s="169">
        <f>_xll.qlCalendarAdvance(Calendar,W81,"1D","f")</f>
        <v>42272</v>
      </c>
      <c r="X82" s="167" t="e">
        <f>_xll.qlTenorBasisValue(TenorBasis3M,W82,AllTriggers)</f>
        <v>#VALUE!</v>
      </c>
    </row>
    <row r="83" spans="23:24" x14ac:dyDescent="0.2">
      <c r="W83" s="169">
        <f>_xll.qlCalendarAdvance(Calendar,W82,"1D","f")</f>
        <v>42275</v>
      </c>
      <c r="X83" s="167" t="e">
        <f>_xll.qlTenorBasisValue(TenorBasis3M,W83,AllTriggers)</f>
        <v>#VALUE!</v>
      </c>
    </row>
    <row r="84" spans="23:24" x14ac:dyDescent="0.2">
      <c r="W84" s="169">
        <f>_xll.qlCalendarAdvance(Calendar,W83,"1D","f")</f>
        <v>42276</v>
      </c>
      <c r="X84" s="167" t="e">
        <f>_xll.qlTenorBasisValue(TenorBasis3M,W84,AllTriggers)</f>
        <v>#VALUE!</v>
      </c>
    </row>
    <row r="85" spans="23:24" x14ac:dyDescent="0.2">
      <c r="W85" s="169">
        <f>_xll.qlCalendarAdvance(Calendar,W84,"1D","f")</f>
        <v>42277</v>
      </c>
      <c r="X85" s="167" t="e">
        <f>_xll.qlTenorBasisValue(TenorBasis3M,W85,AllTriggers)</f>
        <v>#VALUE!</v>
      </c>
    </row>
    <row r="86" spans="23:24" x14ac:dyDescent="0.2">
      <c r="W86" s="169">
        <f>_xll.qlCalendarAdvance(Calendar,W85,"1D","f")</f>
        <v>42278</v>
      </c>
      <c r="X86" s="167" t="e">
        <f>_xll.qlTenorBasisValue(TenorBasis3M,W86,AllTriggers)</f>
        <v>#VALUE!</v>
      </c>
    </row>
    <row r="87" spans="23:24" x14ac:dyDescent="0.2">
      <c r="W87" s="169">
        <f>_xll.qlCalendarAdvance(Calendar,W86,"1D","f")</f>
        <v>42279</v>
      </c>
      <c r="X87" s="167" t="e">
        <f>_xll.qlTenorBasisValue(TenorBasis3M,W87,AllTriggers)</f>
        <v>#VALUE!</v>
      </c>
    </row>
    <row r="88" spans="23:24" x14ac:dyDescent="0.2">
      <c r="W88" s="169">
        <f>_xll.qlCalendarAdvance(Calendar,W87,"1D","f")</f>
        <v>42282</v>
      </c>
      <c r="X88" s="167" t="e">
        <f>_xll.qlTenorBasisValue(TenorBasis3M,W88,AllTriggers)</f>
        <v>#VALUE!</v>
      </c>
    </row>
    <row r="89" spans="23:24" x14ac:dyDescent="0.2">
      <c r="W89" s="169">
        <f>_xll.qlCalendarAdvance(Calendar,W88,"1D","f")</f>
        <v>42283</v>
      </c>
      <c r="X89" s="167" t="e">
        <f>_xll.qlTenorBasisValue(TenorBasis3M,W89,AllTriggers)</f>
        <v>#VALUE!</v>
      </c>
    </row>
    <row r="90" spans="23:24" x14ac:dyDescent="0.2">
      <c r="W90" s="169">
        <f>_xll.qlCalendarAdvance(Calendar,W89,"1D","f")</f>
        <v>42284</v>
      </c>
      <c r="X90" s="167" t="e">
        <f>_xll.qlTenorBasisValue(TenorBasis3M,W90,AllTriggers)</f>
        <v>#VALUE!</v>
      </c>
    </row>
    <row r="91" spans="23:24" x14ac:dyDescent="0.2">
      <c r="W91" s="169">
        <f>_xll.qlCalendarAdvance(Calendar,W90,"1D","f")</f>
        <v>42285</v>
      </c>
      <c r="X91" s="167" t="e">
        <f>_xll.qlTenorBasisValue(TenorBasis3M,W91,AllTriggers)</f>
        <v>#VALUE!</v>
      </c>
    </row>
    <row r="92" spans="23:24" x14ac:dyDescent="0.2">
      <c r="W92" s="169">
        <f>_xll.qlCalendarAdvance(Calendar,W91,"1D","f")</f>
        <v>42286</v>
      </c>
      <c r="X92" s="167" t="e">
        <f>_xll.qlTenorBasisValue(TenorBasis3M,W92,AllTriggers)</f>
        <v>#VALUE!</v>
      </c>
    </row>
    <row r="93" spans="23:24" x14ac:dyDescent="0.2">
      <c r="W93" s="169">
        <f>_xll.qlCalendarAdvance(Calendar,W92,"1D","f")</f>
        <v>42289</v>
      </c>
      <c r="X93" s="167" t="e">
        <f>_xll.qlTenorBasisValue(TenorBasis3M,W93,AllTriggers)</f>
        <v>#VALUE!</v>
      </c>
    </row>
    <row r="94" spans="23:24" x14ac:dyDescent="0.2">
      <c r="W94" s="169">
        <f>_xll.qlCalendarAdvance(Calendar,W93,"1D","f")</f>
        <v>42290</v>
      </c>
      <c r="X94" s="167" t="e">
        <f>_xll.qlTenorBasisValue(TenorBasis3M,W94,AllTriggers)</f>
        <v>#VALUE!</v>
      </c>
    </row>
    <row r="95" spans="23:24" x14ac:dyDescent="0.2">
      <c r="W95" s="169">
        <f>_xll.qlCalendarAdvance(Calendar,W94,"1D","f")</f>
        <v>42291</v>
      </c>
      <c r="X95" s="167" t="e">
        <f>_xll.qlTenorBasisValue(TenorBasis3M,W95,AllTriggers)</f>
        <v>#VALUE!</v>
      </c>
    </row>
    <row r="96" spans="23:24" x14ac:dyDescent="0.2">
      <c r="W96" s="169">
        <f>_xll.qlCalendarAdvance(Calendar,W95,"1D","f")</f>
        <v>42292</v>
      </c>
      <c r="X96" s="167" t="e">
        <f>_xll.qlTenorBasisValue(TenorBasis3M,W96,AllTriggers)</f>
        <v>#VALUE!</v>
      </c>
    </row>
    <row r="97" spans="23:24" x14ac:dyDescent="0.2">
      <c r="W97" s="169">
        <f>_xll.qlCalendarAdvance(Calendar,W96,"1D","f")</f>
        <v>42293</v>
      </c>
      <c r="X97" s="167" t="e">
        <f>_xll.qlTenorBasisValue(TenorBasis3M,W97,AllTriggers)</f>
        <v>#VALUE!</v>
      </c>
    </row>
    <row r="98" spans="23:24" x14ac:dyDescent="0.2">
      <c r="W98" s="169">
        <f>_xll.qlCalendarAdvance(Calendar,W97,"1D","f")</f>
        <v>42296</v>
      </c>
      <c r="X98" s="167" t="e">
        <f>_xll.qlTenorBasisValue(TenorBasis3M,W98,AllTriggers)</f>
        <v>#VALUE!</v>
      </c>
    </row>
    <row r="99" spans="23:24" x14ac:dyDescent="0.2">
      <c r="W99" s="169">
        <f>_xll.qlCalendarAdvance(Calendar,W98,"1D","f")</f>
        <v>42297</v>
      </c>
      <c r="X99" s="167" t="e">
        <f>_xll.qlTenorBasisValue(TenorBasis3M,W99,AllTriggers)</f>
        <v>#VALUE!</v>
      </c>
    </row>
    <row r="100" spans="23:24" x14ac:dyDescent="0.2">
      <c r="W100" s="169">
        <f>_xll.qlCalendarAdvance(Calendar,W99,"1D","f")</f>
        <v>42298</v>
      </c>
      <c r="X100" s="167" t="e">
        <f>_xll.qlTenorBasisValue(TenorBasis3M,W100,AllTriggers)</f>
        <v>#VALUE!</v>
      </c>
    </row>
    <row r="101" spans="23:24" x14ac:dyDescent="0.2">
      <c r="W101" s="169">
        <f>_xll.qlCalendarAdvance(Calendar,W100,"1D","f")</f>
        <v>42299</v>
      </c>
      <c r="X101" s="167" t="e">
        <f>_xll.qlTenorBasisValue(TenorBasis3M,W101,AllTriggers)</f>
        <v>#VALUE!</v>
      </c>
    </row>
    <row r="102" spans="23:24" x14ac:dyDescent="0.2">
      <c r="W102" s="169">
        <f>_xll.qlCalendarAdvance(Calendar,W101,"1D","f")</f>
        <v>42300</v>
      </c>
      <c r="X102" s="167" t="e">
        <f>_xll.qlTenorBasisValue(TenorBasis3M,W102,AllTriggers)</f>
        <v>#VALUE!</v>
      </c>
    </row>
    <row r="103" spans="23:24" x14ac:dyDescent="0.2">
      <c r="W103" s="169">
        <f>_xll.qlCalendarAdvance(Calendar,W102,"1D","f")</f>
        <v>42303</v>
      </c>
      <c r="X103" s="167" t="e">
        <f>_xll.qlTenorBasisValue(TenorBasis3M,W103,AllTriggers)</f>
        <v>#VALUE!</v>
      </c>
    </row>
    <row r="104" spans="23:24" x14ac:dyDescent="0.2">
      <c r="W104" s="169">
        <f>_xll.qlCalendarAdvance(Calendar,W103,"1D","f")</f>
        <v>42304</v>
      </c>
      <c r="X104" s="167" t="e">
        <f>_xll.qlTenorBasisValue(TenorBasis3M,W104,AllTriggers)</f>
        <v>#VALUE!</v>
      </c>
    </row>
    <row r="105" spans="23:24" x14ac:dyDescent="0.2">
      <c r="W105" s="169">
        <f>_xll.qlCalendarAdvance(Calendar,W104,"1D","f")</f>
        <v>42305</v>
      </c>
      <c r="X105" s="167" t="e">
        <f>_xll.qlTenorBasisValue(TenorBasis3M,W105,AllTriggers)</f>
        <v>#VALUE!</v>
      </c>
    </row>
    <row r="106" spans="23:24" x14ac:dyDescent="0.2">
      <c r="W106" s="169">
        <f>_xll.qlCalendarAdvance(Calendar,W105,"1D","f")</f>
        <v>42306</v>
      </c>
      <c r="X106" s="167" t="e">
        <f>_xll.qlTenorBasisValue(TenorBasis3M,W106,AllTriggers)</f>
        <v>#VALUE!</v>
      </c>
    </row>
    <row r="107" spans="23:24" x14ac:dyDescent="0.2">
      <c r="W107" s="169">
        <f>_xll.qlCalendarAdvance(Calendar,W106,"1D","f")</f>
        <v>42307</v>
      </c>
      <c r="X107" s="167" t="e">
        <f>_xll.qlTenorBasisValue(TenorBasis3M,W107,AllTriggers)</f>
        <v>#VALUE!</v>
      </c>
    </row>
    <row r="108" spans="23:24" x14ac:dyDescent="0.2">
      <c r="W108" s="169">
        <f>_xll.qlCalendarAdvance(Calendar,W107,"1D","f")</f>
        <v>42310</v>
      </c>
      <c r="X108" s="167" t="e">
        <f>_xll.qlTenorBasisValue(TenorBasis3M,W108,AllTriggers)</f>
        <v>#VALUE!</v>
      </c>
    </row>
    <row r="109" spans="23:24" x14ac:dyDescent="0.2">
      <c r="W109" s="169">
        <f>_xll.qlCalendarAdvance(Calendar,W108,"1D","f")</f>
        <v>42311</v>
      </c>
      <c r="X109" s="167" t="e">
        <f>_xll.qlTenorBasisValue(TenorBasis3M,W109,AllTriggers)</f>
        <v>#VALUE!</v>
      </c>
    </row>
    <row r="110" spans="23:24" x14ac:dyDescent="0.2">
      <c r="W110" s="169">
        <f>_xll.qlCalendarAdvance(Calendar,W109,"1D","f")</f>
        <v>42312</v>
      </c>
      <c r="X110" s="167" t="e">
        <f>_xll.qlTenorBasisValue(TenorBasis3M,W110,AllTriggers)</f>
        <v>#VALUE!</v>
      </c>
    </row>
    <row r="111" spans="23:24" x14ac:dyDescent="0.2">
      <c r="W111" s="169">
        <f>_xll.qlCalendarAdvance(Calendar,W110,"1D","f")</f>
        <v>42313</v>
      </c>
      <c r="X111" s="167" t="e">
        <f>_xll.qlTenorBasisValue(TenorBasis3M,W111,AllTriggers)</f>
        <v>#VALUE!</v>
      </c>
    </row>
    <row r="112" spans="23:24" x14ac:dyDescent="0.2">
      <c r="W112" s="169">
        <f>_xll.qlCalendarAdvance(Calendar,W111,"1D","f")</f>
        <v>42314</v>
      </c>
      <c r="X112" s="167" t="e">
        <f>_xll.qlTenorBasisValue(TenorBasis3M,W112,AllTriggers)</f>
        <v>#VALUE!</v>
      </c>
    </row>
    <row r="113" spans="23:24" x14ac:dyDescent="0.2">
      <c r="W113" s="169">
        <f>_xll.qlCalendarAdvance(Calendar,W112,"1D","f")</f>
        <v>42317</v>
      </c>
      <c r="X113" s="167" t="e">
        <f>_xll.qlTenorBasisValue(TenorBasis3M,W113,AllTriggers)</f>
        <v>#VALUE!</v>
      </c>
    </row>
    <row r="114" spans="23:24" x14ac:dyDescent="0.2">
      <c r="W114" s="169">
        <f>_xll.qlCalendarAdvance(Calendar,W113,"1D","f")</f>
        <v>42318</v>
      </c>
      <c r="X114" s="167" t="e">
        <f>_xll.qlTenorBasisValue(TenorBasis3M,W114,AllTriggers)</f>
        <v>#VALUE!</v>
      </c>
    </row>
    <row r="115" spans="23:24" x14ac:dyDescent="0.2">
      <c r="W115" s="169">
        <f>_xll.qlCalendarAdvance(Calendar,W114,"1D","f")</f>
        <v>42319</v>
      </c>
      <c r="X115" s="167" t="e">
        <f>_xll.qlTenorBasisValue(TenorBasis3M,W115,AllTriggers)</f>
        <v>#VALUE!</v>
      </c>
    </row>
    <row r="116" spans="23:24" x14ac:dyDescent="0.2">
      <c r="W116" s="169">
        <f>_xll.qlCalendarAdvance(Calendar,W115,"1D","f")</f>
        <v>42320</v>
      </c>
      <c r="X116" s="167" t="e">
        <f>_xll.qlTenorBasisValue(TenorBasis3M,W116,AllTriggers)</f>
        <v>#VALUE!</v>
      </c>
    </row>
    <row r="117" spans="23:24" x14ac:dyDescent="0.2">
      <c r="W117" s="169">
        <f>_xll.qlCalendarAdvance(Calendar,W116,"1D","f")</f>
        <v>42321</v>
      </c>
      <c r="X117" s="167" t="e">
        <f>_xll.qlTenorBasisValue(TenorBasis3M,W117,AllTriggers)</f>
        <v>#VALUE!</v>
      </c>
    </row>
    <row r="118" spans="23:24" x14ac:dyDescent="0.2">
      <c r="W118" s="169">
        <f>_xll.qlCalendarAdvance(Calendar,W117,"1D","f")</f>
        <v>42324</v>
      </c>
      <c r="X118" s="167" t="e">
        <f>_xll.qlTenorBasisValue(TenorBasis3M,W118,AllTriggers)</f>
        <v>#VALUE!</v>
      </c>
    </row>
    <row r="119" spans="23:24" x14ac:dyDescent="0.2">
      <c r="W119" s="169">
        <f>_xll.qlCalendarAdvance(Calendar,W118,"1D","f")</f>
        <v>42325</v>
      </c>
      <c r="X119" s="167" t="e">
        <f>_xll.qlTenorBasisValue(TenorBasis3M,W119,AllTriggers)</f>
        <v>#VALUE!</v>
      </c>
    </row>
    <row r="120" spans="23:24" x14ac:dyDescent="0.2">
      <c r="W120" s="169">
        <f>_xll.qlCalendarAdvance(Calendar,W119,"1D","f")</f>
        <v>42326</v>
      </c>
      <c r="X120" s="167" t="e">
        <f>_xll.qlTenorBasisValue(TenorBasis3M,W120,AllTriggers)</f>
        <v>#VALUE!</v>
      </c>
    </row>
    <row r="121" spans="23:24" x14ac:dyDescent="0.2">
      <c r="W121" s="169">
        <f>_xll.qlCalendarAdvance(Calendar,W120,"1D","f")</f>
        <v>42327</v>
      </c>
      <c r="X121" s="167" t="e">
        <f>_xll.qlTenorBasisValue(TenorBasis3M,W121,AllTriggers)</f>
        <v>#VALUE!</v>
      </c>
    </row>
    <row r="122" spans="23:24" x14ac:dyDescent="0.2">
      <c r="W122" s="169">
        <f>_xll.qlCalendarAdvance(Calendar,W121,"1D","f")</f>
        <v>42328</v>
      </c>
      <c r="X122" s="167" t="e">
        <f>_xll.qlTenorBasisValue(TenorBasis3M,W122,AllTriggers)</f>
        <v>#VALUE!</v>
      </c>
    </row>
    <row r="123" spans="23:24" x14ac:dyDescent="0.2">
      <c r="W123" s="169">
        <f>_xll.qlCalendarAdvance(Calendar,W122,"1D","f")</f>
        <v>42331</v>
      </c>
      <c r="X123" s="167" t="e">
        <f>_xll.qlTenorBasisValue(TenorBasis3M,W123,AllTriggers)</f>
        <v>#VALUE!</v>
      </c>
    </row>
    <row r="124" spans="23:24" x14ac:dyDescent="0.2">
      <c r="W124" s="169">
        <f>_xll.qlCalendarAdvance(Calendar,W123,"1D","f")</f>
        <v>42332</v>
      </c>
      <c r="X124" s="167" t="e">
        <f>_xll.qlTenorBasisValue(TenorBasis3M,W124,AllTriggers)</f>
        <v>#VALUE!</v>
      </c>
    </row>
    <row r="125" spans="23:24" x14ac:dyDescent="0.2">
      <c r="W125" s="169">
        <f>_xll.qlCalendarAdvance(Calendar,W124,"1D","f")</f>
        <v>42333</v>
      </c>
      <c r="X125" s="167" t="e">
        <f>_xll.qlTenorBasisValue(TenorBasis3M,W125,AllTriggers)</f>
        <v>#VALUE!</v>
      </c>
    </row>
    <row r="126" spans="23:24" x14ac:dyDescent="0.2">
      <c r="W126" s="169">
        <f>_xll.qlCalendarAdvance(Calendar,W125,"1D","f")</f>
        <v>42334</v>
      </c>
      <c r="X126" s="167" t="e">
        <f>_xll.qlTenorBasisValue(TenorBasis3M,W126,AllTriggers)</f>
        <v>#VALUE!</v>
      </c>
    </row>
    <row r="127" spans="23:24" x14ac:dyDescent="0.2">
      <c r="W127" s="169">
        <f>_xll.qlCalendarAdvance(Calendar,W126,"1D","f")</f>
        <v>42335</v>
      </c>
      <c r="X127" s="167" t="e">
        <f>_xll.qlTenorBasisValue(TenorBasis3M,W127,AllTriggers)</f>
        <v>#VALUE!</v>
      </c>
    </row>
    <row r="128" spans="23:24" x14ac:dyDescent="0.2">
      <c r="W128" s="169">
        <f>_xll.qlCalendarAdvance(Calendar,W127,"1D","f")</f>
        <v>42338</v>
      </c>
      <c r="X128" s="167" t="e">
        <f>_xll.qlTenorBasisValue(TenorBasis3M,W128,AllTriggers)</f>
        <v>#VALUE!</v>
      </c>
    </row>
    <row r="129" spans="23:24" x14ac:dyDescent="0.2">
      <c r="W129" s="169">
        <f>_xll.qlCalendarAdvance(Calendar,W128,"1D","f")</f>
        <v>42339</v>
      </c>
      <c r="X129" s="167" t="e">
        <f>_xll.qlTenorBasisValue(TenorBasis3M,W129,AllTriggers)</f>
        <v>#VALUE!</v>
      </c>
    </row>
    <row r="130" spans="23:24" x14ac:dyDescent="0.2">
      <c r="W130" s="169">
        <f>_xll.qlCalendarAdvance(Calendar,W129,"1D","f")</f>
        <v>42340</v>
      </c>
      <c r="X130" s="167" t="e">
        <f>_xll.qlTenorBasisValue(TenorBasis3M,W130,AllTriggers)</f>
        <v>#VALUE!</v>
      </c>
    </row>
    <row r="131" spans="23:24" x14ac:dyDescent="0.2">
      <c r="W131" s="169">
        <f>_xll.qlCalendarAdvance(Calendar,W130,"1D","f")</f>
        <v>42341</v>
      </c>
      <c r="X131" s="167" t="e">
        <f>_xll.qlTenorBasisValue(TenorBasis3M,W131,AllTriggers)</f>
        <v>#VALUE!</v>
      </c>
    </row>
    <row r="132" spans="23:24" x14ac:dyDescent="0.2">
      <c r="W132" s="169">
        <f>_xll.qlCalendarAdvance(Calendar,W131,"1D","f")</f>
        <v>42342</v>
      </c>
      <c r="X132" s="167" t="e">
        <f>_xll.qlTenorBasisValue(TenorBasis3M,W132,AllTriggers)</f>
        <v>#VALUE!</v>
      </c>
    </row>
    <row r="133" spans="23:24" x14ac:dyDescent="0.2">
      <c r="W133" s="169">
        <f>_xll.qlCalendarAdvance(Calendar,W132,"1D","f")</f>
        <v>42345</v>
      </c>
      <c r="X133" s="167" t="e">
        <f>_xll.qlTenorBasisValue(TenorBasis3M,W133,AllTriggers)</f>
        <v>#VALUE!</v>
      </c>
    </row>
    <row r="134" spans="23:24" x14ac:dyDescent="0.2">
      <c r="W134" s="169">
        <f>_xll.qlCalendarAdvance(Calendar,W133,"1D","f")</f>
        <v>42346</v>
      </c>
      <c r="X134" s="167" t="e">
        <f>_xll.qlTenorBasisValue(TenorBasis3M,W134,AllTriggers)</f>
        <v>#VALUE!</v>
      </c>
    </row>
    <row r="135" spans="23:24" x14ac:dyDescent="0.2">
      <c r="W135" s="169">
        <f>_xll.qlCalendarAdvance(Calendar,W134,"1D","f")</f>
        <v>42347</v>
      </c>
      <c r="X135" s="167" t="e">
        <f>_xll.qlTenorBasisValue(TenorBasis3M,W135,AllTriggers)</f>
        <v>#VALUE!</v>
      </c>
    </row>
    <row r="136" spans="23:24" x14ac:dyDescent="0.2">
      <c r="W136" s="169">
        <f>_xll.qlCalendarAdvance(Calendar,W135,"1D","f")</f>
        <v>42348</v>
      </c>
      <c r="X136" s="167" t="e">
        <f>_xll.qlTenorBasisValue(TenorBasis3M,W136,AllTriggers)</f>
        <v>#VALUE!</v>
      </c>
    </row>
    <row r="137" spans="23:24" x14ac:dyDescent="0.2">
      <c r="W137" s="169">
        <f>_xll.qlCalendarAdvance(Calendar,W136,"1D","f")</f>
        <v>42349</v>
      </c>
      <c r="X137" s="167" t="e">
        <f>_xll.qlTenorBasisValue(TenorBasis3M,W137,AllTriggers)</f>
        <v>#VALUE!</v>
      </c>
    </row>
    <row r="138" spans="23:24" x14ac:dyDescent="0.2">
      <c r="W138" s="169">
        <f>_xll.qlCalendarAdvance(Calendar,W137,"1D","f")</f>
        <v>42352</v>
      </c>
      <c r="X138" s="167" t="e">
        <f>_xll.qlTenorBasisValue(TenorBasis3M,W138,AllTriggers)</f>
        <v>#VALUE!</v>
      </c>
    </row>
    <row r="139" spans="23:24" x14ac:dyDescent="0.2">
      <c r="W139" s="169">
        <f>_xll.qlCalendarAdvance(Calendar,W138,"1D","f")</f>
        <v>42353</v>
      </c>
      <c r="X139" s="167" t="e">
        <f>_xll.qlTenorBasisValue(TenorBasis3M,W139,AllTriggers)</f>
        <v>#VALUE!</v>
      </c>
    </row>
    <row r="140" spans="23:24" x14ac:dyDescent="0.2">
      <c r="W140" s="169">
        <f>_xll.qlCalendarAdvance(Calendar,W139,"1D","f")</f>
        <v>42354</v>
      </c>
      <c r="X140" s="167" t="e">
        <f>_xll.qlTenorBasisValue(TenorBasis3M,W140,AllTriggers)</f>
        <v>#VALUE!</v>
      </c>
    </row>
    <row r="141" spans="23:24" x14ac:dyDescent="0.2">
      <c r="W141" s="169">
        <f>_xll.qlCalendarAdvance(Calendar,W140,"1D","f")</f>
        <v>42355</v>
      </c>
      <c r="X141" s="167" t="e">
        <f>_xll.qlTenorBasisValue(TenorBasis3M,W141,AllTriggers)</f>
        <v>#VALUE!</v>
      </c>
    </row>
    <row r="142" spans="23:24" x14ac:dyDescent="0.2">
      <c r="W142" s="169">
        <f>_xll.qlCalendarAdvance(Calendar,W141,"1D","f")</f>
        <v>42356</v>
      </c>
      <c r="X142" s="167" t="e">
        <f>_xll.qlTenorBasisValue(TenorBasis3M,W142,AllTriggers)</f>
        <v>#VALUE!</v>
      </c>
    </row>
    <row r="143" spans="23:24" x14ac:dyDescent="0.2">
      <c r="W143" s="169">
        <f>_xll.qlCalendarAdvance(Calendar,W142,"1D","f")</f>
        <v>42359</v>
      </c>
      <c r="X143" s="167" t="e">
        <f>_xll.qlTenorBasisValue(TenorBasis3M,W143,AllTriggers)</f>
        <v>#VALUE!</v>
      </c>
    </row>
    <row r="144" spans="23:24" x14ac:dyDescent="0.2">
      <c r="W144" s="169">
        <f>_xll.qlCalendarAdvance(Calendar,W143,"1D","f")</f>
        <v>42360</v>
      </c>
      <c r="X144" s="167" t="e">
        <f>_xll.qlTenorBasisValue(TenorBasis3M,W144,AllTriggers)</f>
        <v>#VALUE!</v>
      </c>
    </row>
    <row r="145" spans="23:24" x14ac:dyDescent="0.2">
      <c r="W145" s="169">
        <f>_xll.qlCalendarAdvance(Calendar,W144,"1D","f")</f>
        <v>42361</v>
      </c>
      <c r="X145" s="167" t="e">
        <f>_xll.qlTenorBasisValue(TenorBasis3M,W145,AllTriggers)</f>
        <v>#VALUE!</v>
      </c>
    </row>
    <row r="146" spans="23:24" x14ac:dyDescent="0.2">
      <c r="W146" s="169">
        <f>_xll.qlCalendarAdvance(Calendar,W145,"1D","f")</f>
        <v>42362</v>
      </c>
      <c r="X146" s="167" t="e">
        <f>_xll.qlTenorBasisValue(TenorBasis3M,W146,AllTriggers)</f>
        <v>#VALUE!</v>
      </c>
    </row>
    <row r="147" spans="23:24" x14ac:dyDescent="0.2">
      <c r="W147" s="169">
        <f>_xll.qlCalendarAdvance(Calendar,W146,"1D","f")</f>
        <v>42366</v>
      </c>
      <c r="X147" s="167" t="e">
        <f>_xll.qlTenorBasisValue(TenorBasis3M,W147,AllTriggers)</f>
        <v>#VALUE!</v>
      </c>
    </row>
    <row r="148" spans="23:24" x14ac:dyDescent="0.2">
      <c r="W148" s="169">
        <f>_xll.qlCalendarAdvance(Calendar,W147,"1D","f")</f>
        <v>42367</v>
      </c>
      <c r="X148" s="167" t="e">
        <f>_xll.qlTenorBasisValue(TenorBasis3M,W148,AllTriggers)</f>
        <v>#VALUE!</v>
      </c>
    </row>
    <row r="149" spans="23:24" x14ac:dyDescent="0.2">
      <c r="W149" s="169">
        <f>_xll.qlCalendarAdvance(Calendar,W148,"1D","f")</f>
        <v>42368</v>
      </c>
      <c r="X149" s="167" t="e">
        <f>_xll.qlTenorBasisValue(TenorBasis3M,W149,AllTriggers)</f>
        <v>#VALUE!</v>
      </c>
    </row>
    <row r="150" spans="23:24" x14ac:dyDescent="0.2">
      <c r="W150" s="169">
        <f>_xll.qlCalendarAdvance(Calendar,W149,"1D","f")</f>
        <v>42369</v>
      </c>
      <c r="X150" s="167" t="e">
        <f>_xll.qlTenorBasisValue(TenorBasis3M,W150,AllTriggers)</f>
        <v>#VALUE!</v>
      </c>
    </row>
    <row r="151" spans="23:24" x14ac:dyDescent="0.2">
      <c r="W151" s="169">
        <f>_xll.qlCalendarAdvance(Calendar,W150,"1D","f")</f>
        <v>42373</v>
      </c>
      <c r="X151" s="167" t="e">
        <f>_xll.qlTenorBasisValue(TenorBasis3M,W151,AllTriggers)</f>
        <v>#VALUE!</v>
      </c>
    </row>
    <row r="152" spans="23:24" x14ac:dyDescent="0.2">
      <c r="W152" s="169">
        <f>_xll.qlCalendarAdvance(Calendar,W151,"1D","f")</f>
        <v>42374</v>
      </c>
      <c r="X152" s="167" t="e">
        <f>_xll.qlTenorBasisValue(TenorBasis3M,W152,AllTriggers)</f>
        <v>#VALUE!</v>
      </c>
    </row>
    <row r="153" spans="23:24" x14ac:dyDescent="0.2">
      <c r="W153" s="169">
        <f>_xll.qlCalendarAdvance(Calendar,W152,"1D","f")</f>
        <v>42375</v>
      </c>
      <c r="X153" s="167" t="e">
        <f>_xll.qlTenorBasisValue(TenorBasis3M,W153,AllTriggers)</f>
        <v>#VALUE!</v>
      </c>
    </row>
    <row r="154" spans="23:24" x14ac:dyDescent="0.2">
      <c r="W154" s="169">
        <f>_xll.qlCalendarAdvance(Calendar,W153,"1D","f")</f>
        <v>42376</v>
      </c>
      <c r="X154" s="167" t="e">
        <f>_xll.qlTenorBasisValue(TenorBasis3M,W154,AllTriggers)</f>
        <v>#VALUE!</v>
      </c>
    </row>
    <row r="155" spans="23:24" x14ac:dyDescent="0.2">
      <c r="W155" s="169">
        <f>_xll.qlCalendarAdvance(Calendar,W154,"1D","f")</f>
        <v>42377</v>
      </c>
      <c r="X155" s="167" t="e">
        <f>_xll.qlTenorBasisValue(TenorBasis3M,W155,AllTriggers)</f>
        <v>#VALUE!</v>
      </c>
    </row>
    <row r="156" spans="23:24" x14ac:dyDescent="0.2">
      <c r="W156" s="169">
        <f>_xll.qlCalendarAdvance(Calendar,W155,"1D","f")</f>
        <v>42380</v>
      </c>
      <c r="X156" s="167" t="e">
        <f>_xll.qlTenorBasisValue(TenorBasis3M,W156,AllTriggers)</f>
        <v>#VALUE!</v>
      </c>
    </row>
    <row r="157" spans="23:24" x14ac:dyDescent="0.2">
      <c r="W157" s="169">
        <f>_xll.qlCalendarAdvance(Calendar,W156,"1D","f")</f>
        <v>42381</v>
      </c>
      <c r="X157" s="167" t="e">
        <f>_xll.qlTenorBasisValue(TenorBasis3M,W157,AllTriggers)</f>
        <v>#VALUE!</v>
      </c>
    </row>
    <row r="158" spans="23:24" x14ac:dyDescent="0.2">
      <c r="W158" s="169">
        <f>_xll.qlCalendarAdvance(Calendar,W157,"1D","f")</f>
        <v>42382</v>
      </c>
      <c r="X158" s="167" t="e">
        <f>_xll.qlTenorBasisValue(TenorBasis3M,W158,AllTriggers)</f>
        <v>#VALUE!</v>
      </c>
    </row>
    <row r="159" spans="23:24" x14ac:dyDescent="0.2">
      <c r="W159" s="169">
        <f>_xll.qlCalendarAdvance(Calendar,W158,"1D","f")</f>
        <v>42383</v>
      </c>
      <c r="X159" s="167" t="e">
        <f>_xll.qlTenorBasisValue(TenorBasis3M,W159,AllTriggers)</f>
        <v>#VALUE!</v>
      </c>
    </row>
    <row r="160" spans="23:24" x14ac:dyDescent="0.2">
      <c r="W160" s="169">
        <f>_xll.qlCalendarAdvance(Calendar,W159,"1D","f")</f>
        <v>42384</v>
      </c>
      <c r="X160" s="167" t="e">
        <f>_xll.qlTenorBasisValue(TenorBasis3M,W160,AllTriggers)</f>
        <v>#VALUE!</v>
      </c>
    </row>
    <row r="161" spans="23:24" x14ac:dyDescent="0.2">
      <c r="W161" s="169">
        <f>_xll.qlCalendarAdvance(Calendar,W160,"1D","f")</f>
        <v>42387</v>
      </c>
      <c r="X161" s="167" t="e">
        <f>_xll.qlTenorBasisValue(TenorBasis3M,W161,AllTriggers)</f>
        <v>#VALUE!</v>
      </c>
    </row>
    <row r="162" spans="23:24" x14ac:dyDescent="0.2">
      <c r="W162" s="169">
        <f>_xll.qlCalendarAdvance(Calendar,W161,"1D","f")</f>
        <v>42388</v>
      </c>
      <c r="X162" s="167" t="e">
        <f>_xll.qlTenorBasisValue(TenorBasis3M,W162,AllTriggers)</f>
        <v>#VALUE!</v>
      </c>
    </row>
    <row r="163" spans="23:24" x14ac:dyDescent="0.2">
      <c r="W163" s="169">
        <f>_xll.qlCalendarAdvance(Calendar,W162,"1D","f")</f>
        <v>42389</v>
      </c>
      <c r="X163" s="167" t="e">
        <f>_xll.qlTenorBasisValue(TenorBasis3M,W163,AllTriggers)</f>
        <v>#VALUE!</v>
      </c>
    </row>
    <row r="164" spans="23:24" x14ac:dyDescent="0.2">
      <c r="W164" s="169">
        <f>_xll.qlCalendarAdvance(Calendar,W163,"1D","f")</f>
        <v>42390</v>
      </c>
      <c r="X164" s="167" t="e">
        <f>_xll.qlTenorBasisValue(TenorBasis3M,W164,AllTriggers)</f>
        <v>#VALUE!</v>
      </c>
    </row>
    <row r="165" spans="23:24" x14ac:dyDescent="0.2">
      <c r="W165" s="169">
        <f>_xll.qlCalendarAdvance(Calendar,W164,"1D","f")</f>
        <v>42391</v>
      </c>
      <c r="X165" s="167" t="e">
        <f>_xll.qlTenorBasisValue(TenorBasis3M,W165,AllTriggers)</f>
        <v>#VALUE!</v>
      </c>
    </row>
    <row r="166" spans="23:24" x14ac:dyDescent="0.2">
      <c r="W166" s="169">
        <f>_xll.qlCalendarAdvance(Calendar,W165,"1D","f")</f>
        <v>42394</v>
      </c>
      <c r="X166" s="167" t="e">
        <f>_xll.qlTenorBasisValue(TenorBasis3M,W166,AllTriggers)</f>
        <v>#VALUE!</v>
      </c>
    </row>
    <row r="167" spans="23:24" x14ac:dyDescent="0.2">
      <c r="W167" s="169">
        <f>_xll.qlCalendarAdvance(Calendar,W166,"1D","f")</f>
        <v>42395</v>
      </c>
      <c r="X167" s="167" t="e">
        <f>_xll.qlTenorBasisValue(TenorBasis3M,W167,AllTriggers)</f>
        <v>#VALUE!</v>
      </c>
    </row>
    <row r="168" spans="23:24" x14ac:dyDescent="0.2">
      <c r="W168" s="169">
        <f>_xll.qlCalendarAdvance(Calendar,W167,"1D","f")</f>
        <v>42396</v>
      </c>
      <c r="X168" s="167" t="e">
        <f>_xll.qlTenorBasisValue(TenorBasis3M,W168,AllTriggers)</f>
        <v>#VALUE!</v>
      </c>
    </row>
    <row r="169" spans="23:24" x14ac:dyDescent="0.2">
      <c r="W169" s="169">
        <f>_xll.qlCalendarAdvance(Calendar,W168,"1D","f")</f>
        <v>42397</v>
      </c>
      <c r="X169" s="167" t="e">
        <f>_xll.qlTenorBasisValue(TenorBasis3M,W169,AllTriggers)</f>
        <v>#VALUE!</v>
      </c>
    </row>
    <row r="170" spans="23:24" x14ac:dyDescent="0.2">
      <c r="W170" s="169">
        <f>_xll.qlCalendarAdvance(Calendar,W169,"1D","f")</f>
        <v>42398</v>
      </c>
      <c r="X170" s="167" t="e">
        <f>_xll.qlTenorBasisValue(TenorBasis3M,W170,AllTriggers)</f>
        <v>#VALUE!</v>
      </c>
    </row>
    <row r="171" spans="23:24" x14ac:dyDescent="0.2">
      <c r="W171" s="169">
        <f>_xll.qlCalendarAdvance(Calendar,W170,"1D","f")</f>
        <v>42401</v>
      </c>
      <c r="X171" s="167" t="e">
        <f>_xll.qlTenorBasisValue(TenorBasis3M,W171,AllTriggers)</f>
        <v>#VALUE!</v>
      </c>
    </row>
    <row r="172" spans="23:24" x14ac:dyDescent="0.2">
      <c r="W172" s="169">
        <f>_xll.qlCalendarAdvance(Calendar,W171,"1D","f")</f>
        <v>42402</v>
      </c>
      <c r="X172" s="167" t="e">
        <f>_xll.qlTenorBasisValue(TenorBasis3M,W172,AllTriggers)</f>
        <v>#VALUE!</v>
      </c>
    </row>
    <row r="173" spans="23:24" x14ac:dyDescent="0.2">
      <c r="W173" s="169">
        <f>_xll.qlCalendarAdvance(Calendar,W172,"1D","f")</f>
        <v>42403</v>
      </c>
      <c r="X173" s="167" t="e">
        <f>_xll.qlTenorBasisValue(TenorBasis3M,W173,AllTriggers)</f>
        <v>#VALUE!</v>
      </c>
    </row>
    <row r="174" spans="23:24" x14ac:dyDescent="0.2">
      <c r="W174" s="169">
        <f>_xll.qlCalendarAdvance(Calendar,W173,"1D","f")</f>
        <v>42404</v>
      </c>
      <c r="X174" s="167" t="e">
        <f>_xll.qlTenorBasisValue(TenorBasis3M,W174,AllTriggers)</f>
        <v>#VALUE!</v>
      </c>
    </row>
    <row r="175" spans="23:24" x14ac:dyDescent="0.2">
      <c r="W175" s="169">
        <f>_xll.qlCalendarAdvance(Calendar,W174,"1D","f")</f>
        <v>42405</v>
      </c>
      <c r="X175" s="167" t="e">
        <f>_xll.qlTenorBasisValue(TenorBasis3M,W175,AllTriggers)</f>
        <v>#VALUE!</v>
      </c>
    </row>
    <row r="176" spans="23:24" x14ac:dyDescent="0.2">
      <c r="W176" s="169">
        <f>_xll.qlCalendarAdvance(Calendar,W175,"1D","f")</f>
        <v>42408</v>
      </c>
      <c r="X176" s="167" t="e">
        <f>_xll.qlTenorBasisValue(TenorBasis3M,W176,AllTriggers)</f>
        <v>#VALUE!</v>
      </c>
    </row>
    <row r="177" spans="23:24" x14ac:dyDescent="0.2">
      <c r="W177" s="169">
        <f>_xll.qlCalendarAdvance(Calendar,W176,"1D","f")</f>
        <v>42409</v>
      </c>
      <c r="X177" s="167" t="e">
        <f>_xll.qlTenorBasisValue(TenorBasis3M,W177,AllTriggers)</f>
        <v>#VALUE!</v>
      </c>
    </row>
    <row r="178" spans="23:24" x14ac:dyDescent="0.2">
      <c r="W178" s="169">
        <f>_xll.qlCalendarAdvance(Calendar,W177,"1D","f")</f>
        <v>42410</v>
      </c>
      <c r="X178" s="167" t="e">
        <f>_xll.qlTenorBasisValue(TenorBasis3M,W178,AllTriggers)</f>
        <v>#VALUE!</v>
      </c>
    </row>
    <row r="179" spans="23:24" x14ac:dyDescent="0.2">
      <c r="W179" s="169">
        <f>_xll.qlCalendarAdvance(Calendar,W178,"1D","f")</f>
        <v>42411</v>
      </c>
      <c r="X179" s="167" t="e">
        <f>_xll.qlTenorBasisValue(TenorBasis3M,W179,AllTriggers)</f>
        <v>#VALUE!</v>
      </c>
    </row>
    <row r="180" spans="23:24" x14ac:dyDescent="0.2">
      <c r="W180" s="169">
        <f>_xll.qlCalendarAdvance(Calendar,W179,"1D","f")</f>
        <v>42412</v>
      </c>
      <c r="X180" s="167" t="e">
        <f>_xll.qlTenorBasisValue(TenorBasis3M,W180,AllTriggers)</f>
        <v>#VALUE!</v>
      </c>
    </row>
    <row r="181" spans="23:24" x14ac:dyDescent="0.2">
      <c r="W181" s="169">
        <f>_xll.qlCalendarAdvance(Calendar,W180,"1D","f")</f>
        <v>42415</v>
      </c>
      <c r="X181" s="167" t="e">
        <f>_xll.qlTenorBasisValue(TenorBasis3M,W181,AllTriggers)</f>
        <v>#VALUE!</v>
      </c>
    </row>
    <row r="182" spans="23:24" x14ac:dyDescent="0.2">
      <c r="W182" s="169">
        <f>_xll.qlCalendarAdvance(Calendar,W181,"1D","f")</f>
        <v>42416</v>
      </c>
      <c r="X182" s="167" t="e">
        <f>_xll.qlTenorBasisValue(TenorBasis3M,W182,AllTriggers)</f>
        <v>#VALUE!</v>
      </c>
    </row>
    <row r="183" spans="23:24" x14ac:dyDescent="0.2">
      <c r="W183" s="169">
        <f>_xll.qlCalendarAdvance(Calendar,W182,"1D","f")</f>
        <v>42417</v>
      </c>
      <c r="X183" s="167" t="e">
        <f>_xll.qlTenorBasisValue(TenorBasis3M,W183,AllTriggers)</f>
        <v>#VALUE!</v>
      </c>
    </row>
    <row r="184" spans="23:24" x14ac:dyDescent="0.2">
      <c r="W184" s="169">
        <f>_xll.qlCalendarAdvance(Calendar,W183,"1D","f")</f>
        <v>42418</v>
      </c>
      <c r="X184" s="167" t="e">
        <f>_xll.qlTenorBasisValue(TenorBasis3M,W184,AllTriggers)</f>
        <v>#VALUE!</v>
      </c>
    </row>
    <row r="185" spans="23:24" x14ac:dyDescent="0.2">
      <c r="W185" s="169">
        <f>_xll.qlCalendarAdvance(Calendar,W184,"1D","f")</f>
        <v>42419</v>
      </c>
      <c r="X185" s="167" t="e">
        <f>_xll.qlTenorBasisValue(TenorBasis3M,W185,AllTriggers)</f>
        <v>#VALUE!</v>
      </c>
    </row>
    <row r="186" spans="23:24" x14ac:dyDescent="0.2">
      <c r="W186" s="169">
        <f>_xll.qlCalendarAdvance(Calendar,W185,"1D","f")</f>
        <v>42422</v>
      </c>
      <c r="X186" s="167" t="e">
        <f>_xll.qlTenorBasisValue(TenorBasis3M,W186,AllTriggers)</f>
        <v>#VALUE!</v>
      </c>
    </row>
    <row r="187" spans="23:24" x14ac:dyDescent="0.2">
      <c r="W187" s="169">
        <f>_xll.qlCalendarAdvance(Calendar,W186,"1D","f")</f>
        <v>42423</v>
      </c>
      <c r="X187" s="167" t="e">
        <f>_xll.qlTenorBasisValue(TenorBasis3M,W187,AllTriggers)</f>
        <v>#VALUE!</v>
      </c>
    </row>
    <row r="188" spans="23:24" x14ac:dyDescent="0.2">
      <c r="W188" s="169">
        <f>_xll.qlCalendarAdvance(Calendar,W187,"1D","f")</f>
        <v>42424</v>
      </c>
      <c r="X188" s="167" t="e">
        <f>_xll.qlTenorBasisValue(TenorBasis3M,W188,AllTriggers)</f>
        <v>#VALUE!</v>
      </c>
    </row>
    <row r="189" spans="23:24" x14ac:dyDescent="0.2">
      <c r="W189" s="169">
        <f>_xll.qlCalendarAdvance(Calendar,W188,"1D","f")</f>
        <v>42425</v>
      </c>
      <c r="X189" s="167" t="e">
        <f>_xll.qlTenorBasisValue(TenorBasis3M,W189,AllTriggers)</f>
        <v>#VALUE!</v>
      </c>
    </row>
    <row r="190" spans="23:24" x14ac:dyDescent="0.2">
      <c r="W190" s="169">
        <f>_xll.qlCalendarAdvance(Calendar,W189,"1D","f")</f>
        <v>42426</v>
      </c>
      <c r="X190" s="167" t="e">
        <f>_xll.qlTenorBasisValue(TenorBasis3M,W190,AllTriggers)</f>
        <v>#VALUE!</v>
      </c>
    </row>
    <row r="191" spans="23:24" x14ac:dyDescent="0.2">
      <c r="W191" s="169">
        <f>_xll.qlCalendarAdvance(Calendar,W190,"1D","f")</f>
        <v>42429</v>
      </c>
      <c r="X191" s="167" t="e">
        <f>_xll.qlTenorBasisValue(TenorBasis3M,W191,AllTriggers)</f>
        <v>#VALUE!</v>
      </c>
    </row>
    <row r="192" spans="23:24" x14ac:dyDescent="0.2">
      <c r="W192" s="169">
        <f>_xll.qlCalendarAdvance(Calendar,W191,"1D","f")</f>
        <v>42430</v>
      </c>
      <c r="X192" s="167" t="e">
        <f>_xll.qlTenorBasisValue(TenorBasis3M,W192,AllTriggers)</f>
        <v>#VALUE!</v>
      </c>
    </row>
    <row r="193" spans="23:24" x14ac:dyDescent="0.2">
      <c r="W193" s="169">
        <f>_xll.qlCalendarAdvance(Calendar,W192,"1D","f")</f>
        <v>42431</v>
      </c>
      <c r="X193" s="167" t="e">
        <f>_xll.qlTenorBasisValue(TenorBasis3M,W193,AllTriggers)</f>
        <v>#VALUE!</v>
      </c>
    </row>
    <row r="194" spans="23:24" x14ac:dyDescent="0.2">
      <c r="W194" s="169">
        <f>_xll.qlCalendarAdvance(Calendar,W193,"1D","f")</f>
        <v>42432</v>
      </c>
      <c r="X194" s="167" t="e">
        <f>_xll.qlTenorBasisValue(TenorBasis3M,W194,AllTriggers)</f>
        <v>#VALUE!</v>
      </c>
    </row>
    <row r="195" spans="23:24" x14ac:dyDescent="0.2">
      <c r="W195" s="169">
        <f>_xll.qlCalendarAdvance(Calendar,W194,"1D","f")</f>
        <v>42433</v>
      </c>
      <c r="X195" s="167" t="e">
        <f>_xll.qlTenorBasisValue(TenorBasis3M,W195,AllTriggers)</f>
        <v>#VALUE!</v>
      </c>
    </row>
    <row r="196" spans="23:24" x14ac:dyDescent="0.2">
      <c r="W196" s="169">
        <f>_xll.qlCalendarAdvance(Calendar,W195,"1D","f")</f>
        <v>42436</v>
      </c>
      <c r="X196" s="167" t="e">
        <f>_xll.qlTenorBasisValue(TenorBasis3M,W196,AllTriggers)</f>
        <v>#VALUE!</v>
      </c>
    </row>
    <row r="197" spans="23:24" x14ac:dyDescent="0.2">
      <c r="W197" s="169">
        <f>_xll.qlCalendarAdvance(Calendar,W196,"1D","f")</f>
        <v>42437</v>
      </c>
      <c r="X197" s="167" t="e">
        <f>_xll.qlTenorBasisValue(TenorBasis3M,W197,AllTriggers)</f>
        <v>#VALUE!</v>
      </c>
    </row>
    <row r="198" spans="23:24" x14ac:dyDescent="0.2">
      <c r="W198" s="169">
        <f>_xll.qlCalendarAdvance(Calendar,W197,"1D","f")</f>
        <v>42438</v>
      </c>
      <c r="X198" s="167" t="e">
        <f>_xll.qlTenorBasisValue(TenorBasis3M,W198,AllTriggers)</f>
        <v>#VALUE!</v>
      </c>
    </row>
    <row r="199" spans="23:24" x14ac:dyDescent="0.2">
      <c r="W199" s="169">
        <f>_xll.qlCalendarAdvance(Calendar,W198,"1D","f")</f>
        <v>42439</v>
      </c>
      <c r="X199" s="167" t="e">
        <f>_xll.qlTenorBasisValue(TenorBasis3M,W199,AllTriggers)</f>
        <v>#VALUE!</v>
      </c>
    </row>
    <row r="200" spans="23:24" x14ac:dyDescent="0.2">
      <c r="W200" s="169">
        <f>_xll.qlCalendarAdvance(Calendar,W199,"1D","f")</f>
        <v>42440</v>
      </c>
      <c r="X200" s="167" t="e">
        <f>_xll.qlTenorBasisValue(TenorBasis3M,W200,AllTriggers)</f>
        <v>#VALUE!</v>
      </c>
    </row>
    <row r="201" spans="23:24" x14ac:dyDescent="0.2">
      <c r="W201" s="169">
        <f>_xll.qlCalendarAdvance(Calendar,W200,"1D","f")</f>
        <v>42443</v>
      </c>
      <c r="X201" s="167" t="e">
        <f>_xll.qlTenorBasisValue(TenorBasis3M,W201,AllTriggers)</f>
        <v>#VALUE!</v>
      </c>
    </row>
    <row r="202" spans="23:24" x14ac:dyDescent="0.2">
      <c r="W202" s="169">
        <f>_xll.qlCalendarAdvance(Calendar,W201,"1D","f")</f>
        <v>42444</v>
      </c>
      <c r="X202" s="167" t="e">
        <f>_xll.qlTenorBasisValue(TenorBasis3M,W202,AllTriggers)</f>
        <v>#VALUE!</v>
      </c>
    </row>
    <row r="203" spans="23:24" x14ac:dyDescent="0.2">
      <c r="W203" s="169">
        <f>_xll.qlCalendarAdvance(Calendar,W202,"1D","f")</f>
        <v>42445</v>
      </c>
      <c r="X203" s="167" t="e">
        <f>_xll.qlTenorBasisValue(TenorBasis3M,W203,AllTriggers)</f>
        <v>#VALUE!</v>
      </c>
    </row>
    <row r="204" spans="23:24" x14ac:dyDescent="0.2">
      <c r="W204" s="169">
        <f>_xll.qlCalendarAdvance(Calendar,W203,"1D","f")</f>
        <v>42446</v>
      </c>
      <c r="X204" s="167" t="e">
        <f>_xll.qlTenorBasisValue(TenorBasis3M,W204,AllTriggers)</f>
        <v>#VALUE!</v>
      </c>
    </row>
    <row r="205" spans="23:24" x14ac:dyDescent="0.2">
      <c r="W205" s="169">
        <f>_xll.qlCalendarAdvance(Calendar,W204,"1D","f")</f>
        <v>42447</v>
      </c>
      <c r="X205" s="167" t="e">
        <f>_xll.qlTenorBasisValue(TenorBasis3M,W205,AllTriggers)</f>
        <v>#VALUE!</v>
      </c>
    </row>
    <row r="206" spans="23:24" x14ac:dyDescent="0.2">
      <c r="W206" s="169">
        <f>_xll.qlCalendarAdvance(Calendar,W205,"1D","f")</f>
        <v>42450</v>
      </c>
      <c r="X206" s="167" t="e">
        <f>_xll.qlTenorBasisValue(TenorBasis3M,W206,AllTriggers)</f>
        <v>#VALUE!</v>
      </c>
    </row>
    <row r="207" spans="23:24" x14ac:dyDescent="0.2">
      <c r="W207" s="169">
        <f>_xll.qlCalendarAdvance(Calendar,W206,"1D","f")</f>
        <v>42451</v>
      </c>
      <c r="X207" s="167" t="e">
        <f>_xll.qlTenorBasisValue(TenorBasis3M,W207,AllTriggers)</f>
        <v>#VALUE!</v>
      </c>
    </row>
    <row r="208" spans="23:24" x14ac:dyDescent="0.2">
      <c r="W208" s="169">
        <f>_xll.qlCalendarAdvance(Calendar,W207,"1D","f")</f>
        <v>42452</v>
      </c>
      <c r="X208" s="167" t="e">
        <f>_xll.qlTenorBasisValue(TenorBasis3M,W208,AllTriggers)</f>
        <v>#VALUE!</v>
      </c>
    </row>
    <row r="209" spans="23:24" x14ac:dyDescent="0.2">
      <c r="W209" s="169">
        <f>_xll.qlCalendarAdvance(Calendar,W208,"1D","f")</f>
        <v>42453</v>
      </c>
      <c r="X209" s="167" t="e">
        <f>_xll.qlTenorBasisValue(TenorBasis3M,W209,AllTriggers)</f>
        <v>#VALUE!</v>
      </c>
    </row>
    <row r="210" spans="23:24" x14ac:dyDescent="0.2">
      <c r="W210" s="169">
        <f>_xll.qlCalendarAdvance(Calendar,W209,"1D","f")</f>
        <v>42458</v>
      </c>
      <c r="X210" s="167" t="e">
        <f>_xll.qlTenorBasisValue(TenorBasis3M,W210,AllTriggers)</f>
        <v>#VALUE!</v>
      </c>
    </row>
    <row r="211" spans="23:24" x14ac:dyDescent="0.2">
      <c r="W211" s="169">
        <f>_xll.qlCalendarAdvance(Calendar,W210,"1D","f")</f>
        <v>42459</v>
      </c>
      <c r="X211" s="167" t="e">
        <f>_xll.qlTenorBasisValue(TenorBasis3M,W211,AllTriggers)</f>
        <v>#VALUE!</v>
      </c>
    </row>
    <row r="212" spans="23:24" x14ac:dyDescent="0.2">
      <c r="W212" s="169">
        <f>_xll.qlCalendarAdvance(Calendar,W211,"1D","f")</f>
        <v>42460</v>
      </c>
      <c r="X212" s="167" t="e">
        <f>_xll.qlTenorBasisValue(TenorBasis3M,W212,AllTriggers)</f>
        <v>#VALUE!</v>
      </c>
    </row>
    <row r="213" spans="23:24" x14ac:dyDescent="0.2">
      <c r="W213" s="169">
        <f>_xll.qlCalendarAdvance(Calendar,W212,"1D","f")</f>
        <v>42461</v>
      </c>
      <c r="X213" s="167" t="e">
        <f>_xll.qlTenorBasisValue(TenorBasis3M,W213,AllTriggers)</f>
        <v>#VALUE!</v>
      </c>
    </row>
    <row r="214" spans="23:24" x14ac:dyDescent="0.2">
      <c r="W214" s="169">
        <f>_xll.qlCalendarAdvance(Calendar,W213,"1D","f")</f>
        <v>42464</v>
      </c>
      <c r="X214" s="167" t="e">
        <f>_xll.qlTenorBasisValue(TenorBasis3M,W214,AllTriggers)</f>
        <v>#VALUE!</v>
      </c>
    </row>
    <row r="215" spans="23:24" x14ac:dyDescent="0.2">
      <c r="W215" s="169">
        <f>_xll.qlCalendarAdvance(Calendar,W214,"1D","f")</f>
        <v>42465</v>
      </c>
      <c r="X215" s="167" t="e">
        <f>_xll.qlTenorBasisValue(TenorBasis3M,W215,AllTriggers)</f>
        <v>#VALUE!</v>
      </c>
    </row>
    <row r="216" spans="23:24" x14ac:dyDescent="0.2">
      <c r="W216" s="169">
        <f>_xll.qlCalendarAdvance(Calendar,W215,"1D","f")</f>
        <v>42466</v>
      </c>
      <c r="X216" s="167" t="e">
        <f>_xll.qlTenorBasisValue(TenorBasis3M,W216,AllTriggers)</f>
        <v>#VALUE!</v>
      </c>
    </row>
    <row r="217" spans="23:24" x14ac:dyDescent="0.2">
      <c r="W217" s="169">
        <f>_xll.qlCalendarAdvance(Calendar,W216,"1D","f")</f>
        <v>42467</v>
      </c>
      <c r="X217" s="167" t="e">
        <f>_xll.qlTenorBasisValue(TenorBasis3M,W217,AllTriggers)</f>
        <v>#VALUE!</v>
      </c>
    </row>
    <row r="218" spans="23:24" x14ac:dyDescent="0.2">
      <c r="W218" s="169">
        <f>_xll.qlCalendarAdvance(Calendar,W217,"1D","f")</f>
        <v>42468</v>
      </c>
      <c r="X218" s="167" t="e">
        <f>_xll.qlTenorBasisValue(TenorBasis3M,W218,AllTriggers)</f>
        <v>#VALUE!</v>
      </c>
    </row>
    <row r="219" spans="23:24" x14ac:dyDescent="0.2">
      <c r="W219" s="169">
        <f>_xll.qlCalendarAdvance(Calendar,W218,"1D","f")</f>
        <v>42471</v>
      </c>
      <c r="X219" s="167" t="e">
        <f>_xll.qlTenorBasisValue(TenorBasis3M,W219,AllTriggers)</f>
        <v>#VALUE!</v>
      </c>
    </row>
    <row r="220" spans="23:24" x14ac:dyDescent="0.2">
      <c r="W220" s="169">
        <f>_xll.qlCalendarAdvance(Calendar,W219,"1D","f")</f>
        <v>42472</v>
      </c>
      <c r="X220" s="167" t="e">
        <f>_xll.qlTenorBasisValue(TenorBasis3M,W220,AllTriggers)</f>
        <v>#VALUE!</v>
      </c>
    </row>
    <row r="221" spans="23:24" x14ac:dyDescent="0.2">
      <c r="W221" s="169">
        <f>_xll.qlCalendarAdvance(Calendar,W220,"1D","f")</f>
        <v>42473</v>
      </c>
      <c r="X221" s="167" t="e">
        <f>_xll.qlTenorBasisValue(TenorBasis3M,W221,AllTriggers)</f>
        <v>#VALUE!</v>
      </c>
    </row>
    <row r="222" spans="23:24" x14ac:dyDescent="0.2">
      <c r="W222" s="169">
        <f>_xll.qlCalendarAdvance(Calendar,W221,"1D","f")</f>
        <v>42474</v>
      </c>
      <c r="X222" s="167" t="e">
        <f>_xll.qlTenorBasisValue(TenorBasis3M,W222,AllTriggers)</f>
        <v>#VALUE!</v>
      </c>
    </row>
    <row r="223" spans="23:24" x14ac:dyDescent="0.2">
      <c r="W223" s="169">
        <f>_xll.qlCalendarAdvance(Calendar,W222,"1D","f")</f>
        <v>42475</v>
      </c>
      <c r="X223" s="167" t="e">
        <f>_xll.qlTenorBasisValue(TenorBasis3M,W223,AllTriggers)</f>
        <v>#VALUE!</v>
      </c>
    </row>
    <row r="224" spans="23:24" x14ac:dyDescent="0.2">
      <c r="W224" s="169">
        <f>_xll.qlCalendarAdvance(Calendar,W223,"1D","f")</f>
        <v>42478</v>
      </c>
      <c r="X224" s="167" t="e">
        <f>_xll.qlTenorBasisValue(TenorBasis3M,W224,AllTriggers)</f>
        <v>#VALUE!</v>
      </c>
    </row>
    <row r="225" spans="23:24" x14ac:dyDescent="0.2">
      <c r="W225" s="169">
        <f>_xll.qlCalendarAdvance(Calendar,W224,"1D","f")</f>
        <v>42479</v>
      </c>
      <c r="X225" s="167" t="e">
        <f>_xll.qlTenorBasisValue(TenorBasis3M,W225,AllTriggers)</f>
        <v>#VALUE!</v>
      </c>
    </row>
    <row r="226" spans="23:24" x14ac:dyDescent="0.2">
      <c r="W226" s="169">
        <f>_xll.qlCalendarAdvance(Calendar,W225,"1D","f")</f>
        <v>42480</v>
      </c>
      <c r="X226" s="167" t="e">
        <f>_xll.qlTenorBasisValue(TenorBasis3M,W226,AllTriggers)</f>
        <v>#VALUE!</v>
      </c>
    </row>
    <row r="227" spans="23:24" x14ac:dyDescent="0.2">
      <c r="W227" s="169">
        <f>_xll.qlCalendarAdvance(Calendar,W226,"1D","f")</f>
        <v>42481</v>
      </c>
      <c r="X227" s="167" t="e">
        <f>_xll.qlTenorBasisValue(TenorBasis3M,W227,AllTriggers)</f>
        <v>#VALUE!</v>
      </c>
    </row>
    <row r="228" spans="23:24" x14ac:dyDescent="0.2">
      <c r="W228" s="169">
        <f>_xll.qlCalendarAdvance(Calendar,W227,"1D","f")</f>
        <v>42482</v>
      </c>
      <c r="X228" s="167" t="e">
        <f>_xll.qlTenorBasisValue(TenorBasis3M,W228,AllTriggers)</f>
        <v>#VALUE!</v>
      </c>
    </row>
    <row r="229" spans="23:24" x14ac:dyDescent="0.2">
      <c r="W229" s="169">
        <f>_xll.qlCalendarAdvance(Calendar,W228,"1D","f")</f>
        <v>42485</v>
      </c>
      <c r="X229" s="167" t="e">
        <f>_xll.qlTenorBasisValue(TenorBasis3M,W229,AllTriggers)</f>
        <v>#VALUE!</v>
      </c>
    </row>
    <row r="230" spans="23:24" x14ac:dyDescent="0.2">
      <c r="W230" s="169">
        <f>_xll.qlCalendarAdvance(Calendar,W229,"1D","f")</f>
        <v>42486</v>
      </c>
      <c r="X230" s="167" t="e">
        <f>_xll.qlTenorBasisValue(TenorBasis3M,W230,AllTriggers)</f>
        <v>#VALUE!</v>
      </c>
    </row>
    <row r="231" spans="23:24" x14ac:dyDescent="0.2">
      <c r="W231" s="169">
        <f>_xll.qlCalendarAdvance(Calendar,W230,"1D","f")</f>
        <v>42487</v>
      </c>
      <c r="X231" s="167" t="e">
        <f>_xll.qlTenorBasisValue(TenorBasis3M,W231,AllTriggers)</f>
        <v>#VALUE!</v>
      </c>
    </row>
    <row r="232" spans="23:24" x14ac:dyDescent="0.2">
      <c r="W232" s="169">
        <f>_xll.qlCalendarAdvance(Calendar,W231,"1D","f")</f>
        <v>42488</v>
      </c>
      <c r="X232" s="167" t="e">
        <f>_xll.qlTenorBasisValue(TenorBasis3M,W232,AllTriggers)</f>
        <v>#VALUE!</v>
      </c>
    </row>
    <row r="233" spans="23:24" x14ac:dyDescent="0.2">
      <c r="W233" s="169">
        <f>_xll.qlCalendarAdvance(Calendar,W232,"1D","f")</f>
        <v>42489</v>
      </c>
      <c r="X233" s="167" t="e">
        <f>_xll.qlTenorBasisValue(TenorBasis3M,W233,AllTriggers)</f>
        <v>#VALUE!</v>
      </c>
    </row>
    <row r="234" spans="23:24" x14ac:dyDescent="0.2">
      <c r="W234" s="169">
        <f>_xll.qlCalendarAdvance(Calendar,W233,"1D","f")</f>
        <v>42492</v>
      </c>
      <c r="X234" s="167" t="e">
        <f>_xll.qlTenorBasisValue(TenorBasis3M,W234,AllTriggers)</f>
        <v>#VALUE!</v>
      </c>
    </row>
    <row r="235" spans="23:24" x14ac:dyDescent="0.2">
      <c r="W235" s="169">
        <f>_xll.qlCalendarAdvance(Calendar,W234,"1D","f")</f>
        <v>42493</v>
      </c>
      <c r="X235" s="167" t="e">
        <f>_xll.qlTenorBasisValue(TenorBasis3M,W235,AllTriggers)</f>
        <v>#VALUE!</v>
      </c>
    </row>
    <row r="236" spans="23:24" x14ac:dyDescent="0.2">
      <c r="W236" s="169">
        <f>_xll.qlCalendarAdvance(Calendar,W235,"1D","f")</f>
        <v>42494</v>
      </c>
      <c r="X236" s="167" t="e">
        <f>_xll.qlTenorBasisValue(TenorBasis3M,W236,AllTriggers)</f>
        <v>#VALUE!</v>
      </c>
    </row>
    <row r="237" spans="23:24" x14ac:dyDescent="0.2">
      <c r="W237" s="169">
        <f>_xll.qlCalendarAdvance(Calendar,W236,"1D","f")</f>
        <v>42495</v>
      </c>
      <c r="X237" s="167" t="e">
        <f>_xll.qlTenorBasisValue(TenorBasis3M,W237,AllTriggers)</f>
        <v>#VALUE!</v>
      </c>
    </row>
    <row r="238" spans="23:24" x14ac:dyDescent="0.2">
      <c r="W238" s="169">
        <f>_xll.qlCalendarAdvance(Calendar,W237,"1D","f")</f>
        <v>42496</v>
      </c>
      <c r="X238" s="167" t="e">
        <f>_xll.qlTenorBasisValue(TenorBasis3M,W238,AllTriggers)</f>
        <v>#VALUE!</v>
      </c>
    </row>
    <row r="239" spans="23:24" x14ac:dyDescent="0.2">
      <c r="W239" s="169">
        <f>_xll.qlCalendarAdvance(Calendar,W238,"1D","f")</f>
        <v>42499</v>
      </c>
      <c r="X239" s="167" t="e">
        <f>_xll.qlTenorBasisValue(TenorBasis3M,W239,AllTriggers)</f>
        <v>#VALUE!</v>
      </c>
    </row>
    <row r="240" spans="23:24" x14ac:dyDescent="0.2">
      <c r="W240" s="169">
        <f>_xll.qlCalendarAdvance(Calendar,W239,"1D","f")</f>
        <v>42500</v>
      </c>
      <c r="X240" s="167" t="e">
        <f>_xll.qlTenorBasisValue(TenorBasis3M,W240,AllTriggers)</f>
        <v>#VALUE!</v>
      </c>
    </row>
    <row r="241" spans="23:24" x14ac:dyDescent="0.2">
      <c r="W241" s="169">
        <f>_xll.qlCalendarAdvance(Calendar,W240,"1D","f")</f>
        <v>42501</v>
      </c>
      <c r="X241" s="167" t="e">
        <f>_xll.qlTenorBasisValue(TenorBasis3M,W241,AllTriggers)</f>
        <v>#VALUE!</v>
      </c>
    </row>
    <row r="242" spans="23:24" x14ac:dyDescent="0.2">
      <c r="W242" s="169">
        <f>_xll.qlCalendarAdvance(Calendar,W241,"1D","f")</f>
        <v>42502</v>
      </c>
      <c r="X242" s="167" t="e">
        <f>_xll.qlTenorBasisValue(TenorBasis3M,W242,AllTriggers)</f>
        <v>#VALUE!</v>
      </c>
    </row>
    <row r="243" spans="23:24" x14ac:dyDescent="0.2">
      <c r="W243" s="169">
        <f>_xll.qlCalendarAdvance(Calendar,W242,"1D","f")</f>
        <v>42503</v>
      </c>
      <c r="X243" s="167" t="e">
        <f>_xll.qlTenorBasisValue(TenorBasis3M,W243,AllTriggers)</f>
        <v>#VALUE!</v>
      </c>
    </row>
    <row r="244" spans="23:24" x14ac:dyDescent="0.2">
      <c r="W244" s="169">
        <f>_xll.qlCalendarAdvance(Calendar,W243,"1D","f")</f>
        <v>42506</v>
      </c>
      <c r="X244" s="167" t="e">
        <f>_xll.qlTenorBasisValue(TenorBasis3M,W244,AllTriggers)</f>
        <v>#VALUE!</v>
      </c>
    </row>
    <row r="245" spans="23:24" x14ac:dyDescent="0.2">
      <c r="W245" s="169">
        <f>_xll.qlCalendarAdvance(Calendar,W244,"1D","f")</f>
        <v>42507</v>
      </c>
      <c r="X245" s="167" t="e">
        <f>_xll.qlTenorBasisValue(TenorBasis3M,W245,AllTriggers)</f>
        <v>#VALUE!</v>
      </c>
    </row>
    <row r="246" spans="23:24" x14ac:dyDescent="0.2">
      <c r="W246" s="169">
        <f>_xll.qlCalendarAdvance(Calendar,W245,"1D","f")</f>
        <v>42508</v>
      </c>
      <c r="X246" s="167" t="e">
        <f>_xll.qlTenorBasisValue(TenorBasis3M,W246,AllTriggers)</f>
        <v>#VALUE!</v>
      </c>
    </row>
    <row r="247" spans="23:24" x14ac:dyDescent="0.2">
      <c r="W247" s="169">
        <f>_xll.qlCalendarAdvance(Calendar,W246,"1D","f")</f>
        <v>42509</v>
      </c>
      <c r="X247" s="167" t="e">
        <f>_xll.qlTenorBasisValue(TenorBasis3M,W247,AllTriggers)</f>
        <v>#VALUE!</v>
      </c>
    </row>
    <row r="248" spans="23:24" x14ac:dyDescent="0.2">
      <c r="W248" s="169">
        <f>_xll.qlCalendarAdvance(Calendar,W247,"1D","f")</f>
        <v>42510</v>
      </c>
      <c r="X248" s="167" t="e">
        <f>_xll.qlTenorBasisValue(TenorBasis3M,W248,AllTriggers)</f>
        <v>#VALUE!</v>
      </c>
    </row>
    <row r="249" spans="23:24" x14ac:dyDescent="0.2">
      <c r="W249" s="169">
        <f>_xll.qlCalendarAdvance(Calendar,W248,"1D","f")</f>
        <v>42513</v>
      </c>
      <c r="X249" s="167" t="e">
        <f>_xll.qlTenorBasisValue(TenorBasis3M,W249,AllTriggers)</f>
        <v>#VALUE!</v>
      </c>
    </row>
    <row r="250" spans="23:24" x14ac:dyDescent="0.2">
      <c r="W250" s="169">
        <f>_xll.qlCalendarAdvance(Calendar,W249,"1D","f")</f>
        <v>42514</v>
      </c>
      <c r="X250" s="167" t="e">
        <f>_xll.qlTenorBasisValue(TenorBasis3M,W250,AllTriggers)</f>
        <v>#VALUE!</v>
      </c>
    </row>
    <row r="251" spans="23:24" x14ac:dyDescent="0.2">
      <c r="W251" s="169">
        <f>_xll.qlCalendarAdvance(Calendar,W250,"1D","f")</f>
        <v>42515</v>
      </c>
      <c r="X251" s="167" t="e">
        <f>_xll.qlTenorBasisValue(TenorBasis3M,W251,AllTriggers)</f>
        <v>#VALUE!</v>
      </c>
    </row>
    <row r="252" spans="23:24" x14ac:dyDescent="0.2">
      <c r="W252" s="169">
        <f>_xll.qlCalendarAdvance(Calendar,W251,"1D","f")</f>
        <v>42516</v>
      </c>
      <c r="X252" s="167" t="e">
        <f>_xll.qlTenorBasisValue(TenorBasis3M,W252,AllTriggers)</f>
        <v>#VALUE!</v>
      </c>
    </row>
    <row r="253" spans="23:24" x14ac:dyDescent="0.2">
      <c r="W253" s="169">
        <f>_xll.qlCalendarAdvance(Calendar,W252,"1D","f")</f>
        <v>42517</v>
      </c>
      <c r="X253" s="167" t="e">
        <f>_xll.qlTenorBasisValue(TenorBasis3M,W253,AllTriggers)</f>
        <v>#VALUE!</v>
      </c>
    </row>
    <row r="254" spans="23:24" x14ac:dyDescent="0.2">
      <c r="W254" s="169">
        <f>_xll.qlCalendarAdvance(Calendar,W253,"1D","f")</f>
        <v>42520</v>
      </c>
      <c r="X254" s="167" t="e">
        <f>_xll.qlTenorBasisValue(TenorBasis3M,W254,AllTriggers)</f>
        <v>#VALUE!</v>
      </c>
    </row>
    <row r="255" spans="23:24" x14ac:dyDescent="0.2">
      <c r="W255" s="169">
        <f>_xll.qlCalendarAdvance(Calendar,W254,"1D","f")</f>
        <v>42521</v>
      </c>
      <c r="X255" s="167" t="e">
        <f>_xll.qlTenorBasisValue(TenorBasis3M,W255,AllTriggers)</f>
        <v>#VALUE!</v>
      </c>
    </row>
    <row r="256" spans="23:24" x14ac:dyDescent="0.2">
      <c r="W256" s="169">
        <f>_xll.qlCalendarAdvance(Calendar,W255,"1D","f")</f>
        <v>42522</v>
      </c>
      <c r="X256" s="167" t="e">
        <f>_xll.qlTenorBasisValue(TenorBasis3M,W256,AllTriggers)</f>
        <v>#VALUE!</v>
      </c>
    </row>
    <row r="257" spans="23:24" x14ac:dyDescent="0.2">
      <c r="W257" s="169">
        <f>_xll.qlCalendarAdvance(Calendar,W256,"1D","f")</f>
        <v>42523</v>
      </c>
      <c r="X257" s="167" t="e">
        <f>_xll.qlTenorBasisValue(TenorBasis3M,W257,AllTriggers)</f>
        <v>#VALUE!</v>
      </c>
    </row>
    <row r="258" spans="23:24" x14ac:dyDescent="0.2">
      <c r="W258" s="169">
        <f>_xll.qlCalendarAdvance(Calendar,W257,"1D","f")</f>
        <v>42524</v>
      </c>
      <c r="X258" s="167" t="e">
        <f>_xll.qlTenorBasisValue(TenorBasis3M,W258,AllTriggers)</f>
        <v>#VALUE!</v>
      </c>
    </row>
    <row r="259" spans="23:24" x14ac:dyDescent="0.2">
      <c r="W259" s="169">
        <f>_xll.qlCalendarAdvance(Calendar,W258,"1D","f")</f>
        <v>42527</v>
      </c>
      <c r="X259" s="167" t="e">
        <f>_xll.qlTenorBasisValue(TenorBasis3M,W259,AllTriggers)</f>
        <v>#VALUE!</v>
      </c>
    </row>
    <row r="260" spans="23:24" x14ac:dyDescent="0.2">
      <c r="W260" s="169">
        <f>_xll.qlCalendarAdvance(Calendar,W259,"1D","f")</f>
        <v>42528</v>
      </c>
      <c r="X260" s="167" t="e">
        <f>_xll.qlTenorBasisValue(TenorBasis3M,W260,AllTriggers)</f>
        <v>#VALUE!</v>
      </c>
    </row>
    <row r="261" spans="23:24" x14ac:dyDescent="0.2">
      <c r="W261" s="173">
        <f>_xll.qlCalendarAdvance(Calendar,W260,"1D","f")</f>
        <v>42529</v>
      </c>
      <c r="X261" s="176" t="e">
        <f>_xll.qlTenorBasisValue(TenorBasis3M,W261,AllTriggers)</f>
        <v>#VALUE!</v>
      </c>
    </row>
    <row r="262" spans="23:24" x14ac:dyDescent="0.2">
      <c r="W262" s="245"/>
    </row>
    <row r="263" spans="23:24" x14ac:dyDescent="0.2">
      <c r="W263" s="245"/>
    </row>
    <row r="264" spans="23:24" x14ac:dyDescent="0.2">
      <c r="W264" s="245"/>
    </row>
    <row r="265" spans="23:24" x14ac:dyDescent="0.2">
      <c r="W265" s="245"/>
    </row>
    <row r="266" spans="23:24" x14ac:dyDescent="0.2">
      <c r="W266" s="245"/>
    </row>
    <row r="267" spans="23:24" x14ac:dyDescent="0.2">
      <c r="W267" s="245"/>
    </row>
    <row r="268" spans="23:24" x14ac:dyDescent="0.2">
      <c r="W268" s="245"/>
    </row>
    <row r="269" spans="23:24" x14ac:dyDescent="0.2">
      <c r="W269" s="245"/>
    </row>
    <row r="270" spans="23:24" x14ac:dyDescent="0.2">
      <c r="W270" s="245"/>
    </row>
    <row r="271" spans="23:24" x14ac:dyDescent="0.2">
      <c r="W271" s="245"/>
    </row>
    <row r="272" spans="23:24" x14ac:dyDescent="0.2">
      <c r="W272" s="245"/>
    </row>
    <row r="273" spans="23:23" x14ac:dyDescent="0.2">
      <c r="W273" s="245"/>
    </row>
    <row r="274" spans="23:23" x14ac:dyDescent="0.2">
      <c r="W274" s="245"/>
    </row>
    <row r="275" spans="23:23" x14ac:dyDescent="0.2">
      <c r="W275" s="245"/>
    </row>
    <row r="276" spans="23:23" x14ac:dyDescent="0.2">
      <c r="W276" s="245"/>
    </row>
    <row r="277" spans="23:23" x14ac:dyDescent="0.2">
      <c r="W277" s="245"/>
    </row>
    <row r="278" spans="23:23" x14ac:dyDescent="0.2">
      <c r="W278" s="245"/>
    </row>
    <row r="279" spans="23:23" x14ac:dyDescent="0.2">
      <c r="W279" s="245"/>
    </row>
    <row r="280" spans="23:23" x14ac:dyDescent="0.2">
      <c r="W280" s="245"/>
    </row>
    <row r="281" spans="23:23" x14ac:dyDescent="0.2">
      <c r="W281" s="245"/>
    </row>
    <row r="282" spans="23:23" x14ac:dyDescent="0.2">
      <c r="W282" s="245"/>
    </row>
    <row r="283" spans="23:23" x14ac:dyDescent="0.2">
      <c r="W283" s="245"/>
    </row>
    <row r="284" spans="23:23" x14ac:dyDescent="0.2">
      <c r="W284" s="245"/>
    </row>
    <row r="285" spans="23:23" x14ac:dyDescent="0.2">
      <c r="W285" s="245"/>
    </row>
    <row r="286" spans="23:23" x14ac:dyDescent="0.2">
      <c r="W286" s="245"/>
    </row>
    <row r="287" spans="23:23" x14ac:dyDescent="0.2">
      <c r="W287" s="245"/>
    </row>
    <row r="288" spans="23:23" x14ac:dyDescent="0.2">
      <c r="W288" s="245"/>
    </row>
    <row r="289" spans="23:23" x14ac:dyDescent="0.2">
      <c r="W289" s="245"/>
    </row>
    <row r="290" spans="23:23" x14ac:dyDescent="0.2">
      <c r="W290" s="245"/>
    </row>
    <row r="291" spans="23:23" x14ac:dyDescent="0.2">
      <c r="W291" s="245"/>
    </row>
    <row r="292" spans="23:23" x14ac:dyDescent="0.2">
      <c r="W292" s="245"/>
    </row>
    <row r="293" spans="23:23" x14ac:dyDescent="0.2">
      <c r="W293" s="245"/>
    </row>
    <row r="294" spans="23:23" x14ac:dyDescent="0.2">
      <c r="W294" s="245"/>
    </row>
    <row r="295" spans="23:23" x14ac:dyDescent="0.2">
      <c r="W295" s="245"/>
    </row>
    <row r="296" spans="23:23" x14ac:dyDescent="0.2">
      <c r="W296" s="245"/>
    </row>
    <row r="297" spans="23:23" x14ac:dyDescent="0.2">
      <c r="W297" s="245"/>
    </row>
    <row r="298" spans="23:23" x14ac:dyDescent="0.2">
      <c r="W298" s="245"/>
    </row>
    <row r="299" spans="23:23" x14ac:dyDescent="0.2">
      <c r="W299" s="245"/>
    </row>
    <row r="300" spans="23:23" x14ac:dyDescent="0.2">
      <c r="W300" s="245"/>
    </row>
    <row r="301" spans="23:23" x14ac:dyDescent="0.2">
      <c r="W301" s="245"/>
    </row>
    <row r="302" spans="23:23" x14ac:dyDescent="0.2">
      <c r="W302" s="245"/>
    </row>
    <row r="303" spans="23:23" x14ac:dyDescent="0.2">
      <c r="W303" s="245"/>
    </row>
    <row r="304" spans="23:23" x14ac:dyDescent="0.2">
      <c r="W304" s="245"/>
    </row>
    <row r="305" spans="23:23" x14ac:dyDescent="0.2">
      <c r="W305" s="245"/>
    </row>
    <row r="306" spans="23:23" x14ac:dyDescent="0.2">
      <c r="W306" s="245"/>
    </row>
    <row r="307" spans="23:23" x14ac:dyDescent="0.2">
      <c r="W307" s="245"/>
    </row>
    <row r="308" spans="23:23" x14ac:dyDescent="0.2">
      <c r="W308" s="245"/>
    </row>
    <row r="309" spans="23:23" x14ac:dyDescent="0.2">
      <c r="W309" s="245"/>
    </row>
    <row r="310" spans="23:23" x14ac:dyDescent="0.2">
      <c r="W310" s="245"/>
    </row>
    <row r="311" spans="23:23" x14ac:dyDescent="0.2">
      <c r="W311" s="245"/>
    </row>
    <row r="312" spans="23:23" x14ac:dyDescent="0.2">
      <c r="W312" s="245"/>
    </row>
    <row r="313" spans="23:23" x14ac:dyDescent="0.2">
      <c r="W313" s="245"/>
    </row>
    <row r="314" spans="23:23" x14ac:dyDescent="0.2">
      <c r="W314" s="245"/>
    </row>
    <row r="315" spans="23:23" x14ac:dyDescent="0.2">
      <c r="W315" s="245"/>
    </row>
    <row r="316" spans="23:23" x14ac:dyDescent="0.2">
      <c r="W316" s="245"/>
    </row>
    <row r="317" spans="23:23" x14ac:dyDescent="0.2">
      <c r="W317" s="245"/>
    </row>
    <row r="318" spans="23:23" x14ac:dyDescent="0.2">
      <c r="W318" s="245"/>
    </row>
    <row r="319" spans="23:23" x14ac:dyDescent="0.2">
      <c r="W319" s="245"/>
    </row>
    <row r="320" spans="23:23" x14ac:dyDescent="0.2">
      <c r="W320" s="245"/>
    </row>
    <row r="321" spans="23:23" x14ac:dyDescent="0.2">
      <c r="W321" s="245"/>
    </row>
    <row r="322" spans="23:23" x14ac:dyDescent="0.2">
      <c r="W322" s="245"/>
    </row>
    <row r="323" spans="23:23" x14ac:dyDescent="0.2">
      <c r="W323" s="245"/>
    </row>
    <row r="324" spans="23:23" x14ac:dyDescent="0.2">
      <c r="W324" s="245"/>
    </row>
    <row r="325" spans="23:23" x14ac:dyDescent="0.2">
      <c r="W325" s="245"/>
    </row>
    <row r="326" spans="23:23" x14ac:dyDescent="0.2">
      <c r="W326" s="245"/>
    </row>
    <row r="327" spans="23:23" x14ac:dyDescent="0.2">
      <c r="W327" s="245"/>
    </row>
    <row r="328" spans="23:23" x14ac:dyDescent="0.2">
      <c r="W328" s="245"/>
    </row>
    <row r="329" spans="23:23" x14ac:dyDescent="0.2">
      <c r="W329" s="245"/>
    </row>
    <row r="330" spans="23:23" x14ac:dyDescent="0.2">
      <c r="W330" s="245"/>
    </row>
    <row r="331" spans="23:23" x14ac:dyDescent="0.2">
      <c r="W331" s="245"/>
    </row>
    <row r="332" spans="23:23" x14ac:dyDescent="0.2">
      <c r="W332" s="245"/>
    </row>
    <row r="333" spans="23:23" x14ac:dyDescent="0.2">
      <c r="W333" s="245"/>
    </row>
    <row r="334" spans="23:23" x14ac:dyDescent="0.2">
      <c r="W334" s="245"/>
    </row>
    <row r="335" spans="23:23" x14ac:dyDescent="0.2">
      <c r="W335" s="245"/>
    </row>
    <row r="336" spans="23:23" x14ac:dyDescent="0.2">
      <c r="W336" s="245"/>
    </row>
    <row r="337" spans="23:23" x14ac:dyDescent="0.2">
      <c r="W337" s="245"/>
    </row>
    <row r="338" spans="23:23" x14ac:dyDescent="0.2">
      <c r="W338" s="245"/>
    </row>
    <row r="339" spans="23:23" x14ac:dyDescent="0.2">
      <c r="W339" s="245"/>
    </row>
    <row r="340" spans="23:23" x14ac:dyDescent="0.2">
      <c r="W340" s="245"/>
    </row>
    <row r="341" spans="23:23" x14ac:dyDescent="0.2">
      <c r="W341" s="245"/>
    </row>
    <row r="342" spans="23:23" x14ac:dyDescent="0.2">
      <c r="W342" s="245"/>
    </row>
    <row r="343" spans="23:23" x14ac:dyDescent="0.2">
      <c r="W343" s="245"/>
    </row>
    <row r="344" spans="23:23" x14ac:dyDescent="0.2">
      <c r="W344" s="245"/>
    </row>
    <row r="345" spans="23:23" x14ac:dyDescent="0.2">
      <c r="W345" s="245"/>
    </row>
    <row r="346" spans="23:23" x14ac:dyDescent="0.2">
      <c r="W346" s="245"/>
    </row>
    <row r="347" spans="23:23" x14ac:dyDescent="0.2">
      <c r="W347" s="245"/>
    </row>
    <row r="348" spans="23:23" x14ac:dyDescent="0.2">
      <c r="W348" s="245"/>
    </row>
    <row r="349" spans="23:23" x14ac:dyDescent="0.2">
      <c r="W349" s="245"/>
    </row>
    <row r="350" spans="23:23" x14ac:dyDescent="0.2">
      <c r="W350" s="245"/>
    </row>
    <row r="351" spans="23:23" x14ac:dyDescent="0.2">
      <c r="W351" s="245"/>
    </row>
    <row r="352" spans="23:23" x14ac:dyDescent="0.2">
      <c r="W352" s="245"/>
    </row>
    <row r="353" spans="23:23" x14ac:dyDescent="0.2">
      <c r="W353" s="245"/>
    </row>
    <row r="354" spans="23:23" x14ac:dyDescent="0.2">
      <c r="W354" s="245"/>
    </row>
    <row r="355" spans="23:23" x14ac:dyDescent="0.2">
      <c r="W355" s="245"/>
    </row>
    <row r="356" spans="23:23" x14ac:dyDescent="0.2">
      <c r="W356" s="245"/>
    </row>
    <row r="357" spans="23:23" x14ac:dyDescent="0.2">
      <c r="W357" s="245"/>
    </row>
    <row r="358" spans="23:23" x14ac:dyDescent="0.2">
      <c r="W358" s="245"/>
    </row>
    <row r="359" spans="23:23" x14ac:dyDescent="0.2">
      <c r="W359" s="245"/>
    </row>
    <row r="360" spans="23:23" x14ac:dyDescent="0.2">
      <c r="W360" s="245"/>
    </row>
    <row r="361" spans="23:23" x14ac:dyDescent="0.2">
      <c r="W361" s="245"/>
    </row>
    <row r="362" spans="23:23" x14ac:dyDescent="0.2">
      <c r="W362" s="245"/>
    </row>
    <row r="363" spans="23:23" x14ac:dyDescent="0.2">
      <c r="W363" s="245"/>
    </row>
    <row r="364" spans="23:23" x14ac:dyDescent="0.2">
      <c r="W364" s="245"/>
    </row>
    <row r="365" spans="23:23" x14ac:dyDescent="0.2">
      <c r="W365" s="245"/>
    </row>
    <row r="366" spans="23:23" x14ac:dyDescent="0.2">
      <c r="W366" s="245"/>
    </row>
    <row r="367" spans="23:23" x14ac:dyDescent="0.2">
      <c r="W367" s="245"/>
    </row>
    <row r="368" spans="23:23" x14ac:dyDescent="0.2">
      <c r="W368" s="245"/>
    </row>
    <row r="369" spans="23:23" x14ac:dyDescent="0.2">
      <c r="W369" s="245"/>
    </row>
    <row r="370" spans="23:23" x14ac:dyDescent="0.2">
      <c r="W370" s="245"/>
    </row>
    <row r="371" spans="23:23" x14ac:dyDescent="0.2">
      <c r="W371" s="245"/>
    </row>
    <row r="372" spans="23:23" x14ac:dyDescent="0.2">
      <c r="W372" s="245"/>
    </row>
    <row r="373" spans="23:23" x14ac:dyDescent="0.2">
      <c r="W373" s="245"/>
    </row>
    <row r="374" spans="23:23" x14ac:dyDescent="0.2">
      <c r="W374" s="245"/>
    </row>
    <row r="375" spans="23:23" x14ac:dyDescent="0.2">
      <c r="W375" s="245"/>
    </row>
    <row r="376" spans="23:23" x14ac:dyDescent="0.2">
      <c r="W376" s="245"/>
    </row>
    <row r="377" spans="23:23" x14ac:dyDescent="0.2">
      <c r="W377" s="245"/>
    </row>
    <row r="378" spans="23:23" x14ac:dyDescent="0.2">
      <c r="W378" s="245"/>
    </row>
    <row r="379" spans="23:23" x14ac:dyDescent="0.2">
      <c r="W379" s="245"/>
    </row>
    <row r="380" spans="23:23" x14ac:dyDescent="0.2">
      <c r="W380" s="245"/>
    </row>
    <row r="381" spans="23:23" x14ac:dyDescent="0.2">
      <c r="W381" s="245"/>
    </row>
    <row r="382" spans="23:23" x14ac:dyDescent="0.2">
      <c r="W382" s="245"/>
    </row>
    <row r="383" spans="23:23" x14ac:dyDescent="0.2">
      <c r="W383" s="245"/>
    </row>
  </sheetData>
  <dataValidations count="1">
    <dataValidation type="list" allowBlank="1" showInputMessage="1" showErrorMessage="1" sqref="Q3:Q21 U12:U16">
      <formula1>"true,false"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3536"/>
  <sheetViews>
    <sheetView topLeftCell="B1" workbookViewId="0"/>
  </sheetViews>
  <sheetFormatPr defaultRowHeight="11.25" outlineLevelCol="1" x14ac:dyDescent="0.2"/>
  <cols>
    <col min="1" max="1" width="7" style="115" customWidth="1" outlineLevel="1"/>
    <col min="2" max="2" width="3" style="115" customWidth="1"/>
    <col min="3" max="3" width="2.33203125" style="115" customWidth="1"/>
    <col min="4" max="4" width="3.5" style="115" bestFit="1" customWidth="1"/>
    <col min="5" max="5" width="30.83203125" style="115" customWidth="1"/>
    <col min="6" max="7" width="20.1640625" style="115" bestFit="1" customWidth="1"/>
    <col min="8" max="8" width="8.1640625" style="115" bestFit="1" customWidth="1"/>
    <col min="9" max="9" width="11.6640625" style="115" bestFit="1" customWidth="1"/>
    <col min="10" max="11" width="14.1640625" style="115" customWidth="1" outlineLevel="1"/>
    <col min="12" max="13" width="10.5" style="115" bestFit="1" customWidth="1"/>
    <col min="14" max="14" width="10.33203125" style="115" customWidth="1"/>
    <col min="15" max="15" width="9.33203125" style="115" customWidth="1"/>
    <col min="16" max="16" width="7" style="115" bestFit="1" customWidth="1"/>
    <col min="17" max="17" width="9.33203125" style="115" customWidth="1"/>
    <col min="18" max="18" width="11.33203125" style="115" customWidth="1"/>
    <col min="19" max="19" width="20.1640625" style="115" bestFit="1" customWidth="1"/>
    <col min="20" max="20" width="20.1640625" style="115" customWidth="1"/>
    <col min="21" max="21" width="8.1640625" style="115" bestFit="1" customWidth="1"/>
    <col min="22" max="22" width="9.33203125" style="115" bestFit="1" customWidth="1"/>
    <col min="23" max="24" width="14.1640625" style="115" customWidth="1" outlineLevel="1"/>
    <col min="25" max="25" width="10.5" style="115" bestFit="1" customWidth="1"/>
    <col min="26" max="26" width="17.83203125" style="115" bestFit="1" customWidth="1"/>
    <col min="27" max="27" width="20.1640625" style="115" bestFit="1" customWidth="1"/>
    <col min="28" max="28" width="15.33203125" style="115" bestFit="1" customWidth="1"/>
    <col min="29" max="29" width="9.33203125" style="115"/>
    <col min="30" max="30" width="14.1640625" style="115" bestFit="1" customWidth="1"/>
    <col min="31" max="31" width="15.33203125" style="115" bestFit="1" customWidth="1"/>
    <col min="32" max="16384" width="9.33203125" style="115"/>
  </cols>
  <sheetData>
    <row r="1" spans="1:31" x14ac:dyDescent="0.2">
      <c r="E1" s="248" t="s">
        <v>95</v>
      </c>
      <c r="F1" s="262" t="s">
        <v>41</v>
      </c>
      <c r="G1" s="142" t="s">
        <v>129</v>
      </c>
      <c r="H1" s="388" t="s">
        <v>79</v>
      </c>
      <c r="L1" s="115" t="s">
        <v>153</v>
      </c>
      <c r="M1" s="386" t="s">
        <v>152</v>
      </c>
      <c r="N1" s="387">
        <v>14</v>
      </c>
      <c r="O1" s="247" t="str">
        <f>_xll.qlInterpolation(,H1,_xll.ohFilter(F4:F19,N4:N19),_xll.ohFilter(M4:M19,N4:N19))</f>
        <v>obj_00846#0069</v>
      </c>
    </row>
    <row r="2" spans="1:31" ht="26.25" customHeight="1" x14ac:dyDescent="0.2">
      <c r="E2" s="142" t="str">
        <f>F1&amp;" Instruments"</f>
        <v>3M Instruments</v>
      </c>
      <c r="F2" s="142" t="s">
        <v>96</v>
      </c>
      <c r="G2" s="142" t="s">
        <v>97</v>
      </c>
      <c r="H2" s="142" t="s">
        <v>122</v>
      </c>
      <c r="I2" s="142" t="str">
        <f>F1&amp;" Market quote"</f>
        <v>3M Market quote</v>
      </c>
      <c r="J2" s="142" t="s">
        <v>123</v>
      </c>
      <c r="K2" s="142" t="s">
        <v>124</v>
      </c>
      <c r="L2" s="142" t="s">
        <v>125</v>
      </c>
      <c r="M2" s="142" t="s">
        <v>135</v>
      </c>
      <c r="N2" s="142" t="s">
        <v>67</v>
      </c>
      <c r="O2" s="142" t="s">
        <v>129</v>
      </c>
      <c r="P2" s="142" t="s">
        <v>138</v>
      </c>
      <c r="Q2" s="142" t="s">
        <v>126</v>
      </c>
      <c r="S2" s="142" t="s">
        <v>96</v>
      </c>
      <c r="T2" s="142" t="s">
        <v>97</v>
      </c>
      <c r="U2" s="142" t="s">
        <v>122</v>
      </c>
      <c r="V2" s="142" t="s">
        <v>129</v>
      </c>
      <c r="W2" s="142" t="s">
        <v>123</v>
      </c>
      <c r="X2" s="142" t="s">
        <v>124</v>
      </c>
      <c r="Y2" s="142" t="s">
        <v>125</v>
      </c>
    </row>
    <row r="3" spans="1:31" ht="11.25" customHeight="1" x14ac:dyDescent="0.2">
      <c r="B3" s="356">
        <v>0</v>
      </c>
      <c r="C3" s="357" t="s">
        <v>37</v>
      </c>
      <c r="D3" s="358">
        <f>B3+SUBSTITUTE($F$1,"M","")</f>
        <v>3</v>
      </c>
      <c r="E3" s="361" t="str">
        <f>Currency&amp;B3&amp;C3&amp;D3&amp;"F"&amp;QuoteSuffix</f>
        <v>EUR0x3F_Quote</v>
      </c>
      <c r="F3" s="257">
        <f>SettlementDate</f>
        <v>42160</v>
      </c>
      <c r="G3" s="257">
        <f>_xll.qlInterestRateIndexMaturity(PROPER(Currency)&amp;"ibor"&amp;$F$1,F3)</f>
        <v>42254</v>
      </c>
      <c r="H3" s="150">
        <f>_xll.qlDayCounterYearFraction(DayCounter,F3,G3,,,Trigger)</f>
        <v>0.26111111111111113</v>
      </c>
      <c r="I3" s="360">
        <f>O3+L3</f>
        <v>-8.4048589569928663E-5</v>
      </c>
      <c r="J3" s="259">
        <f>_xll.qlYieldTSDiscount(Discounting,F3,,AllTriggers)</f>
        <v>1.0000066667000043</v>
      </c>
      <c r="K3" s="259">
        <f>_xll.qlYieldTSDiscount(Discounting,G3,,AllTriggers)</f>
        <v>1.0003339478197761</v>
      </c>
      <c r="L3" s="258">
        <f t="shared" ref="L3" si="0">(J3/K3-1)/H3</f>
        <v>-1.2529986182886782E-3</v>
      </c>
      <c r="M3" s="332"/>
      <c r="N3" s="359"/>
      <c r="O3" s="167">
        <f>_xll.qlInterpolationInterpolate(B3Minterpolation,F3,TRUE,Trigger)</f>
        <v>1.1689500287187496E-3</v>
      </c>
      <c r="P3" s="332"/>
      <c r="Q3" s="251">
        <f t="shared" ref="Q3" si="1">LN((1+I3*H3)/(1+L3*H3))</f>
        <v>3.0527913240464713E-4</v>
      </c>
      <c r="S3" s="164">
        <f>F4</f>
        <v>42160</v>
      </c>
      <c r="T3" s="164">
        <f>_xll.qlCalendarAdvance(Calendar,S3,$F$1,"mf",,Trigger)</f>
        <v>42254</v>
      </c>
      <c r="U3" s="165">
        <f>_xll.qlDayCounterYearFraction(DayCounter,S3,T3,,,Trigger)</f>
        <v>0.26111111111111113</v>
      </c>
      <c r="V3" s="180">
        <f>_xll.qlInterpolationInterpolate(B3Minterpolation,S3,TRUE)</f>
        <v>1.1689500287187496E-3</v>
      </c>
      <c r="W3" s="166">
        <f>_xll.qlYieldTSDiscount(Discounting,S3,,AllTriggers)</f>
        <v>1.0000066667000043</v>
      </c>
      <c r="X3" s="166">
        <f>_xll.qlYieldTSDiscount(Discounting,T3,,AllTriggers)</f>
        <v>1.0003339478197761</v>
      </c>
      <c r="Y3" s="180">
        <f>(W3/X3-1)/U3</f>
        <v>-1.2529986182886782E-3</v>
      </c>
      <c r="AD3" s="141"/>
      <c r="AE3" s="141"/>
    </row>
    <row r="4" spans="1:31" ht="11.25" customHeight="1" x14ac:dyDescent="0.2">
      <c r="B4" s="337" t="s">
        <v>151</v>
      </c>
      <c r="C4" s="338"/>
      <c r="D4" s="351"/>
      <c r="E4" s="347" t="str">
        <f>PROPER(Currency&amp;IborType)&amp;F1&amp;"LastFixing"&amp;QuoteSuffix</f>
        <v>Euribor3MLastFixing_Quote</v>
      </c>
      <c r="F4" s="257">
        <f>_xll.qlCalendarAdvance(Calendar,_xll.qlLastFixingQuoteReferenceDate(E4),_xll.qlInterestRateIndexFixingDays(PROPER(Currency)&amp;IborType&amp;$F$1)&amp;"D","f",,LastFixingsTrigger)</f>
        <v>42160</v>
      </c>
      <c r="G4" s="257">
        <f>_xll.qlInterestRateIndexMaturity(PROPER(Currency)&amp;"ibor"&amp;$F$1,F4)</f>
        <v>42254</v>
      </c>
      <c r="H4" s="150">
        <f>_xll.qlDayCounterYearFraction(DayCounter,F4,G4,,,Trigger)</f>
        <v>0.26111111111111113</v>
      </c>
      <c r="I4" s="258">
        <f>_xll.qlQuoteValue(E4,LastFixingsTrigger)</f>
        <v>-1.4000000000000001E-4</v>
      </c>
      <c r="J4" s="259">
        <f>_xll.qlYieldTSDiscount(Discounting,F4,,AllTriggers)</f>
        <v>1.0000066667000043</v>
      </c>
      <c r="K4" s="259">
        <f>_xll.qlYieldTSDiscount(Discounting,G4,,AllTriggers)</f>
        <v>1.0003339478197761</v>
      </c>
      <c r="L4" s="258">
        <f>(J4/K4-1)/H4</f>
        <v>-1.2529986182886782E-3</v>
      </c>
      <c r="M4" s="258">
        <f>I4-L4</f>
        <v>1.1129986182886783E-3</v>
      </c>
      <c r="N4" s="329" t="b">
        <v>0</v>
      </c>
      <c r="O4" s="253">
        <f>_xll.qlInterpolationInterpolate(B3Minterpolation,F4,TRUE,Trigger)</f>
        <v>1.1689500287187496E-3</v>
      </c>
      <c r="P4" s="254">
        <f>(M4-O4)*10000</f>
        <v>-0.55951410430071269</v>
      </c>
      <c r="Q4" s="286">
        <f>LN((1+I4*H4)/(1+L4*H4))</f>
        <v>2.9066917010591055E-4</v>
      </c>
      <c r="S4" s="169">
        <f>_xll.qlCalendarAdvance(Calendar,S3,"1D","f")</f>
        <v>42163</v>
      </c>
      <c r="T4" s="169">
        <f>_xll.qlCalendarAdvance(Calendar,S4,$F$1,"mf",,Trigger)</f>
        <v>42255</v>
      </c>
      <c r="U4" s="155">
        <f>_xll.qlDayCounterYearFraction(DayCounter,S4,T4,,,Trigger)</f>
        <v>0.25555555555555554</v>
      </c>
      <c r="V4" s="167">
        <f>_xll.qlInterpolationInterpolate(B3Minterpolation,S4,TRUE)</f>
        <v>1.1746312346007761E-3</v>
      </c>
      <c r="W4" s="170">
        <f>_xll.qlYieldTSDiscount(Discounting,S4,,AllTriggers)</f>
        <v>1.0000167502701822</v>
      </c>
      <c r="X4" s="170">
        <f>_xll.qlYieldTSDiscount(Discounting,T4,,AllTriggers)</f>
        <v>1.0003376130789601</v>
      </c>
      <c r="Y4" s="167">
        <f t="shared" ref="Y4:Y67" si="2">(W4/X4-1)/U4</f>
        <v>-1.2551263742250521E-3</v>
      </c>
      <c r="AD4" s="141"/>
      <c r="AE4" s="141"/>
    </row>
    <row r="5" spans="1:31" ht="11.25" customHeight="1" x14ac:dyDescent="0.2">
      <c r="A5" s="440" t="b">
        <v>0</v>
      </c>
      <c r="B5" s="337">
        <v>1</v>
      </c>
      <c r="C5" s="338" t="s">
        <v>37</v>
      </c>
      <c r="D5" s="353">
        <f t="shared" ref="D5:D10" si="3">B5+SUBSTITUTE($F$1,"M","")</f>
        <v>4</v>
      </c>
      <c r="E5" s="348" t="str">
        <f t="shared" ref="E5:E10" si="4">Currency&amp;B5&amp;C5&amp;D5&amp;"F"&amp;QuoteSuffix</f>
        <v>EUR1x4F_Quote</v>
      </c>
      <c r="F5" s="164">
        <f>_xll.qlCalendarAdvance("target",SettlementDate,B5&amp;"M","mf",,Trigger)</f>
        <v>42191</v>
      </c>
      <c r="G5" s="164">
        <f>_xll.qlInterestRateIndexMaturity(PROPER(Currency)&amp;"ibor"&amp;$F$1,F5)</f>
        <v>42283</v>
      </c>
      <c r="H5" s="165">
        <f>_xll.qlDayCounterYearFraction(DayCounter,F5,G5,,,Trigger)</f>
        <v>0.25555555555555554</v>
      </c>
      <c r="I5" s="180">
        <f>_xll.qlQuoteValue(E5,AllTriggers)</f>
        <v>-4.9999999999999996E-5</v>
      </c>
      <c r="J5" s="166">
        <f>_xll.qlYieldTSDiscount(Discounting,F5,,AllTriggers)</f>
        <v>1.0001090930777232</v>
      </c>
      <c r="K5" s="166">
        <f>_xll.qlYieldTSDiscount(Discounting,G5,,AllTriggers)</f>
        <v>1.000436874915595</v>
      </c>
      <c r="L5" s="180">
        <f t="shared" ref="L5:L12" si="5">(J5/K5-1)/H5</f>
        <v>-1.2820644811645002E-3</v>
      </c>
      <c r="M5" s="180">
        <f t="shared" ref="M5:M19" si="6">I5-L5</f>
        <v>1.2320644811645003E-3</v>
      </c>
      <c r="N5" s="336" t="b">
        <f>IF(OR(ABS(_xll.qlIMMNextDate(F5,A5)-F5&lt;$N$1),ABS(_xll.qlIMMNextDate(F5-$N$1,A5)-F5&lt;$N$1)),FALSE,TRUE)</f>
        <v>0</v>
      </c>
      <c r="O5" s="180">
        <f>_xll.qlInterpolationInterpolate(B3Minterpolation,F5,TRUE,Trigger)</f>
        <v>1.2273702023784462E-3</v>
      </c>
      <c r="P5" s="334">
        <f t="shared" ref="P5:P19" si="7">(M5-O5)*10000</f>
        <v>4.6942787860541034E-2</v>
      </c>
      <c r="Q5" s="335">
        <f t="shared" ref="Q5:Q19" si="8">LN((1+I5*H5)/(1+L5*H5))</f>
        <v>3.1491452661348948E-4</v>
      </c>
      <c r="S5" s="169">
        <f>_xll.qlCalendarAdvance(Calendar,S4,"1D","f")</f>
        <v>42164</v>
      </c>
      <c r="T5" s="169">
        <f>_xll.qlCalendarAdvance(Calendar,S5,$F$1,"mf",,Trigger)</f>
        <v>42256</v>
      </c>
      <c r="U5" s="155">
        <f>_xll.qlDayCounterYearFraction(DayCounter,S5,T5,,,Trigger)</f>
        <v>0.25555555555555554</v>
      </c>
      <c r="V5" s="167">
        <f>_xll.qlInterpolationInterpolate(B3Minterpolation,S5,TRUE)</f>
        <v>1.1765058846570366E-3</v>
      </c>
      <c r="W5" s="170">
        <f>_xll.qlYieldTSDiscount(Discounting,S5,,AllTriggers)</f>
        <v>1.0000201114828366</v>
      </c>
      <c r="X5" s="170">
        <f>_xll.qlYieldTSDiscount(Discounting,T5,,AllTriggers)</f>
        <v>1.0003412783515739</v>
      </c>
      <c r="Y5" s="167">
        <f t="shared" si="2"/>
        <v>-1.2563111693409813E-3</v>
      </c>
      <c r="AD5" s="141"/>
      <c r="AE5" s="141"/>
    </row>
    <row r="6" spans="1:31" ht="11.25" customHeight="1" x14ac:dyDescent="0.2">
      <c r="A6" s="441" t="b">
        <v>1</v>
      </c>
      <c r="B6" s="339">
        <v>2</v>
      </c>
      <c r="C6" s="117" t="s">
        <v>37</v>
      </c>
      <c r="D6" s="352">
        <f t="shared" si="3"/>
        <v>5</v>
      </c>
      <c r="E6" s="349" t="str">
        <f t="shared" si="4"/>
        <v>EUR2x5F_Quote</v>
      </c>
      <c r="F6" s="169">
        <f>_xll.qlCalendarAdvance("target",SettlementDate,B6&amp;"M","mf",,Trigger)</f>
        <v>42221</v>
      </c>
      <c r="G6" s="169">
        <f>_xll.qlInterestRateIndexMaturity(PROPER(Currency)&amp;"ibor"&amp;$F$1,F6)</f>
        <v>42313</v>
      </c>
      <c r="H6" s="155">
        <f>_xll.qlDayCounterYearFraction(DayCounter,F6,G6,,,Trigger)</f>
        <v>0.25555555555555554</v>
      </c>
      <c r="I6" s="167">
        <f>_xll.qlQuoteValue(E6,AllTriggers)</f>
        <v>1.0000000000000009E-5</v>
      </c>
      <c r="J6" s="170">
        <f>_xll.qlYieldTSDiscount(Discounting,F6,,AllTriggers)</f>
        <v>1.0002130018004083</v>
      </c>
      <c r="K6" s="170">
        <f>_xll.qlYieldTSDiscount(Discounting,G6,,AllTriggers)</f>
        <v>1.0005430435247975</v>
      </c>
      <c r="L6" s="167">
        <f t="shared" si="5"/>
        <v>-1.2907666746902783E-3</v>
      </c>
      <c r="M6" s="167">
        <f t="shared" si="6"/>
        <v>1.3007666746902783E-3</v>
      </c>
      <c r="N6" s="330" t="b">
        <f>IF(OR(ABS(_xll.qlIMMNextDate(F6,A6)-F6&lt;$N$1),ABS(_xll.qlIMMNextDate(F6-$N$1,A6)-F6&lt;$N$1)),FALSE,TRUE)</f>
        <v>1</v>
      </c>
      <c r="O6" s="167">
        <f>_xll.qlInterpolationInterpolate(B3Minterpolation,F6,TRUE,Trigger)</f>
        <v>1.3007666746902783E-3</v>
      </c>
      <c r="P6" s="255">
        <f t="shared" si="7"/>
        <v>0</v>
      </c>
      <c r="Q6" s="251">
        <f t="shared" si="8"/>
        <v>3.3247256356589404E-4</v>
      </c>
      <c r="S6" s="169">
        <f>_xll.qlCalendarAdvance(Calendar,S5,"1D","f")</f>
        <v>42165</v>
      </c>
      <c r="T6" s="169">
        <f>_xll.qlCalendarAdvance(Calendar,S6,$F$1,"mf",,Trigger)</f>
        <v>42257</v>
      </c>
      <c r="U6" s="155">
        <f>_xll.qlDayCounterYearFraction(DayCounter,S6,T6,,,Trigger)</f>
        <v>0.25555555555555554</v>
      </c>
      <c r="V6" s="167">
        <f>_xll.qlInterpolationInterpolate(B3Minterpolation,S6,TRUE)</f>
        <v>1.1783726373735394E-3</v>
      </c>
      <c r="W6" s="170">
        <f>_xll.qlYieldTSDiscount(Discounting,S6,,AllTriggers)</f>
        <v>1.0000234727067885</v>
      </c>
      <c r="X6" s="170">
        <f>_xll.qlYieldTSDiscount(Discounting,T6,,AllTriggers)</f>
        <v>1.0003448558519819</v>
      </c>
      <c r="Y6" s="167">
        <f t="shared" si="2"/>
        <v>-1.2571526838620907E-3</v>
      </c>
      <c r="AD6" s="141"/>
      <c r="AE6" s="141"/>
    </row>
    <row r="7" spans="1:31" ht="11.25" customHeight="1" x14ac:dyDescent="0.2">
      <c r="A7" s="441" t="b">
        <v>1</v>
      </c>
      <c r="B7" s="444">
        <v>3</v>
      </c>
      <c r="C7" s="445" t="s">
        <v>37</v>
      </c>
      <c r="D7" s="446">
        <f t="shared" si="3"/>
        <v>6</v>
      </c>
      <c r="E7" s="455" t="str">
        <f t="shared" si="4"/>
        <v>EUR3x6F_Quote</v>
      </c>
      <c r="F7" s="448">
        <f>_xll.qlCalendarAdvance("target",SettlementDate,B7&amp;"M","mf",,Trigger)</f>
        <v>42254</v>
      </c>
      <c r="G7" s="448">
        <f>_xll.qlInterestRateIndexMaturity(PROPER(Currency)&amp;"ibor"&amp;$F$1,F7)</f>
        <v>42345</v>
      </c>
      <c r="H7" s="449">
        <f>_xll.qlDayCounterYearFraction(DayCounter,F7,G7,,,Trigger)</f>
        <v>0.25277777777777777</v>
      </c>
      <c r="I7" s="450">
        <f>_xll.qlQuoteValue(E7,AllTriggers)</f>
        <v>3.9999999999999983E-5</v>
      </c>
      <c r="J7" s="451">
        <f>_xll.qlYieldTSDiscount(Discounting,F7,,AllTriggers)</f>
        <v>1.0003339478197761</v>
      </c>
      <c r="K7" s="451">
        <f>_xll.qlYieldTSDiscount(Discounting,G7,,AllTriggers)</f>
        <v>1.0006564659042034</v>
      </c>
      <c r="L7" s="450">
        <f t="shared" ref="L7:L10" si="9">(J7/K7-1)/H7</f>
        <v>-1.2750586860603048E-3</v>
      </c>
      <c r="M7" s="450">
        <f t="shared" ref="M7:M10" si="10">I7-L7</f>
        <v>1.3150586860603047E-3</v>
      </c>
      <c r="N7" s="452" t="b">
        <f>IF(OR(ABS(_xll.qlIMMNextDate(F7,A7)-F7&lt;$N$1),ABS(_xll.qlIMMNextDate(F7-$N$1,A7)-F7&lt;$N$1)),FALSE,TRUE)</f>
        <v>0</v>
      </c>
      <c r="O7" s="450">
        <f>_xll.qlInterpolationInterpolate(B3Minterpolation,F7,TRUE,Trigger)</f>
        <v>1.3728069335801705E-3</v>
      </c>
      <c r="P7" s="453">
        <f t="shared" ref="P7:P10" si="11">(M7-O7)*10000</f>
        <v>-0.57748247519865759</v>
      </c>
      <c r="Q7" s="456">
        <f t="shared" ref="Q7:Q10" si="12">LN((1+I7*H7)/(1+L7*H7))</f>
        <v>3.3246951309630102E-4</v>
      </c>
      <c r="S7" s="169">
        <f>_xll.qlCalendarAdvance(Calendar,S6,"1D","f")</f>
        <v>42166</v>
      </c>
      <c r="T7" s="169">
        <f>_xll.qlCalendarAdvance(Calendar,S7,$F$1,"mf",,Trigger)</f>
        <v>42258</v>
      </c>
      <c r="U7" s="155">
        <f>_xll.qlDayCounterYearFraction(DayCounter,S7,T7,,,Trigger)</f>
        <v>0.25555555555555554</v>
      </c>
      <c r="V7" s="167">
        <f>_xll.qlInterpolationInterpolate(B3Minterpolation,S7,TRUE)</f>
        <v>1.180232479917754E-3</v>
      </c>
      <c r="W7" s="170">
        <f>_xll.qlYieldTSDiscount(Discounting,S7,,AllTriggers)</f>
        <v>1.000026833942038</v>
      </c>
      <c r="X7" s="170">
        <f>_xll.qlYieldTSDiscount(Discounting,T7,,AllTriggers)</f>
        <v>1.0003484333651842</v>
      </c>
      <c r="Y7" s="167">
        <f t="shared" si="2"/>
        <v>-1.2579941982029097E-3</v>
      </c>
      <c r="AD7" s="141"/>
      <c r="AE7" s="141"/>
    </row>
    <row r="8" spans="1:31" ht="11.25" customHeight="1" x14ac:dyDescent="0.2">
      <c r="A8" s="441" t="b">
        <v>1</v>
      </c>
      <c r="B8" s="339">
        <v>4</v>
      </c>
      <c r="C8" s="117" t="s">
        <v>37</v>
      </c>
      <c r="D8" s="352">
        <f t="shared" si="3"/>
        <v>7</v>
      </c>
      <c r="E8" s="349" t="str">
        <f t="shared" si="4"/>
        <v>EUR4x7F_Quote</v>
      </c>
      <c r="F8" s="169">
        <f>_xll.qlCalendarAdvance("target",SettlementDate,B8&amp;"M","mf",,Trigger)</f>
        <v>42282</v>
      </c>
      <c r="G8" s="169">
        <f>_xll.qlInterestRateIndexMaturity(PROPER(Currency)&amp;"ibor"&amp;$F$1,F8)</f>
        <v>42374</v>
      </c>
      <c r="H8" s="155">
        <f>_xll.qlDayCounterYearFraction(DayCounter,F8,G8,,,Trigger)</f>
        <v>0.25555555555555554</v>
      </c>
      <c r="I8" s="167">
        <f>_xll.qlQuoteValue(E8,AllTriggers)</f>
        <v>8.9999999999999979E-5</v>
      </c>
      <c r="J8" s="170">
        <f>_xll.qlYieldTSDiscount(Discounting,F8,,AllTriggers)</f>
        <v>1.0004332970861023</v>
      </c>
      <c r="K8" s="170">
        <f>_xll.qlYieldTSDiscount(Discounting,G8,,AllTriggers)</f>
        <v>1.000739596566798</v>
      </c>
      <c r="L8" s="167">
        <f t="shared" si="9"/>
        <v>-1.1976773872474813E-3</v>
      </c>
      <c r="M8" s="167">
        <f t="shared" si="10"/>
        <v>1.2876773872474814E-3</v>
      </c>
      <c r="N8" s="330" t="b">
        <f>IF(OR(ABS(_xll.qlIMMNextDate(F8,A8)-F8&lt;$N$1),ABS(_xll.qlIMMNextDate(F8-$N$1,A8)-F8&lt;$N$1)),FALSE,TRUE)</f>
        <v>1</v>
      </c>
      <c r="O8" s="167">
        <f>_xll.qlInterpolationInterpolate(B3Minterpolation,F8,TRUE,Trigger)</f>
        <v>1.2876773872474814E-3</v>
      </c>
      <c r="P8" s="255">
        <f t="shared" si="11"/>
        <v>0</v>
      </c>
      <c r="Q8" s="251">
        <f t="shared" si="12"/>
        <v>3.2911969551284231E-4</v>
      </c>
      <c r="S8" s="169">
        <f>_xll.qlCalendarAdvance(Calendar,S7,"1D","f")</f>
        <v>42167</v>
      </c>
      <c r="T8" s="169">
        <f>_xll.qlCalendarAdvance(Calendar,S8,$F$1,"mf",,Trigger)</f>
        <v>42261</v>
      </c>
      <c r="U8" s="155">
        <f>_xll.qlDayCounterYearFraction(DayCounter,S8,T8,,,Trigger)</f>
        <v>0.26111111111111113</v>
      </c>
      <c r="V8" s="167">
        <f>_xll.qlInterpolationInterpolate(B3Minterpolation,S8,TRUE)</f>
        <v>1.18208639945715E-3</v>
      </c>
      <c r="W8" s="170">
        <f>_xll.qlYieldTSDiscount(Discounting,S8,,AllTriggers)</f>
        <v>1.000030195188585</v>
      </c>
      <c r="X8" s="170">
        <f>_xll.qlYieldTSDiscount(Discounting,T8,,AllTriggers)</f>
        <v>1.0003591659815563</v>
      </c>
      <c r="Y8" s="167">
        <f t="shared" si="2"/>
        <v>-1.2594357967997611E-3</v>
      </c>
      <c r="AD8" s="141"/>
      <c r="AE8" s="141"/>
    </row>
    <row r="9" spans="1:31" ht="11.25" customHeight="1" x14ac:dyDescent="0.2">
      <c r="A9" s="441" t="b">
        <v>1</v>
      </c>
      <c r="B9" s="339">
        <v>5</v>
      </c>
      <c r="C9" s="117" t="s">
        <v>37</v>
      </c>
      <c r="D9" s="352">
        <f t="shared" si="3"/>
        <v>8</v>
      </c>
      <c r="E9" s="349" t="str">
        <f t="shared" si="4"/>
        <v>EUR5x8F_Quote</v>
      </c>
      <c r="F9" s="169">
        <f>_xll.qlCalendarAdvance("target",SettlementDate,B9&amp;"M","mf",,Trigger)</f>
        <v>42313</v>
      </c>
      <c r="G9" s="169">
        <f>_xll.qlInterestRateIndexMaturity(PROPER(Currency)&amp;"ibor"&amp;$F$1,F9)</f>
        <v>42405</v>
      </c>
      <c r="H9" s="155">
        <f>_xll.qlDayCounterYearFraction(DayCounter,F9,G9,,,Trigger)</f>
        <v>0.25555555555555554</v>
      </c>
      <c r="I9" s="167">
        <f>_xll.qlQuoteValue(E9,AllTriggers)</f>
        <v>1.2999999999999999E-4</v>
      </c>
      <c r="J9" s="170">
        <f>_xll.qlYieldTSDiscount(Discounting,F9,,AllTriggers)</f>
        <v>1.0005430435247975</v>
      </c>
      <c r="K9" s="170">
        <f>_xll.qlYieldTSDiscount(Discounting,G9,,AllTriggers)</f>
        <v>1.0008482008478627</v>
      </c>
      <c r="L9" s="167">
        <f t="shared" si="9"/>
        <v>-1.1930818997851755E-3</v>
      </c>
      <c r="M9" s="167">
        <f t="shared" si="10"/>
        <v>1.3230818997851754E-3</v>
      </c>
      <c r="N9" s="330" t="b">
        <f>IF(OR(ABS(_xll.qlIMMNextDate(F9,A9)-F9&lt;$N$1),ABS(_xll.qlIMMNextDate(F9-$N$1,A9)-F9&lt;$N$1)),FALSE,TRUE)</f>
        <v>1</v>
      </c>
      <c r="O9" s="167">
        <f>_xll.qlInterpolationInterpolate(B3Minterpolation,F9,TRUE,Trigger)</f>
        <v>1.3230818997851754E-3</v>
      </c>
      <c r="P9" s="255">
        <f t="shared" si="11"/>
        <v>0</v>
      </c>
      <c r="Q9" s="251">
        <f t="shared" si="12"/>
        <v>3.3816686916042591E-4</v>
      </c>
      <c r="S9" s="169">
        <f>_xll.qlCalendarAdvance(Calendar,S8,"1D","f")</f>
        <v>42170</v>
      </c>
      <c r="T9" s="169">
        <f>_xll.qlCalendarAdvance(Calendar,S9,$F$1,"mf",,Trigger)</f>
        <v>42262</v>
      </c>
      <c r="U9" s="155">
        <f>_xll.qlDayCounterYearFraction(DayCounter,S9,T9,,,Trigger)</f>
        <v>0.25555555555555554</v>
      </c>
      <c r="V9" s="167">
        <f>_xll.qlInterpolationInterpolate(B3Minterpolation,S9,TRUE)</f>
        <v>1.1876224917211253E-3</v>
      </c>
      <c r="W9" s="170">
        <f>_xll.qlYieldTSDiscount(Discounting,S9,,AllTriggers)</f>
        <v>1.0000397791896956</v>
      </c>
      <c r="X9" s="170">
        <f>_xll.qlYieldTSDiscount(Discounting,T9,,AllTriggers)</f>
        <v>1.0003627435459355</v>
      </c>
      <c r="Y9" s="167">
        <f t="shared" si="2"/>
        <v>-1.2633153084205759E-3</v>
      </c>
      <c r="AD9" s="141"/>
      <c r="AE9" s="141"/>
    </row>
    <row r="10" spans="1:31" ht="11.25" customHeight="1" x14ac:dyDescent="0.2">
      <c r="A10" s="442" t="b">
        <v>1</v>
      </c>
      <c r="B10" s="340">
        <v>6</v>
      </c>
      <c r="C10" s="341" t="s">
        <v>37</v>
      </c>
      <c r="D10" s="354">
        <f t="shared" si="3"/>
        <v>9</v>
      </c>
      <c r="E10" s="350" t="str">
        <f t="shared" si="4"/>
        <v>EUR6x9F_Quote</v>
      </c>
      <c r="F10" s="173">
        <f>_xll.qlCalendarAdvance("target",SettlementDate,B10&amp;"M","mf",,Trigger)</f>
        <v>42345</v>
      </c>
      <c r="G10" s="173">
        <f>_xll.qlInterestRateIndexMaturity(PROPER(Currency)&amp;"ibor"&amp;$F$1,F10)</f>
        <v>42436</v>
      </c>
      <c r="H10" s="160">
        <f>_xll.qlDayCounterYearFraction(DayCounter,F10,G10,,,Trigger)</f>
        <v>0.25277777777777777</v>
      </c>
      <c r="I10" s="176">
        <f>_xll.qlQuoteValue(E10,AllTriggers)</f>
        <v>1.7999999999999998E-4</v>
      </c>
      <c r="J10" s="174">
        <f>_xll.qlYieldTSDiscount(Discounting,F10,,AllTriggers)</f>
        <v>1.0006564659042034</v>
      </c>
      <c r="K10" s="174">
        <f>_xll.qlYieldTSDiscount(Discounting,G10,,AllTriggers)</f>
        <v>1.0009545040337504</v>
      </c>
      <c r="L10" s="176">
        <f t="shared" si="9"/>
        <v>-1.1779276044152779E-3</v>
      </c>
      <c r="M10" s="176">
        <f t="shared" si="10"/>
        <v>1.3579276044152779E-3</v>
      </c>
      <c r="N10" s="331" t="b">
        <f>IF(OR(ABS(_xll.qlIMMNextDate(F10,A10)-F10&lt;$N$1),ABS(_xll.qlIMMNextDate(F10-$N$1,A10)-F10&lt;$N$1)),FALSE,TRUE)</f>
        <v>0</v>
      </c>
      <c r="O10" s="176">
        <f>_xll.qlInterpolationInterpolate(B3Minterpolation,F10,TRUE,Trigger)</f>
        <v>1.33762042791764E-3</v>
      </c>
      <c r="P10" s="256">
        <f t="shared" si="11"/>
        <v>0.2030717649763791</v>
      </c>
      <c r="Q10" s="287">
        <f t="shared" si="12"/>
        <v>3.4329722463394535E-4</v>
      </c>
      <c r="S10" s="169">
        <f>_xll.qlCalendarAdvance(Calendar,S9,"1D","f")</f>
        <v>42171</v>
      </c>
      <c r="T10" s="169">
        <f>_xll.qlCalendarAdvance(Calendar,S10,$F$1,"mf",,Trigger)</f>
        <v>42263</v>
      </c>
      <c r="U10" s="155">
        <f>_xll.qlDayCounterYearFraction(DayCounter,S10,T10,,,Trigger)</f>
        <v>0.25555555555555554</v>
      </c>
      <c r="V10" s="167">
        <f>_xll.qlInterpolationInterpolate(B3Minterpolation,S10,TRUE)</f>
        <v>1.1894625909159452E-3</v>
      </c>
      <c r="W10" s="170">
        <f>_xll.qlYieldTSDiscount(Discounting,S10,,AllTriggers)</f>
        <v>1.0000429738771435</v>
      </c>
      <c r="X10" s="170">
        <f>_xll.qlYieldTSDiscount(Discounting,T10,,AllTriggers)</f>
        <v>1.0003663211231091</v>
      </c>
      <c r="Y10" s="167">
        <f t="shared" si="2"/>
        <v>-1.2648085059670548E-3</v>
      </c>
      <c r="AD10" s="141"/>
      <c r="AE10" s="141"/>
    </row>
    <row r="11" spans="1:31" ht="11.25" customHeight="1" x14ac:dyDescent="0.2">
      <c r="A11" s="440" t="b">
        <v>0</v>
      </c>
      <c r="B11" s="337"/>
      <c r="C11" s="338"/>
      <c r="D11" s="353" t="str">
        <f>_xll.qlIMMNextCode(SettlementDate,A11)</f>
        <v>M5</v>
      </c>
      <c r="E11" s="443" t="str">
        <f t="shared" ref="E11:E19" si="13">Currency&amp;"FUT"&amp;"3M"&amp;D11&amp;QuoteSuffix</f>
        <v>EURFUT3MM5_Quote</v>
      </c>
      <c r="F11" s="164">
        <f>_xll.qlIMMdate(D11,SettlementDate,Trigger)</f>
        <v>42172</v>
      </c>
      <c r="G11" s="164">
        <f>_xll.qlInterestRateIndexMaturity(PROPER(Currency)&amp;"ibor"&amp;$F$1,F11)</f>
        <v>42264</v>
      </c>
      <c r="H11" s="165">
        <f>_xll.qlDayCounterYearFraction(DayCounter,F11,G11,,,Trigger)</f>
        <v>0.25555555555555554</v>
      </c>
      <c r="I11" s="180">
        <f>1-_xll.qlQuoteValue(E11,AllTriggers)/100-_xll.qlQuoteValue(Currency&amp;"FUT"&amp;"3M"&amp;D11&amp;"ConvAdj_Quote")</f>
        <v>-7.4999999999825206E-5</v>
      </c>
      <c r="J11" s="166">
        <f>_xll.qlYieldTSDiscount(Discounting,F11,,AllTriggers)</f>
        <v>1.0000461685747972</v>
      </c>
      <c r="K11" s="166">
        <f>_xll.qlYieldTSDiscount(Discounting,G11,,AllTriggers)</f>
        <v>1.0003698987130774</v>
      </c>
      <c r="L11" s="180">
        <f t="shared" si="5"/>
        <v>-1.2663017029431204E-3</v>
      </c>
      <c r="M11" s="180">
        <f t="shared" si="6"/>
        <v>1.1913017029432952E-3</v>
      </c>
      <c r="N11" s="336" t="b">
        <v>1</v>
      </c>
      <c r="O11" s="180">
        <f>_xll.qlInterpolationInterpolate(B3Minterpolation,F11,TRUE,Trigger)</f>
        <v>1.1913017029432952E-3</v>
      </c>
      <c r="P11" s="334">
        <f t="shared" si="7"/>
        <v>0</v>
      </c>
      <c r="Q11" s="249">
        <f t="shared" si="8"/>
        <v>3.0449595800331909E-4</v>
      </c>
      <c r="S11" s="169">
        <f>_xll.qlCalendarAdvance(Calendar,S10,"1D","f")</f>
        <v>42172</v>
      </c>
      <c r="T11" s="169">
        <f>_xll.qlCalendarAdvance(Calendar,S11,$F$1,"mf",,Trigger)</f>
        <v>42264</v>
      </c>
      <c r="U11" s="155">
        <f>_xll.qlDayCounterYearFraction(DayCounter,S11,T11,,,Trigger)</f>
        <v>0.25555555555555554</v>
      </c>
      <c r="V11" s="167">
        <f>_xll.qlInterpolationInterpolate(B3Minterpolation,S11,TRUE)</f>
        <v>1.1913017029432952E-3</v>
      </c>
      <c r="W11" s="170">
        <f>_xll.qlYieldTSDiscount(Discounting,S11,,AllTriggers)</f>
        <v>1.0000461685747972</v>
      </c>
      <c r="X11" s="170">
        <f>_xll.qlYieldTSDiscount(Discounting,T11,,AllTriggers)</f>
        <v>1.0003698987130774</v>
      </c>
      <c r="Y11" s="167">
        <f t="shared" si="2"/>
        <v>-1.2663017029431204E-3</v>
      </c>
      <c r="AD11" s="141"/>
      <c r="AE11" s="141"/>
    </row>
    <row r="12" spans="1:31" ht="11.25" customHeight="1" x14ac:dyDescent="0.2">
      <c r="A12" s="441" t="b">
        <v>0</v>
      </c>
      <c r="B12" s="444"/>
      <c r="C12" s="445"/>
      <c r="D12" s="446" t="str">
        <f>_xll.qlIMMNextCode($F11,A12)</f>
        <v>N5</v>
      </c>
      <c r="E12" s="447" t="str">
        <f t="shared" si="13"/>
        <v>EURFUT3MN5_Quote</v>
      </c>
      <c r="F12" s="448">
        <f>_xll.qlIMMdate(D12,SettlementDate,Trigger)</f>
        <v>42200</v>
      </c>
      <c r="G12" s="448">
        <f>_xll.qlInterestRateIndexMaturity(PROPER(Currency)&amp;"ibor"&amp;$F$1,F12)</f>
        <v>42292</v>
      </c>
      <c r="H12" s="449">
        <f>_xll.qlDayCounterYearFraction(DayCounter,F12,G12,,,Trigger)</f>
        <v>0.25555555555555554</v>
      </c>
      <c r="I12" s="450">
        <f>1-_xll.qlQuoteValue(E12,AllTriggers)/100-_xll.qlQuoteValue(Currency&amp;"FUT"&amp;"3M"&amp;D12&amp;"ConvAdj_Quote")</f>
        <v>-4.9999999999883471E-5</v>
      </c>
      <c r="J12" s="451">
        <f>_xll.qlYieldTSDiscount(Discounting,F12,,AllTriggers)</f>
        <v>1.0001416634364066</v>
      </c>
      <c r="K12" s="451">
        <f>_xll.qlYieldTSDiscount(Discounting,G12,,AllTriggers)</f>
        <v>1.0004690759568255</v>
      </c>
      <c r="L12" s="450">
        <f t="shared" si="5"/>
        <v>-1.280578739028658E-3</v>
      </c>
      <c r="M12" s="450">
        <f t="shared" si="6"/>
        <v>1.2305787390287746E-3</v>
      </c>
      <c r="N12" s="452" t="b">
        <v>0</v>
      </c>
      <c r="O12" s="450">
        <f>_xll.qlInterpolationInterpolate(B3Minterpolation,F12,TRUE,Trigger)</f>
        <v>1.2464039496435137E-3</v>
      </c>
      <c r="P12" s="453">
        <f t="shared" si="7"/>
        <v>-0.15825210614739102</v>
      </c>
      <c r="Q12" s="454">
        <f t="shared" si="8"/>
        <v>3.1453471258697624E-4</v>
      </c>
      <c r="S12" s="169">
        <f>_xll.qlCalendarAdvance(Calendar,S11,"1D","f")</f>
        <v>42173</v>
      </c>
      <c r="T12" s="169">
        <f>_xll.qlCalendarAdvance(Calendar,S12,$F$1,"mf",,Trigger)</f>
        <v>42265</v>
      </c>
      <c r="U12" s="155">
        <f>_xll.qlDayCounterYearFraction(DayCounter,S12,T12,,,Trigger)</f>
        <v>0.25555555555555554</v>
      </c>
      <c r="V12" s="167">
        <f>_xll.qlInterpolationInterpolate(B3Minterpolation,S12,TRUE)</f>
        <v>1.1931408149706453E-3</v>
      </c>
      <c r="W12" s="170">
        <f>_xll.qlYieldTSDiscount(Discounting,S12,,AllTriggers)</f>
        <v>1.0000493632826564</v>
      </c>
      <c r="X12" s="170">
        <f>_xll.qlYieldTSDiscount(Discounting,T12,,AllTriggers)</f>
        <v>1.0003734763158396</v>
      </c>
      <c r="Y12" s="167">
        <f t="shared" si="2"/>
        <v>-1.2677948993487728E-3</v>
      </c>
      <c r="AD12" s="141"/>
      <c r="AE12" s="141"/>
    </row>
    <row r="13" spans="1:31" ht="11.25" customHeight="1" x14ac:dyDescent="0.2">
      <c r="A13" s="441" t="b">
        <v>1</v>
      </c>
      <c r="B13" s="339"/>
      <c r="C13" s="117"/>
      <c r="D13" s="352" t="str">
        <f>_xll.qlIMMNextCode($F12,A13)</f>
        <v>U5</v>
      </c>
      <c r="E13" s="260" t="str">
        <f t="shared" si="13"/>
        <v>EURFUT3MU5_Quote</v>
      </c>
      <c r="F13" s="169">
        <f>_xll.qlIMMdate(D13,SettlementDate,Trigger)</f>
        <v>42263</v>
      </c>
      <c r="G13" s="169">
        <f>_xll.qlInterestRateIndexMaturity(PROPER(Currency)&amp;"ibor"&amp;$F$1,F13)</f>
        <v>42354</v>
      </c>
      <c r="H13" s="155">
        <f>_xll.qlDayCounterYearFraction(DayCounter,F13,G13,,,Trigger)</f>
        <v>0.25277777777777777</v>
      </c>
      <c r="I13" s="167">
        <f>1-_xll.qlQuoteValue(E13,AllTriggers)/100-_xll.qlQuoteValue(Currency&amp;"FUT"&amp;"3M"&amp;D13&amp;"ConvAdj_Quote")</f>
        <v>7.4999999999936229E-5</v>
      </c>
      <c r="J13" s="170">
        <f>_xll.qlYieldTSDiscount(Discounting,F13,,AllTriggers)</f>
        <v>1.0003663211231091</v>
      </c>
      <c r="K13" s="170">
        <f>_xll.qlYieldTSDiscount(Discounting,G13,,AllTriggers)</f>
        <v>1.0006910930988357</v>
      </c>
      <c r="L13" s="167">
        <f t="shared" ref="L13:L19" si="14">(J13/K13-1)/H13</f>
        <v>-1.2839249000281465E-3</v>
      </c>
      <c r="M13" s="167">
        <f t="shared" si="6"/>
        <v>1.3589249000280827E-3</v>
      </c>
      <c r="N13" s="330" t="b">
        <v>1</v>
      </c>
      <c r="O13" s="167">
        <f>_xll.qlInterpolationInterpolate(B3Minterpolation,F13,TRUE,Trigger)</f>
        <v>1.3589249000280827E-3</v>
      </c>
      <c r="P13" s="255">
        <f t="shared" si="7"/>
        <v>0</v>
      </c>
      <c r="Q13" s="250">
        <f t="shared" si="8"/>
        <v>3.4355851368608417E-4</v>
      </c>
      <c r="S13" s="169">
        <f>_xll.qlCalendarAdvance(Calendar,S12,"1D","f")</f>
        <v>42174</v>
      </c>
      <c r="T13" s="169">
        <f>_xll.qlCalendarAdvance(Calendar,S13,$F$1,"mf",,Trigger)</f>
        <v>42268</v>
      </c>
      <c r="U13" s="155">
        <f>_xll.qlDayCounterYearFraction(DayCounter,S13,T13,,,Trigger)</f>
        <v>0.26111111111111113</v>
      </c>
      <c r="V13" s="167">
        <f>_xll.qlInterpolationInterpolate(B3Minterpolation,S13,TRUE)</f>
        <v>1.1949809141654651E-3</v>
      </c>
      <c r="W13" s="170">
        <f>_xll.qlYieldTSDiscount(Discounting,S13,,AllTriggers)</f>
        <v>1.0000525580007213</v>
      </c>
      <c r="X13" s="170">
        <f>_xll.qlYieldTSDiscount(Discounting,T13,,AllTriggers)</f>
        <v>1.0003842092008945</v>
      </c>
      <c r="Y13" s="167">
        <f t="shared" si="2"/>
        <v>-1.2696657153282128E-3</v>
      </c>
      <c r="AD13" s="141"/>
      <c r="AE13" s="141"/>
    </row>
    <row r="14" spans="1:31" ht="11.25" customHeight="1" x14ac:dyDescent="0.2">
      <c r="A14" s="441" t="b">
        <v>1</v>
      </c>
      <c r="B14" s="339"/>
      <c r="C14" s="117"/>
      <c r="D14" s="352" t="str">
        <f>_xll.qlIMMNextCode($F13,A14)</f>
        <v>Z5</v>
      </c>
      <c r="E14" s="260" t="str">
        <f t="shared" si="13"/>
        <v>EURFUT3MZ5_Quote</v>
      </c>
      <c r="F14" s="169">
        <f>_xll.qlIMMdate(D14,SettlementDate,Trigger)</f>
        <v>42354</v>
      </c>
      <c r="G14" s="169">
        <f>_xll.qlInterestRateIndexMaturity(PROPER(Currency)&amp;"ibor"&amp;$F$1,F14)</f>
        <v>42445</v>
      </c>
      <c r="H14" s="155">
        <f>_xll.qlDayCounterYearFraction(DayCounter,F14,G14,,,Trigger)</f>
        <v>0.25277777777777777</v>
      </c>
      <c r="I14" s="167">
        <f>1-_xll.qlQuoteValue(E14,AllTriggers)/100-_xll.qlQuoteValue(Currency&amp;"FUT"&amp;"3M"&amp;D14&amp;"ConvAdj_Quote")</f>
        <v>1.7500000000003624E-4</v>
      </c>
      <c r="J14" s="170">
        <f>_xll.qlYieldTSDiscount(Discounting,F14,,AllTriggers)</f>
        <v>1.0006910930988357</v>
      </c>
      <c r="K14" s="170">
        <f>_xll.qlYieldTSDiscount(Discounting,G14,,AllTriggers)</f>
        <v>1.0009853683637753</v>
      </c>
      <c r="L14" s="167">
        <f>(J14/K14-1)/H14</f>
        <v>-1.1630198802805678E-3</v>
      </c>
      <c r="M14" s="167">
        <f t="shared" si="6"/>
        <v>1.338019880280604E-3</v>
      </c>
      <c r="N14" s="330" t="b">
        <v>1</v>
      </c>
      <c r="O14" s="167">
        <f>_xll.qlInterpolationInterpolate(B3Minterpolation,F14,TRUE,Trigger)</f>
        <v>1.338019880280604E-3</v>
      </c>
      <c r="P14" s="255">
        <f t="shared" si="7"/>
        <v>0</v>
      </c>
      <c r="Q14" s="250">
        <f t="shared" si="8"/>
        <v>3.3826393580411936E-4</v>
      </c>
      <c r="S14" s="169">
        <f>_xll.qlCalendarAdvance(Calendar,S13,"1D","f")</f>
        <v>42177</v>
      </c>
      <c r="T14" s="169">
        <f>_xll.qlCalendarAdvance(Calendar,S14,$F$1,"mf",,Trigger)</f>
        <v>42269</v>
      </c>
      <c r="U14" s="155">
        <f>_xll.qlDayCounterYearFraction(DayCounter,S14,T14,,,Trigger)</f>
        <v>0.25555555555555554</v>
      </c>
      <c r="V14" s="167">
        <f>_xll.qlInterpolationInterpolate(B3Minterpolation,S14,TRUE)</f>
        <v>1.2005170064294404E-3</v>
      </c>
      <c r="W14" s="170">
        <f>_xll.qlYieldTSDiscount(Discounting,S14,,AllTriggers)</f>
        <v>1.0000623924633438</v>
      </c>
      <c r="X14" s="170">
        <f>_xll.qlYieldTSDiscount(Discounting,T14,,AllTriggers)</f>
        <v>1.0003877868548352</v>
      </c>
      <c r="Y14" s="167">
        <f t="shared" si="2"/>
        <v>-1.2727888307102573E-3</v>
      </c>
      <c r="AD14" s="141"/>
      <c r="AE14" s="141"/>
    </row>
    <row r="15" spans="1:31" ht="11.25" customHeight="1" x14ac:dyDescent="0.2">
      <c r="A15" s="441" t="b">
        <v>1</v>
      </c>
      <c r="B15" s="444"/>
      <c r="C15" s="445"/>
      <c r="D15" s="446" t="str">
        <f>_xll.qlIMMNextCode($F14,A15)</f>
        <v>H6</v>
      </c>
      <c r="E15" s="447" t="str">
        <f t="shared" si="13"/>
        <v>EURFUT3MH6_Quote</v>
      </c>
      <c r="F15" s="448">
        <f>_xll.qlIMMdate(D15,SettlementDate,Trigger)</f>
        <v>42445</v>
      </c>
      <c r="G15" s="448">
        <f>_xll.qlInterestRateIndexMaturity(PROPER(Currency)&amp;"ibor"&amp;$F$1,F15)</f>
        <v>42537</v>
      </c>
      <c r="H15" s="449">
        <f>_xll.qlDayCounterYearFraction(DayCounter,F15,G15,,,Trigger)</f>
        <v>0.25555555555555554</v>
      </c>
      <c r="I15" s="450">
        <f>1-_xll.qlQuoteValue(E15,AllTriggers)/100-_xll.qlQuoteValue(Currency&amp;"FUT"&amp;"3M"&amp;D15&amp;"ConvAdj_Quote")</f>
        <v>3.2500000000001972E-4</v>
      </c>
      <c r="J15" s="451">
        <f>_xll.qlYieldTSDiscount(Discounting,F15,,AllTriggers)</f>
        <v>1.0009853683637753</v>
      </c>
      <c r="K15" s="451">
        <f>_xll.qlYieldTSDiscount(Discounting,G15,,AllTriggers)</f>
        <v>1.0012625630205265</v>
      </c>
      <c r="L15" s="450">
        <f>(J15/K15-1)/H15</f>
        <v>-1.0833070004506488E-3</v>
      </c>
      <c r="M15" s="450">
        <f t="shared" si="6"/>
        <v>1.4083070004506685E-3</v>
      </c>
      <c r="N15" s="452" t="b">
        <v>1</v>
      </c>
      <c r="O15" s="450">
        <f>_xll.qlInterpolationInterpolate(B3Minterpolation,F15,TRUE,Trigger)</f>
        <v>1.4083070004506685E-3</v>
      </c>
      <c r="P15" s="453">
        <f t="shared" si="7"/>
        <v>0</v>
      </c>
      <c r="Q15" s="454">
        <f t="shared" si="8"/>
        <v>3.5993555765635743E-4</v>
      </c>
      <c r="S15" s="169">
        <f>_xll.qlCalendarAdvance(Calendar,S14,"1D","f")</f>
        <v>42178</v>
      </c>
      <c r="T15" s="169">
        <f>_xll.qlCalendarAdvance(Calendar,S15,$F$1,"mf",,Trigger)</f>
        <v>42270</v>
      </c>
      <c r="U15" s="155">
        <f>_xll.qlDayCounterYearFraction(DayCounter,S15,T15,,,Trigger)</f>
        <v>0.25555555555555554</v>
      </c>
      <c r="V15" s="167">
        <f>_xll.qlInterpolationInterpolate(B3Minterpolation,S15,TRUE)</f>
        <v>1.2023709259688365E-3</v>
      </c>
      <c r="W15" s="170">
        <f>_xll.qlYieldTSDiscount(Discounting,S15,,AllTriggers)</f>
        <v>1.0000656706390427</v>
      </c>
      <c r="X15" s="170">
        <f>_xll.qlYieldTSDiscount(Discounting,T15,,AllTriggers)</f>
        <v>1.000391364521571</v>
      </c>
      <c r="Y15" s="167">
        <f t="shared" si="2"/>
        <v>-1.2739557418570981E-3</v>
      </c>
      <c r="AD15" s="141"/>
      <c r="AE15" s="141"/>
    </row>
    <row r="16" spans="1:31" ht="11.25" customHeight="1" x14ac:dyDescent="0.2">
      <c r="A16" s="441" t="b">
        <v>1</v>
      </c>
      <c r="B16" s="339"/>
      <c r="C16" s="117"/>
      <c r="D16" s="352" t="str">
        <f>_xll.qlIMMNextCode($F15,A16)</f>
        <v>M6</v>
      </c>
      <c r="E16" s="260" t="str">
        <f t="shared" si="13"/>
        <v>EURFUT3MM6_Quote</v>
      </c>
      <c r="F16" s="169">
        <f>_xll.qlIMMdate(D16,SettlementDate,Trigger)</f>
        <v>42536</v>
      </c>
      <c r="G16" s="169">
        <f>_xll.qlInterestRateIndexMaturity(PROPER(Currency)&amp;"ibor"&amp;$F$1,F16)</f>
        <v>42628</v>
      </c>
      <c r="H16" s="155">
        <f>_xll.qlDayCounterYearFraction(DayCounter,F16,G16,,,Trigger)</f>
        <v>0.25555555555555554</v>
      </c>
      <c r="I16" s="167">
        <f>1-_xll.qlQuoteValue(E16,AllTriggers)/100-_xll.qlQuoteValue(Currency&amp;"FUT"&amp;"3M"&amp;D16&amp;"ConvAdj_Quote")</f>
        <v>4.750000000000032E-4</v>
      </c>
      <c r="J16" s="170">
        <f>_xll.qlYieldTSDiscount(Discounting,F16,,AllTriggers)</f>
        <v>1.0012596281053951</v>
      </c>
      <c r="K16" s="170">
        <f>_xll.qlYieldTSDiscount(Discounting,G16,,AllTriggers)</f>
        <v>1.0014934541506224</v>
      </c>
      <c r="L16" s="167">
        <f>(J16/K16-1)/H16</f>
        <v>-9.1360705108178852E-4</v>
      </c>
      <c r="M16" s="167">
        <f t="shared" si="6"/>
        <v>1.3886070510817916E-3</v>
      </c>
      <c r="N16" s="330" t="b">
        <v>1</v>
      </c>
      <c r="O16" s="167">
        <f>_xll.qlInterpolationInterpolate(B3Minterpolation,F16,TRUE,Trigger)</f>
        <v>1.3886070510817916E-3</v>
      </c>
      <c r="P16" s="255">
        <f t="shared" si="7"/>
        <v>0</v>
      </c>
      <c r="Q16" s="250">
        <f t="shared" si="8"/>
        <v>3.5488613943387835E-4</v>
      </c>
      <c r="S16" s="169">
        <f>_xll.qlCalendarAdvance(Calendar,S15,"1D","f")</f>
        <v>42179</v>
      </c>
      <c r="T16" s="169">
        <f>_xll.qlCalendarAdvance(Calendar,S16,$F$1,"mf",,Trigger)</f>
        <v>42271</v>
      </c>
      <c r="U16" s="155">
        <f>_xll.qlDayCounterYearFraction(DayCounter,S16,T16,,,Trigger)</f>
        <v>0.25555555555555554</v>
      </c>
      <c r="V16" s="167">
        <f>_xll.qlInterpolationInterpolate(B3Minterpolation,S16,TRUE)</f>
        <v>1.2042307685130511E-3</v>
      </c>
      <c r="W16" s="170">
        <f>_xll.qlYieldTSDiscount(Discounting,S16,,AllTriggers)</f>
        <v>1.0000689488254875</v>
      </c>
      <c r="X16" s="170">
        <f>_xll.qlYieldTSDiscount(Discounting,T16,,AllTriggers)</f>
        <v>1.0003949422011011</v>
      </c>
      <c r="Y16" s="167">
        <f t="shared" si="2"/>
        <v>-1.2751226526542187E-3</v>
      </c>
      <c r="AD16" s="141"/>
      <c r="AE16" s="141"/>
    </row>
    <row r="17" spans="1:31" ht="11.25" customHeight="1" x14ac:dyDescent="0.2">
      <c r="A17" s="441" t="b">
        <v>1</v>
      </c>
      <c r="B17" s="339"/>
      <c r="C17" s="117"/>
      <c r="D17" s="352" t="str">
        <f>_xll.qlIMMNextCode($F16,A17)</f>
        <v>U6</v>
      </c>
      <c r="E17" s="260" t="str">
        <f t="shared" si="13"/>
        <v>EURFUT3MU6_Quote</v>
      </c>
      <c r="F17" s="169">
        <f>_xll.qlIMMdate(D17,SettlementDate,Trigger)</f>
        <v>42634</v>
      </c>
      <c r="G17" s="169">
        <f>_xll.qlInterestRateIndexMaturity(PROPER(Currency)&amp;"ibor"&amp;$F$1,F17)</f>
        <v>42725</v>
      </c>
      <c r="H17" s="155">
        <f>_xll.qlDayCounterYearFraction(DayCounter,F17,G17,,,Trigger)</f>
        <v>0.25277777777777777</v>
      </c>
      <c r="I17" s="167">
        <f>1-_xll.qlQuoteValue(E17,AllTriggers)/100-_xll.qlQuoteValue(Currency&amp;"FUT"&amp;"3M"&amp;D17&amp;"ConvAdj_Quote")</f>
        <v>7.7499999999997016E-4</v>
      </c>
      <c r="J17" s="170">
        <f>_xll.qlYieldTSDiscount(Discounting,F17,,AllTriggers)</f>
        <v>1.0015063057295155</v>
      </c>
      <c r="K17" s="170">
        <f>_xll.qlYieldTSDiscount(Discounting,G17,,AllTriggers)</f>
        <v>1.0016873804914173</v>
      </c>
      <c r="L17" s="167">
        <f>(J17/K17-1)/H17</f>
        <v>-7.1513301591398233E-4</v>
      </c>
      <c r="M17" s="167">
        <f t="shared" si="6"/>
        <v>1.4901330159139525E-3</v>
      </c>
      <c r="N17" s="330" t="b">
        <v>1</v>
      </c>
      <c r="O17" s="167">
        <f>_xll.qlInterpolationInterpolate(B3Minterpolation,F17,TRUE,Trigger)</f>
        <v>1.4901330159139525E-3</v>
      </c>
      <c r="P17" s="255">
        <f t="shared" si="7"/>
        <v>0</v>
      </c>
      <c r="Q17" s="250">
        <f t="shared" si="8"/>
        <v>3.7666966673043778E-4</v>
      </c>
      <c r="S17" s="169">
        <f>_xll.qlCalendarAdvance(Calendar,S16,"1D","f")</f>
        <v>42180</v>
      </c>
      <c r="T17" s="169">
        <f>_xll.qlCalendarAdvance(Calendar,S17,$F$1,"mf",,Trigger)</f>
        <v>42272</v>
      </c>
      <c r="U17" s="155">
        <f>_xll.qlDayCounterYearFraction(DayCounter,S17,T17,,,Trigger)</f>
        <v>0.25555555555555554</v>
      </c>
      <c r="V17" s="167">
        <f>_xll.qlInterpolationInterpolate(B3Minterpolation,S17,TRUE)</f>
        <v>1.2060975212295538E-3</v>
      </c>
      <c r="W17" s="170">
        <f>_xll.qlYieldTSDiscount(Discounting,S17,,AllTriggers)</f>
        <v>1.0000722270226781</v>
      </c>
      <c r="X17" s="170">
        <f>_xll.qlYieldTSDiscount(Discounting,T17,,AllTriggers)</f>
        <v>1.000398519893426</v>
      </c>
      <c r="Y17" s="167">
        <f t="shared" si="2"/>
        <v>-1.2762895631024879E-3</v>
      </c>
      <c r="AD17" s="141"/>
      <c r="AE17" s="141"/>
    </row>
    <row r="18" spans="1:31" ht="11.25" customHeight="1" x14ac:dyDescent="0.2">
      <c r="A18" s="441" t="b">
        <v>1</v>
      </c>
      <c r="B18" s="339"/>
      <c r="C18" s="117"/>
      <c r="D18" s="352" t="str">
        <f>_xll.qlIMMNextCode($F17,A18)</f>
        <v>Z6</v>
      </c>
      <c r="E18" s="260" t="str">
        <f t="shared" si="13"/>
        <v>EURFUT3MZ6_Quote</v>
      </c>
      <c r="F18" s="169">
        <f>_xll.qlIMMdate(D18,SettlementDate,Trigger)</f>
        <v>42725</v>
      </c>
      <c r="G18" s="169">
        <f>_xll.qlInterestRateIndexMaturity(PROPER(Currency)&amp;"ibor"&amp;$F$1,F18)</f>
        <v>42815</v>
      </c>
      <c r="H18" s="155">
        <f>_xll.qlDayCounterYearFraction(DayCounter,F18,G18,,,Trigger)</f>
        <v>0.25</v>
      </c>
      <c r="I18" s="167">
        <f>1-_xll.qlQuoteValue(E18,AllTriggers)/100-_xll.qlQuoteValue(Currency&amp;"FUT"&amp;"3M"&amp;D18&amp;"ConvAdj_Quote")</f>
        <v>1.1750000000000371E-3</v>
      </c>
      <c r="J18" s="170">
        <f>_xll.qlYieldTSDiscount(Discounting,F18,,AllTriggers)</f>
        <v>1.0016873804914173</v>
      </c>
      <c r="K18" s="170">
        <f>_xll.qlYieldTSDiscount(Discounting,G18,,AllTriggers)</f>
        <v>1.0017793306728247</v>
      </c>
      <c r="L18" s="167">
        <f>(J18/K18-1)/H18</f>
        <v>-3.6714744891241935E-4</v>
      </c>
      <c r="M18" s="167">
        <f t="shared" si="6"/>
        <v>1.5421474489124565E-3</v>
      </c>
      <c r="N18" s="330" t="b">
        <v>1</v>
      </c>
      <c r="O18" s="167">
        <f>_xll.qlInterpolationInterpolate(B3Minterpolation,F18,TRUE,Trigger)</f>
        <v>1.5421474489124565E-3</v>
      </c>
      <c r="P18" s="255">
        <f t="shared" si="7"/>
        <v>0</v>
      </c>
      <c r="Q18" s="250">
        <f t="shared" si="8"/>
        <v>3.854979388159185E-4</v>
      </c>
      <c r="S18" s="169">
        <f>_xll.qlCalendarAdvance(Calendar,S17,"1D","f")</f>
        <v>42181</v>
      </c>
      <c r="T18" s="169">
        <f>_xll.qlCalendarAdvance(Calendar,S18,$F$1,"mf",,Trigger)</f>
        <v>42275</v>
      </c>
      <c r="U18" s="155">
        <f>_xll.qlDayCounterYearFraction(DayCounter,S18,T18,,,Trigger)</f>
        <v>0.26111111111111113</v>
      </c>
      <c r="V18" s="167">
        <f>_xll.qlInterpolationInterpolate(B3Minterpolation,S18,TRUE)</f>
        <v>1.2079721712858144E-3</v>
      </c>
      <c r="W18" s="170">
        <f>_xll.qlYieldTSDiscount(Discounting,S18,,AllTriggers)</f>
        <v>1.0000755052306143</v>
      </c>
      <c r="X18" s="170">
        <f>_xll.qlYieldTSDiscount(Discounting,T18,,AllTriggers)</f>
        <v>1.0004092530471704</v>
      </c>
      <c r="Y18" s="167">
        <f t="shared" si="2"/>
        <v>-1.2776602408893375E-3</v>
      </c>
      <c r="AD18" s="141"/>
      <c r="AE18" s="141"/>
    </row>
    <row r="19" spans="1:31" ht="11.25" customHeight="1" x14ac:dyDescent="0.2">
      <c r="A19" s="442" t="b">
        <v>1</v>
      </c>
      <c r="B19" s="340"/>
      <c r="C19" s="341"/>
      <c r="D19" s="354" t="str">
        <f>_xll.qlIMMNextCode($F18,A19)</f>
        <v>H7</v>
      </c>
      <c r="E19" s="261" t="str">
        <f t="shared" si="13"/>
        <v>EURFUT3MH7_Quote</v>
      </c>
      <c r="F19" s="173">
        <f>_xll.qlIMMdate(D19,SettlementDate,Trigger)</f>
        <v>42809</v>
      </c>
      <c r="G19" s="173">
        <f>_xll.qlInterestRateIndexMaturity(PROPER(Currency)&amp;"ibor"&amp;$F$1,F19)</f>
        <v>42901</v>
      </c>
      <c r="H19" s="160">
        <f>_xll.qlDayCounterYearFraction(DayCounter,F19,G19,,,Trigger)</f>
        <v>0.25555555555555554</v>
      </c>
      <c r="I19" s="176">
        <f>1-_xll.qlQuoteValue(E19,AllTriggers)/100-_xll.qlQuoteValue(Currency&amp;"FUT"&amp;"3M"&amp;D19&amp;"ConvAdj_Quote")</f>
        <v>1.6750000000000931E-3</v>
      </c>
      <c r="J19" s="174">
        <f>_xll.qlYieldTSDiscount(Discounting,F19,,AllTriggers)</f>
        <v>1.0017759196364133</v>
      </c>
      <c r="K19" s="174">
        <f>_xll.qlYieldTSDiscount(Discounting,G19,,AllTriggers)</f>
        <v>1.0017447250601281</v>
      </c>
      <c r="L19" s="176">
        <f t="shared" si="14"/>
        <v>1.2185313307508264E-4</v>
      </c>
      <c r="M19" s="176">
        <f t="shared" si="6"/>
        <v>1.5531468669250106E-3</v>
      </c>
      <c r="N19" s="331" t="b">
        <v>1</v>
      </c>
      <c r="O19" s="176">
        <f>_xll.qlInterpolationInterpolate(B3Minterpolation,F19,TRUE,Trigger)</f>
        <v>1.5531468669250106E-3</v>
      </c>
      <c r="P19" s="256">
        <f t="shared" si="7"/>
        <v>0</v>
      </c>
      <c r="Q19" s="252">
        <f t="shared" si="8"/>
        <v>3.9682420564057997E-4</v>
      </c>
      <c r="S19" s="169">
        <f>_xll.qlCalendarAdvance(Calendar,S18,"1D","f")</f>
        <v>42184</v>
      </c>
      <c r="T19" s="169">
        <f>_xll.qlCalendarAdvance(Calendar,S19,$F$1,"mf",,Trigger)</f>
        <v>42276</v>
      </c>
      <c r="U19" s="155">
        <f>_xll.qlDayCounterYearFraction(DayCounter,S19,T19,,,Trigger)</f>
        <v>0.25555555555555554</v>
      </c>
      <c r="V19" s="167">
        <f>_xll.qlInterpolationInterpolate(B3Minterpolation,S19,TRUE)</f>
        <v>1.2136533771678409E-3</v>
      </c>
      <c r="W19" s="170">
        <f>_xll.qlYieldTSDiscount(Discounting,S19,,AllTriggers)</f>
        <v>1.0000863615343749</v>
      </c>
      <c r="X19" s="170">
        <f>_xll.qlYieldTSDiscount(Discounting,T19,,AllTriggers)</f>
        <v>1.000412830790675</v>
      </c>
      <c r="Y19" s="167">
        <f t="shared" si="2"/>
        <v>-1.2769612253053003E-3</v>
      </c>
      <c r="AD19" s="141"/>
      <c r="AE19" s="141"/>
    </row>
    <row r="20" spans="1:31" ht="11.25" customHeight="1" x14ac:dyDescent="0.2">
      <c r="F20" s="243"/>
      <c r="G20" s="243"/>
      <c r="H20" s="141"/>
      <c r="L20" s="141"/>
      <c r="M20" s="141"/>
      <c r="S20" s="169">
        <f>_xll.qlCalendarAdvance(Calendar,S19,"1D","f")</f>
        <v>42185</v>
      </c>
      <c r="T20" s="169">
        <f>_xll.qlCalendarAdvance(Calendar,S20,$F$1,"mf",,Trigger)</f>
        <v>42277</v>
      </c>
      <c r="U20" s="155">
        <f>_xll.qlDayCounterYearFraction(DayCounter,S20,T20,,,Trigger)</f>
        <v>0.25555555555555554</v>
      </c>
      <c r="V20" s="167">
        <f>_xll.qlInterpolationInterpolate(B3Minterpolation,S20,TRUE)</f>
        <v>1.2155694882578303E-3</v>
      </c>
      <c r="W20" s="170">
        <f>_xll.qlYieldTSDiscount(Discounting,S20,,AllTriggers)</f>
        <v>1.0000899803284842</v>
      </c>
      <c r="X20" s="170">
        <f>_xll.qlYieldTSDiscount(Discounting,T20,,AllTriggers)</f>
        <v>1.0004164085469747</v>
      </c>
      <c r="Y20" s="167">
        <f t="shared" si="2"/>
        <v>-1.2767961426581828E-3</v>
      </c>
      <c r="AD20" s="141"/>
      <c r="AE20" s="141"/>
    </row>
    <row r="21" spans="1:31" ht="11.25" customHeight="1" x14ac:dyDescent="0.2">
      <c r="F21" s="243"/>
      <c r="G21" s="243"/>
      <c r="H21" s="141"/>
      <c r="L21" s="141"/>
      <c r="M21" s="141"/>
      <c r="S21" s="169">
        <f>_xll.qlCalendarAdvance(Calendar,S20,"1D","f")</f>
        <v>42186</v>
      </c>
      <c r="T21" s="169">
        <f>_xll.qlCalendarAdvance(Calendar,S21,$F$1,"mf",,Trigger)</f>
        <v>42278</v>
      </c>
      <c r="U21" s="155">
        <f>_xll.qlDayCounterYearFraction(DayCounter,S21,T21,,,Trigger)</f>
        <v>0.25555555555555554</v>
      </c>
      <c r="V21" s="167">
        <f>_xll.qlInterpolationInterpolate(B3Minterpolation,S21,TRUE)</f>
        <v>1.2174984325249265E-3</v>
      </c>
      <c r="W21" s="170">
        <f>_xll.qlYieldTSDiscount(Discounting,S21,,AllTriggers)</f>
        <v>1.0000909988923301</v>
      </c>
      <c r="X21" s="170">
        <f>_xll.qlYieldTSDiscount(Discounting,T21,,AllTriggers)</f>
        <v>1.000418985896083</v>
      </c>
      <c r="Y21" s="167">
        <f t="shared" si="2"/>
        <v>-1.2828898932179895E-3</v>
      </c>
      <c r="AD21" s="141"/>
      <c r="AE21" s="141"/>
    </row>
    <row r="22" spans="1:31" ht="11.25" customHeight="1" x14ac:dyDescent="0.2">
      <c r="F22" s="243"/>
      <c r="G22" s="243"/>
      <c r="H22" s="141"/>
      <c r="L22" s="141"/>
      <c r="M22" s="141"/>
      <c r="S22" s="169">
        <f>_xll.qlCalendarAdvance(Calendar,S21,"1D","f")</f>
        <v>42187</v>
      </c>
      <c r="T22" s="169">
        <f>_xll.qlCalendarAdvance(Calendar,S22,$F$1,"mf",,Trigger)</f>
        <v>42279</v>
      </c>
      <c r="U22" s="155">
        <f>_xll.qlDayCounterYearFraction(DayCounter,S22,T22,,,Trigger)</f>
        <v>0.25555555555555554</v>
      </c>
      <c r="V22" s="167">
        <f>_xll.qlInterpolationInterpolate(B3Minterpolation,S22,TRUE)</f>
        <v>1.2194411971365989E-3</v>
      </c>
      <c r="W22" s="170">
        <f>_xll.qlYieldTSDiscount(Discounting,S22,,AllTriggers)</f>
        <v>1.0000946177032193</v>
      </c>
      <c r="X22" s="170">
        <f>_xll.qlYieldTSDiscount(Discounting,T22,,AllTriggers)</f>
        <v>1.0004225636743951</v>
      </c>
      <c r="Y22" s="167">
        <f t="shared" si="2"/>
        <v>-1.2827248108219756E-3</v>
      </c>
      <c r="AD22" s="141"/>
      <c r="AE22" s="141"/>
    </row>
    <row r="23" spans="1:31" ht="11.25" customHeight="1" x14ac:dyDescent="0.2">
      <c r="F23" s="243"/>
      <c r="G23" s="243"/>
      <c r="H23" s="141"/>
      <c r="L23" s="141"/>
      <c r="M23" s="141"/>
      <c r="S23" s="169">
        <f>_xll.qlCalendarAdvance(Calendar,S22,"1D","f")</f>
        <v>42188</v>
      </c>
      <c r="T23" s="169">
        <f>_xll.qlCalendarAdvance(Calendar,S23,$F$1,"mf",,Trigger)</f>
        <v>42282</v>
      </c>
      <c r="U23" s="155">
        <f>_xll.qlDayCounterYearFraction(DayCounter,S23,T23,,,Trigger)</f>
        <v>0.26111111111111113</v>
      </c>
      <c r="V23" s="167">
        <f>_xll.qlInterpolationInterpolate(B3Minterpolation,S23,TRUE)</f>
        <v>1.2213987692603174E-3</v>
      </c>
      <c r="W23" s="170">
        <f>_xll.qlYieldTSDiscount(Discounting,S23,,AllTriggers)</f>
        <v>1.0000982365272033</v>
      </c>
      <c r="X23" s="170">
        <f>_xll.qlYieldTSDiscount(Discounting,T23,,AllTriggers)</f>
        <v>1.0004332970861023</v>
      </c>
      <c r="Y23" s="167">
        <f t="shared" si="2"/>
        <v>-1.2826548804801899E-3</v>
      </c>
      <c r="AD23" s="141"/>
      <c r="AE23" s="141"/>
    </row>
    <row r="24" spans="1:31" ht="11.25" customHeight="1" x14ac:dyDescent="0.2">
      <c r="F24" s="243"/>
      <c r="G24" s="243"/>
      <c r="H24" s="141"/>
      <c r="L24" s="141"/>
      <c r="M24" s="141"/>
      <c r="S24" s="169">
        <f>_xll.qlCalendarAdvance(Calendar,S23,"1D","f")</f>
        <v>42191</v>
      </c>
      <c r="T24" s="169">
        <f>_xll.qlCalendarAdvance(Calendar,S24,$F$1,"mf",,Trigger)</f>
        <v>42283</v>
      </c>
      <c r="U24" s="155">
        <f>_xll.qlDayCounterYearFraction(DayCounter,S24,T24,,,Trigger)</f>
        <v>0.25555555555555554</v>
      </c>
      <c r="V24" s="167">
        <f>_xll.qlInterpolationInterpolate(B3Minterpolation,S24,TRUE)</f>
        <v>1.2273702023784462E-3</v>
      </c>
      <c r="W24" s="170">
        <f>_xll.qlYieldTSDiscount(Discounting,S24,,AllTriggers)</f>
        <v>1.0001090930777232</v>
      </c>
      <c r="X24" s="170">
        <f>_xll.qlYieldTSDiscount(Discounting,T24,,AllTriggers)</f>
        <v>1.000436874915595</v>
      </c>
      <c r="Y24" s="167">
        <f t="shared" si="2"/>
        <v>-1.2820644811645002E-3</v>
      </c>
      <c r="AD24" s="141"/>
      <c r="AE24" s="141"/>
    </row>
    <row r="25" spans="1:31" ht="11.25" customHeight="1" x14ac:dyDescent="0.2">
      <c r="F25" s="243"/>
      <c r="G25" s="243"/>
      <c r="H25" s="141"/>
      <c r="L25" s="141"/>
      <c r="M25" s="141"/>
      <c r="S25" s="169">
        <f>_xll.qlCalendarAdvance(Calendar,S24,"1D","f")</f>
        <v>42192</v>
      </c>
      <c r="T25" s="169">
        <f>_xll.qlCalendarAdvance(Calendar,S25,$F$1,"mf",,Trigger)</f>
        <v>42284</v>
      </c>
      <c r="U25" s="155">
        <f>_xll.qlDayCounterYearFraction(DayCounter,S25,T25,,,Trigger)</f>
        <v>0.25555555555555554</v>
      </c>
      <c r="V25" s="167">
        <f>_xll.qlInterpolationInterpolate(B3Minterpolation,S25,TRUE)</f>
        <v>1.2293968762250463E-3</v>
      </c>
      <c r="W25" s="170">
        <f>_xll.qlYieldTSDiscount(Discounting,S25,,AllTriggers)</f>
        <v>1.000112711954086</v>
      </c>
      <c r="X25" s="170">
        <f>_xll.qlYieldTSDiscount(Discounting,T25,,AllTriggers)</f>
        <v>1.0004404527578832</v>
      </c>
      <c r="Y25" s="167">
        <f t="shared" si="2"/>
        <v>-1.2818993987328627E-3</v>
      </c>
      <c r="AD25" s="141"/>
      <c r="AE25" s="141"/>
    </row>
    <row r="26" spans="1:31" ht="11.25" customHeight="1" x14ac:dyDescent="0.2">
      <c r="F26" s="243"/>
      <c r="G26" s="243"/>
      <c r="H26" s="141"/>
      <c r="L26" s="141"/>
      <c r="M26" s="141"/>
      <c r="S26" s="169">
        <f>_xll.qlCalendarAdvance(Calendar,S25,"1D","f")</f>
        <v>42193</v>
      </c>
      <c r="T26" s="169">
        <f>_xll.qlCalendarAdvance(Calendar,S26,$F$1,"mf",,Trigger)</f>
        <v>42285</v>
      </c>
      <c r="U26" s="155">
        <f>_xll.qlDayCounterYearFraction(DayCounter,S26,T26,,,Trigger)</f>
        <v>0.25555555555555554</v>
      </c>
      <c r="V26" s="167">
        <f>_xll.qlInterpolationInterpolate(B3Minterpolation,S26,TRUE)</f>
        <v>1.231443293421041E-3</v>
      </c>
      <c r="W26" s="170">
        <f>_xll.qlYieldTSDiscount(Discounting,S26,,AllTriggers)</f>
        <v>1.0001163308435437</v>
      </c>
      <c r="X26" s="170">
        <f>_xll.qlYieldTSDiscount(Discounting,T26,,AllTriggers)</f>
        <v>1.0004440306129669</v>
      </c>
      <c r="Y26" s="167">
        <f t="shared" si="2"/>
        <v>-1.2817343162951429E-3</v>
      </c>
      <c r="AA26" s="244"/>
      <c r="AB26" s="244"/>
      <c r="AD26" s="141"/>
      <c r="AE26" s="141"/>
    </row>
    <row r="27" spans="1:31" ht="11.25" customHeight="1" x14ac:dyDescent="0.2">
      <c r="F27" s="243"/>
      <c r="G27" s="243"/>
      <c r="H27" s="141"/>
      <c r="L27" s="141"/>
      <c r="M27" s="141"/>
      <c r="S27" s="169">
        <f>_xll.qlCalendarAdvance(Calendar,S26,"1D","f")</f>
        <v>42194</v>
      </c>
      <c r="T27" s="169">
        <f>_xll.qlCalendarAdvance(Calendar,S27,$F$1,"mf",,Trigger)</f>
        <v>42286</v>
      </c>
      <c r="U27" s="155">
        <f>_xll.qlDayCounterYearFraction(DayCounter,S27,T27,,,Trigger)</f>
        <v>0.25555555555555554</v>
      </c>
      <c r="V27" s="167">
        <f>_xll.qlInterpolationInterpolate(B3Minterpolation,S27,TRUE)</f>
        <v>1.2335104411339E-3</v>
      </c>
      <c r="W27" s="170">
        <f>_xll.qlYieldTSDiscount(Discounting,S27,,AllTriggers)</f>
        <v>1.0001199497460962</v>
      </c>
      <c r="X27" s="170">
        <f>_xll.qlYieldTSDiscount(Discounting,T27,,AllTriggers)</f>
        <v>1.0004476084808456</v>
      </c>
      <c r="Y27" s="167">
        <f t="shared" si="2"/>
        <v>-1.2815692338483001E-3</v>
      </c>
      <c r="AD27" s="141"/>
      <c r="AE27" s="141"/>
    </row>
    <row r="28" spans="1:31" ht="11.25" customHeight="1" x14ac:dyDescent="0.2">
      <c r="F28" s="243"/>
      <c r="G28" s="243"/>
      <c r="H28" s="141"/>
      <c r="L28" s="141"/>
      <c r="M28" s="141"/>
      <c r="S28" s="169">
        <f>_xll.qlCalendarAdvance(Calendar,S27,"1D","f")</f>
        <v>42195</v>
      </c>
      <c r="T28" s="169">
        <f>_xll.qlCalendarAdvance(Calendar,S28,$F$1,"mf",,Trigger)</f>
        <v>42289</v>
      </c>
      <c r="U28" s="155">
        <f>_xll.qlDayCounterYearFraction(DayCounter,S28,T28,,,Trigger)</f>
        <v>0.26111111111111113</v>
      </c>
      <c r="V28" s="167">
        <f>_xll.qlInterpolationInterpolate(B3Minterpolation,S28,TRUE)</f>
        <v>1.2355993065310935E-3</v>
      </c>
      <c r="W28" s="170">
        <f>_xll.qlYieldTSDiscount(Discounting,S28,,AllTriggers)</f>
        <v>1.0001235686617438</v>
      </c>
      <c r="X28" s="170">
        <f>_xll.qlYieldTSDiscount(Discounting,T28,,AllTriggers)</f>
        <v>1.0004583421612554</v>
      </c>
      <c r="Y28" s="167">
        <f t="shared" si="2"/>
        <v>-1.2815238982918622E-3</v>
      </c>
      <c r="AD28" s="141"/>
      <c r="AE28" s="141"/>
    </row>
    <row r="29" spans="1:31" ht="11.25" customHeight="1" x14ac:dyDescent="0.2">
      <c r="F29" s="243"/>
      <c r="G29" s="243"/>
      <c r="H29" s="141"/>
      <c r="L29" s="141"/>
      <c r="M29" s="141"/>
      <c r="S29" s="169">
        <f>_xll.qlCalendarAdvance(Calendar,S28,"1D","f")</f>
        <v>42198</v>
      </c>
      <c r="T29" s="169">
        <f>_xll.qlCalendarAdvance(Calendar,S29,$F$1,"mf",,Trigger)</f>
        <v>42290</v>
      </c>
      <c r="U29" s="155">
        <f>_xll.qlDayCounterYearFraction(DayCounter,S29,T29,,,Trigger)</f>
        <v>0.25555555555555554</v>
      </c>
      <c r="V29" s="167">
        <f>_xll.qlInterpolationInterpolate(B3Minterpolation,S29,TRUE)</f>
        <v>1.242006080503376E-3</v>
      </c>
      <c r="W29" s="170">
        <f>_xll.qlYieldTSDiscount(Discounting,S29,,AllTriggers)</f>
        <v>1.0001344254872562</v>
      </c>
      <c r="X29" s="170">
        <f>_xll.qlYieldTSDiscount(Discounting,T29,,AllTriggers)</f>
        <v>1.0004619200803166</v>
      </c>
      <c r="Y29" s="167">
        <f t="shared" si="2"/>
        <v>-1.2809089039970665E-3</v>
      </c>
      <c r="AD29" s="141"/>
      <c r="AE29" s="141"/>
    </row>
    <row r="30" spans="1:31" ht="11.25" customHeight="1" x14ac:dyDescent="0.2">
      <c r="F30" s="243"/>
      <c r="G30" s="243"/>
      <c r="H30" s="141"/>
      <c r="L30" s="141"/>
      <c r="M30" s="141"/>
      <c r="S30" s="169">
        <f>_xll.qlCalendarAdvance(Calendar,S29,"1D","f")</f>
        <v>42199</v>
      </c>
      <c r="T30" s="169">
        <f>_xll.qlCalendarAdvance(Calendar,S30,$F$1,"mf",,Trigger)</f>
        <v>42291</v>
      </c>
      <c r="U30" s="155">
        <f>_xll.qlDayCounterYearFraction(DayCounter,S30,T30,,,Trigger)</f>
        <v>0.25555555555555554</v>
      </c>
      <c r="V30" s="167">
        <f>_xll.qlInterpolationInterpolate(B3Minterpolation,S30,TRUE)</f>
        <v>1.2441916883126035E-3</v>
      </c>
      <c r="W30" s="170">
        <f>_xll.qlYieldTSDiscount(Discounting,S30,,AllTriggers)</f>
        <v>1.0001380444552839</v>
      </c>
      <c r="X30" s="170">
        <f>_xll.qlYieldTSDiscount(Discounting,T30,,AllTriggers)</f>
        <v>1.0004654980121732</v>
      </c>
      <c r="Y30" s="167">
        <f t="shared" si="2"/>
        <v>-1.2807438215163378E-3</v>
      </c>
      <c r="AD30" s="141"/>
      <c r="AE30" s="141"/>
    </row>
    <row r="31" spans="1:31" ht="11.25" customHeight="1" x14ac:dyDescent="0.2">
      <c r="F31" s="243"/>
      <c r="G31" s="243"/>
      <c r="H31" s="141"/>
      <c r="L31" s="141"/>
      <c r="M31" s="141"/>
      <c r="S31" s="169">
        <f>_xll.qlCalendarAdvance(Calendar,S30,"1D","f")</f>
        <v>42200</v>
      </c>
      <c r="T31" s="169">
        <f>_xll.qlCalendarAdvance(Calendar,S31,$F$1,"mf",,Trigger)</f>
        <v>42292</v>
      </c>
      <c r="U31" s="155">
        <f>_xll.qlDayCounterYearFraction(DayCounter,S31,T31,,,Trigger)</f>
        <v>0.25555555555555554</v>
      </c>
      <c r="V31" s="167">
        <f>_xll.qlInterpolationInterpolate(B3Minterpolation,S31,TRUE)</f>
        <v>1.2464039496435137E-3</v>
      </c>
      <c r="W31" s="170">
        <f>_xll.qlYieldTSDiscount(Discounting,S31,,AllTriggers)</f>
        <v>1.0001416634364066</v>
      </c>
      <c r="X31" s="170">
        <f>_xll.qlYieldTSDiscount(Discounting,T31,,AllTriggers)</f>
        <v>1.0004690759568255</v>
      </c>
      <c r="Y31" s="167">
        <f t="shared" si="2"/>
        <v>-1.280578739028658E-3</v>
      </c>
      <c r="AD31" s="141"/>
      <c r="AE31" s="141"/>
    </row>
    <row r="32" spans="1:31" ht="11.25" customHeight="1" x14ac:dyDescent="0.2">
      <c r="F32" s="243"/>
      <c r="G32" s="243"/>
      <c r="H32" s="141"/>
      <c r="L32" s="141"/>
      <c r="M32" s="141"/>
      <c r="S32" s="169">
        <f>_xll.qlCalendarAdvance(Calendar,S31,"1D","f")</f>
        <v>42201</v>
      </c>
      <c r="T32" s="169">
        <f>_xll.qlCalendarAdvance(Calendar,S32,$F$1,"mf",,Trigger)</f>
        <v>42293</v>
      </c>
      <c r="U32" s="155">
        <f>_xll.qlDayCounterYearFraction(DayCounter,S32,T32,,,Trigger)</f>
        <v>0.25555555555555554</v>
      </c>
      <c r="V32" s="167">
        <f>_xll.qlInterpolationInterpolate(B3Minterpolation,S32,TRUE)</f>
        <v>1.2486438516635767E-3</v>
      </c>
      <c r="W32" s="170">
        <f>_xll.qlYieldTSDiscount(Discounting,S32,,AllTriggers)</f>
        <v>1.0001452824306247</v>
      </c>
      <c r="X32" s="170">
        <f>_xll.qlYieldTSDiscount(Discounting,T32,,AllTriggers)</f>
        <v>1.0004726539142736</v>
      </c>
      <c r="Y32" s="167">
        <f t="shared" si="2"/>
        <v>-1.2804136565344618E-3</v>
      </c>
      <c r="AD32" s="141"/>
      <c r="AE32" s="141"/>
    </row>
    <row r="33" spans="6:31" ht="11.25" customHeight="1" x14ac:dyDescent="0.2">
      <c r="F33" s="243"/>
      <c r="G33" s="243"/>
      <c r="H33" s="141"/>
      <c r="L33" s="141"/>
      <c r="M33" s="141"/>
      <c r="S33" s="169">
        <f>_xll.qlCalendarAdvance(Calendar,S32,"1D","f")</f>
        <v>42202</v>
      </c>
      <c r="T33" s="169">
        <f>_xll.qlCalendarAdvance(Calendar,S33,$F$1,"mf",,Trigger)</f>
        <v>42296</v>
      </c>
      <c r="U33" s="155">
        <f>_xll.qlDayCounterYearFraction(DayCounter,S33,T33,,,Trigger)</f>
        <v>0.26111111111111113</v>
      </c>
      <c r="V33" s="167">
        <f>_xll.qlInterpolationInterpolate(B3Minterpolation,S33,TRUE)</f>
        <v>1.2509123815402621E-3</v>
      </c>
      <c r="W33" s="170">
        <f>_xll.qlYieldTSDiscount(Discounting,S33,,AllTriggers)</f>
        <v>1.0001489014379381</v>
      </c>
      <c r="X33" s="170">
        <f>_xll.qlYieldTSDiscount(Discounting,T33,,AllTriggers)</f>
        <v>1.000483387863393</v>
      </c>
      <c r="Y33" s="167">
        <f t="shared" si="2"/>
        <v>-1.2803929157718852E-3</v>
      </c>
      <c r="AD33" s="141"/>
      <c r="AE33" s="141"/>
    </row>
    <row r="34" spans="6:31" ht="11.25" customHeight="1" x14ac:dyDescent="0.2">
      <c r="F34" s="243"/>
      <c r="G34" s="243"/>
      <c r="H34" s="141"/>
      <c r="L34" s="141"/>
      <c r="M34" s="141"/>
      <c r="S34" s="169">
        <f>_xll.qlCalendarAdvance(Calendar,S33,"1D","f")</f>
        <v>42205</v>
      </c>
      <c r="T34" s="169">
        <f>_xll.qlCalendarAdvance(Calendar,S34,$F$1,"mf",,Trigger)</f>
        <v>42297</v>
      </c>
      <c r="U34" s="155">
        <f>_xll.qlDayCounterYearFraction(DayCounter,S34,T34,,,Trigger)</f>
        <v>0.25555555555555554</v>
      </c>
      <c r="V34" s="167">
        <f>_xll.qlInterpolationInterpolate(B3Minterpolation,S34,TRUE)</f>
        <v>1.2578996099847494E-3</v>
      </c>
      <c r="W34" s="170">
        <f>_xll.qlYieldTSDiscount(Discounting,S34,,AllTriggers)</f>
        <v>1.0001597585384503</v>
      </c>
      <c r="X34" s="170">
        <f>_xll.qlYieldTSDiscount(Discounting,T34,,AllTriggers)</f>
        <v>1.0004869658720243</v>
      </c>
      <c r="Y34" s="167">
        <f t="shared" si="2"/>
        <v>-1.2797533264864293E-3</v>
      </c>
      <c r="AD34" s="141"/>
      <c r="AE34" s="141"/>
    </row>
    <row r="35" spans="6:31" ht="11.25" customHeight="1" x14ac:dyDescent="0.2">
      <c r="F35" s="243"/>
      <c r="G35" s="243"/>
      <c r="H35" s="141"/>
      <c r="L35" s="141"/>
      <c r="M35" s="141"/>
      <c r="S35" s="169">
        <f>_xll.qlCalendarAdvance(Calendar,S34,"1D","f")</f>
        <v>42206</v>
      </c>
      <c r="T35" s="169">
        <f>_xll.qlCalendarAdvance(Calendar,S35,$F$1,"mf",,Trigger)</f>
        <v>42298</v>
      </c>
      <c r="U35" s="155">
        <f>_xll.qlDayCounterYearFraction(DayCounter,S35,T35,,,Trigger)</f>
        <v>0.25555555555555554</v>
      </c>
      <c r="V35" s="167">
        <f>_xll.qlInterpolationInterpolate(B3Minterpolation,S35,TRUE)</f>
        <v>1.2602925229626214E-3</v>
      </c>
      <c r="W35" s="170">
        <f>_xll.qlYieldTSDiscount(Discounting,S35,,AllTriggers)</f>
        <v>1.0001633775981451</v>
      </c>
      <c r="X35" s="170">
        <f>_xll.qlYieldTSDiscount(Discounting,T35,,AllTriggers)</f>
        <v>1.0004905438934519</v>
      </c>
      <c r="Y35" s="167">
        <f t="shared" si="2"/>
        <v>-1.2795882439579126E-3</v>
      </c>
      <c r="AD35" s="141"/>
      <c r="AE35" s="141"/>
    </row>
    <row r="36" spans="6:31" ht="11.25" customHeight="1" x14ac:dyDescent="0.2">
      <c r="F36" s="243"/>
      <c r="G36" s="243"/>
      <c r="H36" s="141"/>
      <c r="L36" s="141"/>
      <c r="M36" s="141"/>
      <c r="S36" s="169">
        <f>_xll.qlCalendarAdvance(Calendar,S35,"1D","f")</f>
        <v>42207</v>
      </c>
      <c r="T36" s="169">
        <f>_xll.qlCalendarAdvance(Calendar,S36,$F$1,"mf",,Trigger)</f>
        <v>42299</v>
      </c>
      <c r="U36" s="155">
        <f>_xll.qlDayCounterYearFraction(DayCounter,S36,T36,,,Trigger)</f>
        <v>0.25555555555555554</v>
      </c>
      <c r="V36" s="167">
        <f>_xll.qlInterpolationInterpolate(B3Minterpolation,S36,TRUE)</f>
        <v>1.2627189996344645E-3</v>
      </c>
      <c r="W36" s="170">
        <f>_xll.qlYieldTSDiscount(Discounting,S36,,AllTriggers)</f>
        <v>1.0001669966709354</v>
      </c>
      <c r="X36" s="170">
        <f>_xll.qlYieldTSDiscount(Discounting,T36,,AllTriggers)</f>
        <v>1.0004941219276753</v>
      </c>
      <c r="Y36" s="167">
        <f t="shared" si="2"/>
        <v>-1.279423161421576E-3</v>
      </c>
      <c r="AD36" s="141"/>
      <c r="AE36" s="141"/>
    </row>
    <row r="37" spans="6:31" ht="11.25" customHeight="1" x14ac:dyDescent="0.2">
      <c r="F37" s="243"/>
      <c r="G37" s="243"/>
      <c r="H37" s="141"/>
      <c r="L37" s="141"/>
      <c r="M37" s="141"/>
      <c r="S37" s="169">
        <f>_xll.qlCalendarAdvance(Calendar,S36,"1D","f")</f>
        <v>42208</v>
      </c>
      <c r="T37" s="169">
        <f>_xll.qlCalendarAdvance(Calendar,S37,$F$1,"mf",,Trigger)</f>
        <v>42300</v>
      </c>
      <c r="U37" s="155">
        <f>_xll.qlDayCounterYearFraction(DayCounter,S37,T37,,,Trigger)</f>
        <v>0.25555555555555554</v>
      </c>
      <c r="V37" s="167">
        <f>_xll.qlInterpolationInterpolate(B3Minterpolation,S37,TRUE)</f>
        <v>1.2651800271677484E-3</v>
      </c>
      <c r="W37" s="170">
        <f>_xll.qlYieldTSDiscount(Discounting,S37,,AllTriggers)</f>
        <v>1.0001706613184045</v>
      </c>
      <c r="X37" s="170">
        <f>_xll.qlYieldTSDiscount(Discounting,T37,,AllTriggers)</f>
        <v>1.0004976999746946</v>
      </c>
      <c r="Y37" s="167">
        <f t="shared" si="2"/>
        <v>-1.2790798831097128E-3</v>
      </c>
      <c r="AD37" s="141"/>
      <c r="AE37" s="141"/>
    </row>
    <row r="38" spans="6:31" ht="11.25" customHeight="1" x14ac:dyDescent="0.2">
      <c r="F38" s="243"/>
      <c r="G38" s="243"/>
      <c r="H38" s="141"/>
      <c r="L38" s="141"/>
      <c r="M38" s="141"/>
      <c r="S38" s="169">
        <f>_xll.qlCalendarAdvance(Calendar,S37,"1D","f")</f>
        <v>42209</v>
      </c>
      <c r="T38" s="169">
        <f>_xll.qlCalendarAdvance(Calendar,S38,$F$1,"mf",,Trigger)</f>
        <v>42303</v>
      </c>
      <c r="U38" s="155">
        <f>_xll.qlDayCounterYearFraction(DayCounter,S38,T38,,,Trigger)</f>
        <v>0.26111111111111113</v>
      </c>
      <c r="V38" s="167">
        <f>_xll.qlInterpolationInterpolate(B3Minterpolation,S38,TRUE)</f>
        <v>1.267676592729943E-3</v>
      </c>
      <c r="W38" s="170">
        <f>_xll.qlYieldTSDiscount(Discounting,S38,,AllTriggers)</f>
        <v>1.000174325979301</v>
      </c>
      <c r="X38" s="170">
        <f>_xll.qlYieldTSDiscount(Discounting,T38,,AllTriggers)</f>
        <v>1.0005084341925299</v>
      </c>
      <c r="Y38" s="167">
        <f t="shared" si="2"/>
        <v>-1.2789131266500082E-3</v>
      </c>
      <c r="AD38" s="141"/>
      <c r="AE38" s="141"/>
    </row>
    <row r="39" spans="6:31" ht="11.25" customHeight="1" x14ac:dyDescent="0.2">
      <c r="F39" s="243"/>
      <c r="G39" s="243"/>
      <c r="H39" s="141"/>
      <c r="L39" s="141"/>
      <c r="M39" s="141"/>
      <c r="S39" s="169">
        <f>_xll.qlCalendarAdvance(Calendar,S38,"1D","f")</f>
        <v>42212</v>
      </c>
      <c r="T39" s="169">
        <f>_xll.qlCalendarAdvance(Calendar,S39,$F$1,"mf",,Trigger)</f>
        <v>42304</v>
      </c>
      <c r="U39" s="155">
        <f>_xll.qlDayCounterYearFraction(DayCounter,S39,T39,,,Trigger)</f>
        <v>0.25555555555555554</v>
      </c>
      <c r="V39" s="167">
        <f>_xll.qlInterpolationInterpolate(B3Minterpolation,S39,TRUE)</f>
        <v>1.2753893892646863E-3</v>
      </c>
      <c r="W39" s="170">
        <f>_xll.qlYieldTSDiscount(Discounting,S39,,AllTriggers)</f>
        <v>1.0001853200425552</v>
      </c>
      <c r="X39" s="170">
        <f>_xll.qlYieldTSDiscount(Discounting,T39,,AllTriggers)</f>
        <v>1.0005120122907343</v>
      </c>
      <c r="Y39" s="167">
        <f t="shared" si="2"/>
        <v>-1.277706769565541E-3</v>
      </c>
      <c r="AD39" s="141"/>
      <c r="AE39" s="141"/>
    </row>
    <row r="40" spans="6:31" ht="11.25" customHeight="1" x14ac:dyDescent="0.2">
      <c r="F40" s="243"/>
      <c r="G40" s="243"/>
      <c r="H40" s="141"/>
      <c r="L40" s="141"/>
      <c r="M40" s="141"/>
      <c r="S40" s="169">
        <f>_xll.qlCalendarAdvance(Calendar,S39,"1D","f")</f>
        <v>42213</v>
      </c>
      <c r="T40" s="169">
        <f>_xll.qlCalendarAdvance(Calendar,S40,$F$1,"mf",,Trigger)</f>
        <v>42305</v>
      </c>
      <c r="U40" s="155">
        <f>_xll.qlDayCounterYearFraction(DayCounter,S40,T40,,,Trigger)</f>
        <v>0.25555555555555554</v>
      </c>
      <c r="V40" s="167">
        <f>_xll.qlInterpolationInterpolate(B3Minterpolation,S40,TRUE)</f>
        <v>1.2780379786172201E-3</v>
      </c>
      <c r="W40" s="170">
        <f>_xll.qlYieldTSDiscount(Discounting,S40,,AllTriggers)</f>
        <v>1.0001889847571619</v>
      </c>
      <c r="X40" s="170">
        <f>_xll.qlYieldTSDiscount(Discounting,T40,,AllTriggers)</f>
        <v>1.0005155904017347</v>
      </c>
      <c r="Y40" s="167">
        <f t="shared" si="2"/>
        <v>-1.2773634911029288E-3</v>
      </c>
      <c r="AD40" s="141"/>
      <c r="AE40" s="141"/>
    </row>
    <row r="41" spans="6:31" ht="11.25" customHeight="1" x14ac:dyDescent="0.2">
      <c r="F41" s="243"/>
      <c r="G41" s="243"/>
      <c r="H41" s="141"/>
      <c r="L41" s="141"/>
      <c r="M41" s="141"/>
      <c r="S41" s="169">
        <f>_xll.qlCalendarAdvance(Calendar,S40,"1D","f")</f>
        <v>42214</v>
      </c>
      <c r="T41" s="169">
        <f>_xll.qlCalendarAdvance(Calendar,S41,$F$1,"mf",,Trigger)</f>
        <v>42306</v>
      </c>
      <c r="U41" s="155">
        <f>_xll.qlDayCounterYearFraction(DayCounter,S41,T41,,,Trigger)</f>
        <v>0.25555555555555554</v>
      </c>
      <c r="V41" s="167">
        <f>_xll.qlInterpolationInterpolate(B3Minterpolation,S41,TRUE)</f>
        <v>1.2807270418360129E-3</v>
      </c>
      <c r="W41" s="170">
        <f>_xll.qlYieldTSDiscount(Discounting,S41,,AllTriggers)</f>
        <v>1.0001926494851963</v>
      </c>
      <c r="X41" s="170">
        <f>_xll.qlYieldTSDiscount(Discounting,T41,,AllTriggers)</f>
        <v>1.0005192846374766</v>
      </c>
      <c r="Y41" s="167">
        <f t="shared" si="2"/>
        <v>-1.277474179685142E-3</v>
      </c>
      <c r="AD41" s="141"/>
      <c r="AE41" s="141"/>
    </row>
    <row r="42" spans="6:31" ht="11.25" customHeight="1" x14ac:dyDescent="0.2">
      <c r="F42" s="243"/>
      <c r="G42" s="243"/>
      <c r="H42" s="141"/>
      <c r="L42" s="141"/>
      <c r="M42" s="141"/>
      <c r="S42" s="169">
        <f>_xll.qlCalendarAdvance(Calendar,S41,"1D","f")</f>
        <v>42215</v>
      </c>
      <c r="T42" s="169">
        <f>_xll.qlCalendarAdvance(Calendar,S42,$F$1,"mf",,Trigger)</f>
        <v>42307</v>
      </c>
      <c r="U42" s="155">
        <f>_xll.qlDayCounterYearFraction(DayCounter,S42,T42,,,Trigger)</f>
        <v>0.25555555555555554</v>
      </c>
      <c r="V42" s="167">
        <f>_xll.qlInterpolationInterpolate(B3Minterpolation,S42,TRUE)</f>
        <v>1.2834575660885348E-3</v>
      </c>
      <c r="W42" s="170">
        <f>_xll.qlYieldTSDiscount(Discounting,S42,,AllTriggers)</f>
        <v>1.0001963142266581</v>
      </c>
      <c r="X42" s="170">
        <f>_xll.qlYieldTSDiscount(Discounting,T42,,AllTriggers)</f>
        <v>1.0005229788868586</v>
      </c>
      <c r="Y42" s="167">
        <f t="shared" si="2"/>
        <v>-1.2775848682634451E-3</v>
      </c>
      <c r="AD42" s="141"/>
      <c r="AE42" s="141"/>
    </row>
    <row r="43" spans="6:31" ht="11.25" customHeight="1" x14ac:dyDescent="0.2">
      <c r="F43" s="243"/>
      <c r="G43" s="243"/>
      <c r="H43" s="141"/>
      <c r="L43" s="141"/>
      <c r="M43" s="141"/>
      <c r="S43" s="169">
        <f>_xll.qlCalendarAdvance(Calendar,S42,"1D","f")</f>
        <v>42216</v>
      </c>
      <c r="T43" s="169">
        <f>_xll.qlCalendarAdvance(Calendar,S43,$F$1,"mf",,Trigger)</f>
        <v>42307</v>
      </c>
      <c r="U43" s="155">
        <f>_xll.qlDayCounterYearFraction(DayCounter,S43,T43,,,Trigger)</f>
        <v>0.25277777777777777</v>
      </c>
      <c r="V43" s="167">
        <f>_xll.qlInterpolationInterpolate(B3Minterpolation,S43,TRUE)</f>
        <v>1.2862305385422552E-3</v>
      </c>
      <c r="W43" s="170">
        <f>_xll.qlYieldTSDiscount(Discounting,S43,,AllTriggers)</f>
        <v>1.0001999789815479</v>
      </c>
      <c r="X43" s="170">
        <f>_xll.qlYieldTSDiscount(Discounting,T43,,AllTriggers)</f>
        <v>1.0005229788868586</v>
      </c>
      <c r="Y43" s="167">
        <f t="shared" si="2"/>
        <v>-1.2771339091372019E-3</v>
      </c>
      <c r="AD43" s="141"/>
      <c r="AE43" s="141"/>
    </row>
    <row r="44" spans="6:31" ht="11.25" customHeight="1" x14ac:dyDescent="0.2">
      <c r="F44" s="243"/>
      <c r="G44" s="243"/>
      <c r="H44" s="141"/>
      <c r="L44" s="141"/>
      <c r="M44" s="141"/>
      <c r="S44" s="169">
        <f>_xll.qlCalendarAdvance(Calendar,S43,"1D","f")</f>
        <v>42219</v>
      </c>
      <c r="T44" s="169">
        <f>_xll.qlCalendarAdvance(Calendar,S44,$F$1,"mf",,Trigger)</f>
        <v>42311</v>
      </c>
      <c r="U44" s="155">
        <f>_xll.qlDayCounterYearFraction(DayCounter,S44,T44,,,Trigger)</f>
        <v>0.25555555555555554</v>
      </c>
      <c r="V44" s="167">
        <f>_xll.qlInterpolationInterpolate(B3Minterpolation,S44,TRUE)</f>
        <v>1.294814016785306E-3</v>
      </c>
      <c r="W44" s="170">
        <f>_xll.qlYieldTSDiscount(Discounting,S44,,AllTriggers)</f>
        <v>1.0002056722086252</v>
      </c>
      <c r="X44" s="170">
        <f>_xll.qlYieldTSDiscount(Discounting,T44,,AllTriggers)</f>
        <v>1.0005356548915039</v>
      </c>
      <c r="Y44" s="167">
        <f t="shared" si="2"/>
        <v>-1.2905452982756873E-3</v>
      </c>
      <c r="AD44" s="141"/>
      <c r="AE44" s="141"/>
    </row>
    <row r="45" spans="6:31" ht="11.25" customHeight="1" x14ac:dyDescent="0.2">
      <c r="F45" s="243"/>
      <c r="G45" s="243"/>
      <c r="H45" s="141"/>
      <c r="L45" s="141"/>
      <c r="M45" s="141"/>
      <c r="S45" s="169">
        <f>_xll.qlCalendarAdvance(Calendar,S44,"1D","f")</f>
        <v>42220</v>
      </c>
      <c r="T45" s="169">
        <f>_xll.qlCalendarAdvance(Calendar,S45,$F$1,"mf",,Trigger)</f>
        <v>42312</v>
      </c>
      <c r="U45" s="155">
        <f>_xll.qlDayCounterYearFraction(DayCounter,S45,T45,,,Trigger)</f>
        <v>0.25555555555555554</v>
      </c>
      <c r="V45" s="167">
        <f>_xll.qlInterpolationInterpolate(B3Minterpolation,S45,TRUE)</f>
        <v>1.2977666537185184E-3</v>
      </c>
      <c r="W45" s="170">
        <f>_xll.qlYieldTSDiscount(Discounting,S45,,AllTriggers)</f>
        <v>1.0002093369978029</v>
      </c>
      <c r="X45" s="170">
        <f>_xll.qlYieldTSDiscount(Discounting,T45,,AllTriggers)</f>
        <v>1.0005393492013304</v>
      </c>
      <c r="Y45" s="167">
        <f t="shared" si="2"/>
        <v>-1.2906559864842861E-3</v>
      </c>
      <c r="AD45" s="141"/>
      <c r="AE45" s="141"/>
    </row>
    <row r="46" spans="6:31" ht="11.25" customHeight="1" x14ac:dyDescent="0.2">
      <c r="F46" s="243"/>
      <c r="G46" s="243"/>
      <c r="H46" s="141"/>
      <c r="L46" s="141"/>
      <c r="M46" s="141"/>
      <c r="S46" s="169">
        <f>_xll.qlCalendarAdvance(Calendar,S45,"1D","f")</f>
        <v>42221</v>
      </c>
      <c r="T46" s="169">
        <f>_xll.qlCalendarAdvance(Calendar,S46,$F$1,"mf",,Trigger)</f>
        <v>42313</v>
      </c>
      <c r="U46" s="155">
        <f>_xll.qlDayCounterYearFraction(DayCounter,S46,T46,,,Trigger)</f>
        <v>0.25555555555555554</v>
      </c>
      <c r="V46" s="167">
        <f>_xll.qlInterpolationInterpolate(B3Minterpolation,S46,TRUE)</f>
        <v>1.3007666746902783E-3</v>
      </c>
      <c r="W46" s="170">
        <f>_xll.qlYieldTSDiscount(Discounting,S46,,AllTriggers)</f>
        <v>1.0002130018004083</v>
      </c>
      <c r="X46" s="170">
        <f>_xll.qlYieldTSDiscount(Discounting,T46,,AllTriggers)</f>
        <v>1.0005430435247975</v>
      </c>
      <c r="Y46" s="167">
        <f t="shared" si="2"/>
        <v>-1.2907666746902783E-3</v>
      </c>
      <c r="AD46" s="141"/>
      <c r="AE46" s="141"/>
    </row>
    <row r="47" spans="6:31" ht="11.25" customHeight="1" x14ac:dyDescent="0.2">
      <c r="F47" s="243"/>
      <c r="G47" s="243"/>
      <c r="H47" s="141"/>
      <c r="L47" s="141"/>
      <c r="M47" s="141"/>
      <c r="S47" s="169">
        <f>_xll.qlCalendarAdvance(Calendar,S46,"1D","f")</f>
        <v>42222</v>
      </c>
      <c r="T47" s="169">
        <f>_xll.qlCalendarAdvance(Calendar,S47,$F$1,"mf",,Trigger)</f>
        <v>42314</v>
      </c>
      <c r="U47" s="155">
        <f>_xll.qlDayCounterYearFraction(DayCounter,S47,T47,,,Trigger)</f>
        <v>0.25555555555555554</v>
      </c>
      <c r="V47" s="167">
        <f>_xll.qlInterpolationInterpolate(B3Minterpolation,S47,TRUE)</f>
        <v>1.3038133971713668E-3</v>
      </c>
      <c r="W47" s="170">
        <f>_xll.qlYieldTSDiscount(Discounting,S47,,AllTriggers)</f>
        <v>1.000216666616442</v>
      </c>
      <c r="X47" s="170">
        <f>_xll.qlYieldTSDiscount(Discounting,T47,,AllTriggers)</f>
        <v>1.0005467378619055</v>
      </c>
      <c r="Y47" s="167">
        <f t="shared" si="2"/>
        <v>-1.290877362892795E-3</v>
      </c>
      <c r="AD47" s="141"/>
      <c r="AE47" s="141"/>
    </row>
    <row r="48" spans="6:31" ht="11.25" customHeight="1" x14ac:dyDescent="0.2">
      <c r="F48" s="243"/>
      <c r="G48" s="243"/>
      <c r="H48" s="141"/>
      <c r="L48" s="141"/>
      <c r="M48" s="141"/>
      <c r="S48" s="169">
        <f>_xll.qlCalendarAdvance(Calendar,S47,"1D","f")</f>
        <v>42223</v>
      </c>
      <c r="T48" s="169">
        <f>_xll.qlCalendarAdvance(Calendar,S48,$F$1,"mf",,Trigger)</f>
        <v>42317</v>
      </c>
      <c r="U48" s="155">
        <f>_xll.qlDayCounterYearFraction(DayCounter,S48,T48,,,Trigger)</f>
        <v>0.26111111111111113</v>
      </c>
      <c r="V48" s="167">
        <f>_xll.qlInterpolationInterpolate(B3Minterpolation,S48,TRUE)</f>
        <v>1.3068994598458114E-3</v>
      </c>
      <c r="W48" s="170">
        <f>_xll.qlYieldTSDiscount(Discounting,S48,,AllTriggers)</f>
        <v>1.0002203314459035</v>
      </c>
      <c r="X48" s="170">
        <f>_xll.qlYieldTSDiscount(Discounting,T48,,AllTriggers)</f>
        <v>1.0005578209550734</v>
      </c>
      <c r="Y48" s="167">
        <f t="shared" si="2"/>
        <v>-1.2917924249578523E-3</v>
      </c>
      <c r="AD48" s="141"/>
      <c r="AE48" s="141"/>
    </row>
    <row r="49" spans="6:31" ht="11.25" customHeight="1" x14ac:dyDescent="0.2">
      <c r="F49" s="243"/>
      <c r="G49" s="243"/>
      <c r="H49" s="141"/>
      <c r="L49" s="141"/>
      <c r="M49" s="141"/>
      <c r="S49" s="169">
        <f>_xll.qlCalendarAdvance(Calendar,S48,"1D","f")</f>
        <v>42226</v>
      </c>
      <c r="T49" s="169">
        <f>_xll.qlCalendarAdvance(Calendar,S49,$F$1,"mf",,Trigger)</f>
        <v>42318</v>
      </c>
      <c r="U49" s="155">
        <f>_xll.qlDayCounterYearFraction(DayCounter,S49,T49,,,Trigger)</f>
        <v>0.25555555555555554</v>
      </c>
      <c r="V49" s="167">
        <f>_xll.qlInterpolationInterpolate(B3Minterpolation,S49,TRUE)</f>
        <v>1.3163033789026725E-3</v>
      </c>
      <c r="W49" s="170">
        <f>_xll.qlYieldTSDiscount(Discounting,S49,,AllTriggers)</f>
        <v>1.0002313260148568</v>
      </c>
      <c r="X49" s="170">
        <f>_xll.qlYieldTSDiscount(Discounting,T49,,AllTriggers)</f>
        <v>1.0005615153467444</v>
      </c>
      <c r="Y49" s="167">
        <f t="shared" si="2"/>
        <v>-1.2913201156720172E-3</v>
      </c>
      <c r="AD49" s="141"/>
      <c r="AE49" s="141"/>
    </row>
    <row r="50" spans="6:31" ht="11.25" customHeight="1" x14ac:dyDescent="0.2">
      <c r="F50" s="243"/>
      <c r="G50" s="243"/>
      <c r="H50" s="141"/>
      <c r="L50" s="141"/>
      <c r="M50" s="141"/>
      <c r="S50" s="169">
        <f>_xll.qlCalendarAdvance(Calendar,S49,"1D","f")</f>
        <v>42227</v>
      </c>
      <c r="T50" s="169">
        <f>_xll.qlCalendarAdvance(Calendar,S50,$F$1,"mf",,Trigger)</f>
        <v>42319</v>
      </c>
      <c r="U50" s="155">
        <f>_xll.qlDayCounterYearFraction(DayCounter,S50,T50,,,Trigger)</f>
        <v>0.25555555555555554</v>
      </c>
      <c r="V50" s="167">
        <f>_xll.qlInterpolationInterpolate(B3Minterpolation,S50,TRUE)</f>
        <v>1.3194564922239323E-3</v>
      </c>
      <c r="W50" s="170">
        <f>_xll.qlYieldTSDiscount(Discounting,S50,,AllTriggers)</f>
        <v>1.0002349908980308</v>
      </c>
      <c r="X50" s="170">
        <f>_xll.qlYieldTSDiscount(Discounting,T50,,AllTriggers)</f>
        <v>1.0005652097520563</v>
      </c>
      <c r="Y50" s="167">
        <f t="shared" si="2"/>
        <v>-1.2914308038588943E-3</v>
      </c>
      <c r="AD50" s="141"/>
      <c r="AE50" s="141"/>
    </row>
    <row r="51" spans="6:31" ht="11.25" customHeight="1" x14ac:dyDescent="0.2">
      <c r="F51" s="243"/>
      <c r="G51" s="243"/>
      <c r="H51" s="141"/>
      <c r="L51" s="141"/>
      <c r="M51" s="141"/>
      <c r="S51" s="169">
        <f>_xll.qlCalendarAdvance(Calendar,S50,"1D","f")</f>
        <v>42228</v>
      </c>
      <c r="T51" s="169">
        <f>_xll.qlCalendarAdvance(Calendar,S51,$F$1,"mf",,Trigger)</f>
        <v>42320</v>
      </c>
      <c r="U51" s="155">
        <f>_xll.qlDayCounterYearFraction(DayCounter,S51,T51,,,Trigger)</f>
        <v>0.25555555555555554</v>
      </c>
      <c r="V51" s="167">
        <f>_xll.qlInterpolationInterpolate(B3Minterpolation,S51,TRUE)</f>
        <v>1.3226037906752435E-3</v>
      </c>
      <c r="W51" s="170">
        <f>_xll.qlYieldTSDiscount(Discounting,S51,,AllTriggers)</f>
        <v>1.000238655794633</v>
      </c>
      <c r="X51" s="170">
        <f>_xll.qlYieldTSDiscount(Discounting,T51,,AllTriggers)</f>
        <v>1.0005689041710093</v>
      </c>
      <c r="Y51" s="167">
        <f t="shared" si="2"/>
        <v>-1.2915414920435992E-3</v>
      </c>
      <c r="AD51" s="141"/>
      <c r="AE51" s="141"/>
    </row>
    <row r="52" spans="6:31" ht="11.25" customHeight="1" x14ac:dyDescent="0.2">
      <c r="F52" s="243"/>
      <c r="G52" s="243"/>
      <c r="H52" s="141"/>
      <c r="L52" s="141"/>
      <c r="M52" s="141"/>
      <c r="S52" s="169">
        <f>_xll.qlCalendarAdvance(Calendar,S51,"1D","f")</f>
        <v>42229</v>
      </c>
      <c r="T52" s="169">
        <f>_xll.qlCalendarAdvance(Calendar,S52,$F$1,"mf",,Trigger)</f>
        <v>42321</v>
      </c>
      <c r="U52" s="155">
        <f>_xll.qlDayCounterYearFraction(DayCounter,S52,T52,,,Trigger)</f>
        <v>0.25555555555555554</v>
      </c>
      <c r="V52" s="167">
        <f>_xll.qlInterpolationInterpolate(B3Minterpolation,S52,TRUE)</f>
        <v>1.3257362432439451E-3</v>
      </c>
      <c r="W52" s="170">
        <f>_xll.qlYieldTSDiscount(Discounting,S52,,AllTriggers)</f>
        <v>1.0002423207046638</v>
      </c>
      <c r="X52" s="170">
        <f>_xll.qlYieldTSDiscount(Discounting,T52,,AllTriggers)</f>
        <v>1.0005725986036034</v>
      </c>
      <c r="Y52" s="167">
        <f t="shared" si="2"/>
        <v>-1.2916521802243941E-3</v>
      </c>
      <c r="AD52" s="141"/>
      <c r="AE52" s="141"/>
    </row>
    <row r="53" spans="6:31" ht="11.25" customHeight="1" x14ac:dyDescent="0.2">
      <c r="F53" s="243"/>
      <c r="G53" s="243"/>
      <c r="H53" s="141"/>
      <c r="L53" s="141"/>
      <c r="M53" s="141"/>
      <c r="S53" s="169">
        <f>_xll.qlCalendarAdvance(Calendar,S52,"1D","f")</f>
        <v>42230</v>
      </c>
      <c r="T53" s="169">
        <f>_xll.qlCalendarAdvance(Calendar,S53,$F$1,"mf",,Trigger)</f>
        <v>42324</v>
      </c>
      <c r="U53" s="155">
        <f>_xll.qlDayCounterYearFraction(DayCounter,S53,T53,,,Trigger)</f>
        <v>0.26111111111111113</v>
      </c>
      <c r="V53" s="167">
        <f>_xll.qlInterpolationInterpolate(B3Minterpolation,S53,TRUE)</f>
        <v>1.3288448189173764E-3</v>
      </c>
      <c r="W53" s="170">
        <f>_xll.qlYieldTSDiscount(Discounting,S53,,AllTriggers)</f>
        <v>1.0002459856281229</v>
      </c>
      <c r="X53" s="170">
        <f>_xll.qlYieldTSDiscount(Discounting,T53,,AllTriggers)</f>
        <v>1.0005836819832317</v>
      </c>
      <c r="Y53" s="167">
        <f t="shared" si="2"/>
        <v>-1.2925507511919996E-3</v>
      </c>
      <c r="AD53" s="141"/>
      <c r="AE53" s="141"/>
    </row>
    <row r="54" spans="6:31" ht="11.25" customHeight="1" x14ac:dyDescent="0.2">
      <c r="F54" s="243"/>
      <c r="G54" s="243"/>
      <c r="H54" s="141"/>
      <c r="L54" s="141"/>
      <c r="M54" s="141"/>
      <c r="S54" s="169">
        <f>_xll.qlCalendarAdvance(Calendar,S53,"1D","f")</f>
        <v>42233</v>
      </c>
      <c r="T54" s="169">
        <f>_xll.qlCalendarAdvance(Calendar,S54,$F$1,"mf",,Trigger)</f>
        <v>42325</v>
      </c>
      <c r="U54" s="155">
        <f>_xll.qlDayCounterYearFraction(DayCounter,S54,T54,,,Trigger)</f>
        <v>0.25555555555555554</v>
      </c>
      <c r="V54" s="167">
        <f>_xll.qlInterpolationInterpolate(B3Minterpolation,S54,TRUE)</f>
        <v>1.3379369744394385E-3</v>
      </c>
      <c r="W54" s="170">
        <f>_xll.qlYieldTSDiscount(Discounting,S54,,AllTriggers)</f>
        <v>1.0002569804790709</v>
      </c>
      <c r="X54" s="170">
        <f>_xll.qlYieldTSDiscount(Discounting,T54,,AllTriggers)</f>
        <v>1.0005873764703903</v>
      </c>
      <c r="Y54" s="167">
        <f t="shared" si="2"/>
        <v>-1.2920949329149915E-3</v>
      </c>
      <c r="AD54" s="141"/>
      <c r="AE54" s="141"/>
    </row>
    <row r="55" spans="6:31" ht="11.25" customHeight="1" x14ac:dyDescent="0.2">
      <c r="F55" s="243"/>
      <c r="G55" s="243"/>
      <c r="H55" s="141"/>
      <c r="L55" s="141"/>
      <c r="M55" s="141"/>
      <c r="S55" s="169">
        <f>_xll.qlCalendarAdvance(Calendar,S54,"1D","f")</f>
        <v>42234</v>
      </c>
      <c r="T55" s="169">
        <f>_xll.qlCalendarAdvance(Calendar,S55,$F$1,"mf",,Trigger)</f>
        <v>42326</v>
      </c>
      <c r="U55" s="155">
        <f>_xll.qlDayCounterYearFraction(DayCounter,S55,T55,,,Trigger)</f>
        <v>0.25555555555555554</v>
      </c>
      <c r="V55" s="167">
        <f>_xll.qlInterpolationInterpolate(B3Minterpolation,S55,TRUE)</f>
        <v>1.3408597324051788E-3</v>
      </c>
      <c r="W55" s="170">
        <f>_xll.qlYieldTSDiscount(Discounting,S55,,AllTriggers)</f>
        <v>1.0002606454562437</v>
      </c>
      <c r="X55" s="170">
        <f>_xll.qlYieldTSDiscount(Discounting,T55,,AllTriggers)</f>
        <v>1.00059107097119</v>
      </c>
      <c r="Y55" s="167">
        <f t="shared" si="2"/>
        <v>-1.2922056210801468E-3</v>
      </c>
      <c r="AD55" s="141"/>
      <c r="AE55" s="141"/>
    </row>
    <row r="56" spans="6:31" ht="11.25" customHeight="1" x14ac:dyDescent="0.2">
      <c r="F56" s="243"/>
      <c r="G56" s="243"/>
      <c r="H56" s="141"/>
      <c r="L56" s="141"/>
      <c r="M56" s="141"/>
      <c r="S56" s="169">
        <f>_xll.qlCalendarAdvance(Calendar,S55,"1D","f")</f>
        <v>42235</v>
      </c>
      <c r="T56" s="169">
        <f>_xll.qlCalendarAdvance(Calendar,S56,$F$1,"mf",,Trigger)</f>
        <v>42327</v>
      </c>
      <c r="U56" s="155">
        <f>_xll.qlDayCounterYearFraction(DayCounter,S56,T56,,,Trigger)</f>
        <v>0.25555555555555554</v>
      </c>
      <c r="V56" s="167">
        <f>_xll.qlInterpolationInterpolate(B3Minterpolation,S56,TRUE)</f>
        <v>1.343713458412344E-3</v>
      </c>
      <c r="W56" s="170">
        <f>_xll.qlYieldTSDiscount(Discounting,S56,,AllTriggers)</f>
        <v>1.0002643104468452</v>
      </c>
      <c r="X56" s="170">
        <f>_xll.qlYieldTSDiscount(Discounting,T56,,AllTriggers)</f>
        <v>1.0005947654856313</v>
      </c>
      <c r="Y56" s="167">
        <f t="shared" si="2"/>
        <v>-1.29231630924313E-3</v>
      </c>
      <c r="AD56" s="141"/>
      <c r="AE56" s="141"/>
    </row>
    <row r="57" spans="6:31" ht="11.25" customHeight="1" x14ac:dyDescent="0.2">
      <c r="F57" s="243"/>
      <c r="G57" s="243"/>
      <c r="H57" s="141"/>
      <c r="L57" s="141"/>
      <c r="M57" s="141"/>
      <c r="S57" s="169">
        <f>_xll.qlCalendarAdvance(Calendar,S56,"1D","f")</f>
        <v>42236</v>
      </c>
      <c r="T57" s="169">
        <f>_xll.qlCalendarAdvance(Calendar,S57,$F$1,"mf",,Trigger)</f>
        <v>42328</v>
      </c>
      <c r="U57" s="155">
        <f>_xll.qlDayCounterYearFraction(DayCounter,S57,T57,,,Trigger)</f>
        <v>0.25555555555555554</v>
      </c>
      <c r="V57" s="167">
        <f>_xll.qlInterpolationInterpolate(B3Minterpolation,S57,TRUE)</f>
        <v>1.3464891214482733E-3</v>
      </c>
      <c r="W57" s="170">
        <f>_xll.qlYieldTSDiscount(Discounting,S57,,AllTriggers)</f>
        <v>1.0002679754508754</v>
      </c>
      <c r="X57" s="170">
        <f>_xll.qlYieldTSDiscount(Discounting,T57,,AllTriggers)</f>
        <v>1.0005984600137137</v>
      </c>
      <c r="Y57" s="167">
        <f t="shared" si="2"/>
        <v>-1.2924269974013342E-3</v>
      </c>
      <c r="AD57" s="141"/>
      <c r="AE57" s="141"/>
    </row>
    <row r="58" spans="6:31" ht="11.25" customHeight="1" x14ac:dyDescent="0.2">
      <c r="F58" s="243"/>
      <c r="G58" s="243"/>
      <c r="H58" s="141"/>
      <c r="L58" s="141"/>
      <c r="M58" s="141"/>
      <c r="S58" s="169">
        <f>_xll.qlCalendarAdvance(Calendar,S57,"1D","f")</f>
        <v>42237</v>
      </c>
      <c r="T58" s="169">
        <f>_xll.qlCalendarAdvance(Calendar,S58,$F$1,"mf",,Trigger)</f>
        <v>42331</v>
      </c>
      <c r="U58" s="155">
        <f>_xll.qlDayCounterYearFraction(DayCounter,S58,T58,,,Trigger)</f>
        <v>0.26111111111111113</v>
      </c>
      <c r="V58" s="167">
        <f>_xll.qlInterpolationInterpolate(B3Minterpolation,S58,TRUE)</f>
        <v>1.3491776905003054E-3</v>
      </c>
      <c r="W58" s="170">
        <f>_xll.qlYieldTSDiscount(Discounting,S58,,AllTriggers)</f>
        <v>1.0002716404683345</v>
      </c>
      <c r="X58" s="170">
        <f>_xll.qlYieldTSDiscount(Discounting,T58,,AllTriggers)</f>
        <v>1.0006095436798099</v>
      </c>
      <c r="Y58" s="167">
        <f t="shared" si="2"/>
        <v>-1.2933090772764796E-3</v>
      </c>
      <c r="AD58" s="141"/>
      <c r="AE58" s="141"/>
    </row>
    <row r="59" spans="6:31" ht="11.25" customHeight="1" x14ac:dyDescent="0.2">
      <c r="F59" s="243"/>
      <c r="G59" s="243"/>
      <c r="H59" s="141"/>
      <c r="L59" s="141"/>
      <c r="M59" s="141"/>
      <c r="S59" s="169">
        <f>_xll.qlCalendarAdvance(Calendar,S58,"1D","f")</f>
        <v>42240</v>
      </c>
      <c r="T59" s="169">
        <f>_xll.qlCalendarAdvance(Calendar,S59,$F$1,"mf",,Trigger)</f>
        <v>42332</v>
      </c>
      <c r="U59" s="155">
        <f>_xll.qlDayCounterYearFraction(DayCounter,S59,T59,,,Trigger)</f>
        <v>0.25555555555555554</v>
      </c>
      <c r="V59" s="167">
        <f>_xll.qlInterpolationInterpolate(B3Minterpolation,S59,TRUE)</f>
        <v>1.3566305236264108E-3</v>
      </c>
      <c r="W59" s="170">
        <f>_xll.qlYieldTSDiscount(Discounting,S59,,AllTriggers)</f>
        <v>1.0002826356012839</v>
      </c>
      <c r="X59" s="170">
        <f>_xll.qlYieldTSDiscount(Discounting,T59,,AllTriggers)</f>
        <v>1.0006132382624584</v>
      </c>
      <c r="Y59" s="167">
        <f t="shared" si="2"/>
        <v>-1.292869750005479E-3</v>
      </c>
      <c r="AD59" s="141"/>
      <c r="AE59" s="141"/>
    </row>
    <row r="60" spans="6:31" ht="11.25" customHeight="1" x14ac:dyDescent="0.2">
      <c r="F60" s="243"/>
      <c r="G60" s="243"/>
      <c r="H60" s="141"/>
      <c r="L60" s="141"/>
      <c r="M60" s="141"/>
      <c r="S60" s="169">
        <f>_xll.qlCalendarAdvance(Calendar,S59,"1D","f")</f>
        <v>42241</v>
      </c>
      <c r="T60" s="169">
        <f>_xll.qlCalendarAdvance(Calendar,S60,$F$1,"mf",,Trigger)</f>
        <v>42333</v>
      </c>
      <c r="U60" s="155">
        <f>_xll.qlDayCounterYearFraction(DayCounter,S60,T60,,,Trigger)</f>
        <v>0.25555555555555554</v>
      </c>
      <c r="V60" s="167">
        <f>_xll.qlInterpolationInterpolate(B3Minterpolation,S60,TRUE)</f>
        <v>1.3588804066162459E-3</v>
      </c>
      <c r="W60" s="170">
        <f>_xll.qlYieldTSDiscount(Discounting,S60,,AllTriggers)</f>
        <v>1.0002863006724581</v>
      </c>
      <c r="X60" s="170">
        <f>_xll.qlYieldTSDiscount(Discounting,T60,,AllTriggers)</f>
        <v>1.0006169328587484</v>
      </c>
      <c r="Y60" s="167">
        <f t="shared" si="2"/>
        <v>-1.292980438148478E-3</v>
      </c>
      <c r="AD60" s="141"/>
      <c r="AE60" s="141"/>
    </row>
    <row r="61" spans="6:31" ht="11.25" customHeight="1" x14ac:dyDescent="0.2">
      <c r="F61" s="243"/>
      <c r="G61" s="243"/>
      <c r="H61" s="141"/>
      <c r="L61" s="141"/>
      <c r="M61" s="141"/>
      <c r="S61" s="169">
        <f>_xll.qlCalendarAdvance(Calendar,S60,"1D","f")</f>
        <v>42242</v>
      </c>
      <c r="T61" s="169">
        <f>_xll.qlCalendarAdvance(Calendar,S61,$F$1,"mf",,Trigger)</f>
        <v>42334</v>
      </c>
      <c r="U61" s="155">
        <f>_xll.qlDayCounterYearFraction(DayCounter,S61,T61,,,Trigger)</f>
        <v>0.25555555555555554</v>
      </c>
      <c r="V61" s="167">
        <f>_xll.qlInterpolationInterpolate(B3Minterpolation,S61,TRUE)</f>
        <v>1.3609980405588792E-3</v>
      </c>
      <c r="W61" s="170">
        <f>_xll.qlYieldTSDiscount(Discounting,S61,,AllTriggers)</f>
        <v>1.0002899657570614</v>
      </c>
      <c r="X61" s="170">
        <f>_xll.qlYieldTSDiscount(Discounting,T61,,AllTriggers)</f>
        <v>1.0006206274686802</v>
      </c>
      <c r="Y61" s="167">
        <f t="shared" si="2"/>
        <v>-1.2930911262880017E-3</v>
      </c>
      <c r="AD61" s="141"/>
      <c r="AE61" s="141"/>
    </row>
    <row r="62" spans="6:31" ht="11.25" customHeight="1" x14ac:dyDescent="0.2">
      <c r="F62" s="243"/>
      <c r="G62" s="243"/>
      <c r="H62" s="141"/>
      <c r="L62" s="141"/>
      <c r="M62" s="141"/>
      <c r="S62" s="169">
        <f>_xll.qlCalendarAdvance(Calendar,S61,"1D","f")</f>
        <v>42243</v>
      </c>
      <c r="T62" s="169">
        <f>_xll.qlCalendarAdvance(Calendar,S62,$F$1,"mf",,Trigger)</f>
        <v>42335</v>
      </c>
      <c r="U62" s="155">
        <f>_xll.qlDayCounterYearFraction(DayCounter,S62,T62,,,Trigger)</f>
        <v>0.25555555555555554</v>
      </c>
      <c r="V62" s="167">
        <f>_xll.qlInterpolationInterpolate(B3Minterpolation,S62,TRUE)</f>
        <v>1.36297439444165E-3</v>
      </c>
      <c r="W62" s="170">
        <f>_xll.qlYieldTSDiscount(Discounting,S62,,AllTriggers)</f>
        <v>1.0002936308550936</v>
      </c>
      <c r="X62" s="170">
        <f>_xll.qlYieldTSDiscount(Discounting,T62,,AllTriggers)</f>
        <v>1.0006243220922539</v>
      </c>
      <c r="Y62" s="167">
        <f t="shared" si="2"/>
        <v>-1.2932018144257876E-3</v>
      </c>
      <c r="AD62" s="141"/>
      <c r="AE62" s="141"/>
    </row>
    <row r="63" spans="6:31" ht="11.25" customHeight="1" x14ac:dyDescent="0.2">
      <c r="F63" s="243"/>
      <c r="G63" s="243"/>
      <c r="H63" s="141"/>
      <c r="L63" s="141"/>
      <c r="M63" s="141"/>
      <c r="S63" s="169">
        <f>_xll.qlCalendarAdvance(Calendar,S62,"1D","f")</f>
        <v>42244</v>
      </c>
      <c r="T63" s="169">
        <f>_xll.qlCalendarAdvance(Calendar,S63,$F$1,"mf",,Trigger)</f>
        <v>42338</v>
      </c>
      <c r="U63" s="155">
        <f>_xll.qlDayCounterYearFraction(DayCounter,S63,T63,,,Trigger)</f>
        <v>0.26111111111111113</v>
      </c>
      <c r="V63" s="167">
        <f>_xll.qlInterpolationInterpolate(B3Minterpolation,S63,TRUE)</f>
        <v>1.3648004372518972E-3</v>
      </c>
      <c r="W63" s="170">
        <f>_xll.qlYieldTSDiscount(Discounting,S63,,AllTriggers)</f>
        <v>1.000297295966555</v>
      </c>
      <c r="X63" s="170">
        <f>_xll.qlYieldTSDiscount(Discounting,T63,,AllTriggers)</f>
        <v>1.0006354060448253</v>
      </c>
      <c r="Y63" s="167">
        <f t="shared" si="2"/>
        <v>-1.2940674032100165E-3</v>
      </c>
      <c r="AD63" s="141"/>
      <c r="AE63" s="141"/>
    </row>
    <row r="64" spans="6:31" ht="11.25" customHeight="1" x14ac:dyDescent="0.2">
      <c r="F64" s="243"/>
      <c r="G64" s="243"/>
      <c r="H64" s="141"/>
      <c r="L64" s="141"/>
      <c r="M64" s="141"/>
      <c r="S64" s="169">
        <f>_xll.qlCalendarAdvance(Calendar,S63,"1D","f")</f>
        <v>42247</v>
      </c>
      <c r="T64" s="169">
        <f>_xll.qlCalendarAdvance(Calendar,S64,$F$1,"mf",,Trigger)</f>
        <v>42338</v>
      </c>
      <c r="U64" s="155">
        <f>_xll.qlDayCounterYearFraction(DayCounter,S64,T64,,,Trigger)</f>
        <v>0.25277777777777777</v>
      </c>
      <c r="V64" s="167">
        <f>_xll.qlInterpolationInterpolate(B3Minterpolation,S64,TRUE)</f>
        <v>1.3692863891208887E-3</v>
      </c>
      <c r="W64" s="170">
        <f>_xll.qlYieldTSDiscount(Discounting,S64,,AllTriggers)</f>
        <v>1.0003082913815136</v>
      </c>
      <c r="X64" s="170">
        <f>_xll.qlYieldTSDiscount(Discounting,T64,,AllTriggers)</f>
        <v>1.0006354060448253</v>
      </c>
      <c r="Y64" s="167">
        <f t="shared" si="2"/>
        <v>-1.293258242622757E-3</v>
      </c>
      <c r="AD64" s="141"/>
      <c r="AE64" s="141"/>
    </row>
    <row r="65" spans="6:31" ht="11.25" customHeight="1" x14ac:dyDescent="0.2">
      <c r="F65" s="243"/>
      <c r="G65" s="243"/>
      <c r="H65" s="141"/>
      <c r="L65" s="141"/>
      <c r="M65" s="141"/>
      <c r="S65" s="169">
        <f>_xll.qlCalendarAdvance(Calendar,S64,"1D","f")</f>
        <v>42248</v>
      </c>
      <c r="T65" s="169">
        <f>_xll.qlCalendarAdvance(Calendar,S65,$F$1,"mf",,Trigger)</f>
        <v>42339</v>
      </c>
      <c r="U65" s="155">
        <f>_xll.qlDayCounterYearFraction(DayCounter,S65,T65,,,Trigger)</f>
        <v>0.25277777777777777</v>
      </c>
      <c r="V65" s="167">
        <f>_xll.qlInterpolationInterpolate(B3Minterpolation,S65,TRUE)</f>
        <v>1.3704208775144324E-3</v>
      </c>
      <c r="W65" s="170">
        <f>_xll.qlYieldTSDiscount(Discounting,S65,,AllTriggers)</f>
        <v>1.0003119565466914</v>
      </c>
      <c r="X65" s="170">
        <f>_xll.qlYieldTSDiscount(Discounting,T65,,AllTriggers)</f>
        <v>1.0006342976552827</v>
      </c>
      <c r="Y65" s="167">
        <f t="shared" si="2"/>
        <v>-1.2743872535801407E-3</v>
      </c>
      <c r="AD65" s="141"/>
      <c r="AE65" s="141"/>
    </row>
    <row r="66" spans="6:31" ht="11.25" customHeight="1" x14ac:dyDescent="0.2">
      <c r="F66" s="243"/>
      <c r="G66" s="243"/>
      <c r="H66" s="141"/>
      <c r="L66" s="141"/>
      <c r="M66" s="141"/>
      <c r="S66" s="169">
        <f>_xll.qlCalendarAdvance(Calendar,S65,"1D","f")</f>
        <v>42249</v>
      </c>
      <c r="T66" s="169">
        <f>_xll.qlCalendarAdvance(Calendar,S66,$F$1,"mf",,Trigger)</f>
        <v>42340</v>
      </c>
      <c r="U66" s="155">
        <f>_xll.qlDayCounterYearFraction(DayCounter,S66,T66,,,Trigger)</f>
        <v>0.25277777777777777</v>
      </c>
      <c r="V66" s="167">
        <f>_xll.qlInterpolationInterpolate(B3Minterpolation,S66,TRUE)</f>
        <v>1.371359899772148E-3</v>
      </c>
      <c r="W66" s="170">
        <f>_xll.qlYieldTSDiscount(Discounting,S66,,AllTriggers)</f>
        <v>1.0003156217252986</v>
      </c>
      <c r="X66" s="170">
        <f>_xll.qlYieldTSDiscount(Discounting,T66,,AllTriggers)</f>
        <v>1.0006379923293309</v>
      </c>
      <c r="Y66" s="167">
        <f t="shared" si="2"/>
        <v>-1.2744991590008946E-3</v>
      </c>
      <c r="AD66" s="141"/>
      <c r="AE66" s="141"/>
    </row>
    <row r="67" spans="6:31" ht="11.25" customHeight="1" x14ac:dyDescent="0.2">
      <c r="F67" s="243"/>
      <c r="G67" s="243"/>
      <c r="H67" s="141"/>
      <c r="L67" s="141"/>
      <c r="M67" s="141"/>
      <c r="S67" s="169">
        <f>_xll.qlCalendarAdvance(Calendar,S66,"1D","f")</f>
        <v>42250</v>
      </c>
      <c r="T67" s="169">
        <f>_xll.qlCalendarAdvance(Calendar,S67,$F$1,"mf",,Trigger)</f>
        <v>42341</v>
      </c>
      <c r="U67" s="155">
        <f>_xll.qlDayCounterYearFraction(DayCounter,S67,T67,,,Trigger)</f>
        <v>0.25277777777777777</v>
      </c>
      <c r="V67" s="167">
        <f>_xll.qlInterpolationInterpolate(B3Minterpolation,S67,TRUE)</f>
        <v>1.3720944248813746E-3</v>
      </c>
      <c r="W67" s="170">
        <f>_xll.qlYieldTSDiscount(Discounting,S67,,AllTriggers)</f>
        <v>1.0003192869173352</v>
      </c>
      <c r="X67" s="170">
        <f>_xll.qlYieldTSDiscount(Discounting,T67,,AllTriggers)</f>
        <v>1.0006416870170214</v>
      </c>
      <c r="Y67" s="167">
        <f t="shared" si="2"/>
        <v>-1.2746110644198919E-3</v>
      </c>
      <c r="AD67" s="141"/>
      <c r="AE67" s="141"/>
    </row>
    <row r="68" spans="6:31" ht="11.25" customHeight="1" x14ac:dyDescent="0.2">
      <c r="F68" s="243"/>
      <c r="G68" s="243"/>
      <c r="H68" s="141"/>
      <c r="L68" s="141"/>
      <c r="M68" s="141"/>
      <c r="S68" s="169">
        <f>_xll.qlCalendarAdvance(Calendar,S67,"1D","f")</f>
        <v>42251</v>
      </c>
      <c r="T68" s="169">
        <f>_xll.qlCalendarAdvance(Calendar,S68,$F$1,"mf",,Trigger)</f>
        <v>42342</v>
      </c>
      <c r="U68" s="155">
        <f>_xll.qlDayCounterYearFraction(DayCounter,S68,T68,,,Trigger)</f>
        <v>0.25277777777777777</v>
      </c>
      <c r="V68" s="167">
        <f>_xll.qlInterpolationInterpolate(B3Minterpolation,S68,TRUE)</f>
        <v>1.3726154218294509E-3</v>
      </c>
      <c r="W68" s="170">
        <f>_xll.qlYieldTSDiscount(Discounting,S68,,AllTriggers)</f>
        <v>1.0003229521228012</v>
      </c>
      <c r="X68" s="170">
        <f>_xll.qlYieldTSDiscount(Discounting,T68,,AllTriggers)</f>
        <v>1.0006453817183538</v>
      </c>
      <c r="Y68" s="167">
        <f t="shared" ref="Y68:Y131" si="15">(W68/X68-1)/U68</f>
        <v>-1.2747229698349364E-3</v>
      </c>
      <c r="AD68" s="141"/>
      <c r="AE68" s="141"/>
    </row>
    <row r="69" spans="6:31" ht="11.25" customHeight="1" x14ac:dyDescent="0.2">
      <c r="F69" s="243"/>
      <c r="G69" s="243"/>
      <c r="H69" s="141"/>
      <c r="L69" s="141"/>
      <c r="M69" s="141"/>
      <c r="S69" s="169">
        <f>_xll.qlCalendarAdvance(Calendar,S68,"1D","f")</f>
        <v>42254</v>
      </c>
      <c r="T69" s="169">
        <f>_xll.qlCalendarAdvance(Calendar,S69,$F$1,"mf",,Trigger)</f>
        <v>42345</v>
      </c>
      <c r="U69" s="155">
        <f>_xll.qlDayCounterYearFraction(DayCounter,S69,T69,,,Trigger)</f>
        <v>0.25277777777777777</v>
      </c>
      <c r="V69" s="167">
        <f>_xll.qlInterpolationInterpolate(B3Minterpolation,S69,TRUE)</f>
        <v>1.3728069335801705E-3</v>
      </c>
      <c r="W69" s="170">
        <f>_xll.qlYieldTSDiscount(Discounting,S69,,AllTriggers)</f>
        <v>1.0003339478197761</v>
      </c>
      <c r="X69" s="170">
        <f>_xll.qlYieldTSDiscount(Discounting,T69,,AllTriggers)</f>
        <v>1.0006564659042034</v>
      </c>
      <c r="Y69" s="167">
        <f t="shared" si="15"/>
        <v>-1.2750586860603048E-3</v>
      </c>
      <c r="AD69" s="141"/>
      <c r="AE69" s="141"/>
    </row>
    <row r="70" spans="6:31" ht="11.25" customHeight="1" x14ac:dyDescent="0.2">
      <c r="F70" s="243"/>
      <c r="G70" s="243"/>
      <c r="H70" s="141"/>
      <c r="L70" s="141"/>
      <c r="M70" s="141"/>
      <c r="S70" s="169">
        <f>_xll.qlCalendarAdvance(Calendar,S69,"1D","f")</f>
        <v>42255</v>
      </c>
      <c r="T70" s="169">
        <f>_xll.qlCalendarAdvance(Calendar,S70,$F$1,"mf",,Trigger)</f>
        <v>42346</v>
      </c>
      <c r="U70" s="155">
        <f>_xll.qlDayCounterYearFraction(DayCounter,S70,T70,,,Trigger)</f>
        <v>0.25277777777777777</v>
      </c>
      <c r="V70" s="167">
        <f>_xll.qlInterpolationInterpolate(B3Minterpolation,S70,TRUE)</f>
        <v>1.3723835077570374E-3</v>
      </c>
      <c r="W70" s="170">
        <f>_xll.qlYieldTSDiscount(Discounting,S70,,AllTriggers)</f>
        <v>1.0003376130789601</v>
      </c>
      <c r="X70" s="170">
        <f>_xll.qlYieldTSDiscount(Discounting,T70,,AllTriggers)</f>
        <v>1.0006601606601042</v>
      </c>
      <c r="Y70" s="167">
        <f t="shared" si="15"/>
        <v>-1.2751705914626121E-3</v>
      </c>
      <c r="AD70" s="141"/>
      <c r="AE70" s="141"/>
    </row>
    <row r="71" spans="6:31" ht="11.25" customHeight="1" x14ac:dyDescent="0.2">
      <c r="F71" s="243"/>
      <c r="G71" s="243"/>
      <c r="H71" s="141"/>
      <c r="L71" s="141"/>
      <c r="M71" s="141"/>
      <c r="S71" s="169">
        <f>_xll.qlCalendarAdvance(Calendar,S70,"1D","f")</f>
        <v>42256</v>
      </c>
      <c r="T71" s="169">
        <f>_xll.qlCalendarAdvance(Calendar,S71,$F$1,"mf",,Trigger)</f>
        <v>42347</v>
      </c>
      <c r="U71" s="155">
        <f>_xll.qlDayCounterYearFraction(DayCounter,S71,T71,,,Trigger)</f>
        <v>0.25277777777777777</v>
      </c>
      <c r="V71" s="167">
        <f>_xll.qlInterpolationInterpolate(B3Minterpolation,S71,TRUE)</f>
        <v>1.3717013987094495E-3</v>
      </c>
      <c r="W71" s="170">
        <f>_xll.qlYieldTSDiscount(Discounting,S71,,AllTriggers)</f>
        <v>1.0003412783515739</v>
      </c>
      <c r="X71" s="170">
        <f>_xll.qlYieldTSDiscount(Discounting,T71,,AllTriggers)</f>
        <v>1.0006638554296474</v>
      </c>
      <c r="Y71" s="167">
        <f t="shared" si="15"/>
        <v>-1.2752824968609666E-3</v>
      </c>
      <c r="AD71" s="141"/>
      <c r="AE71" s="141"/>
    </row>
    <row r="72" spans="6:31" ht="11.25" customHeight="1" x14ac:dyDescent="0.2">
      <c r="F72" s="243"/>
      <c r="G72" s="243"/>
      <c r="H72" s="141"/>
      <c r="L72" s="141"/>
      <c r="M72" s="141"/>
      <c r="S72" s="169">
        <f>_xll.qlCalendarAdvance(Calendar,S71,"1D","f")</f>
        <v>42257</v>
      </c>
      <c r="T72" s="169">
        <f>_xll.qlCalendarAdvance(Calendar,S72,$F$1,"mf",,Trigger)</f>
        <v>42348</v>
      </c>
      <c r="U72" s="155">
        <f>_xll.qlDayCounterYearFraction(DayCounter,S72,T72,,,Trigger)</f>
        <v>0.25277777777777777</v>
      </c>
      <c r="V72" s="167">
        <f>_xll.qlInterpolationInterpolate(B3Minterpolation,S72,TRUE)</f>
        <v>1.370751575424746E-3</v>
      </c>
      <c r="W72" s="170">
        <f>_xll.qlYieldTSDiscount(Discounting,S72,,AllTriggers)</f>
        <v>1.0003448558519819</v>
      </c>
      <c r="X72" s="170">
        <f>_xll.qlYieldTSDiscount(Discounting,T72,,AllTriggers)</f>
        <v>1.000667746479855</v>
      </c>
      <c r="Y72" s="167">
        <f t="shared" si="15"/>
        <v>-1.276517127042793E-3</v>
      </c>
      <c r="AD72" s="141"/>
      <c r="AE72" s="141"/>
    </row>
    <row r="73" spans="6:31" ht="11.25" customHeight="1" x14ac:dyDescent="0.2">
      <c r="F73" s="243"/>
      <c r="G73" s="243"/>
      <c r="H73" s="141"/>
      <c r="L73" s="141"/>
      <c r="M73" s="141"/>
      <c r="S73" s="169">
        <f>_xll.qlCalendarAdvance(Calendar,S72,"1D","f")</f>
        <v>42258</v>
      </c>
      <c r="T73" s="169">
        <f>_xll.qlCalendarAdvance(Calendar,S73,$F$1,"mf",,Trigger)</f>
        <v>42349</v>
      </c>
      <c r="U73" s="155">
        <f>_xll.qlDayCounterYearFraction(DayCounter,S73,T73,,,Trigger)</f>
        <v>0.25277777777777777</v>
      </c>
      <c r="V73" s="167">
        <f>_xll.qlInterpolationInterpolate(B3Minterpolation,S73,TRUE)</f>
        <v>1.3695250068902656E-3</v>
      </c>
      <c r="W73" s="170">
        <f>_xll.qlYieldTSDiscount(Discounting,S73,,AllTriggers)</f>
        <v>1.0003484333651842</v>
      </c>
      <c r="X73" s="170">
        <f>_xll.qlYieldTSDiscount(Discounting,T73,,AllTriggers)</f>
        <v>1.0006716375451925</v>
      </c>
      <c r="Y73" s="167">
        <f t="shared" si="15"/>
        <v>-1.2777517568367976E-3</v>
      </c>
      <c r="AD73" s="141"/>
      <c r="AE73" s="141"/>
    </row>
    <row r="74" spans="6:31" ht="11.25" customHeight="1" x14ac:dyDescent="0.2">
      <c r="F74" s="243"/>
      <c r="G74" s="243"/>
      <c r="H74" s="141"/>
      <c r="L74" s="141"/>
      <c r="M74" s="141"/>
      <c r="S74" s="169">
        <f>_xll.qlCalendarAdvance(Calendar,S73,"1D","f")</f>
        <v>42261</v>
      </c>
      <c r="T74" s="169">
        <f>_xll.qlCalendarAdvance(Calendar,S74,$F$1,"mf",,Trigger)</f>
        <v>42352</v>
      </c>
      <c r="U74" s="155">
        <f>_xll.qlDayCounterYearFraction(DayCounter,S74,T74,,,Trigger)</f>
        <v>0.25277777777777777</v>
      </c>
      <c r="V74" s="167">
        <f>_xll.qlInterpolationInterpolate(B3Minterpolation,S74,TRUE)</f>
        <v>1.3640945196615561E-3</v>
      </c>
      <c r="W74" s="170">
        <f>_xll.qlYieldTSDiscount(Discounting,S74,,AllTriggers)</f>
        <v>1.0003591659815563</v>
      </c>
      <c r="X74" s="170">
        <f>_xll.qlYieldTSDiscount(Discounting,T74,,AllTriggers)</f>
        <v>1.000683310831987</v>
      </c>
      <c r="Y74" s="167">
        <f t="shared" si="15"/>
        <v>-1.2814556439072538E-3</v>
      </c>
      <c r="AD74" s="141"/>
      <c r="AE74" s="141"/>
    </row>
    <row r="75" spans="6:31" ht="11.25" customHeight="1" x14ac:dyDescent="0.2">
      <c r="F75" s="243"/>
      <c r="G75" s="243"/>
      <c r="H75" s="141"/>
      <c r="L75" s="141"/>
      <c r="M75" s="141"/>
      <c r="S75" s="169">
        <f>_xll.qlCalendarAdvance(Calendar,S74,"1D","f")</f>
        <v>42262</v>
      </c>
      <c r="T75" s="169">
        <f>_xll.qlCalendarAdvance(Calendar,S75,$F$1,"mf",,Trigger)</f>
        <v>42353</v>
      </c>
      <c r="U75" s="155">
        <f>_xll.qlDayCounterYearFraction(DayCounter,S75,T75,,,Trigger)</f>
        <v>0.25277777777777777</v>
      </c>
      <c r="V75" s="167">
        <f>_xll.qlInterpolationInterpolate(B3Minterpolation,S75,TRUE)</f>
        <v>1.3616706600013601E-3</v>
      </c>
      <c r="W75" s="170">
        <f>_xll.qlYieldTSDiscount(Discounting,S75,,AllTriggers)</f>
        <v>1.0003627435459355</v>
      </c>
      <c r="X75" s="170">
        <f>_xll.qlYieldTSDiscount(Discounting,T75,,AllTriggers)</f>
        <v>1.0006872019578461</v>
      </c>
      <c r="Y75" s="167">
        <f t="shared" si="15"/>
        <v>-1.2826902721605131E-3</v>
      </c>
      <c r="AD75" s="141"/>
      <c r="AE75" s="141"/>
    </row>
    <row r="76" spans="6:31" ht="11.25" customHeight="1" x14ac:dyDescent="0.2">
      <c r="F76" s="243"/>
      <c r="G76" s="243"/>
      <c r="H76" s="141"/>
      <c r="L76" s="141"/>
      <c r="M76" s="141"/>
      <c r="S76" s="169">
        <f>_xll.qlCalendarAdvance(Calendar,S75,"1D","f")</f>
        <v>42263</v>
      </c>
      <c r="T76" s="169">
        <f>_xll.qlCalendarAdvance(Calendar,S76,$F$1,"mf",,Trigger)</f>
        <v>42354</v>
      </c>
      <c r="U76" s="155">
        <f>_xll.qlDayCounterYearFraction(DayCounter,S76,T76,,,Trigger)</f>
        <v>0.25277777777777777</v>
      </c>
      <c r="V76" s="167">
        <f>_xll.qlInterpolationInterpolate(B3Minterpolation,S76,TRUE)</f>
        <v>1.3589249000280827E-3</v>
      </c>
      <c r="W76" s="170">
        <f>_xll.qlYieldTSDiscount(Discounting,S76,,AllTriggers)</f>
        <v>1.0003663211231091</v>
      </c>
      <c r="X76" s="170">
        <f>_xll.qlYieldTSDiscount(Discounting,T76,,AllTriggers)</f>
        <v>1.0006910930988357</v>
      </c>
      <c r="Y76" s="167">
        <f t="shared" si="15"/>
        <v>-1.2839249000281465E-3</v>
      </c>
      <c r="AD76" s="141"/>
      <c r="AE76" s="141"/>
    </row>
    <row r="77" spans="6:31" ht="11.25" customHeight="1" x14ac:dyDescent="0.2">
      <c r="F77" s="243"/>
      <c r="G77" s="243"/>
      <c r="H77" s="141"/>
      <c r="L77" s="141"/>
      <c r="M77" s="141"/>
      <c r="S77" s="169">
        <f>_xll.qlCalendarAdvance(Calendar,S76,"1D","f")</f>
        <v>42264</v>
      </c>
      <c r="T77" s="169">
        <f>_xll.qlCalendarAdvance(Calendar,S77,$F$1,"mf",,Trigger)</f>
        <v>42355</v>
      </c>
      <c r="U77" s="155">
        <f>_xll.qlDayCounterYearFraction(DayCounter,S77,T77,,,Trigger)</f>
        <v>0.25277777777777777</v>
      </c>
      <c r="V77" s="167">
        <f>_xll.qlInterpolationInterpolate(B3Minterpolation,S77,TRUE)</f>
        <v>1.355856095335425E-3</v>
      </c>
      <c r="W77" s="170">
        <f>_xll.qlYieldTSDiscount(Discounting,S77,,AllTriggers)</f>
        <v>1.0003698987130774</v>
      </c>
      <c r="X77" s="170">
        <f>_xll.qlYieldTSDiscount(Discounting,T77,,AllTriggers)</f>
        <v>1.000694984254956</v>
      </c>
      <c r="Y77" s="167">
        <f t="shared" si="15"/>
        <v>-1.285159527509276E-3</v>
      </c>
      <c r="AD77" s="141"/>
      <c r="AE77" s="141"/>
    </row>
    <row r="78" spans="6:31" ht="11.25" customHeight="1" x14ac:dyDescent="0.2">
      <c r="F78" s="243"/>
      <c r="G78" s="243"/>
      <c r="H78" s="141"/>
      <c r="L78" s="141"/>
      <c r="M78" s="141"/>
      <c r="S78" s="169">
        <f>_xll.qlCalendarAdvance(Calendar,S77,"1D","f")</f>
        <v>42265</v>
      </c>
      <c r="T78" s="169">
        <f>_xll.qlCalendarAdvance(Calendar,S78,$F$1,"mf",,Trigger)</f>
        <v>42356</v>
      </c>
      <c r="U78" s="155">
        <f>_xll.qlDayCounterYearFraction(DayCounter,S78,T78,,,Trigger)</f>
        <v>0.25277777777777777</v>
      </c>
      <c r="V78" s="167">
        <f>_xll.qlInterpolationInterpolate(B3Minterpolation,S78,TRUE)</f>
        <v>1.3524946479425354E-3</v>
      </c>
      <c r="W78" s="170">
        <f>_xll.qlYieldTSDiscount(Discounting,S78,,AllTriggers)</f>
        <v>1.0003734763158396</v>
      </c>
      <c r="X78" s="170">
        <f>_xll.qlYieldTSDiscount(Discounting,T78,,AllTriggers)</f>
        <v>1.0006988754262067</v>
      </c>
      <c r="Y78" s="167">
        <f t="shared" si="15"/>
        <v>-1.2863941546069758E-3</v>
      </c>
      <c r="AD78" s="141"/>
      <c r="AE78" s="141"/>
    </row>
    <row r="79" spans="6:31" ht="11.25" customHeight="1" x14ac:dyDescent="0.2">
      <c r="F79" s="243"/>
      <c r="G79" s="243"/>
      <c r="H79" s="141"/>
      <c r="L79" s="141"/>
      <c r="M79" s="141"/>
      <c r="S79" s="169">
        <f>_xll.qlCalendarAdvance(Calendar,S78,"1D","f")</f>
        <v>42268</v>
      </c>
      <c r="T79" s="169">
        <f>_xll.qlCalendarAdvance(Calendar,S79,$F$1,"mf",,Trigger)</f>
        <v>42359</v>
      </c>
      <c r="U79" s="155">
        <f>_xll.qlDayCounterYearFraction(DayCounter,S79,T79,,,Trigger)</f>
        <v>0.25277777777777777</v>
      </c>
      <c r="V79" s="167">
        <f>_xll.qlInterpolationInterpolate(B3Minterpolation,S79,TRUE)</f>
        <v>1.3410373358175795E-3</v>
      </c>
      <c r="W79" s="170">
        <f>_xll.qlYieldTSDiscount(Discounting,S79,,AllTriggers)</f>
        <v>1.0003842092008945</v>
      </c>
      <c r="X79" s="170">
        <f>_xll.qlYieldTSDiscount(Discounting,T79,,AllTriggers)</f>
        <v>1.0007105490307435</v>
      </c>
      <c r="Y79" s="167">
        <f t="shared" si="15"/>
        <v>-1.2900980335832475E-3</v>
      </c>
      <c r="AD79" s="141"/>
      <c r="AE79" s="141"/>
    </row>
    <row r="80" spans="6:31" ht="11.25" customHeight="1" x14ac:dyDescent="0.2">
      <c r="F80" s="243"/>
      <c r="G80" s="243"/>
      <c r="H80" s="141"/>
      <c r="L80" s="141"/>
      <c r="M80" s="141"/>
      <c r="S80" s="169">
        <f>_xll.qlCalendarAdvance(Calendar,S79,"1D","f")</f>
        <v>42269</v>
      </c>
      <c r="T80" s="169">
        <f>_xll.qlCalendarAdvance(Calendar,S80,$F$1,"mf",,Trigger)</f>
        <v>42360</v>
      </c>
      <c r="U80" s="155">
        <f>_xll.qlDayCounterYearFraction(DayCounter,S80,T80,,,Trigger)</f>
        <v>0.25277777777777777</v>
      </c>
      <c r="V80" s="167">
        <f>_xll.qlInterpolationInterpolate(B3Minterpolation,S80,TRUE)</f>
        <v>1.3368882038788661E-3</v>
      </c>
      <c r="W80" s="170">
        <f>_xll.qlYieldTSDiscount(Discounting,S80,,AllTriggers)</f>
        <v>1.0003877868548352</v>
      </c>
      <c r="X80" s="170">
        <f>_xll.qlYieldTSDiscount(Discounting,T80,,AllTriggers)</f>
        <v>1.0007144402625174</v>
      </c>
      <c r="Y80" s="167">
        <f t="shared" si="15"/>
        <v>-1.2913326591384451E-3</v>
      </c>
      <c r="AD80" s="141"/>
      <c r="AE80" s="141"/>
    </row>
    <row r="81" spans="6:31" ht="11.25" customHeight="1" x14ac:dyDescent="0.2">
      <c r="F81" s="243"/>
      <c r="G81" s="243"/>
      <c r="H81" s="141"/>
      <c r="L81" s="141"/>
      <c r="M81" s="141"/>
      <c r="S81" s="169">
        <f>_xll.qlCalendarAdvance(Calendar,S80,"1D","f")</f>
        <v>42270</v>
      </c>
      <c r="T81" s="169">
        <f>_xll.qlCalendarAdvance(Calendar,S81,$F$1,"mf",,Trigger)</f>
        <v>42361</v>
      </c>
      <c r="U81" s="155">
        <f>_xll.qlDayCounterYearFraction(DayCounter,S81,T81,,,Trigger)</f>
        <v>0.25277777777777777</v>
      </c>
      <c r="V81" s="167">
        <f>_xll.qlInterpolationInterpolate(B3Minterpolation,S81,TRUE)</f>
        <v>1.3326378723674728E-3</v>
      </c>
      <c r="W81" s="170">
        <f>_xll.qlYieldTSDiscount(Discounting,S81,,AllTriggers)</f>
        <v>1.000391364521571</v>
      </c>
      <c r="X81" s="170">
        <f>_xll.qlYieldTSDiscount(Discounting,T81,,AllTriggers)</f>
        <v>1.0007183315094224</v>
      </c>
      <c r="Y81" s="167">
        <f t="shared" si="15"/>
        <v>-1.2925672843071385E-3</v>
      </c>
      <c r="AD81" s="141"/>
      <c r="AE81" s="141"/>
    </row>
    <row r="82" spans="6:31" ht="11.25" customHeight="1" x14ac:dyDescent="0.2">
      <c r="F82" s="243"/>
      <c r="G82" s="243"/>
      <c r="H82" s="141"/>
      <c r="L82" s="141"/>
      <c r="M82" s="141"/>
      <c r="S82" s="169">
        <f>_xll.qlCalendarAdvance(Calendar,S81,"1D","f")</f>
        <v>42271</v>
      </c>
      <c r="T82" s="169">
        <f>_xll.qlCalendarAdvance(Calendar,S82,$F$1,"mf",,Trigger)</f>
        <v>42362</v>
      </c>
      <c r="U82" s="155">
        <f>_xll.qlDayCounterYearFraction(DayCounter,S82,T82,,,Trigger)</f>
        <v>0.25277777777777777</v>
      </c>
      <c r="V82" s="167">
        <f>_xll.qlInterpolationInterpolate(B3Minterpolation,S82,TRUE)</f>
        <v>1.3283246299089096E-3</v>
      </c>
      <c r="W82" s="170">
        <f>_xll.qlYieldTSDiscount(Discounting,S82,,AllTriggers)</f>
        <v>1.0003949422011011</v>
      </c>
      <c r="X82" s="170">
        <f>_xll.qlYieldTSDiscount(Discounting,T82,,AllTriggers)</f>
        <v>1.0007222227714583</v>
      </c>
      <c r="Y82" s="167">
        <f t="shared" si="15"/>
        <v>-1.2938019090915241E-3</v>
      </c>
      <c r="AD82" s="141"/>
      <c r="AE82" s="141"/>
    </row>
    <row r="83" spans="6:31" ht="11.25" customHeight="1" x14ac:dyDescent="0.2">
      <c r="F83" s="243"/>
      <c r="G83" s="243"/>
      <c r="H83" s="141"/>
      <c r="L83" s="141"/>
      <c r="M83" s="141"/>
      <c r="S83" s="169">
        <f>_xll.qlCalendarAdvance(Calendar,S82,"1D","f")</f>
        <v>42272</v>
      </c>
      <c r="T83" s="169">
        <f>_xll.qlCalendarAdvance(Calendar,S83,$F$1,"mf",,Trigger)</f>
        <v>42366</v>
      </c>
      <c r="U83" s="155">
        <f>_xll.qlDayCounterYearFraction(DayCounter,S83,T83,,,Trigger)</f>
        <v>0.26111111111111113</v>
      </c>
      <c r="V83" s="167">
        <f>_xll.qlInterpolationInterpolate(B3Minterpolation,S83,TRUE)</f>
        <v>1.3239867651286873E-3</v>
      </c>
      <c r="W83" s="170">
        <f>_xll.qlYieldTSDiscount(Discounting,S83,,AllTriggers)</f>
        <v>1.000398519893426</v>
      </c>
      <c r="X83" s="170">
        <f>_xll.qlYieldTSDiscount(Discounting,T83,,AllTriggers)</f>
        <v>1.000737787970913</v>
      </c>
      <c r="Y83" s="167">
        <f t="shared" si="15"/>
        <v>-1.2983666327942684E-3</v>
      </c>
      <c r="AD83" s="141"/>
      <c r="AE83" s="141"/>
    </row>
    <row r="84" spans="6:31" ht="11.25" customHeight="1" x14ac:dyDescent="0.2">
      <c r="F84" s="243"/>
      <c r="G84" s="243"/>
      <c r="H84" s="141"/>
      <c r="L84" s="141"/>
      <c r="M84" s="141"/>
      <c r="S84" s="169">
        <f>_xll.qlCalendarAdvance(Calendar,S83,"1D","f")</f>
        <v>42275</v>
      </c>
      <c r="T84" s="169">
        <f>_xll.qlCalendarAdvance(Calendar,S84,$F$1,"mf",,Trigger)</f>
        <v>42366</v>
      </c>
      <c r="U84" s="155">
        <f>_xll.qlDayCounterYearFraction(DayCounter,S84,T84,,,Trigger)</f>
        <v>0.25277777777777777</v>
      </c>
      <c r="V84" s="167">
        <f>_xll.qlInterpolationInterpolate(B3Minterpolation,S84,TRUE)</f>
        <v>1.3112083231131679E-3</v>
      </c>
      <c r="W84" s="170">
        <f>_xll.qlYieldTSDiscount(Discounting,S84,,AllTriggers)</f>
        <v>1.0004092530471704</v>
      </c>
      <c r="X84" s="170">
        <f>_xll.qlYieldTSDiscount(Discounting,T84,,AllTriggers)</f>
        <v>1.000737787970913</v>
      </c>
      <c r="Y84" s="167">
        <f t="shared" si="15"/>
        <v>-1.2987404043732496E-3</v>
      </c>
      <c r="AD84" s="141"/>
      <c r="AE84" s="141"/>
    </row>
    <row r="85" spans="6:31" ht="11.25" customHeight="1" x14ac:dyDescent="0.2">
      <c r="F85" s="243"/>
      <c r="G85" s="243"/>
      <c r="H85" s="141"/>
      <c r="L85" s="141"/>
      <c r="M85" s="141"/>
      <c r="S85" s="169">
        <f>_xll.qlCalendarAdvance(Calendar,S84,"1D","f")</f>
        <v>42276</v>
      </c>
      <c r="T85" s="169">
        <f>_xll.qlCalendarAdvance(Calendar,S85,$F$1,"mf",,Trigger)</f>
        <v>42367</v>
      </c>
      <c r="U85" s="155">
        <f>_xll.qlDayCounterYearFraction(DayCounter,S85,T85,,,Trigger)</f>
        <v>0.25277777777777777</v>
      </c>
      <c r="V85" s="167">
        <f>_xll.qlInterpolationInterpolate(B3Minterpolation,S85,TRUE)</f>
        <v>1.307154855301412E-3</v>
      </c>
      <c r="W85" s="170">
        <f>_xll.qlYieldTSDiscount(Discounting,S85,,AllTriggers)</f>
        <v>1.000412830790675</v>
      </c>
      <c r="X85" s="170">
        <f>_xll.qlYieldTSDiscount(Discounting,T85,,AllTriggers)</f>
        <v>1.0007416793086048</v>
      </c>
      <c r="Y85" s="167">
        <f t="shared" si="15"/>
        <v>-1.2999750272308247E-3</v>
      </c>
      <c r="AD85" s="141"/>
      <c r="AE85" s="141"/>
    </row>
    <row r="86" spans="6:31" ht="11.25" customHeight="1" x14ac:dyDescent="0.2">
      <c r="F86" s="243"/>
      <c r="G86" s="243"/>
      <c r="H86" s="141"/>
      <c r="L86" s="141"/>
      <c r="M86" s="141"/>
      <c r="S86" s="169">
        <f>_xll.qlCalendarAdvance(Calendar,S85,"1D","f")</f>
        <v>42277</v>
      </c>
      <c r="T86" s="169">
        <f>_xll.qlCalendarAdvance(Calendar,S86,$F$1,"mf",,Trigger)</f>
        <v>42368</v>
      </c>
      <c r="U86" s="155">
        <f>_xll.qlDayCounterYearFraction(DayCounter,S86,T86,,,Trigger)</f>
        <v>0.25277777777777777</v>
      </c>
      <c r="V86" s="167">
        <f>_xll.qlInterpolationInterpolate(B3Minterpolation,S86,TRUE)</f>
        <v>1.3032682082955483E-3</v>
      </c>
      <c r="W86" s="170">
        <f>_xll.qlYieldTSDiscount(Discounting,S86,,AllTriggers)</f>
        <v>1.0004164085469747</v>
      </c>
      <c r="X86" s="170">
        <f>_xll.qlYieldTSDiscount(Discounting,T86,,AllTriggers)</f>
        <v>1.0007455706614277</v>
      </c>
      <c r="Y86" s="167">
        <f t="shared" si="15"/>
        <v>-1.3012096497014567E-3</v>
      </c>
      <c r="AD86" s="141"/>
      <c r="AE86" s="141"/>
    </row>
    <row r="87" spans="6:31" ht="11.25" customHeight="1" x14ac:dyDescent="0.2">
      <c r="F87" s="243"/>
      <c r="G87" s="243"/>
      <c r="H87" s="141"/>
      <c r="L87" s="141"/>
      <c r="M87" s="141"/>
      <c r="S87" s="169">
        <f>_xll.qlCalendarAdvance(Calendar,S86,"1D","f")</f>
        <v>42278</v>
      </c>
      <c r="T87" s="169">
        <f>_xll.qlCalendarAdvance(Calendar,S87,$F$1,"mf",,Trigger)</f>
        <v>42373</v>
      </c>
      <c r="U87" s="155">
        <f>_xll.qlDayCounterYearFraction(DayCounter,S87,T87,,,Trigger)</f>
        <v>0.2638888888888889</v>
      </c>
      <c r="V87" s="167">
        <f>_xll.qlInterpolationInterpolate(B3Minterpolation,S87,TRUE)</f>
        <v>1.2995866707210878E-3</v>
      </c>
      <c r="W87" s="170">
        <f>_xll.qlYieldTSDiscount(Discounting,S87,,AllTriggers)</f>
        <v>1.000418985896083</v>
      </c>
      <c r="X87" s="170">
        <f>_xll.qlYieldTSDiscount(Discounting,T87,,AllTriggers)</f>
        <v>1.000735705237205</v>
      </c>
      <c r="Y87" s="167">
        <f t="shared" si="15"/>
        <v>-1.1993172644698621E-3</v>
      </c>
      <c r="AD87" s="141"/>
      <c r="AE87" s="141"/>
    </row>
    <row r="88" spans="6:31" ht="11.25" customHeight="1" x14ac:dyDescent="0.2">
      <c r="F88" s="243"/>
      <c r="G88" s="243"/>
      <c r="H88" s="141"/>
      <c r="L88" s="141"/>
      <c r="M88" s="141"/>
      <c r="S88" s="169">
        <f>_xll.qlCalendarAdvance(Calendar,S87,"1D","f")</f>
        <v>42279</v>
      </c>
      <c r="T88" s="169">
        <f>_xll.qlCalendarAdvance(Calendar,S88,$F$1,"mf",,Trigger)</f>
        <v>42373</v>
      </c>
      <c r="U88" s="155">
        <f>_xll.qlDayCounterYearFraction(DayCounter,S88,T88,,,Trigger)</f>
        <v>0.26111111111111113</v>
      </c>
      <c r="V88" s="167">
        <f>_xll.qlInterpolationInterpolate(B3Minterpolation,S88,TRUE)</f>
        <v>1.2961485312035404E-3</v>
      </c>
      <c r="W88" s="170">
        <f>_xll.qlYieldTSDiscount(Discounting,S88,,AllTriggers)</f>
        <v>1.0004225636743951</v>
      </c>
      <c r="X88" s="170">
        <f>_xll.qlYieldTSDiscount(Discounting,T88,,AllTriggers)</f>
        <v>1.000735705237205</v>
      </c>
      <c r="Y88" s="167">
        <f t="shared" si="15"/>
        <v>-1.198383902384477E-3</v>
      </c>
      <c r="AD88" s="141"/>
      <c r="AE88" s="141"/>
    </row>
    <row r="89" spans="6:31" ht="11.25" customHeight="1" x14ac:dyDescent="0.2">
      <c r="F89" s="243"/>
      <c r="G89" s="243"/>
      <c r="H89" s="141"/>
      <c r="L89" s="141"/>
      <c r="M89" s="141"/>
      <c r="S89" s="169">
        <f>_xll.qlCalendarAdvance(Calendar,S88,"1D","f")</f>
        <v>42282</v>
      </c>
      <c r="T89" s="169">
        <f>_xll.qlCalendarAdvance(Calendar,S89,$F$1,"mf",,Trigger)</f>
        <v>42374</v>
      </c>
      <c r="U89" s="155">
        <f>_xll.qlDayCounterYearFraction(DayCounter,S89,T89,,,Trigger)</f>
        <v>0.25555555555555554</v>
      </c>
      <c r="V89" s="167">
        <f>_xll.qlInterpolationInterpolate(B3Minterpolation,S89,TRUE)</f>
        <v>1.2876773872474814E-3</v>
      </c>
      <c r="W89" s="170">
        <f>_xll.qlYieldTSDiscount(Discounting,S89,,AllTriggers)</f>
        <v>1.0004332970861023</v>
      </c>
      <c r="X89" s="170">
        <f>_xll.qlYieldTSDiscount(Discounting,T89,,AllTriggers)</f>
        <v>1.000739596566798</v>
      </c>
      <c r="Y89" s="167">
        <f t="shared" si="15"/>
        <v>-1.1976773872474813E-3</v>
      </c>
      <c r="AD89" s="141"/>
      <c r="AE89" s="141"/>
    </row>
    <row r="90" spans="6:31" ht="11.25" customHeight="1" x14ac:dyDescent="0.2">
      <c r="F90" s="243"/>
      <c r="G90" s="243"/>
      <c r="H90" s="141"/>
      <c r="L90" s="141"/>
      <c r="M90" s="141"/>
      <c r="S90" s="169">
        <f>_xll.qlCalendarAdvance(Calendar,S89,"1D","f")</f>
        <v>42283</v>
      </c>
      <c r="T90" s="169">
        <f>_xll.qlCalendarAdvance(Calendar,S90,$F$1,"mf",,Trigger)</f>
        <v>42375</v>
      </c>
      <c r="U90" s="155">
        <f>_xll.qlDayCounterYearFraction(DayCounter,S90,T90,,,Trigger)</f>
        <v>0.25555555555555554</v>
      </c>
      <c r="V90" s="167">
        <f>_xll.qlInterpolationInterpolate(B3Minterpolation,S90,TRUE)</f>
        <v>1.2856102195159035E-3</v>
      </c>
      <c r="W90" s="170">
        <f>_xll.qlYieldTSDiscount(Discounting,S90,,AllTriggers)</f>
        <v>1.000436874915595</v>
      </c>
      <c r="X90" s="170">
        <f>_xll.qlYieldTSDiscount(Discounting,T90,,AllTriggers)</f>
        <v>1.0007434879115225</v>
      </c>
      <c r="Y90" s="167">
        <f t="shared" si="15"/>
        <v>-1.1988986174348922E-3</v>
      </c>
      <c r="AD90" s="141"/>
      <c r="AE90" s="141"/>
    </row>
    <row r="91" spans="6:31" ht="11.25" customHeight="1" x14ac:dyDescent="0.2">
      <c r="F91" s="243"/>
      <c r="G91" s="243"/>
      <c r="H91" s="141"/>
      <c r="L91" s="141"/>
      <c r="M91" s="141"/>
      <c r="S91" s="169">
        <f>_xll.qlCalendarAdvance(Calendar,S90,"1D","f")</f>
        <v>42284</v>
      </c>
      <c r="T91" s="169">
        <f>_xll.qlCalendarAdvance(Calendar,S91,$F$1,"mf",,Trigger)</f>
        <v>42376</v>
      </c>
      <c r="U91" s="155">
        <f>_xll.qlDayCounterYearFraction(DayCounter,S91,T91,,,Trigger)</f>
        <v>0.25555555555555554</v>
      </c>
      <c r="V91" s="167">
        <f>_xll.qlInterpolationInterpolate(B3Minterpolation,S91,TRUE)</f>
        <v>1.283966879494437E-3</v>
      </c>
      <c r="W91" s="170">
        <f>_xll.qlYieldTSDiscount(Discounting,S91,,AllTriggers)</f>
        <v>1.0004404527578832</v>
      </c>
      <c r="X91" s="170">
        <f>_xll.qlYieldTSDiscount(Discounting,T91,,AllTriggers)</f>
        <v>1.0007473792713784</v>
      </c>
      <c r="Y91" s="167">
        <f t="shared" si="15"/>
        <v>-1.2001198472404344E-3</v>
      </c>
      <c r="AD91" s="141"/>
      <c r="AE91" s="141"/>
    </row>
    <row r="92" spans="6:31" ht="11.25" customHeight="1" x14ac:dyDescent="0.2">
      <c r="F92" s="243"/>
      <c r="G92" s="243"/>
      <c r="H92" s="141"/>
      <c r="L92" s="141"/>
      <c r="M92" s="141"/>
      <c r="S92" s="169">
        <f>_xll.qlCalendarAdvance(Calendar,S91,"1D","f")</f>
        <v>42285</v>
      </c>
      <c r="T92" s="169">
        <f>_xll.qlCalendarAdvance(Calendar,S92,$F$1,"mf",,Trigger)</f>
        <v>42377</v>
      </c>
      <c r="U92" s="155">
        <f>_xll.qlDayCounterYearFraction(DayCounter,S92,T92,,,Trigger)</f>
        <v>0.25555555555555554</v>
      </c>
      <c r="V92" s="167">
        <f>_xll.qlInterpolationInterpolate(B3Minterpolation,S92,TRUE)</f>
        <v>1.2827256556874234E-3</v>
      </c>
      <c r="W92" s="170">
        <f>_xll.qlYieldTSDiscount(Discounting,S92,,AllTriggers)</f>
        <v>1.0004440306129669</v>
      </c>
      <c r="X92" s="170">
        <f>_xll.qlYieldTSDiscount(Discounting,T92,,AllTriggers)</f>
        <v>1.0007512706463655</v>
      </c>
      <c r="Y92" s="167">
        <f t="shared" si="15"/>
        <v>-1.2013410766636738E-3</v>
      </c>
      <c r="AD92" s="141"/>
      <c r="AE92" s="141"/>
    </row>
    <row r="93" spans="6:31" ht="11.25" customHeight="1" x14ac:dyDescent="0.2">
      <c r="F93" s="243"/>
      <c r="G93" s="243"/>
      <c r="H93" s="141"/>
      <c r="L93" s="141"/>
      <c r="M93" s="141"/>
      <c r="S93" s="169">
        <f>_xll.qlCalendarAdvance(Calendar,S92,"1D","f")</f>
        <v>42286</v>
      </c>
      <c r="T93" s="169">
        <f>_xll.qlCalendarAdvance(Calendar,S93,$F$1,"mf",,Trigger)</f>
        <v>42380</v>
      </c>
      <c r="U93" s="155">
        <f>_xll.qlDayCounterYearFraction(DayCounter,S93,T93,,,Trigger)</f>
        <v>0.26111111111111113</v>
      </c>
      <c r="V93" s="167">
        <f>_xll.qlInterpolationInterpolate(B3Minterpolation,S93,TRUE)</f>
        <v>1.2818648365992042E-3</v>
      </c>
      <c r="W93" s="170">
        <f>_xll.qlYieldTSDiscount(Discounting,S93,,AllTriggers)</f>
        <v>1.0004476084808456</v>
      </c>
      <c r="X93" s="170">
        <f>_xll.qlYieldTSDiscount(Discounting,T93,,AllTriggers)</f>
        <v>1.0007629448621163</v>
      </c>
      <c r="Y93" s="167">
        <f t="shared" si="15"/>
        <v>-1.2067505632775131E-3</v>
      </c>
      <c r="AD93" s="141"/>
      <c r="AE93" s="141"/>
    </row>
    <row r="94" spans="6:31" ht="11.25" customHeight="1" x14ac:dyDescent="0.2">
      <c r="F94" s="243"/>
      <c r="G94" s="243"/>
      <c r="H94" s="141"/>
      <c r="L94" s="141"/>
      <c r="M94" s="141"/>
      <c r="S94" s="169">
        <f>_xll.qlCalendarAdvance(Calendar,S93,"1D","f")</f>
        <v>42289</v>
      </c>
      <c r="T94" s="169">
        <f>_xll.qlCalendarAdvance(Calendar,S94,$F$1,"mf",,Trigger)</f>
        <v>42381</v>
      </c>
      <c r="U94" s="155">
        <f>_xll.qlDayCounterYearFraction(DayCounter,S94,T94,,,Trigger)</f>
        <v>0.25555555555555554</v>
      </c>
      <c r="V94" s="167">
        <f>_xll.qlInterpolationInterpolate(B3Minterpolation,S94,TRUE)</f>
        <v>1.281347692690727E-3</v>
      </c>
      <c r="W94" s="170">
        <f>_xll.qlYieldTSDiscount(Discounting,S94,,AllTriggers)</f>
        <v>1.0004583421612554</v>
      </c>
      <c r="X94" s="170">
        <f>_xll.qlYieldTSDiscount(Discounting,T94,,AllTriggers)</f>
        <v>1.0007668362976296</v>
      </c>
      <c r="Y94" s="167">
        <f t="shared" si="15"/>
        <v>-1.2062259905483734E-3</v>
      </c>
      <c r="AD94" s="141"/>
      <c r="AE94" s="141"/>
    </row>
    <row r="95" spans="6:31" ht="11.25" customHeight="1" x14ac:dyDescent="0.2">
      <c r="F95" s="243"/>
      <c r="G95" s="243"/>
      <c r="H95" s="141"/>
      <c r="L95" s="141"/>
      <c r="M95" s="141"/>
      <c r="S95" s="169">
        <f>_xll.qlCalendarAdvance(Calendar,S94,"1D","f")</f>
        <v>42290</v>
      </c>
      <c r="T95" s="169">
        <f>_xll.qlCalendarAdvance(Calendar,S95,$F$1,"mf",,Trigger)</f>
        <v>42382</v>
      </c>
      <c r="U95" s="155">
        <f>_xll.qlDayCounterYearFraction(DayCounter,S95,T95,,,Trigger)</f>
        <v>0.25555555555555554</v>
      </c>
      <c r="V95" s="167">
        <f>_xll.qlInterpolationInterpolate(B3Minterpolation,S95,TRUE)</f>
        <v>1.2817913775210995E-3</v>
      </c>
      <c r="W95" s="170">
        <f>_xll.qlYieldTSDiscount(Discounting,S95,,AllTriggers)</f>
        <v>1.0004619200803166</v>
      </c>
      <c r="X95" s="170">
        <f>_xll.qlYieldTSDiscount(Discounting,T95,,AllTriggers)</f>
        <v>1.0007707277482751</v>
      </c>
      <c r="Y95" s="167">
        <f t="shared" si="15"/>
        <v>-1.2074472180661803E-3</v>
      </c>
      <c r="AD95" s="141"/>
      <c r="AE95" s="141"/>
    </row>
    <row r="96" spans="6:31" ht="11.25" customHeight="1" x14ac:dyDescent="0.2">
      <c r="F96" s="243"/>
      <c r="G96" s="243"/>
      <c r="H96" s="141"/>
      <c r="L96" s="141"/>
      <c r="M96" s="141"/>
      <c r="S96" s="169">
        <f>_xll.qlCalendarAdvance(Calendar,S95,"1D","f")</f>
        <v>42291</v>
      </c>
      <c r="T96" s="169">
        <f>_xll.qlCalendarAdvance(Calendar,S96,$F$1,"mf",,Trigger)</f>
        <v>42383</v>
      </c>
      <c r="U96" s="155">
        <f>_xll.qlDayCounterYearFraction(DayCounter,S96,T96,,,Trigger)</f>
        <v>0.25555555555555554</v>
      </c>
      <c r="V96" s="167">
        <f>_xll.qlInterpolationInterpolate(B3Minterpolation,S96,TRUE)</f>
        <v>1.2825069095919737E-3</v>
      </c>
      <c r="W96" s="170">
        <f>_xll.qlYieldTSDiscount(Discounting,S96,,AllTriggers)</f>
        <v>1.0004654980121732</v>
      </c>
      <c r="X96" s="170">
        <f>_xll.qlYieldTSDiscount(Discounting,T96,,AllTriggers)</f>
        <v>1.0007746192140519</v>
      </c>
      <c r="Y96" s="167">
        <f t="shared" si="15"/>
        <v>-1.2086684452021189E-3</v>
      </c>
      <c r="AD96" s="141"/>
      <c r="AE96" s="141"/>
    </row>
    <row r="97" spans="6:31" ht="11.25" customHeight="1" x14ac:dyDescent="0.2">
      <c r="F97" s="243"/>
      <c r="G97" s="243"/>
      <c r="H97" s="141"/>
      <c r="L97" s="141"/>
      <c r="M97" s="141"/>
      <c r="S97" s="169">
        <f>_xll.qlCalendarAdvance(Calendar,S96,"1D","f")</f>
        <v>42292</v>
      </c>
      <c r="T97" s="169">
        <f>_xll.qlCalendarAdvance(Calendar,S97,$F$1,"mf",,Trigger)</f>
        <v>42384</v>
      </c>
      <c r="U97" s="155">
        <f>_xll.qlDayCounterYearFraction(DayCounter,S97,T97,,,Trigger)</f>
        <v>0.25555555555555554</v>
      </c>
      <c r="V97" s="167">
        <f>_xll.qlInterpolationInterpolate(B3Minterpolation,S97,TRUE)</f>
        <v>1.2834725774076908E-3</v>
      </c>
      <c r="W97" s="170">
        <f>_xll.qlYieldTSDiscount(Discounting,S97,,AllTriggers)</f>
        <v>1.0004690759568255</v>
      </c>
      <c r="X97" s="170">
        <f>_xll.qlYieldTSDiscount(Discounting,T97,,AllTriggers)</f>
        <v>1.0007785106949607</v>
      </c>
      <c r="Y97" s="167">
        <f t="shared" si="15"/>
        <v>-1.2098896719579268E-3</v>
      </c>
      <c r="AD97" s="141"/>
      <c r="AE97" s="141"/>
    </row>
    <row r="98" spans="6:31" ht="11.25" customHeight="1" x14ac:dyDescent="0.2">
      <c r="F98" s="243"/>
      <c r="G98" s="243"/>
      <c r="H98" s="141"/>
      <c r="L98" s="141"/>
      <c r="M98" s="141"/>
      <c r="S98" s="169">
        <f>_xll.qlCalendarAdvance(Calendar,S97,"1D","f")</f>
        <v>42293</v>
      </c>
      <c r="T98" s="169">
        <f>_xll.qlCalendarAdvance(Calendar,S98,$F$1,"mf",,Trigger)</f>
        <v>42387</v>
      </c>
      <c r="U98" s="155">
        <f>_xll.qlDayCounterYearFraction(DayCounter,S98,T98,,,Trigger)</f>
        <v>0.26111111111111113</v>
      </c>
      <c r="V98" s="167">
        <f>_xll.qlInterpolationInterpolate(B3Minterpolation,S98,TRUE)</f>
        <v>1.2846666694725924E-3</v>
      </c>
      <c r="W98" s="170">
        <f>_xll.qlYieldTSDiscount(Discounting,S98,,AllTriggers)</f>
        <v>1.0004726539142736</v>
      </c>
      <c r="X98" s="170">
        <f>_xll.qlYieldTSDiscount(Discounting,T98,,AllTriggers)</f>
        <v>1.0007901852284791</v>
      </c>
      <c r="Y98" s="167">
        <f t="shared" si="15"/>
        <v>-1.2151172058856013E-3</v>
      </c>
      <c r="AD98" s="141"/>
      <c r="AE98" s="141"/>
    </row>
    <row r="99" spans="6:31" ht="11.25" customHeight="1" x14ac:dyDescent="0.2">
      <c r="F99" s="243"/>
      <c r="G99" s="243"/>
      <c r="H99" s="141"/>
      <c r="L99" s="141"/>
      <c r="M99" s="141"/>
      <c r="S99" s="169">
        <f>_xll.qlCalendarAdvance(Calendar,S98,"1D","f")</f>
        <v>42296</v>
      </c>
      <c r="T99" s="169">
        <f>_xll.qlCalendarAdvance(Calendar,S99,$F$1,"mf",,Trigger)</f>
        <v>42388</v>
      </c>
      <c r="U99" s="155">
        <f>_xll.qlDayCounterYearFraction(DayCounter,S99,T99,,,Trigger)</f>
        <v>0.25555555555555554</v>
      </c>
      <c r="V99" s="167">
        <f>_xll.qlInterpolationInterpolate(B3Minterpolation,S99,TRUE)</f>
        <v>1.2894023762058181E-3</v>
      </c>
      <c r="W99" s="170">
        <f>_xll.qlYieldTSDiscount(Discounting,S99,,AllTriggers)</f>
        <v>1.000483387863393</v>
      </c>
      <c r="X99" s="170">
        <f>_xll.qlYieldTSDiscount(Discounting,T99,,AllTriggers)</f>
        <v>1.0007940767699159</v>
      </c>
      <c r="Y99" s="167">
        <f t="shared" si="15"/>
        <v>-1.2147745751668183E-3</v>
      </c>
      <c r="AD99" s="141"/>
      <c r="AE99" s="141"/>
    </row>
    <row r="100" spans="6:31" ht="11.25" customHeight="1" x14ac:dyDescent="0.2">
      <c r="F100" s="243"/>
      <c r="G100" s="243"/>
      <c r="H100" s="141"/>
      <c r="L100" s="141"/>
      <c r="M100" s="141"/>
      <c r="S100" s="169">
        <f>_xll.qlCalendarAdvance(Calendar,S99,"1D","f")</f>
        <v>42297</v>
      </c>
      <c r="T100" s="169">
        <f>_xll.qlCalendarAdvance(Calendar,S100,$F$1,"mf",,Trigger)</f>
        <v>42389</v>
      </c>
      <c r="U100" s="155">
        <f>_xll.qlDayCounterYearFraction(DayCounter,S100,T100,,,Trigger)</f>
        <v>0.25555555555555554</v>
      </c>
      <c r="V100" s="167">
        <f>_xll.qlInterpolationInterpolate(B3Minterpolation,S100,TRUE)</f>
        <v>1.2912930503108718E-3</v>
      </c>
      <c r="W100" s="170">
        <f>_xll.qlYieldTSDiscount(Discounting,S100,,AllTriggers)</f>
        <v>1.0004869658720243</v>
      </c>
      <c r="X100" s="170">
        <f>_xll.qlYieldTSDiscount(Discounting,T100,,AllTriggers)</f>
        <v>1.0007979683264849</v>
      </c>
      <c r="Y100" s="167">
        <f t="shared" si="15"/>
        <v>-1.2159958000167593E-3</v>
      </c>
      <c r="AD100" s="141"/>
      <c r="AE100" s="141"/>
    </row>
    <row r="101" spans="6:31" ht="11.25" customHeight="1" x14ac:dyDescent="0.2">
      <c r="F101" s="243"/>
      <c r="G101" s="243"/>
      <c r="H101" s="141"/>
      <c r="L101" s="141"/>
      <c r="M101" s="141"/>
      <c r="S101" s="169">
        <f>_xll.qlCalendarAdvance(Calendar,S100,"1D","f")</f>
        <v>42298</v>
      </c>
      <c r="T101" s="169">
        <f>_xll.qlCalendarAdvance(Calendar,S101,$F$1,"mf",,Trigger)</f>
        <v>42390</v>
      </c>
      <c r="U101" s="155">
        <f>_xll.qlDayCounterYearFraction(DayCounter,S101,T101,,,Trigger)</f>
        <v>0.25555555555555554</v>
      </c>
      <c r="V101" s="167">
        <f>_xll.qlInterpolationInterpolate(B3Minterpolation,S101,TRUE)</f>
        <v>1.2933035911868172E-3</v>
      </c>
      <c r="W101" s="170">
        <f>_xll.qlYieldTSDiscount(Discounting,S101,,AllTriggers)</f>
        <v>1.0004905438934519</v>
      </c>
      <c r="X101" s="170">
        <f>_xll.qlYieldTSDiscount(Discounting,T101,,AllTriggers)</f>
        <v>1.000801859898186</v>
      </c>
      <c r="Y101" s="167">
        <f t="shared" si="15"/>
        <v>-1.2172170244835287E-3</v>
      </c>
      <c r="AD101" s="141"/>
      <c r="AE101" s="141"/>
    </row>
    <row r="102" spans="6:31" ht="11.25" customHeight="1" x14ac:dyDescent="0.2">
      <c r="F102" s="243"/>
      <c r="G102" s="243"/>
      <c r="H102" s="141"/>
      <c r="L102" s="141"/>
      <c r="M102" s="141"/>
      <c r="S102" s="169">
        <f>_xll.qlCalendarAdvance(Calendar,S101,"1D","f")</f>
        <v>42299</v>
      </c>
      <c r="T102" s="169">
        <f>_xll.qlCalendarAdvance(Calendar,S102,$F$1,"mf",,Trigger)</f>
        <v>42391</v>
      </c>
      <c r="U102" s="155">
        <f>_xll.qlDayCounterYearFraction(DayCounter,S102,T102,,,Trigger)</f>
        <v>0.25555555555555554</v>
      </c>
      <c r="V102" s="167">
        <f>_xll.qlInterpolationInterpolate(B3Minterpolation,S102,TRUE)</f>
        <v>1.2954122873379958E-3</v>
      </c>
      <c r="W102" s="170">
        <f>_xll.qlYieldTSDiscount(Discounting,S102,,AllTriggers)</f>
        <v>1.0004941219276753</v>
      </c>
      <c r="X102" s="170">
        <f>_xll.qlYieldTSDiscount(Discounting,T102,,AllTriggers)</f>
        <v>1.0008057514850193</v>
      </c>
      <c r="Y102" s="167">
        <f t="shared" si="15"/>
        <v>-1.2184382485701673E-3</v>
      </c>
      <c r="AD102" s="141"/>
      <c r="AE102" s="141"/>
    </row>
    <row r="103" spans="6:31" ht="11.25" customHeight="1" x14ac:dyDescent="0.2">
      <c r="F103" s="243"/>
      <c r="G103" s="243"/>
      <c r="H103" s="141"/>
      <c r="L103" s="141"/>
      <c r="M103" s="141"/>
      <c r="S103" s="169">
        <f>_xll.qlCalendarAdvance(Calendar,S102,"1D","f")</f>
        <v>42300</v>
      </c>
      <c r="T103" s="169">
        <f>_xll.qlCalendarAdvance(Calendar,S103,$F$1,"mf",,Trigger)</f>
        <v>42394</v>
      </c>
      <c r="U103" s="155">
        <f>_xll.qlDayCounterYearFraction(DayCounter,S103,T103,,,Trigger)</f>
        <v>0.26111111111111113</v>
      </c>
      <c r="V103" s="167">
        <f>_xll.qlInterpolationInterpolate(B3Minterpolation,S103,TRUE)</f>
        <v>1.2975974272687488E-3</v>
      </c>
      <c r="W103" s="170">
        <f>_xll.qlYieldTSDiscount(Discounting,S103,,AllTriggers)</f>
        <v>1.0004976999746946</v>
      </c>
      <c r="X103" s="170">
        <f>_xll.qlYieldTSDiscount(Discounting,T103,,AllTriggers)</f>
        <v>1.0008174263363139</v>
      </c>
      <c r="Y103" s="167">
        <f t="shared" si="15"/>
        <v>-1.2234838302112925E-3</v>
      </c>
      <c r="AD103" s="141"/>
      <c r="AE103" s="141"/>
    </row>
    <row r="104" spans="6:31" ht="11.25" customHeight="1" x14ac:dyDescent="0.2">
      <c r="F104" s="243"/>
      <c r="G104" s="243"/>
      <c r="H104" s="141"/>
      <c r="L104" s="141"/>
      <c r="M104" s="141"/>
      <c r="S104" s="169">
        <f>_xll.qlCalendarAdvance(Calendar,S103,"1D","f")</f>
        <v>42303</v>
      </c>
      <c r="T104" s="169">
        <f>_xll.qlCalendarAdvance(Calendar,S104,$F$1,"mf",,Trigger)</f>
        <v>42395</v>
      </c>
      <c r="U104" s="155">
        <f>_xll.qlDayCounterYearFraction(DayCounter,S104,T104,,,Trigger)</f>
        <v>0.25555555555555554</v>
      </c>
      <c r="V104" s="167">
        <f>_xll.qlInterpolationInterpolate(B3Minterpolation,S104,TRUE)</f>
        <v>1.3043943947818693E-3</v>
      </c>
      <c r="W104" s="170">
        <f>_xll.qlYieldTSDiscount(Discounting,S104,,AllTriggers)</f>
        <v>1.0005084341925299</v>
      </c>
      <c r="X104" s="170">
        <f>_xll.qlYieldTSDiscount(Discounting,T104,,AllTriggers)</f>
        <v>1.0008213179836769</v>
      </c>
      <c r="Y104" s="167">
        <f t="shared" si="15"/>
        <v>-1.2233231411058574E-3</v>
      </c>
      <c r="AD104" s="141"/>
      <c r="AE104" s="141"/>
    </row>
    <row r="105" spans="6:31" ht="11.25" customHeight="1" x14ac:dyDescent="0.2">
      <c r="F105" s="243"/>
      <c r="G105" s="243"/>
      <c r="H105" s="141"/>
      <c r="L105" s="141"/>
      <c r="M105" s="141"/>
      <c r="S105" s="169">
        <f>_xll.qlCalendarAdvance(Calendar,S104,"1D","f")</f>
        <v>42304</v>
      </c>
      <c r="T105" s="169">
        <f>_xll.qlCalendarAdvance(Calendar,S105,$F$1,"mf",,Trigger)</f>
        <v>42396</v>
      </c>
      <c r="U105" s="155">
        <f>_xll.qlDayCounterYearFraction(DayCounter,S105,T105,,,Trigger)</f>
        <v>0.25555555555555554</v>
      </c>
      <c r="V105" s="167">
        <f>_xll.qlInterpolationInterpolate(B3Minterpolation,S105,TRUE)</f>
        <v>1.3066681948743347E-3</v>
      </c>
      <c r="W105" s="170">
        <f>_xll.qlYieldTSDiscount(Discounting,S105,,AllTriggers)</f>
        <v>1.0005120122907343</v>
      </c>
      <c r="X105" s="170">
        <f>_xll.qlYieldTSDiscount(Discounting,T105,,AllTriggers)</f>
        <v>1.0008247468503806</v>
      </c>
      <c r="Y105" s="167">
        <f t="shared" si="15"/>
        <v>-1.2227354818133251E-3</v>
      </c>
      <c r="AD105" s="141"/>
      <c r="AE105" s="141"/>
    </row>
    <row r="106" spans="6:31" ht="11.25" customHeight="1" x14ac:dyDescent="0.2">
      <c r="F106" s="243"/>
      <c r="G106" s="243"/>
      <c r="H106" s="141"/>
      <c r="L106" s="141"/>
      <c r="M106" s="141"/>
      <c r="S106" s="169">
        <f>_xll.qlCalendarAdvance(Calendar,S105,"1D","f")</f>
        <v>42305</v>
      </c>
      <c r="T106" s="169">
        <f>_xll.qlCalendarAdvance(Calendar,S106,$F$1,"mf",,Trigger)</f>
        <v>42397</v>
      </c>
      <c r="U106" s="155">
        <f>_xll.qlDayCounterYearFraction(DayCounter,S106,T106,,,Trigger)</f>
        <v>0.25555555555555554</v>
      </c>
      <c r="V106" s="167">
        <f>_xll.qlInterpolationInterpolate(B3Minterpolation,S106,TRUE)</f>
        <v>1.308909881268082E-3</v>
      </c>
      <c r="W106" s="170">
        <f>_xll.qlYieldTSDiscount(Discounting,S106,,AllTriggers)</f>
        <v>1.0005155904017347</v>
      </c>
      <c r="X106" s="170">
        <f>_xll.qlYieldTSDiscount(Discounting,T106,,AllTriggers)</f>
        <v>1.0008281757288318</v>
      </c>
      <c r="Y106" s="167">
        <f t="shared" si="15"/>
        <v>-1.2221478224339055E-3</v>
      </c>
      <c r="AD106" s="141"/>
      <c r="AE106" s="141"/>
    </row>
    <row r="107" spans="6:31" ht="11.25" customHeight="1" x14ac:dyDescent="0.2">
      <c r="F107" s="243"/>
      <c r="G107" s="243"/>
      <c r="H107" s="141"/>
      <c r="L107" s="141"/>
      <c r="M107" s="141"/>
      <c r="S107" s="169">
        <f>_xll.qlCalendarAdvance(Calendar,S106,"1D","f")</f>
        <v>42306</v>
      </c>
      <c r="T107" s="169">
        <f>_xll.qlCalendarAdvance(Calendar,S107,$F$1,"mf",,Trigger)</f>
        <v>42398</v>
      </c>
      <c r="U107" s="155">
        <f>_xll.qlDayCounterYearFraction(DayCounter,S107,T107,,,Trigger)</f>
        <v>0.25555555555555554</v>
      </c>
      <c r="V107" s="167">
        <f>_xll.qlInterpolationInterpolate(B3Minterpolation,S107,TRUE)</f>
        <v>1.3110977424674523E-3</v>
      </c>
      <c r="W107" s="170">
        <f>_xll.qlYieldTSDiscount(Discounting,S107,,AllTriggers)</f>
        <v>1.0005192846374766</v>
      </c>
      <c r="X107" s="170">
        <f>_xll.qlYieldTSDiscount(Discounting,T107,,AllTriggers)</f>
        <v>1.0008316046190306</v>
      </c>
      <c r="Y107" s="167">
        <f t="shared" si="15"/>
        <v>-1.2211061894032065E-3</v>
      </c>
      <c r="AD107" s="141"/>
      <c r="AE107" s="141"/>
    </row>
    <row r="108" spans="6:31" ht="11.25" customHeight="1" x14ac:dyDescent="0.2">
      <c r="F108" s="243"/>
      <c r="G108" s="243"/>
      <c r="H108" s="141"/>
      <c r="L108" s="141"/>
      <c r="M108" s="141"/>
      <c r="S108" s="169">
        <f>_xll.qlCalendarAdvance(Calendar,S107,"1D","f")</f>
        <v>42307</v>
      </c>
      <c r="T108" s="169">
        <f>_xll.qlCalendarAdvance(Calendar,S108,$F$1,"mf",,Trigger)</f>
        <v>42398</v>
      </c>
      <c r="U108" s="155">
        <f>_xll.qlDayCounterYearFraction(DayCounter,S108,T108,,,Trigger)</f>
        <v>0.25277777777777777</v>
      </c>
      <c r="V108" s="167">
        <f>_xll.qlInterpolationInterpolate(B3Minterpolation,S108,TRUE)</f>
        <v>1.3132100669767874E-3</v>
      </c>
      <c r="W108" s="170">
        <f>_xll.qlYieldTSDiscount(Discounting,S108,,AllTriggers)</f>
        <v>1.0005229788868586</v>
      </c>
      <c r="X108" s="170">
        <f>_xll.qlYieldTSDiscount(Discounting,T108,,AllTriggers)</f>
        <v>1.0008316046190306</v>
      </c>
      <c r="Y108" s="167">
        <f t="shared" si="15"/>
        <v>-1.2199224692786394E-3</v>
      </c>
      <c r="AD108" s="141"/>
      <c r="AE108" s="141"/>
    </row>
    <row r="109" spans="6:31" ht="11.25" customHeight="1" x14ac:dyDescent="0.2">
      <c r="F109" s="243"/>
      <c r="G109" s="243"/>
      <c r="H109" s="141"/>
      <c r="L109" s="141"/>
      <c r="M109" s="141"/>
      <c r="S109" s="169">
        <f>_xll.qlCalendarAdvance(Calendar,S108,"1D","f")</f>
        <v>42310</v>
      </c>
      <c r="T109" s="169">
        <f>_xll.qlCalendarAdvance(Calendar,S109,$F$1,"mf",,Trigger)</f>
        <v>42402</v>
      </c>
      <c r="U109" s="155">
        <f>_xll.qlDayCounterYearFraction(DayCounter,S109,T109,,,Trigger)</f>
        <v>0.25555555555555554</v>
      </c>
      <c r="V109" s="167">
        <f>_xll.qlInterpolationInterpolate(B3Minterpolation,S109,TRUE)</f>
        <v>1.3188767054079947E-3</v>
      </c>
      <c r="W109" s="170">
        <f>_xll.qlYieldTSDiscount(Discounting,S109,,AllTriggers)</f>
        <v>1.0005319605953178</v>
      </c>
      <c r="X109" s="170">
        <f>_xll.qlYieldTSDiscount(Discounting,T109,,AllTriggers)</f>
        <v>1.0008379140419317</v>
      </c>
      <c r="Y109" s="167">
        <f t="shared" si="15"/>
        <v>-1.1962068204322046E-3</v>
      </c>
      <c r="AD109" s="141"/>
      <c r="AE109" s="141"/>
    </row>
    <row r="110" spans="6:31" ht="11.25" customHeight="1" x14ac:dyDescent="0.2">
      <c r="F110" s="243"/>
      <c r="G110" s="243"/>
      <c r="H110" s="141"/>
      <c r="L110" s="141"/>
      <c r="M110" s="141"/>
      <c r="S110" s="169">
        <f>_xll.qlCalendarAdvance(Calendar,S109,"1D","f")</f>
        <v>42311</v>
      </c>
      <c r="T110" s="169">
        <f>_xll.qlCalendarAdvance(Calendar,S110,$F$1,"mf",,Trigger)</f>
        <v>42403</v>
      </c>
      <c r="U110" s="155">
        <f>_xll.qlDayCounterYearFraction(DayCounter,S110,T110,,,Trigger)</f>
        <v>0.25555555555555554</v>
      </c>
      <c r="V110" s="167">
        <f>_xll.qlInterpolationInterpolate(B3Minterpolation,S110,TRUE)</f>
        <v>1.3204697682006026E-3</v>
      </c>
      <c r="W110" s="170">
        <f>_xll.qlYieldTSDiscount(Discounting,S110,,AllTriggers)</f>
        <v>1.0005356548915039</v>
      </c>
      <c r="X110" s="170">
        <f>_xll.qlYieldTSDiscount(Discounting,T110,,AllTriggers)</f>
        <v>1.0008413429654943</v>
      </c>
      <c r="Y110" s="167">
        <f t="shared" si="15"/>
        <v>-1.1951651804931185E-3</v>
      </c>
      <c r="AD110" s="141"/>
      <c r="AE110" s="141"/>
    </row>
    <row r="111" spans="6:31" ht="11.25" customHeight="1" x14ac:dyDescent="0.2">
      <c r="F111" s="243"/>
      <c r="G111" s="243"/>
      <c r="H111" s="141"/>
      <c r="L111" s="141"/>
      <c r="M111" s="141"/>
      <c r="S111" s="169">
        <f>_xll.qlCalendarAdvance(Calendar,S110,"1D","f")</f>
        <v>42312</v>
      </c>
      <c r="T111" s="169">
        <f>_xll.qlCalendarAdvance(Calendar,S111,$F$1,"mf",,Trigger)</f>
        <v>42404</v>
      </c>
      <c r="U111" s="155">
        <f>_xll.qlDayCounterYearFraction(DayCounter,S111,T111,,,Trigger)</f>
        <v>0.25555555555555554</v>
      </c>
      <c r="V111" s="167">
        <f>_xll.qlInterpolationInterpolate(B3Minterpolation,S111,TRUE)</f>
        <v>1.3218787368248824E-3</v>
      </c>
      <c r="W111" s="170">
        <f>_xll.qlYieldTSDiscount(Discounting,S111,,AllTriggers)</f>
        <v>1.0005393492013304</v>
      </c>
      <c r="X111" s="170">
        <f>_xll.qlYieldTSDiscount(Discounting,T111,,AllTriggers)</f>
        <v>1.0008447719008047</v>
      </c>
      <c r="Y111" s="167">
        <f t="shared" si="15"/>
        <v>-1.1941235402777319E-3</v>
      </c>
      <c r="AD111" s="141"/>
      <c r="AE111" s="141"/>
    </row>
    <row r="112" spans="6:31" ht="11.25" customHeight="1" x14ac:dyDescent="0.2">
      <c r="F112" s="243"/>
      <c r="G112" s="243"/>
      <c r="H112" s="141"/>
      <c r="L112" s="141"/>
      <c r="M112" s="141"/>
      <c r="S112" s="169">
        <f>_xll.qlCalendarAdvance(Calendar,S111,"1D","f")</f>
        <v>42313</v>
      </c>
      <c r="T112" s="169">
        <f>_xll.qlCalendarAdvance(Calendar,S112,$F$1,"mf",,Trigger)</f>
        <v>42405</v>
      </c>
      <c r="U112" s="155">
        <f>_xll.qlDayCounterYearFraction(DayCounter,S112,T112,,,Trigger)</f>
        <v>0.25555555555555554</v>
      </c>
      <c r="V112" s="167">
        <f>_xll.qlInterpolationInterpolate(B3Minterpolation,S112,TRUE)</f>
        <v>1.3230818997851754E-3</v>
      </c>
      <c r="W112" s="170">
        <f>_xll.qlYieldTSDiscount(Discounting,S112,,AllTriggers)</f>
        <v>1.0005430435247975</v>
      </c>
      <c r="X112" s="170">
        <f>_xll.qlYieldTSDiscount(Discounting,T112,,AllTriggers)</f>
        <v>1.0008482008478627</v>
      </c>
      <c r="Y112" s="167">
        <f t="shared" si="15"/>
        <v>-1.1930818997851755E-3</v>
      </c>
      <c r="AD112" s="141"/>
      <c r="AE112" s="141"/>
    </row>
    <row r="113" spans="6:31" ht="11.25" customHeight="1" x14ac:dyDescent="0.2">
      <c r="F113" s="243"/>
      <c r="G113" s="243"/>
      <c r="H113" s="141"/>
      <c r="L113" s="141"/>
      <c r="M113" s="141"/>
      <c r="S113" s="169">
        <f>_xll.qlCalendarAdvance(Calendar,S112,"1D","f")</f>
        <v>42314</v>
      </c>
      <c r="T113" s="169">
        <f>_xll.qlCalendarAdvance(Calendar,S113,$F$1,"mf",,Trigger)</f>
        <v>42408</v>
      </c>
      <c r="U113" s="155">
        <f>_xll.qlDayCounterYearFraction(DayCounter,S113,T113,,,Trigger)</f>
        <v>0.26111111111111113</v>
      </c>
      <c r="V113" s="167">
        <f>_xll.qlInterpolationInterpolate(B3Minterpolation,S113,TRUE)</f>
        <v>1.3241474324388824E-3</v>
      </c>
      <c r="W113" s="170">
        <f>_xll.qlYieldTSDiscount(Discounting,S113,,AllTriggers)</f>
        <v>1.0005467378619055</v>
      </c>
      <c r="X113" s="170">
        <f>_xll.qlYieldTSDiscount(Discounting,T113,,AllTriggers)</f>
        <v>1.0008584877595239</v>
      </c>
      <c r="Y113" s="167">
        <f t="shared" si="15"/>
        <v>-1.1929116780393277E-3</v>
      </c>
      <c r="AD113" s="141"/>
      <c r="AE113" s="141"/>
    </row>
    <row r="114" spans="6:31" ht="11.25" customHeight="1" x14ac:dyDescent="0.2">
      <c r="F114" s="243"/>
      <c r="G114" s="243"/>
      <c r="H114" s="141"/>
      <c r="L114" s="141"/>
      <c r="M114" s="141"/>
      <c r="S114" s="169">
        <f>_xll.qlCalendarAdvance(Calendar,S113,"1D","f")</f>
        <v>42317</v>
      </c>
      <c r="T114" s="169">
        <f>_xll.qlCalendarAdvance(Calendar,S114,$F$1,"mf",,Trigger)</f>
        <v>42409</v>
      </c>
      <c r="U114" s="155">
        <f>_xll.qlDayCounterYearFraction(DayCounter,S114,T114,,,Trigger)</f>
        <v>0.25555555555555554</v>
      </c>
      <c r="V114" s="167">
        <f>_xll.qlInterpolationInterpolate(B3Minterpolation,S114,TRUE)</f>
        <v>1.3270258077814441E-3</v>
      </c>
      <c r="W114" s="170">
        <f>_xll.qlYieldTSDiscount(Discounting,S114,,AllTriggers)</f>
        <v>1.0005578209550734</v>
      </c>
      <c r="X114" s="170">
        <f>_xll.qlYieldTSDiscount(Discounting,T114,,AllTriggers)</f>
        <v>1.0008619167535733</v>
      </c>
      <c r="Y114" s="167">
        <f t="shared" si="15"/>
        <v>-1.188915335040648E-3</v>
      </c>
      <c r="AD114" s="141"/>
      <c r="AE114" s="141"/>
    </row>
    <row r="115" spans="6:31" ht="11.25" customHeight="1" x14ac:dyDescent="0.2">
      <c r="F115" s="243"/>
      <c r="G115" s="243"/>
      <c r="H115" s="141"/>
      <c r="L115" s="141"/>
      <c r="M115" s="141"/>
      <c r="S115" s="169">
        <f>_xll.qlCalendarAdvance(Calendar,S114,"1D","f")</f>
        <v>42318</v>
      </c>
      <c r="T115" s="169">
        <f>_xll.qlCalendarAdvance(Calendar,S115,$F$1,"mf",,Trigger)</f>
        <v>42410</v>
      </c>
      <c r="U115" s="155">
        <f>_xll.qlDayCounterYearFraction(DayCounter,S115,T115,,,Trigger)</f>
        <v>0.25555555555555554</v>
      </c>
      <c r="V115" s="167">
        <f>_xll.qlInterpolationInterpolate(B3Minterpolation,S115,TRUE)</f>
        <v>1.3278840508119112E-3</v>
      </c>
      <c r="W115" s="170">
        <f>_xll.qlYieldTSDiscount(Discounting,S115,,AllTriggers)</f>
        <v>1.0005615153467444</v>
      </c>
      <c r="X115" s="170">
        <f>_xll.qlYieldTSDiscount(Discounting,T115,,AllTriggers)</f>
        <v>1.0008653457593706</v>
      </c>
      <c r="Y115" s="167">
        <f t="shared" si="15"/>
        <v>-1.1878736931609404E-3</v>
      </c>
      <c r="AD115" s="141"/>
      <c r="AE115" s="141"/>
    </row>
    <row r="116" spans="6:31" ht="11.25" customHeight="1" x14ac:dyDescent="0.2">
      <c r="F116" s="243"/>
      <c r="G116" s="243"/>
      <c r="H116" s="141"/>
      <c r="L116" s="141"/>
      <c r="M116" s="141"/>
      <c r="S116" s="169">
        <f>_xll.qlCalendarAdvance(Calendar,S115,"1D","f")</f>
        <v>42319</v>
      </c>
      <c r="T116" s="169">
        <f>_xll.qlCalendarAdvance(Calendar,S116,$F$1,"mf",,Trigger)</f>
        <v>42411</v>
      </c>
      <c r="U116" s="155">
        <f>_xll.qlDayCounterYearFraction(DayCounter,S116,T116,,,Trigger)</f>
        <v>0.25555555555555554</v>
      </c>
      <c r="V116" s="167">
        <f>_xll.qlInterpolationInterpolate(B3Minterpolation,S116,TRUE)</f>
        <v>1.3286941155284185E-3</v>
      </c>
      <c r="W116" s="170">
        <f>_xll.qlYieldTSDiscount(Discounting,S116,,AllTriggers)</f>
        <v>1.0005652097520563</v>
      </c>
      <c r="X116" s="170">
        <f>_xll.qlYieldTSDiscount(Discounting,T116,,AllTriggers)</f>
        <v>1.0008687747769158</v>
      </c>
      <c r="Y116" s="167">
        <f t="shared" si="15"/>
        <v>-1.1868320510040635E-3</v>
      </c>
      <c r="AD116" s="141"/>
      <c r="AE116" s="141"/>
    </row>
    <row r="117" spans="6:31" ht="11.25" customHeight="1" x14ac:dyDescent="0.2">
      <c r="F117" s="243"/>
      <c r="G117" s="243"/>
      <c r="H117" s="141"/>
      <c r="L117" s="141"/>
      <c r="M117" s="141"/>
      <c r="S117" s="169">
        <f>_xll.qlCalendarAdvance(Calendar,S116,"1D","f")</f>
        <v>42320</v>
      </c>
      <c r="T117" s="169">
        <f>_xll.qlCalendarAdvance(Calendar,S117,$F$1,"mf",,Trigger)</f>
        <v>42412</v>
      </c>
      <c r="U117" s="155">
        <f>_xll.qlDayCounterYearFraction(DayCounter,S117,T117,,,Trigger)</f>
        <v>0.25555555555555554</v>
      </c>
      <c r="V117" s="167">
        <f>_xll.qlInterpolationInterpolate(B3Minterpolation,S117,TRUE)</f>
        <v>1.3294574595677055E-3</v>
      </c>
      <c r="W117" s="170">
        <f>_xll.qlYieldTSDiscount(Discounting,S117,,AllTriggers)</f>
        <v>1.0005689041710093</v>
      </c>
      <c r="X117" s="170">
        <f>_xll.qlYieldTSDiscount(Discounting,T117,,AllTriggers)</f>
        <v>1.000872203806209</v>
      </c>
      <c r="Y117" s="167">
        <f t="shared" si="15"/>
        <v>-1.1857904085695822E-3</v>
      </c>
      <c r="AD117" s="141"/>
      <c r="AE117" s="141"/>
    </row>
    <row r="118" spans="6:31" ht="11.25" customHeight="1" x14ac:dyDescent="0.2">
      <c r="F118" s="243"/>
      <c r="G118" s="243"/>
      <c r="H118" s="141"/>
      <c r="L118" s="141"/>
      <c r="M118" s="141"/>
      <c r="S118" s="169">
        <f>_xll.qlCalendarAdvance(Calendar,S117,"1D","f")</f>
        <v>42321</v>
      </c>
      <c r="T118" s="169">
        <f>_xll.qlCalendarAdvance(Calendar,S118,$F$1,"mf",,Trigger)</f>
        <v>42415</v>
      </c>
      <c r="U118" s="155">
        <f>_xll.qlDayCounterYearFraction(DayCounter,S118,T118,,,Trigger)</f>
        <v>0.26111111111111113</v>
      </c>
      <c r="V118" s="167">
        <f>_xll.qlInterpolationInterpolate(B3Minterpolation,S118,TRUE)</f>
        <v>1.3301755405665124E-3</v>
      </c>
      <c r="W118" s="170">
        <f>_xll.qlYieldTSDiscount(Discounting,S118,,AllTriggers)</f>
        <v>1.0005725986036034</v>
      </c>
      <c r="X118" s="170">
        <f>_xll.qlYieldTSDiscount(Discounting,T118,,AllTriggers)</f>
        <v>1.0008824909645773</v>
      </c>
      <c r="Y118" s="167">
        <f t="shared" si="15"/>
        <v>-1.1857753719332796E-3</v>
      </c>
      <c r="AD118" s="141"/>
      <c r="AE118" s="141"/>
    </row>
    <row r="119" spans="6:31" ht="11.25" customHeight="1" x14ac:dyDescent="0.2">
      <c r="F119" s="243"/>
      <c r="G119" s="243"/>
      <c r="H119" s="141"/>
      <c r="L119" s="141"/>
      <c r="M119" s="141"/>
      <c r="S119" s="169">
        <f>_xll.qlCalendarAdvance(Calendar,S118,"1D","f")</f>
        <v>42324</v>
      </c>
      <c r="T119" s="169">
        <f>_xll.qlCalendarAdvance(Calendar,S119,$F$1,"mf",,Trigger)</f>
        <v>42416</v>
      </c>
      <c r="U119" s="155">
        <f>_xll.qlDayCounterYearFraction(DayCounter,S119,T119,,,Trigger)</f>
        <v>0.25555555555555554</v>
      </c>
      <c r="V119" s="167">
        <f>_xll.qlInterpolationInterpolate(B3Minterpolation,S119,TRUE)</f>
        <v>1.332072781687451E-3</v>
      </c>
      <c r="W119" s="170">
        <f>_xll.qlYieldTSDiscount(Discounting,S119,,AllTriggers)</f>
        <v>1.0005836819832317</v>
      </c>
      <c r="X119" s="170">
        <f>_xll.qlYieldTSDiscount(Discounting,T119,,AllTriggers)</f>
        <v>1.0008859200408629</v>
      </c>
      <c r="Y119" s="167">
        <f t="shared" si="15"/>
        <v>-1.1816238360586584E-3</v>
      </c>
      <c r="AD119" s="141"/>
      <c r="AE119" s="141"/>
    </row>
    <row r="120" spans="6:31" ht="11.25" customHeight="1" x14ac:dyDescent="0.2">
      <c r="F120" s="243"/>
      <c r="G120" s="243"/>
      <c r="H120" s="141"/>
      <c r="L120" s="141"/>
      <c r="M120" s="141"/>
      <c r="S120" s="169">
        <f>_xll.qlCalendarAdvance(Calendar,S119,"1D","f")</f>
        <v>42325</v>
      </c>
      <c r="T120" s="169">
        <f>_xll.qlCalendarAdvance(Calendar,S120,$F$1,"mf",,Trigger)</f>
        <v>42417</v>
      </c>
      <c r="U120" s="155">
        <f>_xll.qlDayCounterYearFraction(DayCounter,S120,T120,,,Trigger)</f>
        <v>0.25555555555555554</v>
      </c>
      <c r="V120" s="167">
        <f>_xll.qlInterpolationInterpolate(B3Minterpolation,S120,TRUE)</f>
        <v>1.3326243868917362E-3</v>
      </c>
      <c r="W120" s="170">
        <f>_xll.qlYieldTSDiscount(Discounting,S120,,AllTriggers)</f>
        <v>1.0005873764703903</v>
      </c>
      <c r="X120" s="170">
        <f>_xll.qlYieldTSDiscount(Discounting,T120,,AllTriggers)</f>
        <v>1.0008893491288968</v>
      </c>
      <c r="Y120" s="167">
        <f t="shared" si="15"/>
        <v>-1.1805821922378948E-3</v>
      </c>
      <c r="AD120" s="141"/>
      <c r="AE120" s="141"/>
    </row>
    <row r="121" spans="6:31" ht="11.25" customHeight="1" x14ac:dyDescent="0.2">
      <c r="F121" s="243"/>
      <c r="G121" s="243"/>
      <c r="H121" s="141"/>
      <c r="L121" s="141"/>
      <c r="M121" s="141"/>
      <c r="S121" s="169">
        <f>_xll.qlCalendarAdvance(Calendar,S120,"1D","f")</f>
        <v>42326</v>
      </c>
      <c r="T121" s="169">
        <f>_xll.qlCalendarAdvance(Calendar,S121,$F$1,"mf",,Trigger)</f>
        <v>42418</v>
      </c>
      <c r="U121" s="155">
        <f>_xll.qlDayCounterYearFraction(DayCounter,S121,T121,,,Trigger)</f>
        <v>0.25555555555555554</v>
      </c>
      <c r="V121" s="167">
        <f>_xll.qlInterpolationInterpolate(B3Minterpolation,S121,TRUE)</f>
        <v>1.3331380172392411E-3</v>
      </c>
      <c r="W121" s="170">
        <f>_xll.qlYieldTSDiscount(Discounting,S121,,AllTriggers)</f>
        <v>1.00059107097119</v>
      </c>
      <c r="X121" s="170">
        <f>_xll.qlYieldTSDiscount(Discounting,T121,,AllTriggers)</f>
        <v>1.0008927782286787</v>
      </c>
      <c r="Y121" s="167">
        <f t="shared" si="15"/>
        <v>-1.1795405481386583E-3</v>
      </c>
      <c r="AD121" s="141"/>
      <c r="AE121" s="141"/>
    </row>
    <row r="122" spans="6:31" ht="11.25" customHeight="1" x14ac:dyDescent="0.2">
      <c r="F122" s="243"/>
      <c r="G122" s="243"/>
      <c r="H122" s="141"/>
      <c r="L122" s="141"/>
      <c r="M122" s="141"/>
      <c r="S122" s="169">
        <f>_xll.qlCalendarAdvance(Calendar,S121,"1D","f")</f>
        <v>42327</v>
      </c>
      <c r="T122" s="169">
        <f>_xll.qlCalendarAdvance(Calendar,S122,$F$1,"mf",,Trigger)</f>
        <v>42419</v>
      </c>
      <c r="U122" s="155">
        <f>_xll.qlDayCounterYearFraction(DayCounter,S122,T122,,,Trigger)</f>
        <v>0.25555555555555554</v>
      </c>
      <c r="V122" s="167">
        <f>_xll.qlInterpolationInterpolate(B3Minterpolation,S122,TRUE)</f>
        <v>1.3336151303667053E-3</v>
      </c>
      <c r="W122" s="170">
        <f>_xll.qlYieldTSDiscount(Discounting,S122,,AllTriggers)</f>
        <v>1.0005947654856313</v>
      </c>
      <c r="X122" s="170">
        <f>_xll.qlYieldTSDiscount(Discounting,T122,,AllTriggers)</f>
        <v>1.0008962073402092</v>
      </c>
      <c r="Y122" s="167">
        <f t="shared" si="15"/>
        <v>-1.1784989037631212E-3</v>
      </c>
      <c r="AD122" s="141"/>
      <c r="AE122" s="141"/>
    </row>
    <row r="123" spans="6:31" ht="11.25" customHeight="1" x14ac:dyDescent="0.2">
      <c r="F123" s="243"/>
      <c r="G123" s="243"/>
      <c r="H123" s="141"/>
      <c r="L123" s="141"/>
      <c r="M123" s="141"/>
      <c r="S123" s="169">
        <f>_xll.qlCalendarAdvance(Calendar,S122,"1D","f")</f>
        <v>42328</v>
      </c>
      <c r="T123" s="169">
        <f>_xll.qlCalendarAdvance(Calendar,S123,$F$1,"mf",,Trigger)</f>
        <v>42422</v>
      </c>
      <c r="U123" s="155">
        <f>_xll.qlDayCounterYearFraction(DayCounter,S123,T123,,,Trigger)</f>
        <v>0.26111111111111113</v>
      </c>
      <c r="V123" s="167">
        <f>_xll.qlInterpolationInterpolate(B3Minterpolation,S123,TRUE)</f>
        <v>1.3340571839108688E-3</v>
      </c>
      <c r="W123" s="170">
        <f>_xll.qlYieldTSDiscount(Discounting,S123,,AllTriggers)</f>
        <v>1.0005984600137137</v>
      </c>
      <c r="X123" s="170">
        <f>_xll.qlYieldTSDiscount(Discounting,T123,,AllTriggers)</f>
        <v>1.0009064947452901</v>
      </c>
      <c r="Y123" s="167">
        <f t="shared" si="15"/>
        <v>-1.1786390525255314E-3</v>
      </c>
      <c r="AD123" s="141"/>
      <c r="AE123" s="141"/>
    </row>
    <row r="124" spans="6:31" ht="11.25" customHeight="1" x14ac:dyDescent="0.2">
      <c r="F124" s="243"/>
      <c r="G124" s="243"/>
      <c r="H124" s="141"/>
      <c r="L124" s="141"/>
      <c r="M124" s="141"/>
      <c r="S124" s="169">
        <f>_xll.qlCalendarAdvance(Calendar,S123,"1D","f")</f>
        <v>42331</v>
      </c>
      <c r="T124" s="169">
        <f>_xll.qlCalendarAdvance(Calendar,S124,$F$1,"mf",,Trigger)</f>
        <v>42423</v>
      </c>
      <c r="U124" s="155">
        <f>_xll.qlDayCounterYearFraction(DayCounter,S124,T124,,,Trigger)</f>
        <v>0.25555555555555554</v>
      </c>
      <c r="V124" s="167">
        <f>_xll.qlInterpolationInterpolate(B3Minterpolation,S124,TRUE)</f>
        <v>1.3351875634109544E-3</v>
      </c>
      <c r="W124" s="170">
        <f>_xll.qlYieldTSDiscount(Discounting,S124,,AllTriggers)</f>
        <v>1.0006095436798099</v>
      </c>
      <c r="X124" s="170">
        <f>_xll.qlYieldTSDiscount(Discounting,T124,,AllTriggers)</f>
        <v>1.0009099239038142</v>
      </c>
      <c r="Y124" s="167">
        <f t="shared" si="15"/>
        <v>-1.1743323234862356E-3</v>
      </c>
      <c r="AD124" s="141"/>
      <c r="AE124" s="141"/>
    </row>
    <row r="125" spans="6:31" ht="11.25" customHeight="1" x14ac:dyDescent="0.2">
      <c r="F125" s="243"/>
      <c r="G125" s="243"/>
      <c r="H125" s="141"/>
      <c r="L125" s="141"/>
      <c r="M125" s="141"/>
      <c r="S125" s="169">
        <f>_xll.qlCalendarAdvance(Calendar,S124,"1D","f")</f>
        <v>42332</v>
      </c>
      <c r="T125" s="169">
        <f>_xll.qlCalendarAdvance(Calendar,S125,$F$1,"mf",,Trigger)</f>
        <v>42424</v>
      </c>
      <c r="U125" s="155">
        <f>_xll.qlDayCounterYearFraction(DayCounter,S125,T125,,,Trigger)</f>
        <v>0.25555555555555554</v>
      </c>
      <c r="V125" s="167">
        <f>_xll.qlInterpolationInterpolate(B3Minterpolation,S125,TRUE)</f>
        <v>1.3355039549893147E-3</v>
      </c>
      <c r="W125" s="170">
        <f>_xll.qlYieldTSDiscount(Discounting,S125,,AllTriggers)</f>
        <v>1.0006132382624584</v>
      </c>
      <c r="X125" s="170">
        <f>_xll.qlYieldTSDiscount(Discounting,T125,,AllTriggers)</f>
        <v>1.0009133530740866</v>
      </c>
      <c r="Y125" s="167">
        <f t="shared" si="15"/>
        <v>-1.1732906777239815E-3</v>
      </c>
      <c r="AD125" s="141"/>
      <c r="AE125" s="141"/>
    </row>
    <row r="126" spans="6:31" ht="11.25" customHeight="1" x14ac:dyDescent="0.2">
      <c r="F126" s="243"/>
      <c r="G126" s="243"/>
      <c r="H126" s="141"/>
      <c r="L126" s="141"/>
      <c r="M126" s="141"/>
      <c r="S126" s="169">
        <f>_xll.qlCalendarAdvance(Calendar,S125,"1D","f")</f>
        <v>42333</v>
      </c>
      <c r="T126" s="169">
        <f>_xll.qlCalendarAdvance(Calendar,S126,$F$1,"mf",,Trigger)</f>
        <v>42425</v>
      </c>
      <c r="U126" s="155">
        <f>_xll.qlDayCounterYearFraction(DayCounter,S126,T126,,,Trigger)</f>
        <v>0.25555555555555554</v>
      </c>
      <c r="V126" s="167">
        <f>_xll.qlInterpolationInterpolate(B3Minterpolation,S126,TRUE)</f>
        <v>1.3357925751680737E-3</v>
      </c>
      <c r="W126" s="170">
        <f>_xll.qlYieldTSDiscount(Discounting,S126,,AllTriggers)</f>
        <v>1.0006169328587484</v>
      </c>
      <c r="X126" s="170">
        <f>_xll.qlYieldTSDiscount(Discounting,T126,,AllTriggers)</f>
        <v>1.0009167822561071</v>
      </c>
      <c r="Y126" s="167">
        <f t="shared" si="15"/>
        <v>-1.1722490316828204E-3</v>
      </c>
      <c r="AD126" s="141"/>
      <c r="AE126" s="141"/>
    </row>
    <row r="127" spans="6:31" ht="11.25" customHeight="1" x14ac:dyDescent="0.2">
      <c r="F127" s="243"/>
      <c r="G127" s="243"/>
      <c r="H127" s="141"/>
      <c r="L127" s="141"/>
      <c r="M127" s="141"/>
      <c r="S127" s="169">
        <f>_xll.qlCalendarAdvance(Calendar,S126,"1D","f")</f>
        <v>42334</v>
      </c>
      <c r="T127" s="169">
        <f>_xll.qlCalendarAdvance(Calendar,S127,$F$1,"mf",,Trigger)</f>
        <v>42426</v>
      </c>
      <c r="U127" s="155">
        <f>_xll.qlDayCounterYearFraction(DayCounter,S127,T127,,,Trigger)</f>
        <v>0.25555555555555554</v>
      </c>
      <c r="V127" s="167">
        <f>_xll.qlInterpolationInterpolate(B3Minterpolation,S127,TRUE)</f>
        <v>1.3360548815839718E-3</v>
      </c>
      <c r="W127" s="170">
        <f>_xll.qlYieldTSDiscount(Discounting,S127,,AllTriggers)</f>
        <v>1.0006206274686802</v>
      </c>
      <c r="X127" s="170">
        <f>_xll.qlYieldTSDiscount(Discounting,T127,,AllTriggers)</f>
        <v>1.0009202114498768</v>
      </c>
      <c r="Y127" s="167">
        <f t="shared" si="15"/>
        <v>-1.1712073853662271E-3</v>
      </c>
      <c r="AD127" s="141"/>
      <c r="AE127" s="141"/>
    </row>
    <row r="128" spans="6:31" ht="11.25" customHeight="1" x14ac:dyDescent="0.2">
      <c r="F128" s="243"/>
      <c r="G128" s="243"/>
      <c r="H128" s="141"/>
      <c r="L128" s="141"/>
      <c r="M128" s="141"/>
      <c r="S128" s="169">
        <f>_xll.qlCalendarAdvance(Calendar,S127,"1D","f")</f>
        <v>42335</v>
      </c>
      <c r="T128" s="169">
        <f>_xll.qlCalendarAdvance(Calendar,S128,$F$1,"mf",,Trigger)</f>
        <v>42429</v>
      </c>
      <c r="U128" s="155">
        <f>_xll.qlDayCounterYearFraction(DayCounter,S128,T128,,,Trigger)</f>
        <v>0.26111111111111113</v>
      </c>
      <c r="V128" s="167">
        <f>_xll.qlInterpolationInterpolate(B3Minterpolation,S128,TRUE)</f>
        <v>1.3362923318737485E-3</v>
      </c>
      <c r="W128" s="170">
        <f>_xll.qlYieldTSDiscount(Discounting,S128,,AllTriggers)</f>
        <v>1.0006243220922539</v>
      </c>
      <c r="X128" s="170">
        <f>_xll.qlYieldTSDiscount(Discounting,T128,,AllTriggers)</f>
        <v>1.0009304991016765</v>
      </c>
      <c r="Y128" s="167">
        <f t="shared" si="15"/>
        <v>-1.1715027198156576E-3</v>
      </c>
      <c r="AD128" s="141"/>
      <c r="AE128" s="141"/>
    </row>
    <row r="129" spans="6:31" ht="11.25" customHeight="1" x14ac:dyDescent="0.2">
      <c r="F129" s="243"/>
      <c r="G129" s="243"/>
      <c r="H129" s="141"/>
      <c r="L129" s="141"/>
      <c r="M129" s="141"/>
      <c r="S129" s="169">
        <f>_xll.qlCalendarAdvance(Calendar,S128,"1D","f")</f>
        <v>42338</v>
      </c>
      <c r="T129" s="169">
        <f>_xll.qlCalendarAdvance(Calendar,S129,$F$1,"mf",,Trigger)</f>
        <v>42429</v>
      </c>
      <c r="U129" s="155">
        <f>_xll.qlDayCounterYearFraction(DayCounter,S129,T129,,,Trigger)</f>
        <v>0.25277777777777777</v>
      </c>
      <c r="V129" s="167">
        <f>_xll.qlInterpolationInterpolate(B3Minterpolation,S129,TRUE)</f>
        <v>1.3368701223537517E-3</v>
      </c>
      <c r="W129" s="170">
        <f>_xll.qlYieldTSDiscount(Discounting,S129,,AllTriggers)</f>
        <v>1.0006354060448253</v>
      </c>
      <c r="X129" s="170">
        <f>_xll.qlYieldTSDiscount(Discounting,T129,,AllTriggers)</f>
        <v>1.0009304991016765</v>
      </c>
      <c r="Y129" s="167">
        <f t="shared" si="15"/>
        <v>-1.1663158481778591E-3</v>
      </c>
      <c r="AD129" s="141"/>
      <c r="AE129" s="141"/>
    </row>
    <row r="130" spans="6:31" ht="11.25" customHeight="1" x14ac:dyDescent="0.2">
      <c r="F130" s="243"/>
      <c r="G130" s="243"/>
      <c r="H130" s="141"/>
      <c r="L130" s="141"/>
      <c r="M130" s="141"/>
      <c r="S130" s="169">
        <f>_xll.qlCalendarAdvance(Calendar,S129,"1D","f")</f>
        <v>42339</v>
      </c>
      <c r="T130" s="169">
        <f>_xll.qlCalendarAdvance(Calendar,S130,$F$1,"mf",,Trigger)</f>
        <v>42430</v>
      </c>
      <c r="U130" s="155">
        <f>_xll.qlDayCounterYearFraction(DayCounter,S130,T130,,,Trigger)</f>
        <v>0.25277777777777777</v>
      </c>
      <c r="V130" s="167">
        <f>_xll.qlInterpolationInterpolate(B3Minterpolation,S130,TRUE)</f>
        <v>1.3370227245064433E-3</v>
      </c>
      <c r="W130" s="170">
        <f>_xll.qlYieldTSDiscount(Discounting,S130,,AllTriggers)</f>
        <v>1.0006342976552827</v>
      </c>
      <c r="X130" s="170">
        <f>_xll.qlYieldTSDiscount(Discounting,T130,,AllTriggers)</f>
        <v>1.0009339283424408</v>
      </c>
      <c r="Y130" s="167">
        <f t="shared" si="15"/>
        <v>-1.184246167916267E-3</v>
      </c>
      <c r="AD130" s="141"/>
      <c r="AE130" s="141"/>
    </row>
    <row r="131" spans="6:31" ht="11.25" customHeight="1" x14ac:dyDescent="0.2">
      <c r="F131" s="243"/>
      <c r="G131" s="243"/>
      <c r="H131" s="141"/>
      <c r="L131" s="141"/>
      <c r="M131" s="141"/>
      <c r="S131" s="169">
        <f>_xll.qlCalendarAdvance(Calendar,S130,"1D","f")</f>
        <v>42340</v>
      </c>
      <c r="T131" s="169">
        <f>_xll.qlCalendarAdvance(Calendar,S131,$F$1,"mf",,Trigger)</f>
        <v>42431</v>
      </c>
      <c r="U131" s="155">
        <f>_xll.qlDayCounterYearFraction(DayCounter,S131,T131,,,Trigger)</f>
        <v>0.25277777777777777</v>
      </c>
      <c r="V131" s="167">
        <f>_xll.qlInterpolationInterpolate(B3Minterpolation,S131,TRUE)</f>
        <v>1.3371577587167136E-3</v>
      </c>
      <c r="W131" s="170">
        <f>_xll.qlYieldTSDiscount(Discounting,S131,,AllTriggers)</f>
        <v>1.0006379923293309</v>
      </c>
      <c r="X131" s="170">
        <f>_xll.qlYieldTSDiscount(Discounting,T131,,AllTriggers)</f>
        <v>1.0009373575949534</v>
      </c>
      <c r="Y131" s="167">
        <f t="shared" si="15"/>
        <v>-1.1831930747005595E-3</v>
      </c>
      <c r="AD131" s="141"/>
      <c r="AE131" s="141"/>
    </row>
    <row r="132" spans="6:31" ht="11.25" customHeight="1" x14ac:dyDescent="0.2">
      <c r="F132" s="243"/>
      <c r="G132" s="243"/>
      <c r="H132" s="141"/>
      <c r="L132" s="141"/>
      <c r="M132" s="141"/>
      <c r="S132" s="169">
        <f>_xll.qlCalendarAdvance(Calendar,S131,"1D","f")</f>
        <v>42341</v>
      </c>
      <c r="T132" s="169">
        <f>_xll.qlCalendarAdvance(Calendar,S132,$F$1,"mf",,Trigger)</f>
        <v>42432</v>
      </c>
      <c r="U132" s="155">
        <f>_xll.qlDayCounterYearFraction(DayCounter,S132,T132,,,Trigger)</f>
        <v>0.25277777777777777</v>
      </c>
      <c r="V132" s="167">
        <f>_xll.qlInterpolationInterpolate(B3Minterpolation,S132,TRUE)</f>
        <v>1.3372766826213022E-3</v>
      </c>
      <c r="W132" s="170">
        <f>_xll.qlYieldTSDiscount(Discounting,S132,,AllTriggers)</f>
        <v>1.0006416870170214</v>
      </c>
      <c r="X132" s="170">
        <f>_xll.qlYieldTSDiscount(Discounting,T132,,AllTriggers)</f>
        <v>1.0009407868592151</v>
      </c>
      <c r="Y132" s="167">
        <f t="shared" ref="Y132:Y195" si="16">(W132/X132-1)/U132</f>
        <v>-1.1821399812037582E-3</v>
      </c>
      <c r="AD132" s="141"/>
      <c r="AE132" s="141"/>
    </row>
    <row r="133" spans="6:31" ht="11.25" customHeight="1" x14ac:dyDescent="0.2">
      <c r="F133" s="243"/>
      <c r="G133" s="243"/>
      <c r="H133" s="141"/>
      <c r="L133" s="141"/>
      <c r="M133" s="141"/>
      <c r="S133" s="169">
        <f>_xll.qlCalendarAdvance(Calendar,S132,"1D","f")</f>
        <v>42342</v>
      </c>
      <c r="T133" s="169">
        <f>_xll.qlCalendarAdvance(Calendar,S133,$F$1,"mf",,Trigger)</f>
        <v>42433</v>
      </c>
      <c r="U133" s="155">
        <f>_xll.qlDayCounterYearFraction(DayCounter,S133,T133,,,Trigger)</f>
        <v>0.25277777777777777</v>
      </c>
      <c r="V133" s="167">
        <f>_xll.qlInterpolationInterpolate(B3Minterpolation,S133,TRUE)</f>
        <v>1.3373809538569494E-3</v>
      </c>
      <c r="W133" s="170">
        <f>_xll.qlYieldTSDiscount(Discounting,S133,,AllTriggers)</f>
        <v>1.0006453817183538</v>
      </c>
      <c r="X133" s="170">
        <f>_xll.qlYieldTSDiscount(Discounting,T133,,AllTriggers)</f>
        <v>1.0009442161352256</v>
      </c>
      <c r="Y133" s="167">
        <f t="shared" si="16"/>
        <v>-1.181086887427181E-3</v>
      </c>
      <c r="AD133" s="141"/>
      <c r="AE133" s="141"/>
    </row>
    <row r="134" spans="6:31" ht="11.25" customHeight="1" x14ac:dyDescent="0.2">
      <c r="F134" s="243"/>
      <c r="G134" s="243"/>
      <c r="H134" s="141"/>
      <c r="L134" s="141"/>
      <c r="M134" s="141"/>
      <c r="S134" s="169">
        <f>_xll.qlCalendarAdvance(Calendar,S133,"1D","f")</f>
        <v>42345</v>
      </c>
      <c r="T134" s="169">
        <f>_xll.qlCalendarAdvance(Calendar,S134,$F$1,"mf",,Trigger)</f>
        <v>42436</v>
      </c>
      <c r="U134" s="155">
        <f>_xll.qlDayCounterYearFraction(DayCounter,S134,T134,,,Trigger)</f>
        <v>0.25277777777777777</v>
      </c>
      <c r="V134" s="167">
        <f>_xll.qlInterpolationInterpolate(B3Minterpolation,S134,TRUE)</f>
        <v>1.33762042791764E-3</v>
      </c>
      <c r="W134" s="170">
        <f>_xll.qlYieldTSDiscount(Discounting,S134,,AllTriggers)</f>
        <v>1.0006564659042034</v>
      </c>
      <c r="X134" s="170">
        <f>_xll.qlYieldTSDiscount(Discounting,T134,,AllTriggers)</f>
        <v>1.0009545040337504</v>
      </c>
      <c r="Y134" s="167">
        <f t="shared" si="16"/>
        <v>-1.1779276044152779E-3</v>
      </c>
      <c r="AD134" s="141"/>
      <c r="AE134" s="141"/>
    </row>
    <row r="135" spans="6:31" ht="11.25" customHeight="1" x14ac:dyDescent="0.2">
      <c r="F135" s="243"/>
      <c r="G135" s="243"/>
      <c r="H135" s="141"/>
      <c r="L135" s="141"/>
      <c r="M135" s="141"/>
      <c r="S135" s="169">
        <f>_xll.qlCalendarAdvance(Calendar,S134,"1D","f")</f>
        <v>42346</v>
      </c>
      <c r="T135" s="169">
        <f>_xll.qlCalendarAdvance(Calendar,S135,$F$1,"mf",,Trigger)</f>
        <v>42437</v>
      </c>
      <c r="U135" s="155">
        <f>_xll.qlDayCounterYearFraction(DayCounter,S135,T135,,,Trigger)</f>
        <v>0.25277777777777777</v>
      </c>
      <c r="V135" s="167">
        <f>_xll.qlInterpolationInterpolate(B3Minterpolation,S135,TRUE)</f>
        <v>1.3376806648449199E-3</v>
      </c>
      <c r="W135" s="170">
        <f>_xll.qlYieldTSDiscount(Discounting,S135,,AllTriggers)</f>
        <v>1.0006601606601042</v>
      </c>
      <c r="X135" s="170">
        <f>_xll.qlYieldTSDiscount(Discounting,T135,,AllTriggers)</f>
        <v>1.0009579333567564</v>
      </c>
      <c r="Y135" s="167">
        <f t="shared" si="16"/>
        <v>-1.1768745095165211E-3</v>
      </c>
      <c r="AD135" s="141"/>
      <c r="AE135" s="141"/>
    </row>
    <row r="136" spans="6:31" ht="11.25" customHeight="1" x14ac:dyDescent="0.2">
      <c r="F136" s="243"/>
      <c r="G136" s="243"/>
      <c r="H136" s="141"/>
      <c r="L136" s="141"/>
      <c r="M136" s="141"/>
      <c r="S136" s="169">
        <f>_xll.qlCalendarAdvance(Calendar,S135,"1D","f")</f>
        <v>42347</v>
      </c>
      <c r="T136" s="169">
        <f>_xll.qlCalendarAdvance(Calendar,S136,$F$1,"mf",,Trigger)</f>
        <v>42438</v>
      </c>
      <c r="U136" s="155">
        <f>_xll.qlDayCounterYearFraction(DayCounter,S136,T136,,,Trigger)</f>
        <v>0.25277777777777777</v>
      </c>
      <c r="V136" s="167">
        <f>_xll.qlInterpolationInterpolate(B3Minterpolation,S136,TRUE)</f>
        <v>1.337733537286958E-3</v>
      </c>
      <c r="W136" s="170">
        <f>_xll.qlYieldTSDiscount(Discounting,S136,,AllTriggers)</f>
        <v>1.0006638554296474</v>
      </c>
      <c r="X136" s="170">
        <f>_xll.qlYieldTSDiscount(Discounting,T136,,AllTriggers)</f>
        <v>1.0009613626915119</v>
      </c>
      <c r="Y136" s="167">
        <f t="shared" si="16"/>
        <v>-1.1758214143384274E-3</v>
      </c>
      <c r="AD136" s="141"/>
      <c r="AE136" s="141"/>
    </row>
    <row r="137" spans="6:31" ht="11.25" customHeight="1" x14ac:dyDescent="0.2">
      <c r="F137" s="243"/>
      <c r="G137" s="243"/>
      <c r="H137" s="141"/>
      <c r="L137" s="141"/>
      <c r="M137" s="141"/>
      <c r="S137" s="169">
        <f>_xll.qlCalendarAdvance(Calendar,S136,"1D","f")</f>
        <v>42348</v>
      </c>
      <c r="T137" s="169">
        <f>_xll.qlCalendarAdvance(Calendar,S137,$F$1,"mf",,Trigger)</f>
        <v>42439</v>
      </c>
      <c r="U137" s="155">
        <f>_xll.qlDayCounterYearFraction(DayCounter,S137,T137,,,Trigger)</f>
        <v>0.25277777777777777</v>
      </c>
      <c r="V137" s="167">
        <f>_xll.qlInterpolationInterpolate(B3Minterpolation,S137,TRUE)</f>
        <v>1.337780502880494E-3</v>
      </c>
      <c r="W137" s="170">
        <f>_xll.qlYieldTSDiscount(Discounting,S137,,AllTriggers)</f>
        <v>1.000667746479855</v>
      </c>
      <c r="X137" s="170">
        <f>_xll.qlYieldTSDiscount(Discounting,T137,,AllTriggers)</f>
        <v>1.0009647920380162</v>
      </c>
      <c r="Y137" s="167">
        <f t="shared" si="16"/>
        <v>-1.1739926262947893E-3</v>
      </c>
      <c r="AD137" s="141"/>
      <c r="AE137" s="141"/>
    </row>
    <row r="138" spans="6:31" ht="11.25" customHeight="1" x14ac:dyDescent="0.2">
      <c r="F138" s="243"/>
      <c r="G138" s="243"/>
      <c r="H138" s="141"/>
      <c r="L138" s="141"/>
      <c r="M138" s="141"/>
      <c r="S138" s="169">
        <f>_xll.qlCalendarAdvance(Calendar,S137,"1D","f")</f>
        <v>42349</v>
      </c>
      <c r="T138" s="169">
        <f>_xll.qlCalendarAdvance(Calendar,S138,$F$1,"mf",,Trigger)</f>
        <v>42440</v>
      </c>
      <c r="U138" s="155">
        <f>_xll.qlDayCounterYearFraction(DayCounter,S138,T138,,,Trigger)</f>
        <v>0.25277777777777777</v>
      </c>
      <c r="V138" s="167">
        <f>_xll.qlInterpolationInterpolate(B3Minterpolation,S138,TRUE)</f>
        <v>1.3378230192622679E-3</v>
      </c>
      <c r="W138" s="170">
        <f>_xll.qlYieldTSDiscount(Discounting,S138,,AllTriggers)</f>
        <v>1.0006716375451925</v>
      </c>
      <c r="X138" s="170">
        <f>_xll.qlYieldTSDiscount(Discounting,T138,,AllTriggers)</f>
        <v>1.0009682213962696</v>
      </c>
      <c r="Y138" s="167">
        <f t="shared" si="16"/>
        <v>-1.1721638374065522E-3</v>
      </c>
      <c r="AD138" s="141"/>
      <c r="AE138" s="141"/>
    </row>
    <row r="139" spans="6:31" ht="11.25" customHeight="1" x14ac:dyDescent="0.2">
      <c r="F139" s="243"/>
      <c r="G139" s="243"/>
      <c r="H139" s="141"/>
      <c r="L139" s="141"/>
      <c r="M139" s="141"/>
      <c r="S139" s="169">
        <f>_xll.qlCalendarAdvance(Calendar,S138,"1D","f")</f>
        <v>42352</v>
      </c>
      <c r="T139" s="169">
        <f>_xll.qlCalendarAdvance(Calendar,S139,$F$1,"mf",,Trigger)</f>
        <v>42443</v>
      </c>
      <c r="U139" s="155">
        <f>_xll.qlDayCounterYearFraction(DayCounter,S139,T139,,,Trigger)</f>
        <v>0.25277777777777777</v>
      </c>
      <c r="V139" s="167">
        <f>_xll.qlInterpolationInterpolate(B3Minterpolation,S139,TRUE)</f>
        <v>1.3379384495044164E-3</v>
      </c>
      <c r="W139" s="170">
        <f>_xll.qlYieldTSDiscount(Discounting,S139,,AllTriggers)</f>
        <v>1.000683310831987</v>
      </c>
      <c r="X139" s="170">
        <f>_xll.qlYieldTSDiscount(Discounting,T139,,AllTriggers)</f>
        <v>1.0009785095415251</v>
      </c>
      <c r="Y139" s="167">
        <f t="shared" si="16"/>
        <v>-1.1666774656680968E-3</v>
      </c>
      <c r="AD139" s="141"/>
      <c r="AE139" s="141"/>
    </row>
    <row r="140" spans="6:31" ht="11.25" customHeight="1" x14ac:dyDescent="0.2">
      <c r="F140" s="243"/>
      <c r="G140" s="243"/>
      <c r="H140" s="141"/>
      <c r="L140" s="141"/>
      <c r="M140" s="141"/>
      <c r="S140" s="169">
        <f>_xll.qlCalendarAdvance(Calendar,S139,"1D","f")</f>
        <v>42353</v>
      </c>
      <c r="T140" s="169">
        <f>_xll.qlCalendarAdvance(Calendar,S140,$F$1,"mf",,Trigger)</f>
        <v>42444</v>
      </c>
      <c r="U140" s="155">
        <f>_xll.qlDayCounterYearFraction(DayCounter,S140,T140,,,Trigger)</f>
        <v>0.25277777777777777</v>
      </c>
      <c r="V140" s="167">
        <f>_xll.qlInterpolationInterpolate(B3Minterpolation,S140,TRUE)</f>
        <v>1.3379777454065416E-3</v>
      </c>
      <c r="W140" s="170">
        <f>_xll.qlYieldTSDiscount(Discounting,S140,,AllTriggers)</f>
        <v>1.0006872019578461</v>
      </c>
      <c r="X140" s="170">
        <f>_xll.qlYieldTSDiscount(Discounting,T140,,AllTriggers)</f>
        <v>1.0009819389467753</v>
      </c>
      <c r="Y140" s="167">
        <f t="shared" si="16"/>
        <v>-1.1648486733966319E-3</v>
      </c>
      <c r="AD140" s="141"/>
      <c r="AE140" s="141"/>
    </row>
    <row r="141" spans="6:31" ht="11.25" customHeight="1" x14ac:dyDescent="0.2">
      <c r="F141" s="243"/>
      <c r="G141" s="243"/>
      <c r="H141" s="141"/>
      <c r="L141" s="141"/>
      <c r="M141" s="141"/>
      <c r="S141" s="169">
        <f>_xll.qlCalendarAdvance(Calendar,S140,"1D","f")</f>
        <v>42354</v>
      </c>
      <c r="T141" s="169">
        <f>_xll.qlCalendarAdvance(Calendar,S141,$F$1,"mf",,Trigger)</f>
        <v>42445</v>
      </c>
      <c r="U141" s="155">
        <f>_xll.qlDayCounterYearFraction(DayCounter,S141,T141,,,Trigger)</f>
        <v>0.25277777777777777</v>
      </c>
      <c r="V141" s="167">
        <f>_xll.qlInterpolationInterpolate(B3Minterpolation,S141,TRUE)</f>
        <v>1.338019880280604E-3</v>
      </c>
      <c r="W141" s="170">
        <f>_xll.qlYieldTSDiscount(Discounting,S141,,AllTriggers)</f>
        <v>1.0006910930988357</v>
      </c>
      <c r="X141" s="170">
        <f>_xll.qlYieldTSDiscount(Discounting,T141,,AllTriggers)</f>
        <v>1.0009853683637753</v>
      </c>
      <c r="Y141" s="167">
        <f t="shared" si="16"/>
        <v>-1.1630198802805678E-3</v>
      </c>
      <c r="AD141" s="141"/>
      <c r="AE141" s="141"/>
    </row>
    <row r="142" spans="6:31" ht="11.25" customHeight="1" x14ac:dyDescent="0.2">
      <c r="F142" s="243"/>
      <c r="G142" s="243"/>
      <c r="H142" s="141"/>
      <c r="L142" s="141"/>
      <c r="M142" s="141"/>
      <c r="S142" s="169">
        <f>_xll.qlCalendarAdvance(Calendar,S141,"1D","f")</f>
        <v>42355</v>
      </c>
      <c r="T142" s="169">
        <f>_xll.qlCalendarAdvance(Calendar,S142,$F$1,"mf",,Trigger)</f>
        <v>42446</v>
      </c>
      <c r="U142" s="155">
        <f>_xll.qlDayCounterYearFraction(DayCounter,S142,T142,,,Trigger)</f>
        <v>0.25277777777777777</v>
      </c>
      <c r="V142" s="167">
        <f>_xll.qlInterpolationInterpolate(B3Minterpolation,S142,TRUE)</f>
        <v>1.3380844490028161E-3</v>
      </c>
      <c r="W142" s="170">
        <f>_xll.qlYieldTSDiscount(Discounting,S142,,AllTriggers)</f>
        <v>1.000694984254956</v>
      </c>
      <c r="X142" s="170">
        <f>_xll.qlYieldTSDiscount(Discounting,T142,,AllTriggers)</f>
        <v>1.0009884549399519</v>
      </c>
      <c r="Y142" s="167">
        <f t="shared" si="16"/>
        <v>-1.1598364835528055E-3</v>
      </c>
      <c r="AD142" s="141"/>
      <c r="AE142" s="141"/>
    </row>
    <row r="143" spans="6:31" ht="11.25" customHeight="1" x14ac:dyDescent="0.2">
      <c r="F143" s="243"/>
      <c r="G143" s="243"/>
      <c r="H143" s="141"/>
      <c r="L143" s="141"/>
      <c r="M143" s="141"/>
      <c r="S143" s="169">
        <f>_xll.qlCalendarAdvance(Calendar,S142,"1D","f")</f>
        <v>42356</v>
      </c>
      <c r="T143" s="169">
        <f>_xll.qlCalendarAdvance(Calendar,S143,$F$1,"mf",,Trigger)</f>
        <v>42447</v>
      </c>
      <c r="U143" s="155">
        <f>_xll.qlDayCounterYearFraction(DayCounter,S143,T143,,,Trigger)</f>
        <v>0.25277777777777777</v>
      </c>
      <c r="V143" s="167">
        <f>_xll.qlInterpolationInterpolate(B3Minterpolation,S143,TRUE)</f>
        <v>1.3381895180389232E-3</v>
      </c>
      <c r="W143" s="170">
        <f>_xll.qlYieldTSDiscount(Discounting,S143,,AllTriggers)</f>
        <v>1.0006988754262067</v>
      </c>
      <c r="X143" s="170">
        <f>_xll.qlYieldTSDiscount(Discounting,T143,,AllTriggers)</f>
        <v>1.0009915415256461</v>
      </c>
      <c r="Y143" s="167">
        <f t="shared" si="16"/>
        <v>-1.1566530842622579E-3</v>
      </c>
      <c r="AD143" s="141"/>
      <c r="AE143" s="141"/>
    </row>
    <row r="144" spans="6:31" ht="11.25" customHeight="1" x14ac:dyDescent="0.2">
      <c r="F144" s="243"/>
      <c r="G144" s="243"/>
      <c r="H144" s="141"/>
      <c r="L144" s="141"/>
      <c r="M144" s="141"/>
      <c r="S144" s="169">
        <f>_xll.qlCalendarAdvance(Calendar,S143,"1D","f")</f>
        <v>42359</v>
      </c>
      <c r="T144" s="169">
        <f>_xll.qlCalendarAdvance(Calendar,S144,$F$1,"mf",,Trigger)</f>
        <v>42450</v>
      </c>
      <c r="U144" s="155">
        <f>_xll.qlDayCounterYearFraction(DayCounter,S144,T144,,,Trigger)</f>
        <v>0.25277777777777777</v>
      </c>
      <c r="V144" s="167">
        <f>_xll.qlInterpolationInterpolate(B3Minterpolation,S144,TRUE)</f>
        <v>1.3387393772410152E-3</v>
      </c>
      <c r="W144" s="170">
        <f>_xll.qlYieldTSDiscount(Discounting,S144,,AllTriggers)</f>
        <v>1.0007105490307435</v>
      </c>
      <c r="X144" s="170">
        <f>_xll.qlYieldTSDiscount(Discounting,T144,,AllTriggers)</f>
        <v>1.0010008013398346</v>
      </c>
      <c r="Y144" s="167">
        <f t="shared" si="16"/>
        <v>-1.1471028710174182E-3</v>
      </c>
      <c r="AD144" s="141"/>
      <c r="AE144" s="141"/>
    </row>
    <row r="145" spans="6:31" ht="11.25" customHeight="1" x14ac:dyDescent="0.2">
      <c r="F145" s="243"/>
      <c r="G145" s="243"/>
      <c r="H145" s="141"/>
      <c r="L145" s="141"/>
      <c r="M145" s="141"/>
      <c r="S145" s="169">
        <f>_xll.qlCalendarAdvance(Calendar,S144,"1D","f")</f>
        <v>42360</v>
      </c>
      <c r="T145" s="169">
        <f>_xll.qlCalendarAdvance(Calendar,S145,$F$1,"mf",,Trigger)</f>
        <v>42451</v>
      </c>
      <c r="U145" s="155">
        <f>_xll.qlDayCounterYearFraction(DayCounter,S145,T145,,,Trigger)</f>
        <v>0.25277777777777777</v>
      </c>
      <c r="V145" s="167">
        <f>_xll.qlInterpolationInterpolate(B3Minterpolation,S145,TRUE)</f>
        <v>1.3389980977431028E-3</v>
      </c>
      <c r="W145" s="170">
        <f>_xll.qlYieldTSDiscount(Discounting,S145,,AllTriggers)</f>
        <v>1.0007144402625174</v>
      </c>
      <c r="X145" s="170">
        <f>_xll.qlYieldTSDiscount(Discounting,T145,,AllTriggers)</f>
        <v>1.0010038879635994</v>
      </c>
      <c r="Y145" s="167">
        <f t="shared" si="16"/>
        <v>-1.1439194614774868E-3</v>
      </c>
      <c r="AD145" s="141"/>
      <c r="AE145" s="141"/>
    </row>
    <row r="146" spans="6:31" ht="11.25" customHeight="1" x14ac:dyDescent="0.2">
      <c r="F146" s="243"/>
      <c r="G146" s="243"/>
      <c r="H146" s="141"/>
      <c r="L146" s="141"/>
      <c r="M146" s="141"/>
      <c r="S146" s="169">
        <f>_xll.qlCalendarAdvance(Calendar,S145,"1D","f")</f>
        <v>42361</v>
      </c>
      <c r="T146" s="169">
        <f>_xll.qlCalendarAdvance(Calendar,S146,$F$1,"mf",,Trigger)</f>
        <v>42452</v>
      </c>
      <c r="U146" s="155">
        <f>_xll.qlDayCounterYearFraction(DayCounter,S146,T146,,,Trigger)</f>
        <v>0.25277777777777777</v>
      </c>
      <c r="V146" s="167">
        <f>_xll.qlInterpolationInterpolate(B3Minterpolation,S146,TRUE)</f>
        <v>1.3392931436642854E-3</v>
      </c>
      <c r="W146" s="170">
        <f>_xll.qlYieldTSDiscount(Discounting,S146,,AllTriggers)</f>
        <v>1.0007183315094224</v>
      </c>
      <c r="X146" s="170">
        <f>_xll.qlYieldTSDiscount(Discounting,T146,,AllTriggers)</f>
        <v>1.0010069745968817</v>
      </c>
      <c r="Y146" s="167">
        <f t="shared" si="16"/>
        <v>-1.140736049373892E-3</v>
      </c>
      <c r="AD146" s="141"/>
      <c r="AE146" s="141"/>
    </row>
    <row r="147" spans="6:31" ht="11.25" customHeight="1" x14ac:dyDescent="0.2">
      <c r="F147" s="243"/>
      <c r="G147" s="243"/>
      <c r="H147" s="141"/>
      <c r="L147" s="141"/>
      <c r="M147" s="141"/>
      <c r="S147" s="169">
        <f>_xll.qlCalendarAdvance(Calendar,S146,"1D","f")</f>
        <v>42362</v>
      </c>
      <c r="T147" s="169">
        <f>_xll.qlCalendarAdvance(Calendar,S147,$F$1,"mf",,Trigger)</f>
        <v>42453</v>
      </c>
      <c r="U147" s="155">
        <f>_xll.qlDayCounterYearFraction(DayCounter,S147,T147,,,Trigger)</f>
        <v>0.25277777777777777</v>
      </c>
      <c r="V147" s="167">
        <f>_xll.qlInterpolationInterpolate(B3Minterpolation,S147,TRUE)</f>
        <v>1.3396236800256034E-3</v>
      </c>
      <c r="W147" s="170">
        <f>_xll.qlYieldTSDiscount(Discounting,S147,,AllTriggers)</f>
        <v>1.0007222227714583</v>
      </c>
      <c r="X147" s="170">
        <f>_xll.qlYieldTSDiscount(Discounting,T147,,AllTriggers)</f>
        <v>1.0010100612396822</v>
      </c>
      <c r="Y147" s="167">
        <f t="shared" si="16"/>
        <v>-1.137552634709708E-3</v>
      </c>
      <c r="AD147" s="141"/>
      <c r="AE147" s="141"/>
    </row>
    <row r="148" spans="6:31" ht="11.25" customHeight="1" x14ac:dyDescent="0.2">
      <c r="F148" s="243"/>
      <c r="G148" s="243"/>
      <c r="H148" s="141"/>
      <c r="L148" s="141"/>
      <c r="M148" s="141"/>
      <c r="S148" s="169">
        <f>_xll.qlCalendarAdvance(Calendar,S147,"1D","f")</f>
        <v>42366</v>
      </c>
      <c r="T148" s="169">
        <f>_xll.qlCalendarAdvance(Calendar,S148,$F$1,"mf",,Trigger)</f>
        <v>42458</v>
      </c>
      <c r="U148" s="155">
        <f>_xll.qlDayCounterYearFraction(DayCounter,S148,T148,,,Trigger)</f>
        <v>0.25555555555555554</v>
      </c>
      <c r="V148" s="167">
        <f>_xll.qlInterpolationInterpolate(B3Minterpolation,S148,TRUE)</f>
        <v>1.3412840302930279E-3</v>
      </c>
      <c r="W148" s="170">
        <f>_xll.qlYieldTSDiscount(Discounting,S148,,AllTriggers)</f>
        <v>1.000737787970913</v>
      </c>
      <c r="X148" s="170">
        <f>_xll.qlYieldTSDiscount(Discounting,T148,,AllTriggers)</f>
        <v>1.001025494596451</v>
      </c>
      <c r="Y148" s="167">
        <f t="shared" si="16"/>
        <v>-1.1246552068763674E-3</v>
      </c>
      <c r="AD148" s="141"/>
      <c r="AE148" s="141"/>
    </row>
    <row r="149" spans="6:31" ht="11.25" customHeight="1" x14ac:dyDescent="0.2">
      <c r="F149" s="243"/>
      <c r="G149" s="243"/>
      <c r="H149" s="141"/>
      <c r="L149" s="141"/>
      <c r="M149" s="141"/>
      <c r="S149" s="169">
        <f>_xll.qlCalendarAdvance(Calendar,S148,"1D","f")</f>
        <v>42367</v>
      </c>
      <c r="T149" s="169">
        <f>_xll.qlCalendarAdvance(Calendar,S149,$F$1,"mf",,Trigger)</f>
        <v>42458</v>
      </c>
      <c r="U149" s="155">
        <f>_xll.qlDayCounterYearFraction(DayCounter,S149,T149,,,Trigger)</f>
        <v>0.25277777777777777</v>
      </c>
      <c r="V149" s="167">
        <f>_xll.qlInterpolationInterpolate(B3Minterpolation,S149,TRUE)</f>
        <v>1.3417794941706226E-3</v>
      </c>
      <c r="W149" s="170">
        <f>_xll.qlYieldTSDiscount(Discounting,S149,,AllTriggers)</f>
        <v>1.0007416793086048</v>
      </c>
      <c r="X149" s="170">
        <f>_xll.qlYieldTSDiscount(Discounting,T149,,AllTriggers)</f>
        <v>1.001025494596451</v>
      </c>
      <c r="Y149" s="167">
        <f t="shared" si="16"/>
        <v>-1.121635522948768E-3</v>
      </c>
      <c r="AD149" s="141"/>
      <c r="AE149" s="141"/>
    </row>
    <row r="150" spans="6:31" ht="11.25" customHeight="1" x14ac:dyDescent="0.2">
      <c r="F150" s="243"/>
      <c r="G150" s="243"/>
      <c r="H150" s="141"/>
      <c r="L150" s="141"/>
      <c r="M150" s="141"/>
      <c r="S150" s="169">
        <f>_xll.qlCalendarAdvance(Calendar,S149,"1D","f")</f>
        <v>42368</v>
      </c>
      <c r="T150" s="169">
        <f>_xll.qlCalendarAdvance(Calendar,S150,$F$1,"mf",,Trigger)</f>
        <v>42459</v>
      </c>
      <c r="U150" s="155">
        <f>_xll.qlDayCounterYearFraction(DayCounter,S150,T150,,,Trigger)</f>
        <v>0.25277777777777777</v>
      </c>
      <c r="V150" s="167">
        <f>_xll.qlInterpolationInterpolate(B3Minterpolation,S150,TRUE)</f>
        <v>1.3423054386145926E-3</v>
      </c>
      <c r="W150" s="170">
        <f>_xll.qlYieldTSDiscount(Discounting,S150,,AllTriggers)</f>
        <v>1.0007455706614277</v>
      </c>
      <c r="X150" s="170">
        <f>_xll.qlYieldTSDiscount(Discounting,T150,,AllTriggers)</f>
        <v>1.0010285812963584</v>
      </c>
      <c r="Y150" s="167">
        <f t="shared" si="16"/>
        <v>-1.1184520929105083E-3</v>
      </c>
      <c r="AD150" s="141"/>
      <c r="AE150" s="141"/>
    </row>
    <row r="151" spans="6:31" ht="11.25" customHeight="1" x14ac:dyDescent="0.2">
      <c r="F151" s="243"/>
      <c r="G151" s="243"/>
      <c r="H151" s="141"/>
      <c r="L151" s="141"/>
      <c r="M151" s="141"/>
      <c r="S151" s="169">
        <f>_xll.qlCalendarAdvance(Calendar,S150,"1D","f")</f>
        <v>42369</v>
      </c>
      <c r="T151" s="169">
        <f>_xll.qlCalendarAdvance(Calendar,S151,$F$1,"mf",,Trigger)</f>
        <v>42460</v>
      </c>
      <c r="U151" s="155">
        <f>_xll.qlDayCounterYearFraction(DayCounter,S151,T151,,,Trigger)</f>
        <v>0.25277777777777777</v>
      </c>
      <c r="V151" s="167">
        <f>_xll.qlInterpolationInterpolate(B3Minterpolation,S151,TRUE)</f>
        <v>1.342861028645978E-3</v>
      </c>
      <c r="W151" s="170">
        <f>_xll.qlYieldTSDiscount(Discounting,S151,,AllTriggers)</f>
        <v>1.0007494620293822</v>
      </c>
      <c r="X151" s="170">
        <f>_xll.qlYieldTSDiscount(Discounting,T151,,AllTriggers)</f>
        <v>1.0010316680057836</v>
      </c>
      <c r="Y151" s="167">
        <f t="shared" si="16"/>
        <v>-1.1152686603072676E-3</v>
      </c>
      <c r="AD151" s="141"/>
      <c r="AE151" s="141"/>
    </row>
    <row r="152" spans="6:31" ht="11.25" customHeight="1" x14ac:dyDescent="0.2">
      <c r="F152" s="243"/>
      <c r="G152" s="243"/>
      <c r="H152" s="141"/>
      <c r="L152" s="141"/>
      <c r="M152" s="141"/>
      <c r="S152" s="169">
        <f>_xll.qlCalendarAdvance(Calendar,S151,"1D","f")</f>
        <v>42373</v>
      </c>
      <c r="T152" s="169">
        <f>_xll.qlCalendarAdvance(Calendar,S152,$F$1,"mf",,Trigger)</f>
        <v>42464</v>
      </c>
      <c r="U152" s="155">
        <f>_xll.qlDayCounterYearFraction(DayCounter,S152,T152,,,Trigger)</f>
        <v>0.25277777777777777</v>
      </c>
      <c r="V152" s="167">
        <f>_xll.qlInterpolationInterpolate(B3Minterpolation,S152,TRUE)</f>
        <v>1.3453631450664751E-3</v>
      </c>
      <c r="W152" s="170">
        <f>_xll.qlYieldTSDiscount(Discounting,S152,,AllTriggers)</f>
        <v>1.000735705237205</v>
      </c>
      <c r="X152" s="170">
        <f>_xll.qlYieldTSDiscount(Discounting,T152,,AllTriggers)</f>
        <v>1.001044014938665</v>
      </c>
      <c r="Y152" s="167">
        <f t="shared" si="16"/>
        <v>-1.2184146879147006E-3</v>
      </c>
      <c r="AD152" s="141"/>
      <c r="AE152" s="141"/>
    </row>
    <row r="153" spans="6:31" ht="11.25" customHeight="1" x14ac:dyDescent="0.2">
      <c r="F153" s="243"/>
      <c r="G153" s="243"/>
      <c r="H153" s="141"/>
      <c r="L153" s="141"/>
      <c r="M153" s="141"/>
      <c r="S153" s="169">
        <f>_xll.qlCalendarAdvance(Calendar,S152,"1D","f")</f>
        <v>42374</v>
      </c>
      <c r="T153" s="169">
        <f>_xll.qlCalendarAdvance(Calendar,S153,$F$1,"mf",,Trigger)</f>
        <v>42465</v>
      </c>
      <c r="U153" s="155">
        <f>_xll.qlDayCounterYearFraction(DayCounter,S153,T153,,,Trigger)</f>
        <v>0.25277777777777777</v>
      </c>
      <c r="V153" s="167">
        <f>_xll.qlInterpolationInterpolate(B3Minterpolation,S153,TRUE)</f>
        <v>1.3460544383505386E-3</v>
      </c>
      <c r="W153" s="170">
        <f>_xll.qlYieldTSDiscount(Discounting,S153,,AllTriggers)</f>
        <v>1.000739596566798</v>
      </c>
      <c r="X153" s="170">
        <f>_xll.qlYieldTSDiscount(Discounting,T153,,AllTriggers)</f>
        <v>1.0010471016956808</v>
      </c>
      <c r="Y153" s="167">
        <f t="shared" si="16"/>
        <v>-1.2152313357767647E-3</v>
      </c>
      <c r="AD153" s="141"/>
      <c r="AE153" s="141"/>
    </row>
    <row r="154" spans="6:31" ht="11.25" customHeight="1" x14ac:dyDescent="0.2">
      <c r="F154" s="243"/>
      <c r="G154" s="243"/>
      <c r="H154" s="141"/>
      <c r="L154" s="141"/>
      <c r="M154" s="141"/>
      <c r="S154" s="169">
        <f>_xll.qlCalendarAdvance(Calendar,S153,"1D","f")</f>
        <v>42375</v>
      </c>
      <c r="T154" s="169">
        <f>_xll.qlCalendarAdvance(Calendar,S154,$F$1,"mf",,Trigger)</f>
        <v>42466</v>
      </c>
      <c r="U154" s="155">
        <f>_xll.qlDayCounterYearFraction(DayCounter,S154,T154,,,Trigger)</f>
        <v>0.25277777777777777</v>
      </c>
      <c r="V154" s="167">
        <f>_xll.qlInterpolationInterpolate(B3Minterpolation,S154,TRUE)</f>
        <v>1.3467703673482577E-3</v>
      </c>
      <c r="W154" s="170">
        <f>_xll.qlYieldTSDiscount(Discounting,S154,,AllTriggers)</f>
        <v>1.0007434879115225</v>
      </c>
      <c r="X154" s="170">
        <f>_xll.qlYieldTSDiscount(Discounting,T154,,AllTriggers)</f>
        <v>1.0010501884622145</v>
      </c>
      <c r="Y154" s="167">
        <f t="shared" si="16"/>
        <v>-1.2120479810751651E-3</v>
      </c>
      <c r="AD154" s="141"/>
      <c r="AE154" s="141"/>
    </row>
    <row r="155" spans="6:31" ht="11.25" customHeight="1" x14ac:dyDescent="0.2">
      <c r="F155" s="243"/>
      <c r="G155" s="243"/>
      <c r="H155" s="141"/>
      <c r="L155" s="141"/>
      <c r="M155" s="141"/>
      <c r="S155" s="169">
        <f>_xll.qlCalendarAdvance(Calendar,S154,"1D","f")</f>
        <v>42376</v>
      </c>
      <c r="T155" s="169">
        <f>_xll.qlCalendarAdvance(Calendar,S155,$F$1,"mf",,Trigger)</f>
        <v>42467</v>
      </c>
      <c r="U155" s="155">
        <f>_xll.qlDayCounterYearFraction(DayCounter,S155,T155,,,Trigger)</f>
        <v>0.25277777777777777</v>
      </c>
      <c r="V155" s="167">
        <f>_xll.qlInterpolationInterpolate(B3Minterpolation,S155,TRUE)</f>
        <v>1.3475100970806724E-3</v>
      </c>
      <c r="W155" s="170">
        <f>_xll.qlYieldTSDiscount(Discounting,S155,,AllTriggers)</f>
        <v>1.0007473792713784</v>
      </c>
      <c r="X155" s="170">
        <f>_xll.qlYieldTSDiscount(Discounting,T155,,AllTriggers)</f>
        <v>1.0010532752382664</v>
      </c>
      <c r="Y155" s="167">
        <f t="shared" si="16"/>
        <v>-1.2088646238107802E-3</v>
      </c>
      <c r="AD155" s="141"/>
      <c r="AE155" s="141"/>
    </row>
    <row r="156" spans="6:31" ht="11.25" customHeight="1" x14ac:dyDescent="0.2">
      <c r="F156" s="243"/>
      <c r="G156" s="243"/>
      <c r="H156" s="141"/>
      <c r="L156" s="141"/>
      <c r="M156" s="141"/>
      <c r="S156" s="169">
        <f>_xll.qlCalendarAdvance(Calendar,S155,"1D","f")</f>
        <v>42377</v>
      </c>
      <c r="T156" s="169">
        <f>_xll.qlCalendarAdvance(Calendar,S156,$F$1,"mf",,Trigger)</f>
        <v>42468</v>
      </c>
      <c r="U156" s="155">
        <f>_xll.qlDayCounterYearFraction(DayCounter,S156,T156,,,Trigger)</f>
        <v>0.25277777777777777</v>
      </c>
      <c r="V156" s="167">
        <f>_xll.qlInterpolationInterpolate(B3Minterpolation,S156,TRUE)</f>
        <v>1.3482727925688228E-3</v>
      </c>
      <c r="W156" s="170">
        <f>_xll.qlYieldTSDiscount(Discounting,S156,,AllTriggers)</f>
        <v>1.0007512706463655</v>
      </c>
      <c r="X156" s="170">
        <f>_xll.qlYieldTSDiscount(Discounting,T156,,AllTriggers)</f>
        <v>1.0010563620238364</v>
      </c>
      <c r="Y156" s="167">
        <f t="shared" si="16"/>
        <v>-1.205681263984928E-3</v>
      </c>
      <c r="AD156" s="141"/>
      <c r="AE156" s="141"/>
    </row>
    <row r="157" spans="6:31" ht="11.25" customHeight="1" x14ac:dyDescent="0.2">
      <c r="F157" s="243"/>
      <c r="G157" s="243"/>
      <c r="H157" s="141"/>
      <c r="L157" s="141"/>
      <c r="M157" s="141"/>
      <c r="S157" s="169">
        <f>_xll.qlCalendarAdvance(Calendar,S156,"1D","f")</f>
        <v>42380</v>
      </c>
      <c r="T157" s="169">
        <f>_xll.qlCalendarAdvance(Calendar,S157,$F$1,"mf",,Trigger)</f>
        <v>42471</v>
      </c>
      <c r="U157" s="155">
        <f>_xll.qlDayCounterYearFraction(DayCounter,S157,T157,,,Trigger)</f>
        <v>0.25277777777777777</v>
      </c>
      <c r="V157" s="167">
        <f>_xll.qlInterpolationInterpolate(B3Minterpolation,S157,TRUE)</f>
        <v>1.3506903237780891E-3</v>
      </c>
      <c r="W157" s="170">
        <f>_xll.qlYieldTSDiscount(Discounting,S157,,AllTriggers)</f>
        <v>1.0007629448621163</v>
      </c>
      <c r="X157" s="170">
        <f>_xll.qlYieldTSDiscount(Discounting,T157,,AllTriggers)</f>
        <v>1.0010656224376562</v>
      </c>
      <c r="Y157" s="167">
        <f t="shared" si="16"/>
        <v>-1.1961311691324171E-3</v>
      </c>
      <c r="AD157" s="141"/>
      <c r="AE157" s="141"/>
    </row>
    <row r="158" spans="6:31" ht="11.25" customHeight="1" x14ac:dyDescent="0.2">
      <c r="F158" s="243"/>
      <c r="G158" s="243"/>
      <c r="H158" s="141"/>
      <c r="L158" s="141"/>
      <c r="M158" s="141"/>
      <c r="S158" s="169">
        <f>_xll.qlCalendarAdvance(Calendar,S157,"1D","f")</f>
        <v>42381</v>
      </c>
      <c r="T158" s="169">
        <f>_xll.qlCalendarAdvance(Calendar,S158,$F$1,"mf",,Trigger)</f>
        <v>42472</v>
      </c>
      <c r="U158" s="155">
        <f>_xll.qlDayCounterYearFraction(DayCounter,S158,T158,,,Trigger)</f>
        <v>0.25277777777777777</v>
      </c>
      <c r="V158" s="167">
        <f>_xll.qlInterpolationInterpolate(B3Minterpolation,S158,TRUE)</f>
        <v>1.351536532499583E-3</v>
      </c>
      <c r="W158" s="170">
        <f>_xll.qlYieldTSDiscount(Discounting,S158,,AllTriggers)</f>
        <v>1.0007668362976296</v>
      </c>
      <c r="X158" s="170">
        <f>_xll.qlYieldTSDiscount(Discounting,T158,,AllTriggers)</f>
        <v>1.0010687092612991</v>
      </c>
      <c r="Y158" s="167">
        <f t="shared" si="16"/>
        <v>-1.1929477990567418E-3</v>
      </c>
      <c r="AD158" s="141"/>
      <c r="AE158" s="141"/>
    </row>
    <row r="159" spans="6:31" ht="11.25" customHeight="1" x14ac:dyDescent="0.2">
      <c r="F159" s="243"/>
      <c r="G159" s="243"/>
      <c r="H159" s="141"/>
      <c r="L159" s="141"/>
      <c r="M159" s="141"/>
      <c r="S159" s="169">
        <f>_xll.qlCalendarAdvance(Calendar,S158,"1D","f")</f>
        <v>42382</v>
      </c>
      <c r="T159" s="169">
        <f>_xll.qlCalendarAdvance(Calendar,S159,$F$1,"mf",,Trigger)</f>
        <v>42473</v>
      </c>
      <c r="U159" s="155">
        <f>_xll.qlDayCounterYearFraction(DayCounter,S159,T159,,,Trigger)</f>
        <v>0.25277777777777777</v>
      </c>
      <c r="V159" s="167">
        <f>_xll.qlInterpolationInterpolate(B3Minterpolation,S159,TRUE)</f>
        <v>1.3524015320820126E-3</v>
      </c>
      <c r="W159" s="170">
        <f>_xll.qlYieldTSDiscount(Discounting,S159,,AllTriggers)</f>
        <v>1.0007707277482751</v>
      </c>
      <c r="X159" s="170">
        <f>_xll.qlYieldTSDiscount(Discounting,T159,,AllTriggers)</f>
        <v>1.0010717960944606</v>
      </c>
      <c r="Y159" s="167">
        <f t="shared" si="16"/>
        <v>-1.1897644264178423E-3</v>
      </c>
      <c r="AD159" s="141"/>
      <c r="AE159" s="141"/>
    </row>
    <row r="160" spans="6:31" ht="11.25" customHeight="1" x14ac:dyDescent="0.2">
      <c r="F160" s="243"/>
      <c r="G160" s="243"/>
      <c r="H160" s="141"/>
      <c r="L160" s="141"/>
      <c r="M160" s="141"/>
      <c r="S160" s="169">
        <f>_xll.qlCalendarAdvance(Calendar,S159,"1D","f")</f>
        <v>42383</v>
      </c>
      <c r="T160" s="169">
        <f>_xll.qlCalendarAdvance(Calendar,S160,$F$1,"mf",,Trigger)</f>
        <v>42474</v>
      </c>
      <c r="U160" s="155">
        <f>_xll.qlDayCounterYearFraction(DayCounter,S160,T160,,,Trigger)</f>
        <v>0.25277777777777777</v>
      </c>
      <c r="V160" s="167">
        <f>_xll.qlInterpolationInterpolate(B3Minterpolation,S160,TRUE)</f>
        <v>1.3532844875464183E-3</v>
      </c>
      <c r="W160" s="170">
        <f>_xll.qlYieldTSDiscount(Discounting,S160,,AllTriggers)</f>
        <v>1.0007746192140519</v>
      </c>
      <c r="X160" s="170">
        <f>_xll.qlYieldTSDiscount(Discounting,T160,,AllTriggers)</f>
        <v>1.0010748829371405</v>
      </c>
      <c r="Y160" s="167">
        <f t="shared" si="16"/>
        <v>-1.1865810512187928E-3</v>
      </c>
      <c r="AD160" s="141"/>
      <c r="AE160" s="141"/>
    </row>
    <row r="161" spans="6:31" ht="11.25" customHeight="1" x14ac:dyDescent="0.2">
      <c r="F161" s="243"/>
      <c r="G161" s="243"/>
      <c r="H161" s="141"/>
      <c r="L161" s="141"/>
      <c r="M161" s="141"/>
      <c r="S161" s="169">
        <f>_xll.qlCalendarAdvance(Calendar,S160,"1D","f")</f>
        <v>42384</v>
      </c>
      <c r="T161" s="169">
        <f>_xll.qlCalendarAdvance(Calendar,S161,$F$1,"mf",,Trigger)</f>
        <v>42475</v>
      </c>
      <c r="U161" s="155">
        <f>_xll.qlDayCounterYearFraction(DayCounter,S161,T161,,,Trigger)</f>
        <v>0.25277777777777777</v>
      </c>
      <c r="V161" s="167">
        <f>_xll.qlInterpolationInterpolate(B3Minterpolation,S161,TRUE)</f>
        <v>1.3541845639138401E-3</v>
      </c>
      <c r="W161" s="170">
        <f>_xll.qlYieldTSDiscount(Discounting,S161,,AllTriggers)</f>
        <v>1.0007785106949607</v>
      </c>
      <c r="X161" s="170">
        <f>_xll.qlYieldTSDiscount(Discounting,T161,,AllTriggers)</f>
        <v>1.0010779697893388</v>
      </c>
      <c r="Y161" s="167">
        <f t="shared" si="16"/>
        <v>-1.1833976734560796E-3</v>
      </c>
      <c r="AD161" s="141"/>
      <c r="AE161" s="141"/>
    </row>
    <row r="162" spans="6:31" ht="11.25" customHeight="1" x14ac:dyDescent="0.2">
      <c r="F162" s="243"/>
      <c r="G162" s="243"/>
      <c r="H162" s="141"/>
      <c r="L162" s="141"/>
      <c r="M162" s="141"/>
      <c r="S162" s="169">
        <f>_xll.qlCalendarAdvance(Calendar,S161,"1D","f")</f>
        <v>42387</v>
      </c>
      <c r="T162" s="169">
        <f>_xll.qlCalendarAdvance(Calendar,S162,$F$1,"mf",,Trigger)</f>
        <v>42478</v>
      </c>
      <c r="U162" s="155">
        <f>_xll.qlDayCounterYearFraction(DayCounter,S162,T162,,,Trigger)</f>
        <v>0.25277777777777777</v>
      </c>
      <c r="V162" s="167">
        <f>_xll.qlInterpolationInterpolate(B3Minterpolation,S162,TRUE)</f>
        <v>1.3569791686446017E-3</v>
      </c>
      <c r="W162" s="170">
        <f>_xll.qlYieldTSDiscount(Discounting,S162,,AllTriggers)</f>
        <v>1.0007901852284791</v>
      </c>
      <c r="X162" s="170">
        <f>_xll.qlYieldTSDiscount(Discounting,T162,,AllTriggers)</f>
        <v>1.001087230403044</v>
      </c>
      <c r="Y162" s="167">
        <f t="shared" si="16"/>
        <v>-1.173847524792108E-3</v>
      </c>
      <c r="AD162" s="141"/>
      <c r="AE162" s="141"/>
    </row>
    <row r="163" spans="6:31" ht="11.25" customHeight="1" x14ac:dyDescent="0.2">
      <c r="F163" s="243"/>
      <c r="G163" s="243"/>
      <c r="H163" s="141"/>
      <c r="L163" s="141"/>
      <c r="M163" s="141"/>
      <c r="S163" s="169">
        <f>_xll.qlCalendarAdvance(Calendar,S162,"1D","f")</f>
        <v>42388</v>
      </c>
      <c r="T163" s="169">
        <f>_xll.qlCalendarAdvance(Calendar,S163,$F$1,"mf",,Trigger)</f>
        <v>42479</v>
      </c>
      <c r="U163" s="155">
        <f>_xll.qlDayCounterYearFraction(DayCounter,S163,T163,,,Trigger)</f>
        <v>0.25277777777777777</v>
      </c>
      <c r="V163" s="167">
        <f>_xll.qlInterpolationInterpolate(B3Minterpolation,S163,TRUE)</f>
        <v>1.3579393788344877E-3</v>
      </c>
      <c r="W163" s="170">
        <f>_xll.qlYieldTSDiscount(Discounting,S163,,AllTriggers)</f>
        <v>1.0007940767699159</v>
      </c>
      <c r="X163" s="170">
        <f>_xll.qlYieldTSDiscount(Discounting,T163,,AllTriggers)</f>
        <v>1.0010903172933159</v>
      </c>
      <c r="Y163" s="167">
        <f t="shared" si="16"/>
        <v>-1.1706641367786935E-3</v>
      </c>
      <c r="AD163" s="141"/>
      <c r="AE163" s="141"/>
    </row>
    <row r="164" spans="6:31" ht="11.25" customHeight="1" x14ac:dyDescent="0.2">
      <c r="F164" s="243"/>
      <c r="G164" s="243"/>
      <c r="H164" s="141"/>
      <c r="L164" s="141"/>
      <c r="M164" s="141"/>
      <c r="S164" s="169">
        <f>_xll.qlCalendarAdvance(Calendar,S163,"1D","f")</f>
        <v>42389</v>
      </c>
      <c r="T164" s="169">
        <f>_xll.qlCalendarAdvance(Calendar,S164,$F$1,"mf",,Trigger)</f>
        <v>42480</v>
      </c>
      <c r="U164" s="155">
        <f>_xll.qlDayCounterYearFraction(DayCounter,S164,T164,,,Trigger)</f>
        <v>0.25277777777777777</v>
      </c>
      <c r="V164" s="167">
        <f>_xll.qlInterpolationInterpolate(B3Minterpolation,S164,TRUE)</f>
        <v>1.3589125350325899E-3</v>
      </c>
      <c r="W164" s="170">
        <f>_xll.qlYieldTSDiscount(Discounting,S164,,AllTriggers)</f>
        <v>1.0007979683264849</v>
      </c>
      <c r="X164" s="170">
        <f>_xll.qlYieldTSDiscount(Discounting,T164,,AllTriggers)</f>
        <v>1.0010934041931066</v>
      </c>
      <c r="Y164" s="167">
        <f t="shared" si="16"/>
        <v>-1.1674807462038117E-3</v>
      </c>
      <c r="AD164" s="141"/>
      <c r="AE164" s="141"/>
    </row>
    <row r="165" spans="6:31" ht="11.25" customHeight="1" x14ac:dyDescent="0.2">
      <c r="F165" s="243"/>
      <c r="G165" s="243"/>
      <c r="H165" s="141"/>
      <c r="L165" s="141"/>
      <c r="M165" s="141"/>
      <c r="S165" s="169">
        <f>_xll.qlCalendarAdvance(Calendar,S164,"1D","f")</f>
        <v>42390</v>
      </c>
      <c r="T165" s="169">
        <f>_xll.qlCalendarAdvance(Calendar,S165,$F$1,"mf",,Trigger)</f>
        <v>42481</v>
      </c>
      <c r="U165" s="155">
        <f>_xll.qlDayCounterYearFraction(DayCounter,S165,T165,,,Trigger)</f>
        <v>0.25277777777777777</v>
      </c>
      <c r="V165" s="167">
        <f>_xll.qlInterpolationInterpolate(B3Minterpolation,S165,TRUE)</f>
        <v>1.3598978022599485E-3</v>
      </c>
      <c r="W165" s="170">
        <f>_xll.qlYieldTSDiscount(Discounting,S165,,AllTriggers)</f>
        <v>1.000801859898186</v>
      </c>
      <c r="X165" s="170">
        <f>_xll.qlYieldTSDiscount(Discounting,T165,,AllTriggers)</f>
        <v>1.0010964911024158</v>
      </c>
      <c r="Y165" s="167">
        <f t="shared" si="16"/>
        <v>-1.1642973530670228E-3</v>
      </c>
      <c r="AD165" s="141"/>
      <c r="AE165" s="141"/>
    </row>
    <row r="166" spans="6:31" ht="11.25" customHeight="1" x14ac:dyDescent="0.2">
      <c r="F166" s="243"/>
      <c r="G166" s="243"/>
      <c r="H166" s="141"/>
      <c r="L166" s="141"/>
      <c r="M166" s="141"/>
      <c r="S166" s="169">
        <f>_xll.qlCalendarAdvance(Calendar,S165,"1D","f")</f>
        <v>42391</v>
      </c>
      <c r="T166" s="169">
        <f>_xll.qlCalendarAdvance(Calendar,S166,$F$1,"mf",,Trigger)</f>
        <v>42482</v>
      </c>
      <c r="U166" s="155">
        <f>_xll.qlDayCounterYearFraction(DayCounter,S166,T166,,,Trigger)</f>
        <v>0.25277777777777777</v>
      </c>
      <c r="V166" s="167">
        <f>_xll.qlInterpolationInterpolate(B3Minterpolation,S166,TRUE)</f>
        <v>1.3608943455376032E-3</v>
      </c>
      <c r="W166" s="170">
        <f>_xll.qlYieldTSDiscount(Discounting,S166,,AllTriggers)</f>
        <v>1.0008057514850193</v>
      </c>
      <c r="X166" s="170">
        <f>_xll.qlYieldTSDiscount(Discounting,T166,,AllTriggers)</f>
        <v>1.0010995780212437</v>
      </c>
      <c r="Y166" s="167">
        <f t="shared" si="16"/>
        <v>-1.1611139573683275E-3</v>
      </c>
      <c r="AD166" s="141"/>
      <c r="AE166" s="141"/>
    </row>
    <row r="167" spans="6:31" ht="11.25" customHeight="1" x14ac:dyDescent="0.2">
      <c r="F167" s="243"/>
      <c r="G167" s="243"/>
      <c r="H167" s="141"/>
      <c r="L167" s="141"/>
      <c r="M167" s="141"/>
      <c r="S167" s="169">
        <f>_xll.qlCalendarAdvance(Calendar,S166,"1D","f")</f>
        <v>42394</v>
      </c>
      <c r="T167" s="169">
        <f>_xll.qlCalendarAdvance(Calendar,S167,$F$1,"mf",,Trigger)</f>
        <v>42485</v>
      </c>
      <c r="U167" s="155">
        <f>_xll.qlDayCounterYearFraction(DayCounter,S167,T167,,,Trigger)</f>
        <v>0.25277777777777777</v>
      </c>
      <c r="V167" s="167">
        <f>_xll.qlInterpolationInterpolate(B3Minterpolation,S167,TRUE)</f>
        <v>1.3639432818827453E-3</v>
      </c>
      <c r="W167" s="170">
        <f>_xll.qlYieldTSDiscount(Discounting,S167,,AllTriggers)</f>
        <v>1.0008174263363139</v>
      </c>
      <c r="X167" s="170">
        <f>_xll.qlYieldTSDiscount(Discounting,T167,,AllTriggers)</f>
        <v>1.001108838834839</v>
      </c>
      <c r="Y167" s="167">
        <f t="shared" si="16"/>
        <v>-1.1515637548937733E-3</v>
      </c>
      <c r="AD167" s="141"/>
      <c r="AE167" s="141"/>
    </row>
    <row r="168" spans="6:31" ht="11.25" customHeight="1" x14ac:dyDescent="0.2">
      <c r="F168" s="243"/>
      <c r="G168" s="243"/>
      <c r="H168" s="141"/>
      <c r="L168" s="141"/>
      <c r="M168" s="141"/>
      <c r="S168" s="169">
        <f>_xll.qlCalendarAdvance(Calendar,S167,"1D","f")</f>
        <v>42395</v>
      </c>
      <c r="T168" s="169">
        <f>_xll.qlCalendarAdvance(Calendar,S168,$F$1,"mf",,Trigger)</f>
        <v>42486</v>
      </c>
      <c r="U168" s="155">
        <f>_xll.qlDayCounterYearFraction(DayCounter,S168,T168,,,Trigger)</f>
        <v>0.25277777777777777</v>
      </c>
      <c r="V168" s="167">
        <f>_xll.qlInterpolationInterpolate(B3Minterpolation,S168,TRUE)</f>
        <v>1.3649765795719852E-3</v>
      </c>
      <c r="W168" s="170">
        <f>_xll.qlYieldTSDiscount(Discounting,S168,,AllTriggers)</f>
        <v>1.0008213179836769</v>
      </c>
      <c r="X168" s="170">
        <f>_xll.qlYieldTSDiscount(Discounting,T168,,AllTriggers)</f>
        <v>1.0011119257917414</v>
      </c>
      <c r="Y168" s="167">
        <f t="shared" si="16"/>
        <v>-1.1483803489439374E-3</v>
      </c>
      <c r="AD168" s="141"/>
      <c r="AE168" s="141"/>
    </row>
    <row r="169" spans="6:31" ht="11.25" customHeight="1" x14ac:dyDescent="0.2">
      <c r="F169" s="243"/>
      <c r="G169" s="243"/>
      <c r="H169" s="141"/>
      <c r="L169" s="141"/>
      <c r="M169" s="141"/>
      <c r="S169" s="169">
        <f>_xll.qlCalendarAdvance(Calendar,S168,"1D","f")</f>
        <v>42396</v>
      </c>
      <c r="T169" s="169">
        <f>_xll.qlCalendarAdvance(Calendar,S169,$F$1,"mf",,Trigger)</f>
        <v>42487</v>
      </c>
      <c r="U169" s="155">
        <f>_xll.qlDayCounterYearFraction(DayCounter,S169,T169,,,Trigger)</f>
        <v>0.25277777777777777</v>
      </c>
      <c r="V169" s="167">
        <f>_xll.qlInterpolationInterpolate(B3Minterpolation,S169,TRUE)</f>
        <v>1.3660169784167218E-3</v>
      </c>
      <c r="W169" s="170">
        <f>_xll.qlYieldTSDiscount(Discounting,S169,,AllTriggers)</f>
        <v>1.0008247468503806</v>
      </c>
      <c r="X169" s="170">
        <f>_xll.qlYieldTSDiscount(Discounting,T169,,AllTriggers)</f>
        <v>1.0011150127581627</v>
      </c>
      <c r="Y169" s="167">
        <f t="shared" si="16"/>
        <v>-1.1470257417908962E-3</v>
      </c>
      <c r="AD169" s="141"/>
      <c r="AE169" s="141"/>
    </row>
    <row r="170" spans="6:31" ht="11.25" customHeight="1" x14ac:dyDescent="0.2">
      <c r="F170" s="243"/>
      <c r="G170" s="243"/>
      <c r="H170" s="141"/>
      <c r="L170" s="141"/>
      <c r="M170" s="141"/>
      <c r="S170" s="169">
        <f>_xll.qlCalendarAdvance(Calendar,S169,"1D","f")</f>
        <v>42397</v>
      </c>
      <c r="T170" s="169">
        <f>_xll.qlCalendarAdvance(Calendar,S170,$F$1,"mf",,Trigger)</f>
        <v>42488</v>
      </c>
      <c r="U170" s="155">
        <f>_xll.qlDayCounterYearFraction(DayCounter,S170,T170,,,Trigger)</f>
        <v>0.25277777777777777</v>
      </c>
      <c r="V170" s="167">
        <f>_xll.qlInterpolationInterpolate(B3Minterpolation,S170,TRUE)</f>
        <v>1.3670636434379947E-3</v>
      </c>
      <c r="W170" s="170">
        <f>_xll.qlYieldTSDiscount(Discounting,S170,,AllTriggers)</f>
        <v>1.0008281757288318</v>
      </c>
      <c r="X170" s="170">
        <f>_xll.qlYieldTSDiscount(Discounting,T170,,AllTriggers)</f>
        <v>1.0011181084568779</v>
      </c>
      <c r="Y170" s="167">
        <f t="shared" si="16"/>
        <v>-1.1457055933330926E-3</v>
      </c>
      <c r="AD170" s="141"/>
      <c r="AE170" s="141"/>
    </row>
    <row r="171" spans="6:31" ht="11.25" customHeight="1" x14ac:dyDescent="0.2">
      <c r="F171" s="243"/>
      <c r="G171" s="243"/>
      <c r="H171" s="141"/>
      <c r="L171" s="141"/>
      <c r="M171" s="141"/>
      <c r="S171" s="169">
        <f>_xll.qlCalendarAdvance(Calendar,S170,"1D","f")</f>
        <v>42398</v>
      </c>
      <c r="T171" s="169">
        <f>_xll.qlCalendarAdvance(Calendar,S171,$F$1,"mf",,Trigger)</f>
        <v>42489</v>
      </c>
      <c r="U171" s="155">
        <f>_xll.qlDayCounterYearFraction(DayCounter,S171,T171,,,Trigger)</f>
        <v>0.25277777777777777</v>
      </c>
      <c r="V171" s="167">
        <f>_xll.qlInterpolationInterpolate(B3Minterpolation,S171,TRUE)</f>
        <v>1.3681157396568441E-3</v>
      </c>
      <c r="W171" s="170">
        <f>_xll.qlYieldTSDiscount(Discounting,S171,,AllTriggers)</f>
        <v>1.0008316046190306</v>
      </c>
      <c r="X171" s="170">
        <f>_xll.qlYieldTSDiscount(Discounting,T171,,AllTriggers)</f>
        <v>1.0011212041651658</v>
      </c>
      <c r="Y171" s="167">
        <f t="shared" si="16"/>
        <v>-1.1443854444343233E-3</v>
      </c>
      <c r="AD171" s="141"/>
      <c r="AE171" s="141"/>
    </row>
    <row r="172" spans="6:31" ht="11.25" customHeight="1" x14ac:dyDescent="0.2">
      <c r="F172" s="243"/>
      <c r="G172" s="243"/>
      <c r="H172" s="141"/>
      <c r="L172" s="141"/>
      <c r="M172" s="141"/>
      <c r="S172" s="169">
        <f>_xll.qlCalendarAdvance(Calendar,S171,"1D","f")</f>
        <v>42401</v>
      </c>
      <c r="T172" s="169">
        <f>_xll.qlCalendarAdvance(Calendar,S172,$F$1,"mf",,Trigger)</f>
        <v>42492</v>
      </c>
      <c r="U172" s="155">
        <f>_xll.qlDayCounterYearFraction(DayCounter,S172,T172,,,Trigger)</f>
        <v>0.25277777777777777</v>
      </c>
      <c r="V172" s="167">
        <f>_xll.qlInterpolationInterpolate(B3Minterpolation,S172,TRUE)</f>
        <v>1.3712962657092518E-3</v>
      </c>
      <c r="W172" s="170">
        <f>_xll.qlYieldTSDiscount(Discounting,S172,,AllTriggers)</f>
        <v>1.0008344851301165</v>
      </c>
      <c r="X172" s="170">
        <f>_xll.qlYieldTSDiscount(Discounting,T172,,AllTriggers)</f>
        <v>1.0011242843384196</v>
      </c>
      <c r="Y172" s="167">
        <f t="shared" si="16"/>
        <v>-1.1451709087560394E-3</v>
      </c>
      <c r="AD172" s="141"/>
      <c r="AE172" s="141"/>
    </row>
    <row r="173" spans="6:31" ht="11.25" customHeight="1" x14ac:dyDescent="0.2">
      <c r="F173" s="243"/>
      <c r="G173" s="243"/>
      <c r="H173" s="141"/>
      <c r="L173" s="141"/>
      <c r="M173" s="141"/>
      <c r="S173" s="169">
        <f>_xll.qlCalendarAdvance(Calendar,S172,"1D","f")</f>
        <v>42402</v>
      </c>
      <c r="T173" s="169">
        <f>_xll.qlCalendarAdvance(Calendar,S173,$F$1,"mf",,Trigger)</f>
        <v>42492</v>
      </c>
      <c r="U173" s="155">
        <f>_xll.qlDayCounterYearFraction(DayCounter,S173,T173,,,Trigger)</f>
        <v>0.25</v>
      </c>
      <c r="V173" s="167">
        <f>_xll.qlInterpolationInterpolate(B3Minterpolation,S173,TRUE)</f>
        <v>1.3723617369288076E-3</v>
      </c>
      <c r="W173" s="170">
        <f>_xll.qlYieldTSDiscount(Discounting,S173,,AllTriggers)</f>
        <v>1.0008379140419317</v>
      </c>
      <c r="X173" s="170">
        <f>_xll.qlYieldTSDiscount(Discounting,T173,,AllTriggers)</f>
        <v>1.0011242843384196</v>
      </c>
      <c r="Y173" s="167">
        <f t="shared" si="16"/>
        <v>-1.1441947856738466E-3</v>
      </c>
      <c r="AD173" s="141"/>
      <c r="AE173" s="141"/>
    </row>
    <row r="174" spans="6:31" ht="11.25" customHeight="1" x14ac:dyDescent="0.2">
      <c r="F174" s="243"/>
      <c r="G174" s="243"/>
      <c r="H174" s="141"/>
      <c r="L174" s="141"/>
      <c r="M174" s="141"/>
      <c r="S174" s="169">
        <f>_xll.qlCalendarAdvance(Calendar,S173,"1D","f")</f>
        <v>42403</v>
      </c>
      <c r="T174" s="169">
        <f>_xll.qlCalendarAdvance(Calendar,S174,$F$1,"mf",,Trigger)</f>
        <v>42493</v>
      </c>
      <c r="U174" s="155">
        <f>_xll.qlDayCounterYearFraction(DayCounter,S174,T174,,,Trigger)</f>
        <v>0.25</v>
      </c>
      <c r="V174" s="167">
        <f>_xll.qlInterpolationInterpolate(B3Minterpolation,S174,TRUE)</f>
        <v>1.37342846445114E-3</v>
      </c>
      <c r="W174" s="170">
        <f>_xll.qlYieldTSDiscount(Discounting,S174,,AllTriggers)</f>
        <v>1.0008413429654943</v>
      </c>
      <c r="X174" s="170">
        <f>_xll.qlYieldTSDiscount(Discounting,T174,,AllTriggers)</f>
        <v>1.0011273800658049</v>
      </c>
      <c r="Y174" s="167">
        <f t="shared" si="16"/>
        <v>-1.142859963701337E-3</v>
      </c>
      <c r="AD174" s="141"/>
      <c r="AE174" s="141"/>
    </row>
    <row r="175" spans="6:31" ht="11.25" customHeight="1" x14ac:dyDescent="0.2">
      <c r="F175" s="243"/>
      <c r="G175" s="243"/>
      <c r="H175" s="141"/>
      <c r="L175" s="141"/>
      <c r="M175" s="141"/>
      <c r="S175" s="169">
        <f>_xll.qlCalendarAdvance(Calendar,S174,"1D","f")</f>
        <v>42404</v>
      </c>
      <c r="T175" s="169">
        <f>_xll.qlCalendarAdvance(Calendar,S175,$F$1,"mf",,Trigger)</f>
        <v>42494</v>
      </c>
      <c r="U175" s="155">
        <f>_xll.qlDayCounterYearFraction(DayCounter,S175,T175,,,Trigger)</f>
        <v>0.25</v>
      </c>
      <c r="V175" s="167">
        <f>_xll.qlInterpolationInterpolate(B3Minterpolation,S175,TRUE)</f>
        <v>1.3744956132972891E-3</v>
      </c>
      <c r="W175" s="170">
        <f>_xll.qlYieldTSDiscount(Discounting,S175,,AllTriggers)</f>
        <v>1.0008447719008047</v>
      </c>
      <c r="X175" s="170">
        <f>_xll.qlYieldTSDiscount(Discounting,T175,,AllTriggers)</f>
        <v>1.001130475802763</v>
      </c>
      <c r="Y175" s="167">
        <f t="shared" si="16"/>
        <v>-1.1415251412829619E-3</v>
      </c>
      <c r="AD175" s="141"/>
      <c r="AE175" s="141"/>
    </row>
    <row r="176" spans="6:31" ht="11.25" customHeight="1" x14ac:dyDescent="0.2">
      <c r="F176" s="243"/>
      <c r="G176" s="243"/>
      <c r="H176" s="141"/>
      <c r="L176" s="141"/>
      <c r="M176" s="141"/>
      <c r="S176" s="169">
        <f>_xll.qlCalendarAdvance(Calendar,S175,"1D","f")</f>
        <v>42405</v>
      </c>
      <c r="T176" s="169">
        <f>_xll.qlCalendarAdvance(Calendar,S176,$F$1,"mf",,Trigger)</f>
        <v>42495</v>
      </c>
      <c r="U176" s="155">
        <f>_xll.qlDayCounterYearFraction(DayCounter,S176,T176,,,Trigger)</f>
        <v>0.25</v>
      </c>
      <c r="V176" s="167">
        <f>_xll.qlInterpolationInterpolate(B3Minterpolation,S176,TRUE)</f>
        <v>1.3755623484882952E-3</v>
      </c>
      <c r="W176" s="170">
        <f>_xll.qlYieldTSDiscount(Discounting,S176,,AllTriggers)</f>
        <v>1.0008482008478627</v>
      </c>
      <c r="X176" s="170">
        <f>_xll.qlYieldTSDiscount(Discounting,T176,,AllTriggers)</f>
        <v>1.0011335715492937</v>
      </c>
      <c r="Y176" s="167">
        <f t="shared" si="16"/>
        <v>-1.1401903184182771E-3</v>
      </c>
      <c r="AD176" s="141"/>
      <c r="AE176" s="141"/>
    </row>
    <row r="177" spans="6:31" ht="11.25" customHeight="1" x14ac:dyDescent="0.2">
      <c r="F177" s="243"/>
      <c r="G177" s="243"/>
      <c r="H177" s="141"/>
      <c r="L177" s="141"/>
      <c r="M177" s="141"/>
      <c r="S177" s="169">
        <f>_xll.qlCalendarAdvance(Calendar,S176,"1D","f")</f>
        <v>42408</v>
      </c>
      <c r="T177" s="169">
        <f>_xll.qlCalendarAdvance(Calendar,S177,$F$1,"mf",,Trigger)</f>
        <v>42499</v>
      </c>
      <c r="U177" s="155">
        <f>_xll.qlDayCounterYearFraction(DayCounter,S177,T177,,,Trigger)</f>
        <v>0.25277777777777777</v>
      </c>
      <c r="V177" s="167">
        <f>_xll.qlInterpolationInterpolate(B3Minterpolation,S177,TRUE)</f>
        <v>1.3787517223408537E-3</v>
      </c>
      <c r="W177" s="170">
        <f>_xll.qlYieldTSDiscount(Discounting,S177,,AllTriggers)</f>
        <v>1.0008584877595239</v>
      </c>
      <c r="X177" s="170">
        <f>_xll.qlYieldTSDiscount(Discounting,T177,,AllTriggers)</f>
        <v>1.0011459546311456</v>
      </c>
      <c r="Y177" s="167">
        <f t="shared" si="16"/>
        <v>-1.1359298559627245E-3</v>
      </c>
      <c r="AD177" s="141"/>
      <c r="AE177" s="141"/>
    </row>
    <row r="178" spans="6:31" ht="11.25" customHeight="1" x14ac:dyDescent="0.2">
      <c r="F178" s="243"/>
      <c r="G178" s="243"/>
      <c r="H178" s="141"/>
      <c r="L178" s="141"/>
      <c r="M178" s="141"/>
      <c r="S178" s="169">
        <f>_xll.qlCalendarAdvance(Calendar,S177,"1D","f")</f>
        <v>42409</v>
      </c>
      <c r="T178" s="169">
        <f>_xll.qlCalendarAdvance(Calendar,S178,$F$1,"mf",,Trigger)</f>
        <v>42499</v>
      </c>
      <c r="U178" s="155">
        <f>_xll.qlDayCounterYearFraction(DayCounter,S178,T178,,,Trigger)</f>
        <v>0.25</v>
      </c>
      <c r="V178" s="167">
        <f>_xll.qlInterpolationInterpolate(B3Minterpolation,S178,TRUE)</f>
        <v>1.3798084531216868E-3</v>
      </c>
      <c r="W178" s="170">
        <f>_xll.qlYieldTSDiscount(Discounting,S178,,AllTriggers)</f>
        <v>1.0008619167535733</v>
      </c>
      <c r="X178" s="170">
        <f>_xll.qlYieldTSDiscount(Discounting,T178,,AllTriggers)</f>
        <v>1.0011459546311456</v>
      </c>
      <c r="Y178" s="167">
        <f t="shared" si="16"/>
        <v>-1.134851022504435E-3</v>
      </c>
      <c r="AD178" s="141"/>
      <c r="AE178" s="141"/>
    </row>
    <row r="179" spans="6:31" ht="11.25" customHeight="1" x14ac:dyDescent="0.2">
      <c r="F179" s="243"/>
      <c r="G179" s="243"/>
      <c r="H179" s="141"/>
      <c r="L179" s="141"/>
      <c r="M179" s="141"/>
      <c r="S179" s="169">
        <f>_xll.qlCalendarAdvance(Calendar,S178,"1D","f")</f>
        <v>42410</v>
      </c>
      <c r="T179" s="169">
        <f>_xll.qlCalendarAdvance(Calendar,S179,$F$1,"mf",,Trigger)</f>
        <v>42500</v>
      </c>
      <c r="U179" s="155">
        <f>_xll.qlDayCounterYearFraction(DayCounter,S179,T179,,,Trigger)</f>
        <v>0.25</v>
      </c>
      <c r="V179" s="167">
        <f>_xll.qlInterpolationInterpolate(B3Minterpolation,S179,TRUE)</f>
        <v>1.3808605953525769E-3</v>
      </c>
      <c r="W179" s="170">
        <f>_xll.qlYieldTSDiscount(Discounting,S179,,AllTriggers)</f>
        <v>1.0008653457593706</v>
      </c>
      <c r="X179" s="170">
        <f>_xll.qlYieldTSDiscount(Discounting,T179,,AllTriggers)</f>
        <v>1.0011490504255409</v>
      </c>
      <c r="Y179" s="167">
        <f t="shared" si="16"/>
        <v>-1.1335161974121988E-3</v>
      </c>
      <c r="AD179" s="141"/>
      <c r="AE179" s="141"/>
    </row>
    <row r="180" spans="6:31" ht="11.25" customHeight="1" x14ac:dyDescent="0.2">
      <c r="F180" s="243"/>
      <c r="G180" s="243"/>
      <c r="H180" s="141"/>
      <c r="L180" s="141"/>
      <c r="M180" s="141"/>
      <c r="S180" s="169">
        <f>_xll.qlCalendarAdvance(Calendar,S179,"1D","f")</f>
        <v>42411</v>
      </c>
      <c r="T180" s="169">
        <f>_xll.qlCalendarAdvance(Calendar,S180,$F$1,"mf",,Trigger)</f>
        <v>42501</v>
      </c>
      <c r="U180" s="155">
        <f>_xll.qlDayCounterYearFraction(DayCounter,S180,T180,,,Trigger)</f>
        <v>0.25</v>
      </c>
      <c r="V180" s="167">
        <f>_xll.qlInterpolationInterpolate(B3Minterpolation,S180,TRUE)</f>
        <v>1.3819073140545642E-3</v>
      </c>
      <c r="W180" s="170">
        <f>_xll.qlYieldTSDiscount(Discounting,S180,,AllTriggers)</f>
        <v>1.0008687747769158</v>
      </c>
      <c r="X180" s="170">
        <f>_xll.qlYieldTSDiscount(Discounting,T180,,AllTriggers)</f>
        <v>1.001152146229509</v>
      </c>
      <c r="Y180" s="167">
        <f t="shared" si="16"/>
        <v>-1.132181371874097E-3</v>
      </c>
      <c r="AD180" s="141"/>
      <c r="AE180" s="141"/>
    </row>
    <row r="181" spans="6:31" ht="11.25" customHeight="1" x14ac:dyDescent="0.2">
      <c r="F181" s="243"/>
      <c r="G181" s="243"/>
      <c r="H181" s="141"/>
      <c r="L181" s="141"/>
      <c r="M181" s="141"/>
      <c r="S181" s="169">
        <f>_xll.qlCalendarAdvance(Calendar,S180,"1D","f")</f>
        <v>42412</v>
      </c>
      <c r="T181" s="169">
        <f>_xll.qlCalendarAdvance(Calendar,S181,$F$1,"mf",,Trigger)</f>
        <v>42502</v>
      </c>
      <c r="U181" s="155">
        <f>_xll.qlDayCounterYearFraction(DayCounter,S181,T181,,,Trigger)</f>
        <v>0.25</v>
      </c>
      <c r="V181" s="167">
        <f>_xll.qlInterpolationInterpolate(B3Minterpolation,S181,TRUE)</f>
        <v>1.3829477742486882E-3</v>
      </c>
      <c r="W181" s="170">
        <f>_xll.qlYieldTSDiscount(Discounting,S181,,AllTriggers)</f>
        <v>1.000872203806209</v>
      </c>
      <c r="X181" s="170">
        <f>_xll.qlYieldTSDiscount(Discounting,T181,,AllTriggers)</f>
        <v>1.0011552420430503</v>
      </c>
      <c r="Y181" s="167">
        <f t="shared" si="16"/>
        <v>-1.1308465458910177E-3</v>
      </c>
      <c r="AD181" s="141"/>
      <c r="AE181" s="141"/>
    </row>
    <row r="182" spans="6:31" ht="11.25" customHeight="1" x14ac:dyDescent="0.2">
      <c r="F182" s="243"/>
      <c r="G182" s="243"/>
      <c r="H182" s="141"/>
      <c r="L182" s="141"/>
      <c r="M182" s="141"/>
      <c r="S182" s="169">
        <f>_xll.qlCalendarAdvance(Calendar,S181,"1D","f")</f>
        <v>42415</v>
      </c>
      <c r="T182" s="169">
        <f>_xll.qlCalendarAdvance(Calendar,S182,$F$1,"mf",,Trigger)</f>
        <v>42506</v>
      </c>
      <c r="U182" s="155">
        <f>_xll.qlDayCounterYearFraction(DayCounter,S182,T182,,,Trigger)</f>
        <v>0.25277777777777777</v>
      </c>
      <c r="V182" s="167">
        <f>_xll.qlInterpolationInterpolate(B3Minterpolation,S182,TRUE)</f>
        <v>1.386023253994283E-3</v>
      </c>
      <c r="W182" s="170">
        <f>_xll.qlYieldTSDiscount(Discounting,S182,,AllTriggers)</f>
        <v>1.0008824909645773</v>
      </c>
      <c r="X182" s="170">
        <f>_xll.qlYieldTSDiscount(Discounting,T182,,AllTriggers)</f>
        <v>1.0011676253929458</v>
      </c>
      <c r="Y182" s="167">
        <f t="shared" si="16"/>
        <v>-1.1266887815761331E-3</v>
      </c>
      <c r="AD182" s="141"/>
      <c r="AE182" s="141"/>
    </row>
    <row r="183" spans="6:31" ht="11.25" customHeight="1" x14ac:dyDescent="0.2">
      <c r="F183" s="243"/>
      <c r="G183" s="243"/>
      <c r="H183" s="141"/>
      <c r="L183" s="141"/>
      <c r="M183" s="141"/>
      <c r="S183" s="169">
        <f>_xll.qlCalendarAdvance(Calendar,S182,"1D","f")</f>
        <v>42416</v>
      </c>
      <c r="T183" s="169">
        <f>_xll.qlCalendarAdvance(Calendar,S183,$F$1,"mf",,Trigger)</f>
        <v>42506</v>
      </c>
      <c r="U183" s="155">
        <f>_xll.qlDayCounterYearFraction(DayCounter,S183,T183,,,Trigger)</f>
        <v>0.25</v>
      </c>
      <c r="V183" s="167">
        <f>_xll.qlInterpolationInterpolate(B3Minterpolation,S183,TRUE)</f>
        <v>1.3870303303673553E-3</v>
      </c>
      <c r="W183" s="170">
        <f>_xll.qlYieldTSDiscount(Discounting,S183,,AllTriggers)</f>
        <v>1.0008859200408629</v>
      </c>
      <c r="X183" s="170">
        <f>_xll.qlYieldTSDiscount(Discounting,T183,,AllTriggers)</f>
        <v>1.0011676253929458</v>
      </c>
      <c r="Y183" s="167">
        <f t="shared" si="16"/>
        <v>-1.1255072375013775E-3</v>
      </c>
      <c r="AD183" s="141"/>
      <c r="AE183" s="141"/>
    </row>
    <row r="184" spans="6:31" ht="11.25" customHeight="1" x14ac:dyDescent="0.2">
      <c r="F184" s="243"/>
      <c r="G184" s="243"/>
      <c r="H184" s="141"/>
      <c r="L184" s="141"/>
      <c r="M184" s="141"/>
      <c r="S184" s="169">
        <f>_xll.qlCalendarAdvance(Calendar,S183,"1D","f")</f>
        <v>42417</v>
      </c>
      <c r="T184" s="169">
        <f>_xll.qlCalendarAdvance(Calendar,S184,$F$1,"mf",,Trigger)</f>
        <v>42507</v>
      </c>
      <c r="U184" s="155">
        <f>_xll.qlDayCounterYearFraction(DayCounter,S184,T184,,,Trigger)</f>
        <v>0.25</v>
      </c>
      <c r="V184" s="167">
        <f>_xll.qlInterpolationInterpolate(B3Minterpolation,S184,TRUE)</f>
        <v>1.3880269733377649E-3</v>
      </c>
      <c r="W184" s="170">
        <f>_xll.qlYieldTSDiscount(Discounting,S184,,AllTriggers)</f>
        <v>1.0008893491288968</v>
      </c>
      <c r="X184" s="170">
        <f>_xll.qlYieldTSDiscount(Discounting,T184,,AllTriggers)</f>
        <v>1.0011707212543526</v>
      </c>
      <c r="Y184" s="167">
        <f t="shared" si="16"/>
        <v>-1.1241724092898586E-3</v>
      </c>
      <c r="AD184" s="141"/>
      <c r="AE184" s="141"/>
    </row>
    <row r="185" spans="6:31" ht="11.25" customHeight="1" x14ac:dyDescent="0.2">
      <c r="F185" s="243"/>
      <c r="G185" s="243"/>
      <c r="H185" s="141"/>
      <c r="L185" s="141"/>
      <c r="M185" s="141"/>
      <c r="S185" s="169">
        <f>_xll.qlCalendarAdvance(Calendar,S184,"1D","f")</f>
        <v>42418</v>
      </c>
      <c r="T185" s="169">
        <f>_xll.qlCalendarAdvance(Calendar,S185,$F$1,"mf",,Trigger)</f>
        <v>42508</v>
      </c>
      <c r="U185" s="155">
        <f>_xll.qlDayCounterYearFraction(DayCounter,S185,T185,,,Trigger)</f>
        <v>0.25</v>
      </c>
      <c r="V185" s="167">
        <f>_xll.qlInterpolationInterpolate(B3Minterpolation,S185,TRUE)</f>
        <v>1.3890123479265517E-3</v>
      </c>
      <c r="W185" s="170">
        <f>_xll.qlYieldTSDiscount(Discounting,S185,,AllTriggers)</f>
        <v>1.0008927782286787</v>
      </c>
      <c r="X185" s="170">
        <f>_xll.qlYieldTSDiscount(Discounting,T185,,AllTriggers)</f>
        <v>1.0011738171253322</v>
      </c>
      <c r="Y185" s="167">
        <f t="shared" si="16"/>
        <v>-1.1228375806324742E-3</v>
      </c>
      <c r="AD185" s="141"/>
      <c r="AE185" s="141"/>
    </row>
    <row r="186" spans="6:31" ht="11.25" customHeight="1" x14ac:dyDescent="0.2">
      <c r="F186" s="243"/>
      <c r="G186" s="243"/>
      <c r="H186" s="141"/>
      <c r="L186" s="141"/>
      <c r="M186" s="141"/>
      <c r="S186" s="169">
        <f>_xll.qlCalendarAdvance(Calendar,S185,"1D","f")</f>
        <v>42419</v>
      </c>
      <c r="T186" s="169">
        <f>_xll.qlCalendarAdvance(Calendar,S186,$F$1,"mf",,Trigger)</f>
        <v>42509</v>
      </c>
      <c r="U186" s="155">
        <f>_xll.qlDayCounterYearFraction(DayCounter,S186,T186,,,Trigger)</f>
        <v>0.25</v>
      </c>
      <c r="V186" s="167">
        <f>_xll.qlInterpolationInterpolate(B3Minterpolation,S186,TRUE)</f>
        <v>1.3899856191547557E-3</v>
      </c>
      <c r="W186" s="170">
        <f>_xll.qlYieldTSDiscount(Discounting,S186,,AllTriggers)</f>
        <v>1.0008962073402092</v>
      </c>
      <c r="X186" s="170">
        <f>_xll.qlYieldTSDiscount(Discounting,T186,,AllTriggers)</f>
        <v>1.0011769130058854</v>
      </c>
      <c r="Y186" s="167">
        <f t="shared" si="16"/>
        <v>-1.1215027515301124E-3</v>
      </c>
      <c r="AD186" s="141"/>
      <c r="AE186" s="141"/>
    </row>
    <row r="187" spans="6:31" ht="11.25" customHeight="1" x14ac:dyDescent="0.2">
      <c r="F187" s="243"/>
      <c r="G187" s="243"/>
      <c r="H187" s="141"/>
      <c r="L187" s="141"/>
      <c r="M187" s="141"/>
      <c r="S187" s="169">
        <f>_xll.qlCalendarAdvance(Calendar,S186,"1D","f")</f>
        <v>42422</v>
      </c>
      <c r="T187" s="169">
        <f>_xll.qlCalendarAdvance(Calendar,S187,$F$1,"mf",,Trigger)</f>
        <v>42513</v>
      </c>
      <c r="U187" s="155">
        <f>_xll.qlDayCounterYearFraction(DayCounter,S187,T187,,,Trigger)</f>
        <v>0.25277777777777777</v>
      </c>
      <c r="V187" s="167">
        <f>_xll.qlInterpolationInterpolate(B3Minterpolation,S187,TRUE)</f>
        <v>1.3928244628862716E-3</v>
      </c>
      <c r="W187" s="170">
        <f>_xll.qlYieldTSDiscount(Discounting,S187,,AllTriggers)</f>
        <v>1.0009064947452901</v>
      </c>
      <c r="X187" s="170">
        <f>_xll.qlYieldTSDiscount(Discounting,T187,,AllTriggers)</f>
        <v>1.0011892966238303</v>
      </c>
      <c r="Y187" s="167">
        <f t="shared" si="16"/>
        <v>-1.1174476855967043E-3</v>
      </c>
      <c r="AD187" s="141"/>
      <c r="AE187" s="141"/>
    </row>
    <row r="188" spans="6:31" ht="11.25" customHeight="1" x14ac:dyDescent="0.2">
      <c r="F188" s="243"/>
      <c r="G188" s="243"/>
      <c r="H188" s="141"/>
      <c r="L188" s="141"/>
      <c r="M188" s="141"/>
      <c r="S188" s="169">
        <f>_xll.qlCalendarAdvance(Calendar,S187,"1D","f")</f>
        <v>42423</v>
      </c>
      <c r="T188" s="169">
        <f>_xll.qlCalendarAdvance(Calendar,S188,$F$1,"mf",,Trigger)</f>
        <v>42513</v>
      </c>
      <c r="U188" s="155">
        <f>_xll.qlDayCounterYearFraction(DayCounter,S188,T188,,,Trigger)</f>
        <v>0.25</v>
      </c>
      <c r="V188" s="167">
        <f>_xll.qlInterpolationInterpolate(B3Minterpolation,S188,TRUE)</f>
        <v>1.393740970882545E-3</v>
      </c>
      <c r="W188" s="170">
        <f>_xll.qlYieldTSDiscount(Discounting,S188,,AllTriggers)</f>
        <v>1.0009099239038142</v>
      </c>
      <c r="X188" s="170">
        <f>_xll.qlYieldTSDiscount(Discounting,T188,,AllTriggers)</f>
        <v>1.0011892966238303</v>
      </c>
      <c r="Y188" s="167">
        <f t="shared" si="16"/>
        <v>-1.1161634306646739E-3</v>
      </c>
      <c r="AD188" s="141"/>
      <c r="AE188" s="141"/>
    </row>
    <row r="189" spans="6:31" ht="11.25" customHeight="1" x14ac:dyDescent="0.2">
      <c r="F189" s="243"/>
      <c r="G189" s="243"/>
      <c r="H189" s="141"/>
      <c r="L189" s="141"/>
      <c r="M189" s="141"/>
      <c r="S189" s="169">
        <f>_xll.qlCalendarAdvance(Calendar,S188,"1D","f")</f>
        <v>42424</v>
      </c>
      <c r="T189" s="169">
        <f>_xll.qlCalendarAdvance(Calendar,S189,$F$1,"mf",,Trigger)</f>
        <v>42514</v>
      </c>
      <c r="U189" s="155">
        <f>_xll.qlDayCounterYearFraction(DayCounter,S189,T189,,,Trigger)</f>
        <v>0.25</v>
      </c>
      <c r="V189" s="167">
        <f>_xll.qlInterpolationInterpolate(B3Minterpolation,S189,TRUE)</f>
        <v>1.3946412006234359E-3</v>
      </c>
      <c r="W189" s="170">
        <f>_xll.qlYieldTSDiscount(Discounting,S189,,AllTriggers)</f>
        <v>1.0009133530740866</v>
      </c>
      <c r="X189" s="170">
        <f>_xll.qlYieldTSDiscount(Discounting,T189,,AllTriggers)</f>
        <v>1.0011923925522499</v>
      </c>
      <c r="Y189" s="167">
        <f t="shared" si="16"/>
        <v>-1.1148285993343166E-3</v>
      </c>
      <c r="AD189" s="141"/>
      <c r="AE189" s="141"/>
    </row>
    <row r="190" spans="6:31" ht="11.25" customHeight="1" x14ac:dyDescent="0.2">
      <c r="F190" s="243"/>
      <c r="G190" s="243"/>
      <c r="H190" s="141"/>
      <c r="L190" s="141"/>
      <c r="M190" s="141"/>
      <c r="S190" s="169">
        <f>_xll.qlCalendarAdvance(Calendar,S189,"1D","f")</f>
        <v>42425</v>
      </c>
      <c r="T190" s="169">
        <f>_xll.qlCalendarAdvance(Calendar,S190,$F$1,"mf",,Trigger)</f>
        <v>42515</v>
      </c>
      <c r="U190" s="155">
        <f>_xll.qlDayCounterYearFraction(DayCounter,S190,T190,,,Trigger)</f>
        <v>0.25</v>
      </c>
      <c r="V190" s="167">
        <f>_xll.qlInterpolationInterpolate(B3Minterpolation,S190,TRUE)</f>
        <v>1.3955243171299841E-3</v>
      </c>
      <c r="W190" s="170">
        <f>_xll.qlYieldTSDiscount(Discounting,S190,,AllTriggers)</f>
        <v>1.0009167822561071</v>
      </c>
      <c r="X190" s="170">
        <f>_xll.qlYieldTSDiscount(Discounting,T190,,AllTriggers)</f>
        <v>1.0011954884902428</v>
      </c>
      <c r="Y190" s="167">
        <f t="shared" si="16"/>
        <v>-1.1134937675594259E-3</v>
      </c>
      <c r="AD190" s="141"/>
      <c r="AE190" s="141"/>
    </row>
    <row r="191" spans="6:31" ht="11.25" customHeight="1" x14ac:dyDescent="0.2">
      <c r="F191" s="243"/>
      <c r="G191" s="243"/>
      <c r="H191" s="141"/>
      <c r="L191" s="141"/>
      <c r="M191" s="141"/>
      <c r="S191" s="169">
        <f>_xll.qlCalendarAdvance(Calendar,S190,"1D","f")</f>
        <v>42426</v>
      </c>
      <c r="T191" s="169">
        <f>_xll.qlCalendarAdvance(Calendar,S191,$F$1,"mf",,Trigger)</f>
        <v>42516</v>
      </c>
      <c r="U191" s="155">
        <f>_xll.qlDayCounterYearFraction(DayCounter,S191,T191,,,Trigger)</f>
        <v>0.25</v>
      </c>
      <c r="V191" s="167">
        <f>_xll.qlInterpolationInterpolate(B3Minterpolation,S191,TRUE)</f>
        <v>1.3963894854232299E-3</v>
      </c>
      <c r="W191" s="170">
        <f>_xll.qlYieldTSDiscount(Discounting,S191,,AllTriggers)</f>
        <v>1.0009202114498768</v>
      </c>
      <c r="X191" s="170">
        <f>_xll.qlYieldTSDiscount(Discounting,T191,,AllTriggers)</f>
        <v>1.0011985844378091</v>
      </c>
      <c r="Y191" s="167">
        <f t="shared" si="16"/>
        <v>-1.1121589353368933E-3</v>
      </c>
      <c r="AD191" s="141"/>
      <c r="AE191" s="141"/>
    </row>
    <row r="192" spans="6:31" ht="11.25" customHeight="1" x14ac:dyDescent="0.2">
      <c r="F192" s="243"/>
      <c r="G192" s="243"/>
      <c r="H192" s="141"/>
      <c r="L192" s="141"/>
      <c r="M192" s="141"/>
      <c r="S192" s="169">
        <f>_xll.qlCalendarAdvance(Calendar,S191,"1D","f")</f>
        <v>42429</v>
      </c>
      <c r="T192" s="169">
        <f>_xll.qlCalendarAdvance(Calendar,S192,$F$1,"mf",,Trigger)</f>
        <v>42520</v>
      </c>
      <c r="U192" s="155">
        <f>_xll.qlDayCounterYearFraction(DayCounter,S192,T192,,,Trigger)</f>
        <v>0.25277777777777777</v>
      </c>
      <c r="V192" s="167">
        <f>_xll.qlInterpolationInterpolate(B3Minterpolation,S192,TRUE)</f>
        <v>1.3988689512335522E-3</v>
      </c>
      <c r="W192" s="170">
        <f>_xll.qlYieldTSDiscount(Discounting,S192,,AllTriggers)</f>
        <v>1.0009304991016765</v>
      </c>
      <c r="X192" s="170">
        <f>_xll.qlYieldTSDiscount(Discounting,T192,,AllTriggers)</f>
        <v>1.0012109683238093</v>
      </c>
      <c r="Y192" s="167">
        <f t="shared" si="16"/>
        <v>-1.1082065680244381E-3</v>
      </c>
      <c r="AD192" s="141"/>
      <c r="AE192" s="141"/>
    </row>
    <row r="193" spans="6:31" ht="11.25" customHeight="1" x14ac:dyDescent="0.2">
      <c r="F193" s="243"/>
      <c r="G193" s="243"/>
      <c r="H193" s="141"/>
      <c r="L193" s="141"/>
      <c r="M193" s="141"/>
      <c r="S193" s="169">
        <f>_xll.qlCalendarAdvance(Calendar,S192,"1D","f")</f>
        <v>42430</v>
      </c>
      <c r="T193" s="169">
        <f>_xll.qlCalendarAdvance(Calendar,S193,$F$1,"mf",,Trigger)</f>
        <v>42522</v>
      </c>
      <c r="U193" s="155">
        <f>_xll.qlDayCounterYearFraction(DayCounter,S193,T193,,,Trigger)</f>
        <v>0.25555555555555554</v>
      </c>
      <c r="V193" s="167">
        <f>_xll.qlInterpolationInterpolate(B3Minterpolation,S193,TRUE)</f>
        <v>1.3996539768839882E-3</v>
      </c>
      <c r="W193" s="170">
        <f>_xll.qlYieldTSDiscount(Discounting,S193,,AllTriggers)</f>
        <v>1.0009339283424408</v>
      </c>
      <c r="X193" s="170">
        <f>_xll.qlYieldTSDiscount(Discounting,T193,,AllTriggers)</f>
        <v>1.0012171603242506</v>
      </c>
      <c r="Y193" s="167">
        <f t="shared" si="16"/>
        <v>-1.1069517215395418E-3</v>
      </c>
      <c r="AD193" s="141"/>
      <c r="AE193" s="141"/>
    </row>
    <row r="194" spans="6:31" ht="11.25" customHeight="1" x14ac:dyDescent="0.2">
      <c r="F194" s="243"/>
      <c r="G194" s="243"/>
      <c r="H194" s="141"/>
      <c r="L194" s="141"/>
      <c r="M194" s="141"/>
      <c r="S194" s="169">
        <f>_xll.qlCalendarAdvance(Calendar,S193,"1D","f")</f>
        <v>42431</v>
      </c>
      <c r="T194" s="169">
        <f>_xll.qlCalendarAdvance(Calendar,S194,$F$1,"mf",,Trigger)</f>
        <v>42523</v>
      </c>
      <c r="U194" s="155">
        <f>_xll.qlDayCounterYearFraction(DayCounter,S194,T194,,,Trigger)</f>
        <v>0.25555555555555554</v>
      </c>
      <c r="V194" s="167">
        <f>_xll.qlInterpolationInterpolate(B3Minterpolation,S194,TRUE)</f>
        <v>1.4004168794263219E-3</v>
      </c>
      <c r="W194" s="170">
        <f>_xll.qlYieldTSDiscount(Discounting,S194,,AllTriggers)</f>
        <v>1.0009373575949534</v>
      </c>
      <c r="X194" s="170">
        <f>_xll.qlYieldTSDiscount(Discounting,T194,,AllTriggers)</f>
        <v>1.0012202563388317</v>
      </c>
      <c r="Y194" s="167">
        <f t="shared" si="16"/>
        <v>-1.1056459133071286E-3</v>
      </c>
      <c r="AD194" s="141"/>
      <c r="AE194" s="141"/>
    </row>
    <row r="195" spans="6:31" ht="11.25" customHeight="1" x14ac:dyDescent="0.2">
      <c r="F195" s="243"/>
      <c r="G195" s="243"/>
      <c r="H195" s="141"/>
      <c r="L195" s="141"/>
      <c r="M195" s="141"/>
      <c r="S195" s="169">
        <f>_xll.qlCalendarAdvance(Calendar,S194,"1D","f")</f>
        <v>42432</v>
      </c>
      <c r="T195" s="169">
        <f>_xll.qlCalendarAdvance(Calendar,S195,$F$1,"mf",,Trigger)</f>
        <v>42524</v>
      </c>
      <c r="U195" s="155">
        <f>_xll.qlDayCounterYearFraction(DayCounter,S195,T195,,,Trigger)</f>
        <v>0.25555555555555554</v>
      </c>
      <c r="V195" s="167">
        <f>_xll.qlInterpolationInterpolate(B3Minterpolation,S195,TRUE)</f>
        <v>1.4011568238815933E-3</v>
      </c>
      <c r="W195" s="170">
        <f>_xll.qlYieldTSDiscount(Discounting,S195,,AllTriggers)</f>
        <v>1.0009407868592151</v>
      </c>
      <c r="X195" s="170">
        <f>_xll.qlYieldTSDiscount(Discounting,T195,,AllTriggers)</f>
        <v>1.0012233523629865</v>
      </c>
      <c r="Y195" s="167">
        <f t="shared" si="16"/>
        <v>-1.1043401046381082E-3</v>
      </c>
      <c r="AD195" s="141"/>
      <c r="AE195" s="141"/>
    </row>
    <row r="196" spans="6:31" ht="11.25" customHeight="1" x14ac:dyDescent="0.2">
      <c r="F196" s="243"/>
      <c r="G196" s="243"/>
      <c r="H196" s="141"/>
      <c r="L196" s="141"/>
      <c r="M196" s="141"/>
      <c r="S196" s="169">
        <f>_xll.qlCalendarAdvance(Calendar,S195,"1D","f")</f>
        <v>42433</v>
      </c>
      <c r="T196" s="169">
        <f>_xll.qlCalendarAdvance(Calendar,S196,$F$1,"mf",,Trigger)</f>
        <v>42527</v>
      </c>
      <c r="U196" s="155">
        <f>_xll.qlDayCounterYearFraction(DayCounter,S196,T196,,,Trigger)</f>
        <v>0.26111111111111113</v>
      </c>
      <c r="V196" s="167">
        <f>_xll.qlInterpolationInterpolate(B3Minterpolation,S196,TRUE)</f>
        <v>1.4018729752708426E-3</v>
      </c>
      <c r="W196" s="170">
        <f>_xll.qlYieldTSDiscount(Discounting,S196,,AllTriggers)</f>
        <v>1.0009442161352256</v>
      </c>
      <c r="X196" s="170">
        <f>_xll.qlYieldTSDiscount(Discounting,T196,,AllTriggers)</f>
        <v>1.0012326404928928</v>
      </c>
      <c r="Y196" s="167">
        <f t="shared" ref="Y196:Y259" si="17">(W196/X196-1)/U196</f>
        <v>-1.1032440197289912E-3</v>
      </c>
      <c r="AD196" s="141"/>
      <c r="AE196" s="141"/>
    </row>
    <row r="197" spans="6:31" ht="11.25" customHeight="1" x14ac:dyDescent="0.2">
      <c r="F197" s="243"/>
      <c r="G197" s="243"/>
      <c r="H197" s="141"/>
      <c r="L197" s="141"/>
      <c r="M197" s="141"/>
      <c r="S197" s="169">
        <f>_xll.qlCalendarAdvance(Calendar,S196,"1D","f")</f>
        <v>42436</v>
      </c>
      <c r="T197" s="169">
        <f>_xll.qlCalendarAdvance(Calendar,S197,$F$1,"mf",,Trigger)</f>
        <v>42528</v>
      </c>
      <c r="U197" s="155">
        <f>_xll.qlDayCounterYearFraction(DayCounter,S197,T197,,,Trigger)</f>
        <v>0.25555555555555554</v>
      </c>
      <c r="V197" s="167">
        <f>_xll.qlInterpolationInterpolate(B3Minterpolation,S197,TRUE)</f>
        <v>1.4038703212528568E-3</v>
      </c>
      <c r="W197" s="170">
        <f>_xll.qlYieldTSDiscount(Discounting,S197,,AllTriggers)</f>
        <v>1.0009545040337504</v>
      </c>
      <c r="X197" s="170">
        <f>_xll.qlYieldTSDiscount(Discounting,T197,,AllTriggers)</f>
        <v>1.0012357365553426</v>
      </c>
      <c r="Y197" s="167">
        <f t="shared" si="17"/>
        <v>-1.0991168656016015E-3</v>
      </c>
      <c r="AD197" s="141"/>
      <c r="AE197" s="141"/>
    </row>
    <row r="198" spans="6:31" ht="11.25" customHeight="1" x14ac:dyDescent="0.2">
      <c r="F198" s="243"/>
      <c r="G198" s="243"/>
      <c r="H198" s="141"/>
      <c r="L198" s="141"/>
      <c r="M198" s="141"/>
      <c r="S198" s="169">
        <f>_xll.qlCalendarAdvance(Calendar,S197,"1D","f")</f>
        <v>42437</v>
      </c>
      <c r="T198" s="169">
        <f>_xll.qlCalendarAdvance(Calendar,S198,$F$1,"mf",,Trigger)</f>
        <v>42529</v>
      </c>
      <c r="U198" s="155">
        <f>_xll.qlDayCounterYearFraction(DayCounter,S198,T198,,,Trigger)</f>
        <v>0.25555555555555554</v>
      </c>
      <c r="V198" s="167">
        <f>_xll.qlInterpolationInterpolate(B3Minterpolation,S198,TRUE)</f>
        <v>1.4044829505884171E-3</v>
      </c>
      <c r="W198" s="170">
        <f>_xll.qlYieldTSDiscount(Discounting,S198,,AllTriggers)</f>
        <v>1.0009579333567564</v>
      </c>
      <c r="X198" s="170">
        <f>_xll.qlYieldTSDiscount(Discounting,T198,,AllTriggers)</f>
        <v>1.0012388326273662</v>
      </c>
      <c r="Y198" s="167">
        <f t="shared" si="17"/>
        <v>-1.097811054754758E-3</v>
      </c>
      <c r="AD198" s="141"/>
      <c r="AE198" s="141"/>
    </row>
    <row r="199" spans="6:31" ht="11.25" customHeight="1" x14ac:dyDescent="0.2">
      <c r="F199" s="243"/>
      <c r="G199" s="243"/>
      <c r="H199" s="141"/>
      <c r="L199" s="141"/>
      <c r="M199" s="141"/>
      <c r="S199" s="169">
        <f>_xll.qlCalendarAdvance(Calendar,S198,"1D","f")</f>
        <v>42438</v>
      </c>
      <c r="T199" s="169">
        <f>_xll.qlCalendarAdvance(Calendar,S199,$F$1,"mf",,Trigger)</f>
        <v>42530</v>
      </c>
      <c r="U199" s="155">
        <f>_xll.qlDayCounterYearFraction(DayCounter,S199,T199,,,Trigger)</f>
        <v>0.25555555555555554</v>
      </c>
      <c r="V199" s="167">
        <f>_xll.qlInterpolationInterpolate(B3Minterpolation,S199,TRUE)</f>
        <v>1.4050676119631554E-3</v>
      </c>
      <c r="W199" s="170">
        <f>_xll.qlYieldTSDiscount(Discounting,S199,,AllTriggers)</f>
        <v>1.0009613626915119</v>
      </c>
      <c r="X199" s="170">
        <f>_xll.qlYieldTSDiscount(Discounting,T199,,AllTriggers)</f>
        <v>1.0012418303779453</v>
      </c>
      <c r="Y199" s="167">
        <f t="shared" si="17"/>
        <v>-1.0961210548373576E-3</v>
      </c>
      <c r="AD199" s="141"/>
      <c r="AE199" s="141"/>
    </row>
    <row r="200" spans="6:31" ht="11.25" customHeight="1" x14ac:dyDescent="0.2">
      <c r="F200" s="243"/>
      <c r="G200" s="243"/>
      <c r="H200" s="141"/>
      <c r="L200" s="141"/>
      <c r="M200" s="141"/>
      <c r="S200" s="169">
        <f>_xll.qlCalendarAdvance(Calendar,S199,"1D","f")</f>
        <v>42439</v>
      </c>
      <c r="T200" s="169">
        <f>_xll.qlCalendarAdvance(Calendar,S200,$F$1,"mf",,Trigger)</f>
        <v>42531</v>
      </c>
      <c r="U200" s="155">
        <f>_xll.qlDayCounterYearFraction(DayCounter,S200,T200,,,Trigger)</f>
        <v>0.25555555555555554</v>
      </c>
      <c r="V200" s="167">
        <f>_xll.qlInterpolationInterpolate(B3Minterpolation,S200,TRUE)</f>
        <v>1.4056234703981117E-3</v>
      </c>
      <c r="W200" s="170">
        <f>_xll.qlYieldTSDiscount(Discounting,S200,,AllTriggers)</f>
        <v>1.0009647920380162</v>
      </c>
      <c r="X200" s="170">
        <f>_xll.qlYieldTSDiscount(Discounting,T200,,AllTriggers)</f>
        <v>1.001244819123138</v>
      </c>
      <c r="Y200" s="167">
        <f t="shared" si="17"/>
        <v>-1.0943958343091814E-3</v>
      </c>
      <c r="AD200" s="141"/>
      <c r="AE200" s="141"/>
    </row>
    <row r="201" spans="6:31" ht="11.25" customHeight="1" x14ac:dyDescent="0.2">
      <c r="F201" s="243"/>
      <c r="G201" s="243"/>
      <c r="H201" s="141"/>
      <c r="L201" s="141"/>
      <c r="M201" s="141"/>
      <c r="S201" s="169">
        <f>_xll.qlCalendarAdvance(Calendar,S200,"1D","f")</f>
        <v>42440</v>
      </c>
      <c r="T201" s="169">
        <f>_xll.qlCalendarAdvance(Calendar,S201,$F$1,"mf",,Trigger)</f>
        <v>42534</v>
      </c>
      <c r="U201" s="155">
        <f>_xll.qlDayCounterYearFraction(DayCounter,S201,T201,,,Trigger)</f>
        <v>0.26111111111111113</v>
      </c>
      <c r="V201" s="167">
        <f>_xll.qlInterpolationInterpolate(B3Minterpolation,S201,TRUE)</f>
        <v>1.406149690914326E-3</v>
      </c>
      <c r="W201" s="170">
        <f>_xll.qlYieldTSDiscount(Discounting,S201,,AllTriggers)</f>
        <v>1.0009682213962696</v>
      </c>
      <c r="X201" s="170">
        <f>_xll.qlYieldTSDiscount(Discounting,T201,,AllTriggers)</f>
        <v>1.0012537314227086</v>
      </c>
      <c r="Y201" s="167">
        <f t="shared" si="17"/>
        <v>-1.0920734875999138E-3</v>
      </c>
      <c r="AD201" s="141"/>
      <c r="AE201" s="141"/>
    </row>
    <row r="202" spans="6:31" ht="11.25" customHeight="1" x14ac:dyDescent="0.2">
      <c r="F202" s="243"/>
      <c r="G202" s="243"/>
      <c r="H202" s="141"/>
      <c r="L202" s="141"/>
      <c r="M202" s="141"/>
      <c r="S202" s="169">
        <f>_xll.qlCalendarAdvance(Calendar,S201,"1D","f")</f>
        <v>42443</v>
      </c>
      <c r="T202" s="169">
        <f>_xll.qlCalendarAdvance(Calendar,S202,$F$1,"mf",,Trigger)</f>
        <v>42535</v>
      </c>
      <c r="U202" s="155">
        <f>_xll.qlDayCounterYearFraction(DayCounter,S202,T202,,,Trigger)</f>
        <v>0.25555555555555554</v>
      </c>
      <c r="V202" s="167">
        <f>_xll.qlInterpolationInterpolate(B3Minterpolation,S202,TRUE)</f>
        <v>1.4075421751609171E-3</v>
      </c>
      <c r="W202" s="170">
        <f>_xll.qlYieldTSDiscount(Discounting,S202,,AllTriggers)</f>
        <v>1.0009785095415251</v>
      </c>
      <c r="X202" s="170">
        <f>_xll.qlYieldTSDiscount(Discounting,T202,,AllTriggers)</f>
        <v>1.0012566842426667</v>
      </c>
      <c r="Y202" s="167">
        <f t="shared" si="17"/>
        <v>-1.0871435040080992E-3</v>
      </c>
      <c r="AD202" s="141"/>
      <c r="AE202" s="141"/>
    </row>
    <row r="203" spans="6:31" ht="11.25" customHeight="1" x14ac:dyDescent="0.2">
      <c r="F203" s="243"/>
      <c r="G203" s="243"/>
      <c r="H203" s="141"/>
      <c r="L203" s="141"/>
      <c r="M203" s="141"/>
      <c r="S203" s="169">
        <f>_xll.qlCalendarAdvance(Calendar,S202,"1D","f")</f>
        <v>42444</v>
      </c>
      <c r="T203" s="169">
        <f>_xll.qlCalendarAdvance(Calendar,S203,$F$1,"mf",,Trigger)</f>
        <v>42536</v>
      </c>
      <c r="U203" s="155">
        <f>_xll.qlDayCounterYearFraction(DayCounter,S203,T203,,,Trigger)</f>
        <v>0.25555555555555554</v>
      </c>
      <c r="V203" s="167">
        <f>_xll.qlInterpolationInterpolate(B3Minterpolation,S203,TRUE)</f>
        <v>1.4079414942125637E-3</v>
      </c>
      <c r="W203" s="170">
        <f>_xll.qlYieldTSDiscount(Discounting,S203,,AllTriggers)</f>
        <v>1.0009819389467753</v>
      </c>
      <c r="X203" s="170">
        <f>_xll.qlYieldTSDiscount(Discounting,T203,,AllTriggers)</f>
        <v>1.0012596281053951</v>
      </c>
      <c r="Y203" s="167">
        <f t="shared" si="17"/>
        <v>-1.0852427488535236E-3</v>
      </c>
      <c r="AD203" s="141"/>
      <c r="AE203" s="141"/>
    </row>
    <row r="204" spans="6:31" ht="11.25" customHeight="1" x14ac:dyDescent="0.2">
      <c r="F204" s="243"/>
      <c r="G204" s="243"/>
      <c r="H204" s="141"/>
      <c r="L204" s="141"/>
      <c r="M204" s="141"/>
      <c r="S204" s="169">
        <f>_xll.qlCalendarAdvance(Calendar,S203,"1D","f")</f>
        <v>42445</v>
      </c>
      <c r="T204" s="169">
        <f>_xll.qlCalendarAdvance(Calendar,S204,$F$1,"mf",,Trigger)</f>
        <v>42537</v>
      </c>
      <c r="U204" s="155">
        <f>_xll.qlDayCounterYearFraction(DayCounter,S204,T204,,,Trigger)</f>
        <v>0.25555555555555554</v>
      </c>
      <c r="V204" s="167">
        <f>_xll.qlInterpolationInterpolate(B3Minterpolation,S204,TRUE)</f>
        <v>1.4083070004506685E-3</v>
      </c>
      <c r="W204" s="170">
        <f>_xll.qlYieldTSDiscount(Discounting,S204,,AllTriggers)</f>
        <v>1.0009853683637753</v>
      </c>
      <c r="X204" s="170">
        <f>_xll.qlYieldTSDiscount(Discounting,T204,,AllTriggers)</f>
        <v>1.0012625630205265</v>
      </c>
      <c r="Y204" s="167">
        <f t="shared" si="17"/>
        <v>-1.0833070004506488E-3</v>
      </c>
      <c r="AD204" s="141"/>
      <c r="AE204" s="141"/>
    </row>
    <row r="205" spans="6:31" ht="11.25" customHeight="1" x14ac:dyDescent="0.2">
      <c r="F205" s="243"/>
      <c r="G205" s="243"/>
      <c r="H205" s="141"/>
      <c r="L205" s="141"/>
      <c r="M205" s="141"/>
      <c r="S205" s="169">
        <f>_xll.qlCalendarAdvance(Calendar,S204,"1D","f")</f>
        <v>42446</v>
      </c>
      <c r="T205" s="169">
        <f>_xll.qlCalendarAdvance(Calendar,S205,$F$1,"mf",,Trigger)</f>
        <v>42538</v>
      </c>
      <c r="U205" s="155">
        <f>_xll.qlDayCounterYearFraction(DayCounter,S205,T205,,,Trigger)</f>
        <v>0.25555555555555554</v>
      </c>
      <c r="V205" s="167">
        <f>_xll.qlInterpolationInterpolate(B3Minterpolation,S205,TRUE)</f>
        <v>1.4086381202270553E-3</v>
      </c>
      <c r="W205" s="170">
        <f>_xll.qlYieldTSDiscount(Discounting,S205,,AllTriggers)</f>
        <v>1.0009884549399519</v>
      </c>
      <c r="X205" s="170">
        <f>_xll.qlYieldTSDiscount(Discounting,T205,,AllTriggers)</f>
        <v>1.0012654889976935</v>
      </c>
      <c r="Y205" s="167">
        <f t="shared" si="17"/>
        <v>-1.0826761980850892E-3</v>
      </c>
      <c r="AD205" s="141"/>
      <c r="AE205" s="141"/>
    </row>
    <row r="206" spans="6:31" ht="11.25" customHeight="1" x14ac:dyDescent="0.2">
      <c r="F206" s="243"/>
      <c r="G206" s="243"/>
      <c r="H206" s="141"/>
      <c r="L206" s="141"/>
      <c r="M206" s="141"/>
      <c r="S206" s="169">
        <f>_xll.qlCalendarAdvance(Calendar,S205,"1D","f")</f>
        <v>42447</v>
      </c>
      <c r="T206" s="169">
        <f>_xll.qlCalendarAdvance(Calendar,S206,$F$1,"mf",,Trigger)</f>
        <v>42541</v>
      </c>
      <c r="U206" s="155">
        <f>_xll.qlDayCounterYearFraction(DayCounter,S206,T206,,,Trigger)</f>
        <v>0.26111111111111113</v>
      </c>
      <c r="V206" s="167">
        <f>_xll.qlInterpolationInterpolate(B3Minterpolation,S206,TRUE)</f>
        <v>1.4089353252166839E-3</v>
      </c>
      <c r="W206" s="170">
        <f>_xll.qlYieldTSDiscount(Discounting,S206,,AllTriggers)</f>
        <v>1.0009915415256461</v>
      </c>
      <c r="X206" s="170">
        <f>_xll.qlYieldTSDiscount(Discounting,T206,,AllTriggers)</f>
        <v>1.0012742133977397</v>
      </c>
      <c r="Y206" s="167">
        <f t="shared" si="17"/>
        <v>-1.0811954534345586E-3</v>
      </c>
      <c r="AD206" s="141"/>
      <c r="AE206" s="141"/>
    </row>
    <row r="207" spans="6:31" ht="11.25" customHeight="1" x14ac:dyDescent="0.2">
      <c r="F207" s="243"/>
      <c r="G207" s="243"/>
      <c r="H207" s="141"/>
      <c r="L207" s="141"/>
      <c r="M207" s="141"/>
      <c r="S207" s="169">
        <f>_xll.qlCalendarAdvance(Calendar,S206,"1D","f")</f>
        <v>42450</v>
      </c>
      <c r="T207" s="169">
        <f>_xll.qlCalendarAdvance(Calendar,S207,$F$1,"mf",,Trigger)</f>
        <v>42542</v>
      </c>
      <c r="U207" s="155">
        <f>_xll.qlDayCounterYearFraction(DayCounter,S207,T207,,,Trigger)</f>
        <v>0.25555555555555554</v>
      </c>
      <c r="V207" s="167">
        <f>_xll.qlInterpolationInterpolate(B3Minterpolation,S207,TRUE)</f>
        <v>1.4096307815224557E-3</v>
      </c>
      <c r="W207" s="170">
        <f>_xll.qlYieldTSDiscount(Discounting,S207,,AllTriggers)</f>
        <v>1.0010008013398346</v>
      </c>
      <c r="X207" s="170">
        <f>_xll.qlYieldTSDiscount(Discounting,T207,,AllTriggers)</f>
        <v>1.0012771037193828</v>
      </c>
      <c r="Y207" s="167">
        <f t="shared" si="17"/>
        <v>-1.0798042023560264E-3</v>
      </c>
      <c r="AD207" s="141"/>
      <c r="AE207" s="141"/>
    </row>
    <row r="208" spans="6:31" ht="11.25" customHeight="1" x14ac:dyDescent="0.2">
      <c r="F208" s="243"/>
      <c r="G208" s="243"/>
      <c r="H208" s="141"/>
      <c r="L208" s="141"/>
      <c r="M208" s="141"/>
      <c r="S208" s="169">
        <f>_xll.qlCalendarAdvance(Calendar,S207,"1D","f")</f>
        <v>42451</v>
      </c>
      <c r="T208" s="169">
        <f>_xll.qlCalendarAdvance(Calendar,S208,$F$1,"mf",,Trigger)</f>
        <v>42543</v>
      </c>
      <c r="U208" s="155">
        <f>_xll.qlDayCounterYearFraction(DayCounter,S208,T208,,,Trigger)</f>
        <v>0.25555555555555554</v>
      </c>
      <c r="V208" s="167">
        <f>_xll.qlInterpolationInterpolate(B3Minterpolation,S208,TRUE)</f>
        <v>1.4097996574224869E-3</v>
      </c>
      <c r="W208" s="170">
        <f>_xll.qlYieldTSDiscount(Discounting,S208,,AllTriggers)</f>
        <v>1.0010038879635994</v>
      </c>
      <c r="X208" s="170">
        <f>_xll.qlYieldTSDiscount(Discounting,T208,,AllTriggers)</f>
        <v>1.0012799851512304</v>
      </c>
      <c r="Y208" s="167">
        <f t="shared" si="17"/>
        <v>-1.07899919647581E-3</v>
      </c>
      <c r="AD208" s="141"/>
      <c r="AE208" s="141"/>
    </row>
    <row r="209" spans="6:31" ht="11.25" customHeight="1" x14ac:dyDescent="0.2">
      <c r="F209" s="243"/>
      <c r="G209" s="243"/>
      <c r="H209" s="141"/>
      <c r="L209" s="141"/>
      <c r="M209" s="141"/>
      <c r="S209" s="169">
        <f>_xll.qlCalendarAdvance(Calendar,S208,"1D","f")</f>
        <v>42452</v>
      </c>
      <c r="T209" s="169">
        <f>_xll.qlCalendarAdvance(Calendar,S209,$F$1,"mf",,Trigger)</f>
        <v>42544</v>
      </c>
      <c r="U209" s="155">
        <f>_xll.qlDayCounterYearFraction(DayCounter,S209,T209,,,Trigger)</f>
        <v>0.25555555555555554</v>
      </c>
      <c r="V209" s="167">
        <f>_xll.qlInterpolationInterpolate(B3Minterpolation,S209,TRUE)</f>
        <v>1.4099382835644774E-3</v>
      </c>
      <c r="W209" s="170">
        <f>_xll.qlYieldTSDiscount(Discounting,S209,,AllTriggers)</f>
        <v>1.0010069745968817</v>
      </c>
      <c r="X209" s="170">
        <f>_xll.qlYieldTSDiscount(Discounting,T209,,AllTriggers)</f>
        <v>1.0012828577029167</v>
      </c>
      <c r="Y209" s="167">
        <f t="shared" si="17"/>
        <v>-1.078159463659484E-3</v>
      </c>
      <c r="AD209" s="141"/>
      <c r="AE209" s="141"/>
    </row>
    <row r="210" spans="6:31" ht="11.25" customHeight="1" x14ac:dyDescent="0.2">
      <c r="F210" s="243"/>
      <c r="G210" s="243"/>
      <c r="H210" s="141"/>
      <c r="L210" s="141"/>
      <c r="M210" s="141"/>
      <c r="S210" s="169">
        <f>_xll.qlCalendarAdvance(Calendar,S209,"1D","f")</f>
        <v>42453</v>
      </c>
      <c r="T210" s="169">
        <f>_xll.qlCalendarAdvance(Calendar,S210,$F$1,"mf",,Trigger)</f>
        <v>42545</v>
      </c>
      <c r="U210" s="155">
        <f>_xll.qlDayCounterYearFraction(DayCounter,S210,T210,,,Trigger)</f>
        <v>0.25555555555555554</v>
      </c>
      <c r="V210" s="167">
        <f>_xll.qlInterpolationInterpolate(B3Minterpolation,S210,TRUE)</f>
        <v>1.4100473929541709E-3</v>
      </c>
      <c r="W210" s="170">
        <f>_xll.qlYieldTSDiscount(Discounting,S210,,AllTriggers)</f>
        <v>1.0010100612396822</v>
      </c>
      <c r="X210" s="170">
        <f>_xll.qlYieldTSDiscount(Discounting,T210,,AllTriggers)</f>
        <v>1.0012857213840778</v>
      </c>
      <c r="Y210" s="167">
        <f t="shared" si="17"/>
        <v>-1.0772850418288885E-3</v>
      </c>
      <c r="AD210" s="141"/>
      <c r="AE210" s="141"/>
    </row>
    <row r="211" spans="6:31" ht="11.25" customHeight="1" x14ac:dyDescent="0.2">
      <c r="F211" s="243"/>
      <c r="G211" s="243"/>
      <c r="H211" s="141"/>
      <c r="L211" s="141"/>
      <c r="M211" s="141"/>
      <c r="S211" s="169">
        <f>_xll.qlCalendarAdvance(Calendar,S210,"1D","f")</f>
        <v>42458</v>
      </c>
      <c r="T211" s="169">
        <f>_xll.qlCalendarAdvance(Calendar,S211,$F$1,"mf",,Trigger)</f>
        <v>42550</v>
      </c>
      <c r="U211" s="155">
        <f>_xll.qlDayCounterYearFraction(DayCounter,S211,T211,,,Trigger)</f>
        <v>0.25555555555555554</v>
      </c>
      <c r="V211" s="167">
        <f>_xll.qlInterpolationInterpolate(B3Minterpolation,S211,TRUE)</f>
        <v>1.4101758438192088E-3</v>
      </c>
      <c r="W211" s="170">
        <f>_xll.qlYieldTSDiscount(Discounting,S211,,AllTriggers)</f>
        <v>1.001025494596451</v>
      </c>
      <c r="X211" s="170">
        <f>_xll.qlYieldTSDiscount(Discounting,T211,,AllTriggers)</f>
        <v>1.0012999070692525</v>
      </c>
      <c r="Y211" s="167">
        <f t="shared" si="17"/>
        <v>-1.0723939246059112E-3</v>
      </c>
      <c r="AD211" s="141"/>
      <c r="AE211" s="141"/>
    </row>
    <row r="212" spans="6:31" ht="11.25" customHeight="1" x14ac:dyDescent="0.2">
      <c r="F212" s="243"/>
      <c r="G212" s="243"/>
      <c r="H212" s="141"/>
      <c r="L212" s="141"/>
      <c r="M212" s="141"/>
      <c r="S212" s="169">
        <f>_xll.qlCalendarAdvance(Calendar,S211,"1D","f")</f>
        <v>42459</v>
      </c>
      <c r="T212" s="169">
        <f>_xll.qlCalendarAdvance(Calendar,S212,$F$1,"mf",,Trigger)</f>
        <v>42551</v>
      </c>
      <c r="U212" s="155">
        <f>_xll.qlDayCounterYearFraction(DayCounter,S212,T212,,,Trigger)</f>
        <v>0.25555555555555554</v>
      </c>
      <c r="V212" s="167">
        <f>_xll.qlInterpolationInterpolate(B3Minterpolation,S212,TRUE)</f>
        <v>1.4101232458157351E-3</v>
      </c>
      <c r="W212" s="170">
        <f>_xll.qlYieldTSDiscount(Discounting,S212,,AllTriggers)</f>
        <v>1.0010285812963584</v>
      </c>
      <c r="X212" s="170">
        <f>_xll.qlYieldTSDiscount(Discounting,T212,,AllTriggers)</f>
        <v>1.0013027177296174</v>
      </c>
      <c r="Y212" s="167">
        <f t="shared" si="17"/>
        <v>-1.0713121649666545E-3</v>
      </c>
      <c r="AD212" s="141"/>
      <c r="AE212" s="141"/>
    </row>
    <row r="213" spans="6:31" ht="11.25" customHeight="1" x14ac:dyDescent="0.2">
      <c r="F213" s="243"/>
      <c r="G213" s="243"/>
      <c r="H213" s="141"/>
      <c r="L213" s="141"/>
      <c r="M213" s="141"/>
      <c r="S213" s="169">
        <f>_xll.qlCalendarAdvance(Calendar,S212,"1D","f")</f>
        <v>42460</v>
      </c>
      <c r="T213" s="169">
        <f>_xll.qlCalendarAdvance(Calendar,S213,$F$1,"mf",,Trigger)</f>
        <v>42551</v>
      </c>
      <c r="U213" s="155">
        <f>_xll.qlDayCounterYearFraction(DayCounter,S213,T213,,,Trigger)</f>
        <v>0.25277777777777777</v>
      </c>
      <c r="V213" s="167">
        <f>_xll.qlInterpolationInterpolate(B3Minterpolation,S213,TRUE)</f>
        <v>1.4100462621001691E-3</v>
      </c>
      <c r="W213" s="170">
        <f>_xll.qlYieldTSDiscount(Discounting,S213,,AllTriggers)</f>
        <v>1.0010316680057836</v>
      </c>
      <c r="X213" s="170">
        <f>_xll.qlYieldTSDiscount(Discounting,T213,,AllTriggers)</f>
        <v>1.0013027177296174</v>
      </c>
      <c r="Y213" s="167">
        <f t="shared" si="17"/>
        <v>-1.0708895549505183E-3</v>
      </c>
      <c r="AD213" s="141"/>
      <c r="AE213" s="141"/>
    </row>
    <row r="214" spans="6:31" ht="11.25" customHeight="1" x14ac:dyDescent="0.2">
      <c r="F214" s="243"/>
      <c r="G214" s="243"/>
      <c r="H214" s="141"/>
      <c r="L214" s="141"/>
      <c r="M214" s="141"/>
      <c r="S214" s="169">
        <f>_xll.qlCalendarAdvance(Calendar,S213,"1D","f")</f>
        <v>42461</v>
      </c>
      <c r="T214" s="169">
        <f>_xll.qlCalendarAdvance(Calendar,S214,$F$1,"mf",,Trigger)</f>
        <v>42552</v>
      </c>
      <c r="U214" s="155">
        <f>_xll.qlDayCounterYearFraction(DayCounter,S214,T214,,,Trigger)</f>
        <v>0.25277777777777777</v>
      </c>
      <c r="V214" s="167">
        <f>_xll.qlInterpolationInterpolate(B3Minterpolation,S214,TRUE)</f>
        <v>1.4099456256782548E-3</v>
      </c>
      <c r="W214" s="170">
        <f>_xll.qlYieldTSDiscount(Discounting,S214,,AllTriggers)</f>
        <v>1.0010347547247269</v>
      </c>
      <c r="X214" s="170">
        <f>_xll.qlYieldTSDiscount(Discounting,T214,,AllTriggers)</f>
        <v>1.0013055195869123</v>
      </c>
      <c r="Y214" s="167">
        <f t="shared" si="17"/>
        <v>-1.0697611024849815E-3</v>
      </c>
      <c r="AD214" s="141"/>
      <c r="AE214" s="141"/>
    </row>
    <row r="215" spans="6:31" ht="11.25" customHeight="1" x14ac:dyDescent="0.2">
      <c r="F215" s="243"/>
      <c r="G215" s="243"/>
      <c r="H215" s="141"/>
      <c r="L215" s="141"/>
      <c r="M215" s="141"/>
      <c r="S215" s="169">
        <f>_xll.qlCalendarAdvance(Calendar,S214,"1D","f")</f>
        <v>42464</v>
      </c>
      <c r="T215" s="169">
        <f>_xll.qlCalendarAdvance(Calendar,S215,$F$1,"mf",,Trigger)</f>
        <v>42555</v>
      </c>
      <c r="U215" s="155">
        <f>_xll.qlDayCounterYearFraction(DayCounter,S215,T215,,,Trigger)</f>
        <v>0.25277777777777777</v>
      </c>
      <c r="V215" s="167">
        <f>_xll.qlInterpolationInterpolate(B3Minterpolation,S215,TRUE)</f>
        <v>1.4095091302318557E-3</v>
      </c>
      <c r="W215" s="170">
        <f>_xll.qlYieldTSDiscount(Discounting,S215,,AllTriggers)</f>
        <v>1.001044014938665</v>
      </c>
      <c r="X215" s="170">
        <f>_xll.qlYieldTSDiscount(Discounting,T215,,AllTriggers)</f>
        <v>1.0013138724367592</v>
      </c>
      <c r="Y215" s="167">
        <f t="shared" si="17"/>
        <v>-1.066167316478615E-3</v>
      </c>
      <c r="AD215" s="141"/>
      <c r="AE215" s="141"/>
    </row>
    <row r="216" spans="6:31" ht="11.25" customHeight="1" x14ac:dyDescent="0.2">
      <c r="F216" s="243"/>
      <c r="G216" s="243"/>
      <c r="H216" s="141"/>
      <c r="L216" s="141"/>
      <c r="M216" s="141"/>
      <c r="S216" s="169">
        <f>_xll.qlCalendarAdvance(Calendar,S215,"1D","f")</f>
        <v>42465</v>
      </c>
      <c r="T216" s="169">
        <f>_xll.qlCalendarAdvance(Calendar,S216,$F$1,"mf",,Trigger)</f>
        <v>42556</v>
      </c>
      <c r="U216" s="155">
        <f>_xll.qlDayCounterYearFraction(DayCounter,S216,T216,,,Trigger)</f>
        <v>0.25277777777777777</v>
      </c>
      <c r="V216" s="167">
        <f>_xll.qlInterpolationInterpolate(B3Minterpolation,S216,TRUE)</f>
        <v>1.4093212130419825E-3</v>
      </c>
      <c r="W216" s="170">
        <f>_xll.qlYieldTSDiscount(Discounting,S216,,AllTriggers)</f>
        <v>1.0010471016956808</v>
      </c>
      <c r="X216" s="170">
        <f>_xll.qlYieldTSDiscount(Discounting,T216,,AllTriggers)</f>
        <v>1.0013166391781572</v>
      </c>
      <c r="Y216" s="167">
        <f t="shared" si="17"/>
        <v>-1.0649000393654765E-3</v>
      </c>
      <c r="AD216" s="141"/>
      <c r="AE216" s="141"/>
    </row>
    <row r="217" spans="6:31" ht="11.25" customHeight="1" x14ac:dyDescent="0.2">
      <c r="F217" s="243"/>
      <c r="G217" s="243"/>
      <c r="H217" s="141"/>
      <c r="L217" s="141"/>
      <c r="M217" s="141"/>
      <c r="S217" s="169">
        <f>_xll.qlCalendarAdvance(Calendar,S216,"1D","f")</f>
        <v>42466</v>
      </c>
      <c r="T217" s="169">
        <f>_xll.qlCalendarAdvance(Calendar,S217,$F$1,"mf",,Trigger)</f>
        <v>42557</v>
      </c>
      <c r="U217" s="155">
        <f>_xll.qlDayCounterYearFraction(DayCounter,S217,T217,,,Trigger)</f>
        <v>0.25277777777777777</v>
      </c>
      <c r="V217" s="167">
        <f>_xll.qlInterpolationInterpolate(B3Minterpolation,S217,TRUE)</f>
        <v>1.4091133081744786E-3</v>
      </c>
      <c r="W217" s="170">
        <f>_xll.qlYieldTSDiscount(Discounting,S217,,AllTriggers)</f>
        <v>1.0010501884622145</v>
      </c>
      <c r="X217" s="170">
        <f>_xll.qlYieldTSDiscount(Discounting,T217,,AllTriggers)</f>
        <v>1.0013193971646785</v>
      </c>
      <c r="Y217" s="167">
        <f t="shared" si="17"/>
        <v>-1.0635981519113713E-3</v>
      </c>
      <c r="AD217" s="141"/>
      <c r="AE217" s="141"/>
    </row>
    <row r="218" spans="6:31" ht="11.25" customHeight="1" x14ac:dyDescent="0.2">
      <c r="F218" s="243"/>
      <c r="G218" s="243"/>
      <c r="H218" s="141"/>
      <c r="L218" s="141"/>
      <c r="M218" s="141"/>
      <c r="S218" s="169">
        <f>_xll.qlCalendarAdvance(Calendar,S217,"1D","f")</f>
        <v>42467</v>
      </c>
      <c r="T218" s="169">
        <f>_xll.qlCalendarAdvance(Calendar,S218,$F$1,"mf",,Trigger)</f>
        <v>42558</v>
      </c>
      <c r="U218" s="155">
        <f>_xll.qlDayCounterYearFraction(DayCounter,S218,T218,,,Trigger)</f>
        <v>0.25277777777777777</v>
      </c>
      <c r="V218" s="167">
        <f>_xll.qlInterpolationInterpolate(B3Minterpolation,S218,TRUE)</f>
        <v>1.4088861486350871E-3</v>
      </c>
      <c r="W218" s="170">
        <f>_xll.qlYieldTSDiscount(Discounting,S218,,AllTriggers)</f>
        <v>1.0010532752382664</v>
      </c>
      <c r="X218" s="170">
        <f>_xll.qlYieldTSDiscount(Discounting,T218,,AllTriggers)</f>
        <v>1.0013221464059623</v>
      </c>
      <c r="Y218" s="167">
        <f t="shared" si="17"/>
        <v>-1.0622616924390509E-3</v>
      </c>
      <c r="AD218" s="141"/>
      <c r="AE218" s="141"/>
    </row>
    <row r="219" spans="6:31" ht="11.25" customHeight="1" x14ac:dyDescent="0.2">
      <c r="F219" s="243"/>
      <c r="G219" s="243"/>
      <c r="H219" s="141"/>
      <c r="L219" s="141"/>
      <c r="M219" s="141"/>
      <c r="S219" s="169">
        <f>_xll.qlCalendarAdvance(Calendar,S218,"1D","f")</f>
        <v>42468</v>
      </c>
      <c r="T219" s="169">
        <f>_xll.qlCalendarAdvance(Calendar,S219,$F$1,"mf",,Trigger)</f>
        <v>42559</v>
      </c>
      <c r="U219" s="155">
        <f>_xll.qlDayCounterYearFraction(DayCounter,S219,T219,,,Trigger)</f>
        <v>0.25277777777777777</v>
      </c>
      <c r="V219" s="167">
        <f>_xll.qlInterpolationInterpolate(B3Minterpolation,S219,TRUE)</f>
        <v>1.4086404674295522E-3</v>
      </c>
      <c r="W219" s="170">
        <f>_xll.qlYieldTSDiscount(Discounting,S219,,AllTriggers)</f>
        <v>1.0010563620238364</v>
      </c>
      <c r="X219" s="170">
        <f>_xll.qlYieldTSDiscount(Discounting,T219,,AllTriggers)</f>
        <v>1.0013248869116491</v>
      </c>
      <c r="Y219" s="167">
        <f t="shared" si="17"/>
        <v>-1.0608906992765372E-3</v>
      </c>
      <c r="AD219" s="141"/>
      <c r="AE219" s="141"/>
    </row>
    <row r="220" spans="6:31" ht="11.25" customHeight="1" x14ac:dyDescent="0.2">
      <c r="F220" s="243"/>
      <c r="G220" s="243"/>
      <c r="H220" s="141"/>
      <c r="L220" s="141"/>
      <c r="M220" s="141"/>
      <c r="S220" s="169">
        <f>_xll.qlCalendarAdvance(Calendar,S219,"1D","f")</f>
        <v>42471</v>
      </c>
      <c r="T220" s="169">
        <f>_xll.qlCalendarAdvance(Calendar,S220,$F$1,"mf",,Trigger)</f>
        <v>42562</v>
      </c>
      <c r="U220" s="155">
        <f>_xll.qlDayCounterYearFraction(DayCounter,S220,T220,,,Trigger)</f>
        <v>0.25277777777777777</v>
      </c>
      <c r="V220" s="167">
        <f>_xll.qlInterpolationInterpolate(B3Minterpolation,S220,TRUE)</f>
        <v>1.4077996238735201E-3</v>
      </c>
      <c r="W220" s="170">
        <f>_xll.qlYieldTSDiscount(Discounting,S220,,AllTriggers)</f>
        <v>1.0010656224376562</v>
      </c>
      <c r="X220" s="170">
        <f>_xll.qlYieldTSDiscount(Discounting,T220,,AllTriggers)</f>
        <v>1.0013330561115303</v>
      </c>
      <c r="Y220" s="167">
        <f t="shared" si="17"/>
        <v>-1.0565709008757919E-3</v>
      </c>
      <c r="AD220" s="141"/>
      <c r="AE220" s="141"/>
    </row>
    <row r="221" spans="6:31" ht="11.25" customHeight="1" x14ac:dyDescent="0.2">
      <c r="F221" s="243"/>
      <c r="G221" s="243"/>
      <c r="H221" s="141"/>
      <c r="L221" s="141"/>
      <c r="M221" s="141"/>
      <c r="S221" s="169">
        <f>_xll.qlCalendarAdvance(Calendar,S220,"1D","f")</f>
        <v>42472</v>
      </c>
      <c r="T221" s="169">
        <f>_xll.qlCalendarAdvance(Calendar,S221,$F$1,"mf",,Trigger)</f>
        <v>42563</v>
      </c>
      <c r="U221" s="155">
        <f>_xll.qlDayCounterYearFraction(DayCounter,S221,T221,,,Trigger)</f>
        <v>0.25277777777777777</v>
      </c>
      <c r="V221" s="167">
        <f>_xll.qlInterpolationInterpolate(B3Minterpolation,S221,TRUE)</f>
        <v>1.4074871860608456E-3</v>
      </c>
      <c r="W221" s="170">
        <f>_xll.qlYieldTSDiscount(Discounting,S221,,AllTriggers)</f>
        <v>1.0010687092612991</v>
      </c>
      <c r="X221" s="170">
        <f>_xll.qlYieldTSDiscount(Discounting,T221,,AllTriggers)</f>
        <v>1.0013357617712342</v>
      </c>
      <c r="Y221" s="167">
        <f t="shared" si="17"/>
        <v>-1.0550621561804603E-3</v>
      </c>
      <c r="AD221" s="141"/>
      <c r="AE221" s="141"/>
    </row>
    <row r="222" spans="6:31" ht="11.25" customHeight="1" x14ac:dyDescent="0.2">
      <c r="F222" s="243"/>
      <c r="G222" s="243"/>
      <c r="H222" s="141"/>
      <c r="L222" s="141"/>
      <c r="M222" s="141"/>
      <c r="S222" s="169">
        <f>_xll.qlCalendarAdvance(Calendar,S221,"1D","f")</f>
        <v>42473</v>
      </c>
      <c r="T222" s="169">
        <f>_xll.qlCalendarAdvance(Calendar,S222,$F$1,"mf",,Trigger)</f>
        <v>42564</v>
      </c>
      <c r="U222" s="155">
        <f>_xll.qlDayCounterYearFraction(DayCounter,S222,T222,,,Trigger)</f>
        <v>0.25277777777777777</v>
      </c>
      <c r="V222" s="167">
        <f>_xll.qlInterpolationInterpolate(B3Minterpolation,S222,TRUE)</f>
        <v>1.4071598916107449E-3</v>
      </c>
      <c r="W222" s="170">
        <f>_xll.qlYieldTSDiscount(Discounting,S222,,AllTriggers)</f>
        <v>1.0010717960944606</v>
      </c>
      <c r="X222" s="170">
        <f>_xll.qlYieldTSDiscount(Discounting,T222,,AllTriggers)</f>
        <v>1.001338458743545</v>
      </c>
      <c r="Y222" s="167">
        <f t="shared" si="17"/>
        <v>-1.0535190694029837E-3</v>
      </c>
      <c r="AD222" s="141"/>
      <c r="AE222" s="141"/>
    </row>
    <row r="223" spans="6:31" ht="11.25" customHeight="1" x14ac:dyDescent="0.2">
      <c r="F223" s="243"/>
      <c r="G223" s="243"/>
      <c r="H223" s="141"/>
      <c r="L223" s="141"/>
      <c r="M223" s="141"/>
      <c r="S223" s="169">
        <f>_xll.qlCalendarAdvance(Calendar,S222,"1D","f")</f>
        <v>42474</v>
      </c>
      <c r="T223" s="169">
        <f>_xll.qlCalendarAdvance(Calendar,S223,$F$1,"mf",,Trigger)</f>
        <v>42565</v>
      </c>
      <c r="U223" s="155">
        <f>_xll.qlDayCounterYearFraction(DayCounter,S223,T223,,,Trigger)</f>
        <v>0.25277777777777777</v>
      </c>
      <c r="V223" s="167">
        <f>_xll.qlInterpolationInterpolate(B3Minterpolation,S223,TRUE)</f>
        <v>1.4068184735289619E-3</v>
      </c>
      <c r="W223" s="170">
        <f>_xll.qlYieldTSDiscount(Discounting,S223,,AllTriggers)</f>
        <v>1.0010748829371405</v>
      </c>
      <c r="X223" s="170">
        <f>_xll.qlYieldTSDiscount(Discounting,T223,,AllTriggers)</f>
        <v>1.0013411470381057</v>
      </c>
      <c r="Y223" s="167">
        <f t="shared" si="17"/>
        <v>-1.0519416788678704E-3</v>
      </c>
      <c r="AD223" s="141"/>
      <c r="AE223" s="141"/>
    </row>
    <row r="224" spans="6:31" ht="11.25" customHeight="1" x14ac:dyDescent="0.2">
      <c r="F224" s="243"/>
      <c r="G224" s="243"/>
      <c r="H224" s="141"/>
      <c r="L224" s="141"/>
      <c r="M224" s="141"/>
      <c r="S224" s="169">
        <f>_xll.qlCalendarAdvance(Calendar,S223,"1D","f")</f>
        <v>42475</v>
      </c>
      <c r="T224" s="169">
        <f>_xll.qlCalendarAdvance(Calendar,S224,$F$1,"mf",,Trigger)</f>
        <v>42566</v>
      </c>
      <c r="U224" s="155">
        <f>_xll.qlDayCounterYearFraction(DayCounter,S224,T224,,,Trigger)</f>
        <v>0.25277777777777777</v>
      </c>
      <c r="V224" s="167">
        <f>_xll.qlInterpolationInterpolate(B3Minterpolation,S224,TRUE)</f>
        <v>1.4064636648212401E-3</v>
      </c>
      <c r="W224" s="170">
        <f>_xll.qlYieldTSDiscount(Discounting,S224,,AllTriggers)</f>
        <v>1.0010779697893388</v>
      </c>
      <c r="X224" s="170">
        <f>_xll.qlYieldTSDiscount(Discounting,T224,,AllTriggers)</f>
        <v>1.0013438266645578</v>
      </c>
      <c r="Y224" s="167">
        <f t="shared" si="17"/>
        <v>-1.0503300228912838E-3</v>
      </c>
      <c r="AD224" s="141"/>
      <c r="AE224" s="141"/>
    </row>
    <row r="225" spans="6:31" ht="11.25" customHeight="1" x14ac:dyDescent="0.2">
      <c r="F225" s="243"/>
      <c r="G225" s="243"/>
      <c r="H225" s="141"/>
      <c r="L225" s="141"/>
      <c r="M225" s="141"/>
      <c r="S225" s="169">
        <f>_xll.qlCalendarAdvance(Calendar,S224,"1D","f")</f>
        <v>42478</v>
      </c>
      <c r="T225" s="169">
        <f>_xll.qlCalendarAdvance(Calendar,S225,$F$1,"mf",,Trigger)</f>
        <v>42569</v>
      </c>
      <c r="U225" s="155">
        <f>_xll.qlDayCounterYearFraction(DayCounter,S225,T225,,,Trigger)</f>
        <v>0.25277777777777777</v>
      </c>
      <c r="V225" s="167">
        <f>_xll.qlInterpolationInterpolate(B3Minterpolation,S225,TRUE)</f>
        <v>1.4053262249998765E-3</v>
      </c>
      <c r="W225" s="170">
        <f>_xll.qlYieldTSDiscount(Discounting,S225,,AllTriggers)</f>
        <v>1.001087230403044</v>
      </c>
      <c r="X225" s="170">
        <f>_xll.qlYieldTSDiscount(Discounting,T225,,AllTriggers)</f>
        <v>1.0013518136316921</v>
      </c>
      <c r="Y225" s="167">
        <f t="shared" si="17"/>
        <v>-1.0452898455015503E-3</v>
      </c>
      <c r="AD225" s="141"/>
      <c r="AE225" s="141"/>
    </row>
    <row r="226" spans="6:31" ht="11.25" customHeight="1" x14ac:dyDescent="0.2">
      <c r="F226" s="243"/>
      <c r="G226" s="243"/>
      <c r="H226" s="141"/>
      <c r="L226" s="141"/>
      <c r="M226" s="141"/>
      <c r="S226" s="169">
        <f>_xll.qlCalendarAdvance(Calendar,S225,"1D","f")</f>
        <v>42479</v>
      </c>
      <c r="T226" s="169">
        <f>_xll.qlCalendarAdvance(Calendar,S226,$F$1,"mf",,Trigger)</f>
        <v>42570</v>
      </c>
      <c r="U226" s="155">
        <f>_xll.qlDayCounterYearFraction(DayCounter,S226,T226,,,Trigger)</f>
        <v>0.25277777777777777</v>
      </c>
      <c r="V226" s="167">
        <f>_xll.qlInterpolationInterpolate(B3Minterpolation,S226,TRUE)</f>
        <v>1.4049251838458344E-3</v>
      </c>
      <c r="W226" s="170">
        <f>_xll.qlYieldTSDiscount(Discounting,S226,,AllTriggers)</f>
        <v>1.0010903172933159</v>
      </c>
      <c r="X226" s="170">
        <f>_xll.qlYieldTSDiscount(Discounting,T226,,AllTriggers)</f>
        <v>1.0013544586821403</v>
      </c>
      <c r="Y226" s="167">
        <f t="shared" si="17"/>
        <v>-1.0435415109404694E-3</v>
      </c>
      <c r="AD226" s="141"/>
      <c r="AE226" s="141"/>
    </row>
    <row r="227" spans="6:31" ht="11.25" customHeight="1" x14ac:dyDescent="0.2">
      <c r="F227" s="243"/>
      <c r="G227" s="243"/>
      <c r="H227" s="141"/>
      <c r="L227" s="141"/>
      <c r="M227" s="141"/>
      <c r="S227" s="169">
        <f>_xll.qlCalendarAdvance(Calendar,S226,"1D","f")</f>
        <v>42480</v>
      </c>
      <c r="T227" s="169">
        <f>_xll.qlCalendarAdvance(Calendar,S227,$F$1,"mf",,Trigger)</f>
        <v>42571</v>
      </c>
      <c r="U227" s="155">
        <f>_xll.qlDayCounterYearFraction(DayCounter,S227,T227,,,Trigger)</f>
        <v>0.25277777777777777</v>
      </c>
      <c r="V227" s="167">
        <f>_xll.qlInterpolationInterpolate(B3Minterpolation,S227,TRUE)</f>
        <v>1.4045144170945713E-3</v>
      </c>
      <c r="W227" s="170">
        <f>_xll.qlYieldTSDiscount(Discounting,S227,,AllTriggers)</f>
        <v>1.0010934041931066</v>
      </c>
      <c r="X227" s="170">
        <f>_xll.qlYieldTSDiscount(Discounting,T227,,AllTriggers)</f>
        <v>1.0013570951126964</v>
      </c>
      <c r="Y227" s="167">
        <f t="shared" si="17"/>
        <v>-1.0417591025204895E-3</v>
      </c>
      <c r="AD227" s="141"/>
      <c r="AE227" s="141"/>
    </row>
    <row r="228" spans="6:31" ht="11.25" customHeight="1" x14ac:dyDescent="0.2">
      <c r="F228" s="243"/>
      <c r="G228" s="243"/>
      <c r="H228" s="141"/>
      <c r="L228" s="141"/>
      <c r="M228" s="141"/>
      <c r="S228" s="169">
        <f>_xll.qlCalendarAdvance(Calendar,S227,"1D","f")</f>
        <v>42481</v>
      </c>
      <c r="T228" s="169">
        <f>_xll.qlCalendarAdvance(Calendar,S228,$F$1,"mf",,Trigger)</f>
        <v>42572</v>
      </c>
      <c r="U228" s="155">
        <f>_xll.qlDayCounterYearFraction(DayCounter,S228,T228,,,Trigger)</f>
        <v>0.25277777777777777</v>
      </c>
      <c r="V228" s="167">
        <f>_xll.qlInterpolationInterpolate(B3Minterpolation,S228,TRUE)</f>
        <v>1.4040946577518305E-3</v>
      </c>
      <c r="W228" s="170">
        <f>_xll.qlYieldTSDiscount(Discounting,S228,,AllTriggers)</f>
        <v>1.0010964911024158</v>
      </c>
      <c r="X228" s="170">
        <f>_xll.qlYieldTSDiscount(Discounting,T228,,AllTriggers)</f>
        <v>1.0013597229330049</v>
      </c>
      <c r="Y228" s="167">
        <f t="shared" si="17"/>
        <v>-1.0399426585586521E-3</v>
      </c>
      <c r="AD228" s="141"/>
      <c r="AE228" s="141"/>
    </row>
    <row r="229" spans="6:31" ht="11.25" customHeight="1" x14ac:dyDescent="0.2">
      <c r="F229" s="243"/>
      <c r="G229" s="243"/>
      <c r="H229" s="141"/>
      <c r="L229" s="141"/>
      <c r="M229" s="141"/>
      <c r="S229" s="169">
        <f>_xll.qlCalendarAdvance(Calendar,S228,"1D","f")</f>
        <v>42482</v>
      </c>
      <c r="T229" s="169">
        <f>_xll.qlCalendarAdvance(Calendar,S229,$F$1,"mf",,Trigger)</f>
        <v>42573</v>
      </c>
      <c r="U229" s="155">
        <f>_xll.qlDayCounterYearFraction(DayCounter,S229,T229,,,Trigger)</f>
        <v>0.25277777777777777</v>
      </c>
      <c r="V229" s="167">
        <f>_xll.qlInterpolationInterpolate(B3Minterpolation,S229,TRUE)</f>
        <v>1.4036666388233558E-3</v>
      </c>
      <c r="W229" s="170">
        <f>_xll.qlYieldTSDiscount(Discounting,S229,,AllTriggers)</f>
        <v>1.0010995780212437</v>
      </c>
      <c r="X229" s="170">
        <f>_xll.qlYieldTSDiscount(Discounting,T229,,AllTriggers)</f>
        <v>1.0013623421527098</v>
      </c>
      <c r="Y229" s="167">
        <f t="shared" si="17"/>
        <v>-1.0380922173654111E-3</v>
      </c>
      <c r="AD229" s="141"/>
      <c r="AE229" s="141"/>
    </row>
    <row r="230" spans="6:31" ht="11.25" customHeight="1" x14ac:dyDescent="0.2">
      <c r="F230" s="243"/>
      <c r="G230" s="243"/>
      <c r="H230" s="141"/>
      <c r="L230" s="141"/>
      <c r="M230" s="141"/>
      <c r="S230" s="169">
        <f>_xll.qlCalendarAdvance(Calendar,S229,"1D","f")</f>
        <v>42485</v>
      </c>
      <c r="T230" s="169">
        <f>_xll.qlCalendarAdvance(Calendar,S230,$F$1,"mf",,Trigger)</f>
        <v>42576</v>
      </c>
      <c r="U230" s="155">
        <f>_xll.qlDayCounterYearFraction(DayCounter,S230,T230,,,Trigger)</f>
        <v>0.25277777777777777</v>
      </c>
      <c r="V230" s="167">
        <f>_xll.qlInterpolationInterpolate(B3Minterpolation,S230,TRUE)</f>
        <v>1.4023403545809624E-3</v>
      </c>
      <c r="W230" s="170">
        <f>_xll.qlYieldTSDiscount(Discounting,S230,,AllTriggers)</f>
        <v>1.001108838834839</v>
      </c>
      <c r="X230" s="170">
        <f>_xll.qlYieldTSDiscount(Discounting,T230,,AllTriggers)</f>
        <v>1.0013701483046562</v>
      </c>
      <c r="Y230" s="167">
        <f t="shared" si="17"/>
        <v>-1.0323372935347433E-3</v>
      </c>
      <c r="AD230" s="141"/>
      <c r="AE230" s="141"/>
    </row>
    <row r="231" spans="6:31" ht="11.25" customHeight="1" x14ac:dyDescent="0.2">
      <c r="F231" s="243"/>
      <c r="G231" s="243"/>
      <c r="H231" s="141"/>
      <c r="L231" s="141"/>
      <c r="M231" s="141"/>
      <c r="S231" s="169">
        <f>_xll.qlCalendarAdvance(Calendar,S230,"1D","f")</f>
        <v>42486</v>
      </c>
      <c r="T231" s="169">
        <f>_xll.qlCalendarAdvance(Calendar,S231,$F$1,"mf",,Trigger)</f>
        <v>42577</v>
      </c>
      <c r="U231" s="155">
        <f>_xll.qlDayCounterYearFraction(DayCounter,S231,T231,,,Trigger)</f>
        <v>0.25277777777777777</v>
      </c>
      <c r="V231" s="167">
        <f>_xll.qlInterpolationInterpolate(B3Minterpolation,S231,TRUE)</f>
        <v>1.4018866273669867E-3</v>
      </c>
      <c r="W231" s="170">
        <f>_xll.qlYieldTSDiscount(Discounting,S231,,AllTriggers)</f>
        <v>1.0011119257917414</v>
      </c>
      <c r="X231" s="170">
        <f>_xll.qlYieldTSDiscount(Discounting,T231,,AllTriggers)</f>
        <v>1.0013727332184001</v>
      </c>
      <c r="Y231" s="167">
        <f t="shared" si="17"/>
        <v>-1.0303512465419458E-3</v>
      </c>
      <c r="AD231" s="141"/>
      <c r="AE231" s="141"/>
    </row>
    <row r="232" spans="6:31" ht="11.25" customHeight="1" x14ac:dyDescent="0.2">
      <c r="F232" s="243"/>
      <c r="G232" s="243"/>
      <c r="H232" s="141"/>
      <c r="L232" s="141"/>
      <c r="M232" s="141"/>
      <c r="S232" s="169">
        <f>_xll.qlCalendarAdvance(Calendar,S231,"1D","f")</f>
        <v>42487</v>
      </c>
      <c r="T232" s="169">
        <f>_xll.qlCalendarAdvance(Calendar,S232,$F$1,"mf",,Trigger)</f>
        <v>42578</v>
      </c>
      <c r="U232" s="155">
        <f>_xll.qlDayCounterYearFraction(DayCounter,S232,T232,,,Trigger)</f>
        <v>0.25277777777777777</v>
      </c>
      <c r="V232" s="167">
        <f>_xll.qlInterpolationInterpolate(B3Minterpolation,S232,TRUE)</f>
        <v>1.4014283055959948E-3</v>
      </c>
      <c r="W232" s="170">
        <f>_xll.qlYieldTSDiscount(Discounting,S232,,AllTriggers)</f>
        <v>1.0011150127581627</v>
      </c>
      <c r="X232" s="170">
        <f>_xll.qlYieldTSDiscount(Discounting,T232,,AllTriggers)</f>
        <v>1.0013753095797688</v>
      </c>
      <c r="Y232" s="167">
        <f t="shared" si="17"/>
        <v>-1.0283313938752837E-3</v>
      </c>
      <c r="AD232" s="141"/>
      <c r="AE232" s="141"/>
    </row>
    <row r="233" spans="6:31" ht="11.25" customHeight="1" x14ac:dyDescent="0.2">
      <c r="F233" s="243"/>
      <c r="G233" s="243"/>
      <c r="H233" s="141"/>
      <c r="L233" s="141"/>
      <c r="M233" s="141"/>
      <c r="S233" s="169">
        <f>_xll.qlCalendarAdvance(Calendar,S232,"1D","f")</f>
        <v>42488</v>
      </c>
      <c r="T233" s="169">
        <f>_xll.qlCalendarAdvance(Calendar,S233,$F$1,"mf",,Trigger)</f>
        <v>42579</v>
      </c>
      <c r="U233" s="155">
        <f>_xll.qlDayCounterYearFraction(DayCounter,S233,T233,,,Trigger)</f>
        <v>0.25277777777777777</v>
      </c>
      <c r="V233" s="167">
        <f>_xll.qlInterpolationInterpolate(B3Minterpolation,S233,TRUE)</f>
        <v>1.4009661222737302E-3</v>
      </c>
      <c r="W233" s="170">
        <f>_xll.qlYieldTSDiscount(Discounting,S233,,AllTriggers)</f>
        <v>1.0011181084568779</v>
      </c>
      <c r="X233" s="170">
        <f>_xll.qlYieldTSDiscount(Discounting,T233,,AllTriggers)</f>
        <v>1.0013778773984081</v>
      </c>
      <c r="Y233" s="167">
        <f t="shared" si="17"/>
        <v>-1.0262433136412894E-3</v>
      </c>
      <c r="AD233" s="141"/>
      <c r="AE233" s="141"/>
    </row>
    <row r="234" spans="6:31" ht="11.25" customHeight="1" x14ac:dyDescent="0.2">
      <c r="F234" s="243"/>
      <c r="G234" s="243"/>
      <c r="H234" s="141"/>
      <c r="L234" s="141"/>
      <c r="M234" s="141"/>
      <c r="S234" s="169">
        <f>_xll.qlCalendarAdvance(Calendar,S233,"1D","f")</f>
        <v>42489</v>
      </c>
      <c r="T234" s="169">
        <f>_xll.qlCalendarAdvance(Calendar,S234,$F$1,"mf",,Trigger)</f>
        <v>42580</v>
      </c>
      <c r="U234" s="155">
        <f>_xll.qlDayCounterYearFraction(DayCounter,S234,T234,,,Trigger)</f>
        <v>0.25277777777777777</v>
      </c>
      <c r="V234" s="167">
        <f>_xll.qlInterpolationInterpolate(B3Minterpolation,S234,TRUE)</f>
        <v>1.4005008104059362E-3</v>
      </c>
      <c r="W234" s="170">
        <f>_xll.qlYieldTSDiscount(Discounting,S234,,AllTriggers)</f>
        <v>1.0011212041651658</v>
      </c>
      <c r="X234" s="170">
        <f>_xll.qlYieldTSDiscount(Discounting,T234,,AllTriggers)</f>
        <v>1.0013804366839654</v>
      </c>
      <c r="Y234" s="167">
        <f t="shared" si="17"/>
        <v>-1.0241215043134914E-3</v>
      </c>
      <c r="AD234" s="141"/>
      <c r="AE234" s="141"/>
    </row>
    <row r="235" spans="6:31" ht="11.25" customHeight="1" x14ac:dyDescent="0.2">
      <c r="F235" s="243"/>
      <c r="G235" s="243"/>
      <c r="H235" s="141"/>
      <c r="L235" s="141"/>
      <c r="M235" s="141"/>
      <c r="S235" s="169">
        <f>_xll.qlCalendarAdvance(Calendar,S234,"1D","f")</f>
        <v>42492</v>
      </c>
      <c r="T235" s="169">
        <f>_xll.qlCalendarAdvance(Calendar,S235,$F$1,"mf",,Trigger)</f>
        <v>42584</v>
      </c>
      <c r="U235" s="155">
        <f>_xll.qlDayCounterYearFraction(DayCounter,S235,T235,,,Trigger)</f>
        <v>0.25555555555555554</v>
      </c>
      <c r="V235" s="167">
        <f>_xll.qlInterpolationInterpolate(B3Minterpolation,S235,TRUE)</f>
        <v>1.3990934335868146E-3</v>
      </c>
      <c r="W235" s="170">
        <f>_xll.qlYieldTSDiscount(Discounting,S235,,AllTriggers)</f>
        <v>1.0011242843384196</v>
      </c>
      <c r="X235" s="170">
        <f>_xll.qlYieldTSDiscount(Discounting,T235,,AllTriggers)</f>
        <v>1.0013905886883181</v>
      </c>
      <c r="Y235" s="167">
        <f t="shared" si="17"/>
        <v>-1.0406134343321494E-3</v>
      </c>
      <c r="AD235" s="141"/>
      <c r="AE235" s="141"/>
    </row>
    <row r="236" spans="6:31" ht="11.25" customHeight="1" x14ac:dyDescent="0.2">
      <c r="F236" s="243"/>
      <c r="G236" s="243"/>
      <c r="H236" s="141"/>
      <c r="L236" s="141"/>
      <c r="M236" s="141"/>
      <c r="S236" s="169">
        <f>_xll.qlCalendarAdvance(Calendar,S235,"1D","f")</f>
        <v>42493</v>
      </c>
      <c r="T236" s="169">
        <f>_xll.qlCalendarAdvance(Calendar,S236,$F$1,"mf",,Trigger)</f>
        <v>42585</v>
      </c>
      <c r="U236" s="155">
        <f>_xll.qlDayCounterYearFraction(DayCounter,S236,T236,,,Trigger)</f>
        <v>0.25555555555555554</v>
      </c>
      <c r="V236" s="167">
        <f>_xll.qlInterpolationInterpolate(B3Minterpolation,S236,TRUE)</f>
        <v>1.3986229375943394E-3</v>
      </c>
      <c r="W236" s="170">
        <f>_xll.qlYieldTSDiscount(Discounting,S236,,AllTriggers)</f>
        <v>1.0011273800658049</v>
      </c>
      <c r="X236" s="170">
        <f>_xll.qlYieldTSDiscount(Discounting,T236,,AllTriggers)</f>
        <v>1.0013931054531768</v>
      </c>
      <c r="Y236" s="167">
        <f t="shared" si="17"/>
        <v>-1.0383484651547198E-3</v>
      </c>
      <c r="AD236" s="141"/>
      <c r="AE236" s="141"/>
    </row>
    <row r="237" spans="6:31" ht="11.25" customHeight="1" x14ac:dyDescent="0.2">
      <c r="F237" s="243"/>
      <c r="G237" s="243"/>
      <c r="H237" s="141"/>
      <c r="L237" s="141"/>
      <c r="M237" s="141"/>
      <c r="S237" s="169">
        <f>_xll.qlCalendarAdvance(Calendar,S236,"1D","f")</f>
        <v>42494</v>
      </c>
      <c r="T237" s="169">
        <f>_xll.qlCalendarAdvance(Calendar,S237,$F$1,"mf",,Trigger)</f>
        <v>42586</v>
      </c>
      <c r="U237" s="155">
        <f>_xll.qlDayCounterYearFraction(DayCounter,S237,T237,,,Trigger)</f>
        <v>0.25555555555555554</v>
      </c>
      <c r="V237" s="167">
        <f>_xll.qlInterpolationInterpolate(B3Minterpolation,S237,TRUE)</f>
        <v>1.3981529780850523E-3</v>
      </c>
      <c r="W237" s="170">
        <f>_xll.qlYieldTSDiscount(Discounting,S237,,AllTriggers)</f>
        <v>1.001130475802763</v>
      </c>
      <c r="X237" s="170">
        <f>_xll.qlYieldTSDiscount(Discounting,T237,,AllTriggers)</f>
        <v>1.0013956137428408</v>
      </c>
      <c r="Y237" s="167">
        <f t="shared" si="17"/>
        <v>-1.0360503611385042E-3</v>
      </c>
      <c r="AD237" s="141"/>
      <c r="AE237" s="141"/>
    </row>
    <row r="238" spans="6:31" ht="11.25" customHeight="1" x14ac:dyDescent="0.2">
      <c r="F238" s="243"/>
      <c r="G238" s="243"/>
      <c r="H238" s="141"/>
      <c r="L238" s="141"/>
      <c r="M238" s="141"/>
      <c r="S238" s="169">
        <f>_xll.qlCalendarAdvance(Calendar,S237,"1D","f")</f>
        <v>42495</v>
      </c>
      <c r="T238" s="169">
        <f>_xll.qlCalendarAdvance(Calendar,S238,$F$1,"mf",,Trigger)</f>
        <v>42587</v>
      </c>
      <c r="U238" s="155">
        <f>_xll.qlDayCounterYearFraction(DayCounter,S238,T238,,,Trigger)</f>
        <v>0.25555555555555554</v>
      </c>
      <c r="V238" s="167">
        <f>_xll.qlInterpolationInterpolate(B3Minterpolation,S238,TRUE)</f>
        <v>1.3976842880646977E-3</v>
      </c>
      <c r="W238" s="170">
        <f>_xll.qlYieldTSDiscount(Discounting,S238,,AllTriggers)</f>
        <v>1.0011335715492937</v>
      </c>
      <c r="X238" s="170">
        <f>_xll.qlYieldTSDiscount(Discounting,T238,,AllTriggers)</f>
        <v>1.0013981135669594</v>
      </c>
      <c r="Y238" s="167">
        <f t="shared" si="17"/>
        <v>-1.0337191601705875E-3</v>
      </c>
      <c r="AD238" s="141"/>
      <c r="AE238" s="141"/>
    </row>
    <row r="239" spans="6:31" ht="11.25" customHeight="1" x14ac:dyDescent="0.2">
      <c r="F239" s="243"/>
      <c r="G239" s="243"/>
      <c r="H239" s="141"/>
      <c r="L239" s="141"/>
      <c r="M239" s="141"/>
      <c r="S239" s="169">
        <f>_xll.qlCalendarAdvance(Calendar,S238,"1D","f")</f>
        <v>42496</v>
      </c>
      <c r="T239" s="169">
        <f>_xll.qlCalendarAdvance(Calendar,S239,$F$1,"mf",,Trigger)</f>
        <v>42590</v>
      </c>
      <c r="U239" s="155">
        <f>_xll.qlDayCounterYearFraction(DayCounter,S239,T239,,,Trigger)</f>
        <v>0.26111111111111113</v>
      </c>
      <c r="V239" s="167">
        <f>_xll.qlInterpolationInterpolate(B3Minterpolation,S239,TRUE)</f>
        <v>1.3972176005390185E-3</v>
      </c>
      <c r="W239" s="170">
        <f>_xll.qlYieldTSDiscount(Discounting,S239,,AllTriggers)</f>
        <v>1.0011366673053974</v>
      </c>
      <c r="X239" s="170">
        <f>_xll.qlYieldTSDiscount(Discounting,T239,,AllTriggers)</f>
        <v>1.001405562342534</v>
      </c>
      <c r="Y239" s="167">
        <f t="shared" si="17"/>
        <v>-1.0283653489141342E-3</v>
      </c>
      <c r="AD239" s="141"/>
      <c r="AE239" s="141"/>
    </row>
    <row r="240" spans="6:31" ht="11.25" customHeight="1" x14ac:dyDescent="0.2">
      <c r="F240" s="243"/>
      <c r="G240" s="243"/>
      <c r="H240" s="141"/>
      <c r="L240" s="141"/>
      <c r="M240" s="141"/>
      <c r="S240" s="169">
        <f>_xll.qlCalendarAdvance(Calendar,S239,"1D","f")</f>
        <v>42499</v>
      </c>
      <c r="T240" s="169">
        <f>_xll.qlCalendarAdvance(Calendar,S240,$F$1,"mf",,Trigger)</f>
        <v>42591</v>
      </c>
      <c r="U240" s="155">
        <f>_xll.qlDayCounterYearFraction(DayCounter,S240,T240,,,Trigger)</f>
        <v>0.25555555555555554</v>
      </c>
      <c r="V240" s="167">
        <f>_xll.qlInterpolationInterpolate(B3Minterpolation,S240,TRUE)</f>
        <v>1.3958368829874704E-3</v>
      </c>
      <c r="W240" s="170">
        <f>_xll.qlYieldTSDiscount(Discounting,S240,,AllTriggers)</f>
        <v>1.0011459546311456</v>
      </c>
      <c r="X240" s="170">
        <f>_xll.qlYieldTSDiscount(Discounting,T240,,AllTriggers)</f>
        <v>1.0014080284009652</v>
      </c>
      <c r="Y240" s="167">
        <f t="shared" si="17"/>
        <v>-1.0240641444158667E-3</v>
      </c>
      <c r="AD240" s="141"/>
      <c r="AE240" s="141"/>
    </row>
    <row r="241" spans="6:31" ht="11.25" customHeight="1" x14ac:dyDescent="0.2">
      <c r="F241" s="243"/>
      <c r="G241" s="243"/>
      <c r="H241" s="141"/>
      <c r="L241" s="141"/>
      <c r="M241" s="141"/>
      <c r="S241" s="169">
        <f>_xll.qlCalendarAdvance(Calendar,S240,"1D","f")</f>
        <v>42500</v>
      </c>
      <c r="T241" s="169">
        <f>_xll.qlCalendarAdvance(Calendar,S241,$F$1,"mf",,Trigger)</f>
        <v>42592</v>
      </c>
      <c r="U241" s="155">
        <f>_xll.qlDayCounterYearFraction(DayCounter,S241,T241,,,Trigger)</f>
        <v>0.25555555555555554</v>
      </c>
      <c r="V241" s="167">
        <f>_xll.qlInterpolationInterpolate(B3Minterpolation,S241,TRUE)</f>
        <v>1.3953855354979291E-3</v>
      </c>
      <c r="W241" s="170">
        <f>_xll.qlYieldTSDiscount(Discounting,S241,,AllTriggers)</f>
        <v>1.0011490504255409</v>
      </c>
      <c r="X241" s="170">
        <f>_xll.qlYieldTSDiscount(Discounting,T241,,AllTriggers)</f>
        <v>1.0014104860421005</v>
      </c>
      <c r="Y241" s="167">
        <f t="shared" si="17"/>
        <v>-1.0215680269205594E-3</v>
      </c>
      <c r="AD241" s="141"/>
      <c r="AE241" s="141"/>
    </row>
    <row r="242" spans="6:31" ht="11.25" customHeight="1" x14ac:dyDescent="0.2">
      <c r="F242" s="243"/>
      <c r="G242" s="243"/>
      <c r="H242" s="141"/>
      <c r="L242" s="141"/>
      <c r="M242" s="141"/>
      <c r="S242" s="169">
        <f>_xll.qlCalendarAdvance(Calendar,S241,"1D","f")</f>
        <v>42501</v>
      </c>
      <c r="T242" s="169">
        <f>_xll.qlCalendarAdvance(Calendar,S242,$F$1,"mf",,Trigger)</f>
        <v>42593</v>
      </c>
      <c r="U242" s="155">
        <f>_xll.qlDayCounterYearFraction(DayCounter,S242,T242,,,Trigger)</f>
        <v>0.25555555555555554</v>
      </c>
      <c r="V242" s="167">
        <f>_xll.qlInterpolationInterpolate(B3Minterpolation,S242,TRUE)</f>
        <v>1.3949398555317813E-3</v>
      </c>
      <c r="W242" s="170">
        <f>_xll.qlYieldTSDiscount(Discounting,S242,,AllTriggers)</f>
        <v>1.001152146229509</v>
      </c>
      <c r="X242" s="170">
        <f>_xll.qlYieldTSDiscount(Discounting,T242,,AllTriggers)</f>
        <v>1.0014129352755907</v>
      </c>
      <c r="Y242" s="167">
        <f t="shared" si="17"/>
        <v>-1.0190390397656491E-3</v>
      </c>
      <c r="AD242" s="141"/>
      <c r="AE242" s="141"/>
    </row>
    <row r="243" spans="6:31" ht="11.25" customHeight="1" x14ac:dyDescent="0.2">
      <c r="F243" s="243"/>
      <c r="G243" s="243"/>
      <c r="H243" s="141"/>
      <c r="L243" s="141"/>
      <c r="M243" s="141"/>
      <c r="S243" s="169">
        <f>_xll.qlCalendarAdvance(Calendar,S242,"1D","f")</f>
        <v>42502</v>
      </c>
      <c r="T243" s="169">
        <f>_xll.qlCalendarAdvance(Calendar,S243,$F$1,"mf",,Trigger)</f>
        <v>42594</v>
      </c>
      <c r="U243" s="155">
        <f>_xll.qlDayCounterYearFraction(DayCounter,S243,T243,,,Trigger)</f>
        <v>0.25555555555555554</v>
      </c>
      <c r="V243" s="167">
        <f>_xll.qlInterpolationInterpolate(B3Minterpolation,S243,TRUE)</f>
        <v>1.3945005760947703E-3</v>
      </c>
      <c r="W243" s="170">
        <f>_xll.qlYieldTSDiscount(Discounting,S243,,AllTriggers)</f>
        <v>1.0011552420430503</v>
      </c>
      <c r="X243" s="170">
        <f>_xll.qlYieldTSDiscount(Discounting,T243,,AllTriggers)</f>
        <v>1.0014153761110867</v>
      </c>
      <c r="Y243" s="167">
        <f t="shared" si="17"/>
        <v>-1.0164772208273601E-3</v>
      </c>
      <c r="AD243" s="141"/>
      <c r="AE243" s="141"/>
    </row>
    <row r="244" spans="6:31" ht="11.25" customHeight="1" x14ac:dyDescent="0.2">
      <c r="F244" s="243"/>
      <c r="G244" s="243"/>
      <c r="H244" s="141"/>
      <c r="L244" s="141"/>
      <c r="M244" s="141"/>
      <c r="S244" s="169">
        <f>_xll.qlCalendarAdvance(Calendar,S243,"1D","f")</f>
        <v>42503</v>
      </c>
      <c r="T244" s="169">
        <f>_xll.qlCalendarAdvance(Calendar,S244,$F$1,"mf",,Trigger)</f>
        <v>42597</v>
      </c>
      <c r="U244" s="155">
        <f>_xll.qlDayCounterYearFraction(DayCounter,S244,T244,,,Trigger)</f>
        <v>0.26111111111111113</v>
      </c>
      <c r="V244" s="167">
        <f>_xll.qlInterpolationInterpolate(B3Minterpolation,S244,TRUE)</f>
        <v>1.3940684301926398E-3</v>
      </c>
      <c r="W244" s="170">
        <f>_xll.qlYieldTSDiscount(Discounting,S244,,AllTriggers)</f>
        <v>1.0011583378661646</v>
      </c>
      <c r="X244" s="170">
        <f>_xll.qlYieldTSDiscount(Discounting,T244,,AllTriggers)</f>
        <v>1.0014226483261275</v>
      </c>
      <c r="Y244" s="167">
        <f t="shared" si="17"/>
        <v>-1.0108147914187442E-3</v>
      </c>
      <c r="AD244" s="141"/>
      <c r="AE244" s="141"/>
    </row>
    <row r="245" spans="6:31" ht="11.25" customHeight="1" x14ac:dyDescent="0.2">
      <c r="F245" s="243"/>
      <c r="G245" s="243"/>
      <c r="H245" s="141"/>
      <c r="L245" s="141"/>
      <c r="M245" s="141"/>
      <c r="S245" s="169">
        <f>_xll.qlCalendarAdvance(Calendar,S244,"1D","f")</f>
        <v>42506</v>
      </c>
      <c r="T245" s="169">
        <f>_xll.qlCalendarAdvance(Calendar,S245,$F$1,"mf",,Trigger)</f>
        <v>42598</v>
      </c>
      <c r="U245" s="155">
        <f>_xll.qlDayCounterYearFraction(DayCounter,S245,T245,,,Trigger)</f>
        <v>0.25555555555555554</v>
      </c>
      <c r="V245" s="167">
        <f>_xll.qlInterpolationInterpolate(B3Minterpolation,S245,TRUE)</f>
        <v>1.3928221237529666E-3</v>
      </c>
      <c r="W245" s="170">
        <f>_xll.qlYieldTSDiscount(Discounting,S245,,AllTriggers)</f>
        <v>1.0011676253929458</v>
      </c>
      <c r="X245" s="170">
        <f>_xll.qlYieldTSDiscount(Discounting,T245,,AllTriggers)</f>
        <v>1.0014250556661652</v>
      </c>
      <c r="Y245" s="167">
        <f t="shared" si="17"/>
        <v>-1.0059023848352706E-3</v>
      </c>
      <c r="AD245" s="141"/>
      <c r="AE245" s="141"/>
    </row>
    <row r="246" spans="6:31" ht="11.25" customHeight="1" x14ac:dyDescent="0.2">
      <c r="F246" s="243"/>
      <c r="G246" s="243"/>
      <c r="H246" s="141"/>
      <c r="L246" s="141"/>
      <c r="M246" s="141"/>
      <c r="S246" s="169">
        <f>_xll.qlCalendarAdvance(Calendar,S245,"1D","f")</f>
        <v>42507</v>
      </c>
      <c r="T246" s="169">
        <f>_xll.qlCalendarAdvance(Calendar,S246,$F$1,"mf",,Trigger)</f>
        <v>42599</v>
      </c>
      <c r="U246" s="155">
        <f>_xll.qlDayCounterYearFraction(DayCounter,S246,T246,,,Trigger)</f>
        <v>0.25555555555555554</v>
      </c>
      <c r="V246" s="167">
        <f>_xll.qlInterpolationInterpolate(B3Minterpolation,S246,TRUE)</f>
        <v>1.3924258420477936E-3</v>
      </c>
      <c r="W246" s="170">
        <f>_xll.qlYieldTSDiscount(Discounting,S246,,AllTriggers)</f>
        <v>1.0011707212543526</v>
      </c>
      <c r="X246" s="170">
        <f>_xll.qlYieldTSDiscount(Discounting,T246,,AllTriggers)</f>
        <v>1.0014274546564697</v>
      </c>
      <c r="Y246" s="167">
        <f t="shared" si="17"/>
        <v>-1.0031769751616755E-3</v>
      </c>
      <c r="AD246" s="141"/>
      <c r="AE246" s="141"/>
    </row>
    <row r="247" spans="6:31" ht="11.25" customHeight="1" x14ac:dyDescent="0.2">
      <c r="F247" s="243"/>
      <c r="G247" s="243"/>
      <c r="H247" s="141"/>
      <c r="L247" s="141"/>
      <c r="M247" s="141"/>
      <c r="S247" s="169">
        <f>_xll.qlCalendarAdvance(Calendar,S246,"1D","f")</f>
        <v>42508</v>
      </c>
      <c r="T247" s="169">
        <f>_xll.qlCalendarAdvance(Calendar,S247,$F$1,"mf",,Trigger)</f>
        <v>42600</v>
      </c>
      <c r="U247" s="155">
        <f>_xll.qlDayCounterYearFraction(DayCounter,S247,T247,,,Trigger)</f>
        <v>0.25555555555555554</v>
      </c>
      <c r="V247" s="167">
        <f>_xll.qlInterpolationInterpolate(B3Minterpolation,S247,TRUE)</f>
        <v>1.3920403589062185E-3</v>
      </c>
      <c r="W247" s="170">
        <f>_xll.qlYieldTSDiscount(Discounting,S247,,AllTriggers)</f>
        <v>1.0011738171253322</v>
      </c>
      <c r="X247" s="170">
        <f>_xll.qlYieldTSDiscount(Discounting,T247,,AllTriggers)</f>
        <v>1.0014298453066937</v>
      </c>
      <c r="Y247" s="167">
        <f t="shared" si="17"/>
        <v>-1.0004189609716023E-3</v>
      </c>
      <c r="AD247" s="141"/>
      <c r="AE247" s="141"/>
    </row>
    <row r="248" spans="6:31" ht="11.25" customHeight="1" x14ac:dyDescent="0.2">
      <c r="F248" s="243"/>
      <c r="G248" s="243"/>
      <c r="H248" s="141"/>
      <c r="L248" s="141"/>
      <c r="M248" s="141"/>
      <c r="S248" s="169">
        <f>_xll.qlCalendarAdvance(Calendar,S247,"1D","f")</f>
        <v>42509</v>
      </c>
      <c r="T248" s="169">
        <f>_xll.qlCalendarAdvance(Calendar,S248,$F$1,"mf",,Trigger)</f>
        <v>42601</v>
      </c>
      <c r="U248" s="155">
        <f>_xll.qlDayCounterYearFraction(DayCounter,S248,T248,,,Trigger)</f>
        <v>0.25555555555555554</v>
      </c>
      <c r="V248" s="167">
        <f>_xll.qlInterpolationInterpolate(B3Minterpolation,S248,TRUE)</f>
        <v>1.3916664073339853E-3</v>
      </c>
      <c r="W248" s="170">
        <f>_xll.qlYieldTSDiscount(Discounting,S248,,AllTriggers)</f>
        <v>1.0011769130058854</v>
      </c>
      <c r="X248" s="170">
        <f>_xll.qlYieldTSDiscount(Discounting,T248,,AllTriggers)</f>
        <v>1.0014322276264902</v>
      </c>
      <c r="Y248" s="167">
        <f t="shared" si="17"/>
        <v>-9.9762838013519304E-4</v>
      </c>
      <c r="AD248" s="141"/>
      <c r="AE248" s="141"/>
    </row>
    <row r="249" spans="6:31" ht="11.25" customHeight="1" x14ac:dyDescent="0.2">
      <c r="F249" s="243"/>
      <c r="G249" s="243"/>
      <c r="H249" s="141"/>
      <c r="L249" s="141"/>
      <c r="M249" s="141"/>
      <c r="S249" s="169">
        <f>_xll.qlCalendarAdvance(Calendar,S248,"1D","f")</f>
        <v>42510</v>
      </c>
      <c r="T249" s="169">
        <f>_xll.qlCalendarAdvance(Calendar,S249,$F$1,"mf",,Trigger)</f>
        <v>42604</v>
      </c>
      <c r="U249" s="155">
        <f>_xll.qlDayCounterYearFraction(DayCounter,S249,T249,,,Trigger)</f>
        <v>0.26111111111111113</v>
      </c>
      <c r="V249" s="167">
        <f>_xll.qlInterpolationInterpolate(B3Minterpolation,S249,TRUE)</f>
        <v>1.3913047203368372E-3</v>
      </c>
      <c r="W249" s="170">
        <f>_xll.qlYieldTSDiscount(Discounting,S249,,AllTriggers)</f>
        <v>1.0011800088960114</v>
      </c>
      <c r="X249" s="170">
        <f>_xll.qlYieldTSDiscount(Discounting,T249,,AllTriggers)</f>
        <v>1.0014393246998545</v>
      </c>
      <c r="Y249" s="167">
        <f t="shared" si="17"/>
        <v>-9.9169698118385208E-4</v>
      </c>
      <c r="AD249" s="141"/>
      <c r="AE249" s="141"/>
    </row>
    <row r="250" spans="6:31" ht="11.25" customHeight="1" x14ac:dyDescent="0.2">
      <c r="F250" s="243"/>
      <c r="G250" s="243"/>
      <c r="H250" s="141"/>
      <c r="L250" s="141"/>
      <c r="M250" s="141"/>
      <c r="S250" s="169">
        <f>_xll.qlCalendarAdvance(Calendar,S249,"1D","f")</f>
        <v>42513</v>
      </c>
      <c r="T250" s="169">
        <f>_xll.qlCalendarAdvance(Calendar,S250,$F$1,"mf",,Trigger)</f>
        <v>42605</v>
      </c>
      <c r="U250" s="155">
        <f>_xll.qlDayCounterYearFraction(DayCounter,S250,T250,,,Trigger)</f>
        <v>0.25555555555555554</v>
      </c>
      <c r="V250" s="167">
        <f>_xll.qlInterpolationInterpolate(B3Minterpolation,S250,TRUE)</f>
        <v>1.3903005768533406E-3</v>
      </c>
      <c r="W250" s="170">
        <f>_xll.qlYieldTSDiscount(Discounting,S250,,AllTriggers)</f>
        <v>1.0011892966238303</v>
      </c>
      <c r="X250" s="170">
        <f>_xll.qlYieldTSDiscount(Discounting,T250,,AllTriggers)</f>
        <v>1.0014416737944811</v>
      </c>
      <c r="Y250" s="167">
        <f t="shared" si="17"/>
        <v>-9.8614114782677822E-4</v>
      </c>
      <c r="AD250" s="141"/>
      <c r="AE250" s="141"/>
    </row>
    <row r="251" spans="6:31" ht="11.25" customHeight="1" x14ac:dyDescent="0.2">
      <c r="F251" s="243"/>
      <c r="G251" s="243"/>
      <c r="H251" s="141"/>
      <c r="L251" s="141"/>
      <c r="M251" s="141"/>
      <c r="S251" s="169">
        <f>_xll.qlCalendarAdvance(Calendar,S250,"1D","f")</f>
        <v>42514</v>
      </c>
      <c r="T251" s="169">
        <f>_xll.qlCalendarAdvance(Calendar,S251,$F$1,"mf",,Trigger)</f>
        <v>42606</v>
      </c>
      <c r="U251" s="155">
        <f>_xll.qlDayCounterYearFraction(DayCounter,S251,T251,,,Trigger)</f>
        <v>0.25555555555555554</v>
      </c>
      <c r="V251" s="167">
        <f>_xll.qlInterpolationInterpolate(B3Minterpolation,S251,TRUE)</f>
        <v>1.3899952782139692E-3</v>
      </c>
      <c r="W251" s="170">
        <f>_xll.qlYieldTSDiscount(Discounting,S251,,AllTriggers)</f>
        <v>1.0011923925522499</v>
      </c>
      <c r="X251" s="170">
        <f>_xll.qlYieldTSDiscount(Discounting,T251,,AllTriggers)</f>
        <v>1.0014440146069516</v>
      </c>
      <c r="Y251" s="167">
        <f t="shared" si="17"/>
        <v>-9.8318830186816053E-4</v>
      </c>
      <c r="AD251" s="141"/>
      <c r="AE251" s="141"/>
    </row>
    <row r="252" spans="6:31" ht="11.25" customHeight="1" x14ac:dyDescent="0.2">
      <c r="F252" s="243"/>
      <c r="G252" s="243"/>
      <c r="H252" s="141"/>
      <c r="L252" s="141"/>
      <c r="M252" s="141"/>
      <c r="S252" s="169">
        <f>_xll.qlCalendarAdvance(Calendar,S251,"1D","f")</f>
        <v>42515</v>
      </c>
      <c r="T252" s="169">
        <f>_xll.qlCalendarAdvance(Calendar,S252,$F$1,"mf",,Trigger)</f>
        <v>42607</v>
      </c>
      <c r="U252" s="155">
        <f>_xll.qlDayCounterYearFraction(DayCounter,S252,T252,,,Trigger)</f>
        <v>0.25555555555555554</v>
      </c>
      <c r="V252" s="167">
        <f>_xll.qlInterpolationInterpolate(B3Minterpolation,S252,TRUE)</f>
        <v>1.3897059091784009E-3</v>
      </c>
      <c r="W252" s="170">
        <f>_xll.qlYieldTSDiscount(Discounting,S252,,AllTriggers)</f>
        <v>1.0011954884902428</v>
      </c>
      <c r="X252" s="170">
        <f>_xll.qlYieldTSDiscount(Discounting,T252,,AllTriggers)</f>
        <v>1.001446347146921</v>
      </c>
      <c r="Y252" s="167">
        <f t="shared" si="17"/>
        <v>-9.8020311649926273E-4</v>
      </c>
      <c r="AD252" s="141"/>
      <c r="AE252" s="141"/>
    </row>
    <row r="253" spans="6:31" ht="11.25" customHeight="1" x14ac:dyDescent="0.2">
      <c r="F253" s="243"/>
      <c r="G253" s="243"/>
      <c r="H253" s="141"/>
      <c r="L253" s="141"/>
      <c r="M253" s="141"/>
      <c r="S253" s="169">
        <f>_xll.qlCalendarAdvance(Calendar,S252,"1D","f")</f>
        <v>42516</v>
      </c>
      <c r="T253" s="169">
        <f>_xll.qlCalendarAdvance(Calendar,S253,$F$1,"mf",,Trigger)</f>
        <v>42608</v>
      </c>
      <c r="U253" s="155">
        <f>_xll.qlDayCounterYearFraction(DayCounter,S253,T253,,,Trigger)</f>
        <v>0.25555555555555554</v>
      </c>
      <c r="V253" s="167">
        <f>_xll.qlInterpolationInterpolate(B3Minterpolation,S253,TRUE)</f>
        <v>1.3894332027523794E-3</v>
      </c>
      <c r="W253" s="170">
        <f>_xll.qlYieldTSDiscount(Discounting,S253,,AllTriggers)</f>
        <v>1.0011985844378091</v>
      </c>
      <c r="X253" s="170">
        <f>_xll.qlYieldTSDiscount(Discounting,T253,,AllTriggers)</f>
        <v>1.0014486714240449</v>
      </c>
      <c r="Y253" s="167">
        <f t="shared" si="17"/>
        <v>-9.7718562959066106E-4</v>
      </c>
      <c r="AD253" s="141"/>
      <c r="AE253" s="141"/>
    </row>
    <row r="254" spans="6:31" ht="11.25" customHeight="1" x14ac:dyDescent="0.2">
      <c r="F254" s="243"/>
      <c r="G254" s="243"/>
      <c r="H254" s="141"/>
      <c r="L254" s="141"/>
      <c r="M254" s="141"/>
      <c r="S254" s="169">
        <f>_xll.qlCalendarAdvance(Calendar,S253,"1D","f")</f>
        <v>42517</v>
      </c>
      <c r="T254" s="169">
        <f>_xll.qlCalendarAdvance(Calendar,S254,$F$1,"mf",,Trigger)</f>
        <v>42611</v>
      </c>
      <c r="U254" s="155">
        <f>_xll.qlDayCounterYearFraction(DayCounter,S254,T254,,,Trigger)</f>
        <v>0.26111111111111113</v>
      </c>
      <c r="V254" s="167">
        <f>_xll.qlInterpolationInterpolate(B3Minterpolation,S254,TRUE)</f>
        <v>1.3891778919416478E-3</v>
      </c>
      <c r="W254" s="170">
        <f>_xll.qlYieldTSDiscount(Discounting,S254,,AllTriggers)</f>
        <v>1.0012016803949488</v>
      </c>
      <c r="X254" s="170">
        <f>_xll.qlYieldTSDiscount(Discounting,T254,,AllTriggers)</f>
        <v>1.0014555947749</v>
      </c>
      <c r="Y254" s="167">
        <f t="shared" si="17"/>
        <v>-9.7102463249525237E-4</v>
      </c>
      <c r="AD254" s="141"/>
      <c r="AE254" s="141"/>
    </row>
    <row r="255" spans="6:31" ht="11.25" customHeight="1" x14ac:dyDescent="0.2">
      <c r="F255" s="243"/>
      <c r="G255" s="243"/>
      <c r="H255" s="141"/>
      <c r="L255" s="141"/>
      <c r="M255" s="141"/>
      <c r="S255" s="169">
        <f>_xll.qlCalendarAdvance(Calendar,S254,"1D","f")</f>
        <v>42520</v>
      </c>
      <c r="T255" s="169">
        <f>_xll.qlCalendarAdvance(Calendar,S255,$F$1,"mf",,Trigger)</f>
        <v>42612</v>
      </c>
      <c r="U255" s="155">
        <f>_xll.qlDayCounterYearFraction(DayCounter,S255,T255,,,Trigger)</f>
        <v>0.25555555555555554</v>
      </c>
      <c r="V255" s="167">
        <f>_xll.qlInterpolationInterpolate(B3Minterpolation,S255,TRUE)</f>
        <v>1.3885236632586292E-3</v>
      </c>
      <c r="W255" s="170">
        <f>_xll.qlYieldTSDiscount(Discounting,S255,,AllTriggers)</f>
        <v>1.0012109683238093</v>
      </c>
      <c r="X255" s="170">
        <f>_xll.qlYieldTSDiscount(Discounting,T255,,AllTriggers)</f>
        <v>1.0014578860972005</v>
      </c>
      <c r="Y255" s="167">
        <f t="shared" si="17"/>
        <v>-9.647934239160014E-4</v>
      </c>
      <c r="AD255" s="141"/>
      <c r="AE255" s="141"/>
    </row>
    <row r="256" spans="6:31" ht="11.25" customHeight="1" x14ac:dyDescent="0.2">
      <c r="F256" s="243"/>
      <c r="G256" s="243"/>
      <c r="H256" s="141"/>
      <c r="L256" s="141"/>
      <c r="M256" s="141"/>
      <c r="S256" s="169">
        <f>_xll.qlCalendarAdvance(Calendar,S255,"1D","f")</f>
        <v>42521</v>
      </c>
      <c r="T256" s="169">
        <f>_xll.qlCalendarAdvance(Calendar,S256,$F$1,"mf",,Trigger)</f>
        <v>42613</v>
      </c>
      <c r="U256" s="155">
        <f>_xll.qlDayCounterYearFraction(DayCounter,S256,T256,,,Trigger)</f>
        <v>0.25555555555555554</v>
      </c>
      <c r="V256" s="167">
        <f>_xll.qlInterpolationInterpolate(B3Minterpolation,S256,TRUE)</f>
        <v>1.3883452649664937E-3</v>
      </c>
      <c r="W256" s="170">
        <f>_xll.qlYieldTSDiscount(Discounting,S256,,AllTriggers)</f>
        <v>1.0012140643192431</v>
      </c>
      <c r="X256" s="170">
        <f>_xll.qlYieldTSDiscount(Discounting,T256,,AllTriggers)</f>
        <v>1.0014601692049367</v>
      </c>
      <c r="Y256" s="167">
        <f t="shared" si="17"/>
        <v>-9.6161499732538369E-4</v>
      </c>
      <c r="AD256" s="141"/>
      <c r="AE256" s="141"/>
    </row>
    <row r="257" spans="6:31" ht="11.25" customHeight="1" x14ac:dyDescent="0.2">
      <c r="F257" s="243"/>
      <c r="G257" s="243"/>
      <c r="H257" s="141"/>
      <c r="L257" s="141"/>
      <c r="M257" s="141"/>
      <c r="S257" s="169">
        <f>_xll.qlCalendarAdvance(Calendar,S256,"1D","f")</f>
        <v>42522</v>
      </c>
      <c r="T257" s="169">
        <f>_xll.qlCalendarAdvance(Calendar,S257,$F$1,"mf",,Trigger)</f>
        <v>42614</v>
      </c>
      <c r="U257" s="155">
        <f>_xll.qlDayCounterYearFraction(DayCounter,S257,T257,,,Trigger)</f>
        <v>0.25555555555555554</v>
      </c>
      <c r="V257" s="167">
        <f>_xll.qlInterpolationInterpolate(B3Minterpolation,S257,TRUE)</f>
        <v>1.3881879273183659E-3</v>
      </c>
      <c r="W257" s="170">
        <f>_xll.qlYieldTSDiscount(Discounting,S257,,AllTriggers)</f>
        <v>1.0012171603242506</v>
      </c>
      <c r="X257" s="170">
        <f>_xll.qlYieldTSDiscount(Discounting,T257,,AllTriggers)</f>
        <v>1.0014624441077657</v>
      </c>
      <c r="Y257" s="167">
        <f t="shared" si="17"/>
        <v>-9.584044963985355E-4</v>
      </c>
      <c r="AD257" s="141"/>
      <c r="AE257" s="141"/>
    </row>
    <row r="258" spans="6:31" ht="11.25" customHeight="1" x14ac:dyDescent="0.2">
      <c r="F258" s="243"/>
      <c r="G258" s="243"/>
      <c r="H258" s="141"/>
      <c r="L258" s="141"/>
      <c r="M258" s="141"/>
      <c r="S258" s="169">
        <f>_xll.qlCalendarAdvance(Calendar,S257,"1D","f")</f>
        <v>42523</v>
      </c>
      <c r="T258" s="169">
        <f>_xll.qlCalendarAdvance(Calendar,S258,$F$1,"mf",,Trigger)</f>
        <v>42615</v>
      </c>
      <c r="U258" s="155">
        <f>_xll.qlDayCounterYearFraction(DayCounter,S258,T258,,,Trigger)</f>
        <v>0.25555555555555554</v>
      </c>
      <c r="V258" s="167">
        <f>_xll.qlInterpolationInterpolate(B3Minterpolation,S258,TRUE)</f>
        <v>1.3880523833199898E-3</v>
      </c>
      <c r="W258" s="170">
        <f>_xll.qlYieldTSDiscount(Discounting,S258,,AllTriggers)</f>
        <v>1.0012202563388317</v>
      </c>
      <c r="X258" s="170">
        <f>_xll.qlYieldTSDiscount(Discounting,T258,,AllTriggers)</f>
        <v>1.0014647108153449</v>
      </c>
      <c r="Y258" s="167">
        <f t="shared" si="17"/>
        <v>-9.5516195899995101E-4</v>
      </c>
      <c r="AD258" s="141"/>
      <c r="AE258" s="141"/>
    </row>
    <row r="259" spans="6:31" ht="11.25" customHeight="1" x14ac:dyDescent="0.2">
      <c r="F259" s="243"/>
      <c r="G259" s="243"/>
      <c r="H259" s="141"/>
      <c r="L259" s="141"/>
      <c r="M259" s="141"/>
      <c r="S259" s="169">
        <f>_xll.qlCalendarAdvance(Calendar,S258,"1D","f")</f>
        <v>42524</v>
      </c>
      <c r="T259" s="169">
        <f>_xll.qlCalendarAdvance(Calendar,S259,$F$1,"mf",,Trigger)</f>
        <v>42618</v>
      </c>
      <c r="U259" s="155">
        <f>_xll.qlDayCounterYearFraction(DayCounter,S259,T259,,,Trigger)</f>
        <v>0.26111111111111113</v>
      </c>
      <c r="V259" s="167">
        <f>_xll.qlInterpolationInterpolate(B3Minterpolation,S259,TRUE)</f>
        <v>1.3879393659771084E-3</v>
      </c>
      <c r="W259" s="170">
        <f>_xll.qlYieldTSDiscount(Discounting,S259,,AllTriggers)</f>
        <v>1.0012233523629865</v>
      </c>
      <c r="X259" s="170">
        <f>_xll.qlYieldTSDiscount(Discounting,T259,,AllTriggers)</f>
        <v>1.001471461863163</v>
      </c>
      <c r="Y259" s="167">
        <f t="shared" si="17"/>
        <v>-9.4881045801620734E-4</v>
      </c>
      <c r="AD259" s="141"/>
      <c r="AE259" s="141"/>
    </row>
    <row r="260" spans="6:31" ht="11.25" customHeight="1" x14ac:dyDescent="0.2">
      <c r="F260" s="243"/>
      <c r="G260" s="243"/>
      <c r="H260" s="141"/>
      <c r="L260" s="141"/>
      <c r="M260" s="141"/>
      <c r="S260" s="169">
        <f>_xll.qlCalendarAdvance(Calendar,S259,"1D","f")</f>
        <v>42527</v>
      </c>
      <c r="T260" s="169">
        <f>_xll.qlCalendarAdvance(Calendar,S260,$F$1,"mf",,Trigger)</f>
        <v>42619</v>
      </c>
      <c r="U260" s="155">
        <f>_xll.qlDayCounterYearFraction(DayCounter,S260,T260,,,Trigger)</f>
        <v>0.25555555555555554</v>
      </c>
      <c r="V260" s="167">
        <f>_xll.qlInterpolationInterpolate(B3Minterpolation,S260,TRUE)</f>
        <v>1.3877428039388697E-3</v>
      </c>
      <c r="W260" s="170">
        <f>_xll.qlYieldTSDiscount(Discounting,S260,,AllTriggers)</f>
        <v>1.0012326404928928</v>
      </c>
      <c r="X260" s="170">
        <f>_xll.qlYieldTSDiscount(Discounting,T260,,AllTriggers)</f>
        <v>1.0014736959038328</v>
      </c>
      <c r="Y260" s="167">
        <f t="shared" ref="Y260:Y261" si="18">(W260/X260-1)/U260</f>
        <v>-9.4187227037125019E-4</v>
      </c>
      <c r="AD260" s="141"/>
      <c r="AE260" s="141"/>
    </row>
    <row r="261" spans="6:31" ht="11.25" customHeight="1" x14ac:dyDescent="0.2">
      <c r="F261" s="243"/>
      <c r="G261" s="243"/>
      <c r="H261" s="141"/>
      <c r="L261" s="141"/>
      <c r="M261" s="141"/>
      <c r="S261" s="173">
        <f>_xll.qlCalendarAdvance(Calendar,S260,"1D","f")</f>
        <v>42528</v>
      </c>
      <c r="T261" s="173">
        <f>_xll.qlCalendarAdvance(Calendar,S261,$F$1,"mf",,Trigger)</f>
        <v>42620</v>
      </c>
      <c r="U261" s="160">
        <f>_xll.qlDayCounterYearFraction(DayCounter,S261,T261,,,Trigger)</f>
        <v>0.25555555555555554</v>
      </c>
      <c r="V261" s="176">
        <f>_xll.qlInterpolationInterpolate(B3Minterpolation,S261,TRUE)</f>
        <v>1.3877272232754036E-3</v>
      </c>
      <c r="W261" s="174">
        <f>_xll.qlYieldTSDiscount(Discounting,S261,,AllTriggers)</f>
        <v>1.0012357365553426</v>
      </c>
      <c r="X261" s="174">
        <f>_xll.qlYieldTSDiscount(Discounting,T261,,AllTriggers)</f>
        <v>1.0014759219026017</v>
      </c>
      <c r="Y261" s="176">
        <f t="shared" si="18"/>
        <v>-9.3847059735667666E-4</v>
      </c>
      <c r="AD261" s="141"/>
      <c r="AE261" s="141"/>
    </row>
    <row r="262" spans="6:31" ht="11.25" customHeight="1" x14ac:dyDescent="0.2">
      <c r="F262" s="243"/>
      <c r="G262" s="243"/>
      <c r="H262" s="141"/>
      <c r="L262" s="141"/>
      <c r="M262" s="141"/>
      <c r="S262" s="245"/>
      <c r="T262" s="245"/>
      <c r="U262" s="245"/>
      <c r="V262" s="245"/>
      <c r="W262" s="245"/>
      <c r="X262" s="245"/>
      <c r="Y262" s="246"/>
      <c r="AD262" s="141"/>
      <c r="AE262" s="141"/>
    </row>
    <row r="263" spans="6:31" ht="11.25" customHeight="1" x14ac:dyDescent="0.2">
      <c r="F263" s="243"/>
      <c r="G263" s="243"/>
      <c r="H263" s="141"/>
      <c r="L263" s="141"/>
      <c r="M263" s="141"/>
      <c r="S263" s="245"/>
      <c r="T263" s="245"/>
      <c r="U263" s="245"/>
      <c r="V263" s="245"/>
      <c r="W263" s="245"/>
      <c r="X263" s="245"/>
      <c r="Y263" s="246"/>
      <c r="AD263" s="141"/>
      <c r="AE263" s="141"/>
    </row>
    <row r="264" spans="6:31" ht="11.25" customHeight="1" x14ac:dyDescent="0.2">
      <c r="F264" s="243"/>
      <c r="G264" s="243"/>
      <c r="H264" s="141"/>
      <c r="L264" s="141"/>
      <c r="M264" s="141"/>
      <c r="S264" s="245"/>
      <c r="T264" s="245"/>
      <c r="U264" s="245"/>
      <c r="V264" s="245"/>
      <c r="W264" s="245"/>
      <c r="X264" s="245"/>
      <c r="Y264" s="246"/>
      <c r="AD264" s="141"/>
      <c r="AE264" s="141"/>
    </row>
    <row r="265" spans="6:31" ht="11.25" customHeight="1" x14ac:dyDescent="0.2">
      <c r="F265" s="243"/>
      <c r="G265" s="243"/>
      <c r="H265" s="141"/>
      <c r="L265" s="141"/>
      <c r="M265" s="141"/>
      <c r="S265" s="245"/>
      <c r="T265" s="245"/>
      <c r="U265" s="245"/>
      <c r="V265" s="245"/>
      <c r="W265" s="245"/>
      <c r="X265" s="245"/>
      <c r="Y265" s="246"/>
      <c r="AD265" s="141"/>
      <c r="AE265" s="141"/>
    </row>
    <row r="266" spans="6:31" ht="11.25" customHeight="1" x14ac:dyDescent="0.2">
      <c r="F266" s="243"/>
      <c r="G266" s="243"/>
      <c r="H266" s="141"/>
      <c r="L266" s="141"/>
      <c r="M266" s="141"/>
      <c r="S266" s="245"/>
      <c r="T266" s="245"/>
      <c r="U266" s="245"/>
      <c r="V266" s="245"/>
      <c r="W266" s="245"/>
      <c r="X266" s="245"/>
      <c r="Y266" s="246"/>
      <c r="AD266" s="141"/>
      <c r="AE266" s="141"/>
    </row>
    <row r="267" spans="6:31" ht="11.25" customHeight="1" x14ac:dyDescent="0.2">
      <c r="F267" s="243"/>
      <c r="G267" s="243"/>
      <c r="H267" s="141"/>
      <c r="L267" s="141"/>
      <c r="M267" s="141"/>
      <c r="S267" s="245"/>
      <c r="T267" s="245"/>
      <c r="U267" s="245"/>
      <c r="V267" s="245"/>
      <c r="W267" s="245"/>
      <c r="X267" s="245"/>
      <c r="Y267" s="246"/>
      <c r="AD267" s="141"/>
      <c r="AE267" s="141"/>
    </row>
    <row r="268" spans="6:31" ht="11.25" customHeight="1" x14ac:dyDescent="0.2">
      <c r="F268" s="243"/>
      <c r="G268" s="243"/>
      <c r="H268" s="141"/>
      <c r="L268" s="141"/>
      <c r="M268" s="141"/>
      <c r="S268" s="245"/>
      <c r="T268" s="245"/>
      <c r="U268" s="245"/>
      <c r="V268" s="245"/>
      <c r="W268" s="245"/>
      <c r="X268" s="245"/>
      <c r="Y268" s="246"/>
      <c r="AD268" s="141"/>
      <c r="AE268" s="141"/>
    </row>
    <row r="269" spans="6:31" ht="11.25" customHeight="1" x14ac:dyDescent="0.2">
      <c r="F269" s="243"/>
      <c r="G269" s="243"/>
      <c r="H269" s="141"/>
      <c r="L269" s="141"/>
      <c r="M269" s="141"/>
      <c r="S269" s="245"/>
      <c r="T269" s="245"/>
      <c r="U269" s="245"/>
      <c r="V269" s="245"/>
      <c r="W269" s="245"/>
      <c r="X269" s="245"/>
      <c r="Y269" s="246"/>
      <c r="AD269" s="141"/>
      <c r="AE269" s="141"/>
    </row>
    <row r="270" spans="6:31" ht="11.25" customHeight="1" x14ac:dyDescent="0.2">
      <c r="F270" s="243"/>
      <c r="G270" s="243"/>
      <c r="H270" s="141"/>
      <c r="L270" s="141"/>
      <c r="M270" s="141"/>
      <c r="S270" s="245"/>
      <c r="T270" s="245"/>
      <c r="U270" s="245"/>
      <c r="V270" s="245"/>
      <c r="W270" s="245"/>
      <c r="X270" s="245"/>
      <c r="Y270" s="246"/>
      <c r="AD270" s="141"/>
      <c r="AE270" s="141"/>
    </row>
    <row r="271" spans="6:31" ht="11.25" customHeight="1" x14ac:dyDescent="0.2">
      <c r="F271" s="243"/>
      <c r="G271" s="243"/>
      <c r="H271" s="141"/>
      <c r="L271" s="141"/>
      <c r="M271" s="141"/>
      <c r="S271" s="245"/>
      <c r="T271" s="245"/>
      <c r="U271" s="245"/>
      <c r="V271" s="245"/>
      <c r="W271" s="245"/>
      <c r="X271" s="245"/>
      <c r="Y271" s="246"/>
      <c r="AD271" s="141"/>
      <c r="AE271" s="141"/>
    </row>
    <row r="272" spans="6:31" ht="11.25" customHeight="1" x14ac:dyDescent="0.2">
      <c r="F272" s="243"/>
      <c r="G272" s="243"/>
      <c r="H272" s="141"/>
      <c r="L272" s="141"/>
      <c r="M272" s="141"/>
      <c r="S272" s="245"/>
      <c r="T272" s="245"/>
      <c r="U272" s="245"/>
      <c r="V272" s="245"/>
      <c r="W272" s="245"/>
      <c r="X272" s="245"/>
      <c r="Y272" s="246"/>
      <c r="AD272" s="141"/>
      <c r="AE272" s="141"/>
    </row>
    <row r="273" spans="6:31" ht="11.25" customHeight="1" x14ac:dyDescent="0.2">
      <c r="F273" s="243"/>
      <c r="G273" s="243"/>
      <c r="H273" s="141"/>
      <c r="L273" s="141"/>
      <c r="M273" s="141"/>
      <c r="S273" s="245"/>
      <c r="T273" s="245"/>
      <c r="U273" s="245"/>
      <c r="V273" s="245"/>
      <c r="W273" s="245"/>
      <c r="X273" s="245"/>
      <c r="Y273" s="246"/>
      <c r="AD273" s="141"/>
      <c r="AE273" s="141"/>
    </row>
    <row r="274" spans="6:31" ht="11.25" customHeight="1" x14ac:dyDescent="0.2">
      <c r="F274" s="243"/>
      <c r="G274" s="243"/>
      <c r="H274" s="141"/>
      <c r="L274" s="141"/>
      <c r="M274" s="141"/>
      <c r="S274" s="245"/>
      <c r="T274" s="245"/>
      <c r="U274" s="245"/>
      <c r="V274" s="245"/>
      <c r="W274" s="245"/>
      <c r="X274" s="245"/>
      <c r="Y274" s="246"/>
      <c r="AD274" s="141"/>
      <c r="AE274" s="141"/>
    </row>
    <row r="275" spans="6:31" ht="11.25" customHeight="1" x14ac:dyDescent="0.2">
      <c r="F275" s="243"/>
      <c r="G275" s="243"/>
      <c r="H275" s="141"/>
      <c r="L275" s="141"/>
      <c r="M275" s="141"/>
      <c r="S275" s="245"/>
      <c r="T275" s="245"/>
      <c r="U275" s="245"/>
      <c r="V275" s="245"/>
      <c r="W275" s="245"/>
      <c r="X275" s="245"/>
      <c r="Y275" s="246"/>
      <c r="AD275" s="141"/>
      <c r="AE275" s="141"/>
    </row>
    <row r="276" spans="6:31" ht="11.25" customHeight="1" x14ac:dyDescent="0.2">
      <c r="F276" s="243"/>
      <c r="G276" s="243"/>
      <c r="H276" s="141"/>
      <c r="L276" s="141"/>
      <c r="M276" s="141"/>
      <c r="S276" s="245"/>
      <c r="T276" s="245"/>
      <c r="U276" s="245"/>
      <c r="V276" s="245"/>
      <c r="W276" s="245"/>
      <c r="X276" s="245"/>
      <c r="Y276" s="246"/>
      <c r="AD276" s="141"/>
      <c r="AE276" s="141"/>
    </row>
    <row r="277" spans="6:31" ht="11.25" customHeight="1" x14ac:dyDescent="0.2">
      <c r="F277" s="243"/>
      <c r="G277" s="243"/>
      <c r="H277" s="141"/>
      <c r="L277" s="141"/>
      <c r="M277" s="141"/>
      <c r="S277" s="245"/>
      <c r="T277" s="245"/>
      <c r="U277" s="245"/>
      <c r="V277" s="245"/>
      <c r="W277" s="245"/>
      <c r="X277" s="245"/>
      <c r="Y277" s="246"/>
      <c r="AD277" s="141"/>
      <c r="AE277" s="141"/>
    </row>
    <row r="278" spans="6:31" ht="11.25" customHeight="1" x14ac:dyDescent="0.2">
      <c r="F278" s="243"/>
      <c r="G278" s="243"/>
      <c r="H278" s="141"/>
      <c r="L278" s="141"/>
      <c r="M278" s="141"/>
      <c r="S278" s="245"/>
      <c r="T278" s="245"/>
      <c r="U278" s="245"/>
      <c r="V278" s="245"/>
      <c r="W278" s="245"/>
      <c r="X278" s="245"/>
      <c r="Y278" s="246"/>
      <c r="AD278" s="141"/>
      <c r="AE278" s="141"/>
    </row>
    <row r="279" spans="6:31" ht="11.25" customHeight="1" x14ac:dyDescent="0.2">
      <c r="F279" s="243"/>
      <c r="G279" s="243"/>
      <c r="H279" s="141"/>
      <c r="L279" s="141"/>
      <c r="M279" s="141"/>
      <c r="S279" s="245"/>
      <c r="T279" s="245"/>
      <c r="U279" s="245"/>
      <c r="V279" s="245"/>
      <c r="W279" s="245"/>
      <c r="X279" s="245"/>
      <c r="Y279" s="246"/>
      <c r="AD279" s="141"/>
      <c r="AE279" s="141"/>
    </row>
    <row r="280" spans="6:31" ht="11.25" customHeight="1" x14ac:dyDescent="0.2">
      <c r="F280" s="243"/>
      <c r="G280" s="243"/>
      <c r="H280" s="141"/>
      <c r="L280" s="141"/>
      <c r="M280" s="141"/>
      <c r="S280" s="245"/>
      <c r="T280" s="245"/>
      <c r="U280" s="245"/>
      <c r="V280" s="245"/>
      <c r="W280" s="245"/>
      <c r="X280" s="245"/>
      <c r="Y280" s="246"/>
      <c r="AD280" s="141"/>
      <c r="AE280" s="141"/>
    </row>
    <row r="281" spans="6:31" ht="11.25" customHeight="1" x14ac:dyDescent="0.2">
      <c r="F281" s="243"/>
      <c r="G281" s="243"/>
      <c r="H281" s="141"/>
      <c r="L281" s="141"/>
      <c r="M281" s="141"/>
      <c r="S281" s="245"/>
      <c r="T281" s="245"/>
      <c r="U281" s="245"/>
      <c r="V281" s="245"/>
      <c r="W281" s="245"/>
      <c r="X281" s="245"/>
      <c r="Y281" s="246"/>
      <c r="AD281" s="141"/>
      <c r="AE281" s="141"/>
    </row>
    <row r="282" spans="6:31" ht="11.25" customHeight="1" x14ac:dyDescent="0.2">
      <c r="F282" s="243"/>
      <c r="G282" s="243"/>
      <c r="H282" s="141"/>
      <c r="L282" s="141"/>
      <c r="M282" s="141"/>
      <c r="S282" s="245"/>
      <c r="T282" s="245"/>
      <c r="U282" s="245"/>
      <c r="V282" s="245"/>
      <c r="W282" s="245"/>
      <c r="X282" s="245"/>
      <c r="Y282" s="246"/>
      <c r="AD282" s="141"/>
      <c r="AE282" s="141"/>
    </row>
    <row r="283" spans="6:31" ht="11.25" customHeight="1" x14ac:dyDescent="0.2">
      <c r="F283" s="243"/>
      <c r="G283" s="243"/>
      <c r="H283" s="141"/>
      <c r="L283" s="141"/>
      <c r="M283" s="141"/>
      <c r="S283" s="245"/>
      <c r="T283" s="245"/>
      <c r="U283" s="245"/>
      <c r="V283" s="245"/>
      <c r="W283" s="245"/>
      <c r="X283" s="245"/>
      <c r="Y283" s="246"/>
      <c r="AD283" s="141"/>
      <c r="AE283" s="141"/>
    </row>
    <row r="284" spans="6:31" ht="11.25" customHeight="1" x14ac:dyDescent="0.2">
      <c r="F284" s="243"/>
      <c r="G284" s="243"/>
      <c r="H284" s="141"/>
      <c r="L284" s="141"/>
      <c r="M284" s="141"/>
      <c r="S284" s="245"/>
      <c r="T284" s="245"/>
      <c r="U284" s="245"/>
      <c r="V284" s="245"/>
      <c r="W284" s="245"/>
      <c r="X284" s="245"/>
      <c r="Y284" s="246"/>
      <c r="AD284" s="141"/>
      <c r="AE284" s="141"/>
    </row>
    <row r="285" spans="6:31" ht="11.25" customHeight="1" x14ac:dyDescent="0.2">
      <c r="F285" s="243"/>
      <c r="G285" s="243"/>
      <c r="H285" s="141"/>
      <c r="L285" s="141"/>
      <c r="M285" s="141"/>
      <c r="S285" s="245"/>
      <c r="T285" s="245"/>
      <c r="U285" s="245"/>
      <c r="V285" s="245"/>
      <c r="W285" s="245"/>
      <c r="X285" s="245"/>
      <c r="Y285" s="246"/>
      <c r="AD285" s="141"/>
      <c r="AE285" s="141"/>
    </row>
    <row r="286" spans="6:31" ht="11.25" customHeight="1" x14ac:dyDescent="0.2">
      <c r="F286" s="243"/>
      <c r="G286" s="243"/>
      <c r="H286" s="141"/>
      <c r="L286" s="141"/>
      <c r="M286" s="141"/>
      <c r="S286" s="245"/>
      <c r="T286" s="245"/>
      <c r="U286" s="245"/>
      <c r="V286" s="245"/>
      <c r="W286" s="245"/>
      <c r="X286" s="245"/>
      <c r="Y286" s="246"/>
      <c r="AD286" s="141"/>
      <c r="AE286" s="141"/>
    </row>
    <row r="287" spans="6:31" ht="11.25" customHeight="1" x14ac:dyDescent="0.2">
      <c r="F287" s="243"/>
      <c r="G287" s="243"/>
      <c r="H287" s="141"/>
      <c r="L287" s="141"/>
      <c r="M287" s="141"/>
      <c r="S287" s="245"/>
      <c r="T287" s="245"/>
      <c r="U287" s="245"/>
      <c r="V287" s="245"/>
      <c r="W287" s="245"/>
      <c r="X287" s="245"/>
      <c r="Y287" s="246"/>
      <c r="AD287" s="141"/>
      <c r="AE287" s="141"/>
    </row>
    <row r="288" spans="6:31" ht="11.25" customHeight="1" x14ac:dyDescent="0.2">
      <c r="F288" s="243"/>
      <c r="G288" s="243"/>
      <c r="H288" s="141"/>
      <c r="L288" s="141"/>
      <c r="M288" s="141"/>
      <c r="S288" s="245"/>
      <c r="T288" s="245"/>
      <c r="U288" s="245"/>
      <c r="V288" s="245"/>
      <c r="W288" s="245"/>
      <c r="X288" s="245"/>
      <c r="Y288" s="246"/>
      <c r="AD288" s="141"/>
      <c r="AE288" s="141"/>
    </row>
    <row r="289" spans="6:31" ht="11.25" customHeight="1" x14ac:dyDescent="0.2">
      <c r="F289" s="243"/>
      <c r="G289" s="243"/>
      <c r="H289" s="141"/>
      <c r="L289" s="141"/>
      <c r="M289" s="141"/>
      <c r="S289" s="245"/>
      <c r="T289" s="245"/>
      <c r="U289" s="245"/>
      <c r="V289" s="245"/>
      <c r="W289" s="245"/>
      <c r="X289" s="245"/>
      <c r="Y289" s="246"/>
      <c r="AD289" s="141"/>
      <c r="AE289" s="141"/>
    </row>
    <row r="290" spans="6:31" ht="11.25" customHeight="1" x14ac:dyDescent="0.2">
      <c r="F290" s="243"/>
      <c r="G290" s="243"/>
      <c r="H290" s="141"/>
      <c r="L290" s="141"/>
      <c r="M290" s="141"/>
      <c r="S290" s="245"/>
      <c r="T290" s="245"/>
      <c r="U290" s="245"/>
      <c r="V290" s="245"/>
      <c r="W290" s="245"/>
      <c r="X290" s="245"/>
      <c r="Y290" s="246"/>
      <c r="AD290" s="141"/>
      <c r="AE290" s="141"/>
    </row>
    <row r="291" spans="6:31" ht="11.25" customHeight="1" x14ac:dyDescent="0.2">
      <c r="F291" s="243"/>
      <c r="G291" s="243"/>
      <c r="H291" s="141"/>
      <c r="L291" s="141"/>
      <c r="M291" s="141"/>
      <c r="S291" s="245"/>
      <c r="T291" s="245"/>
      <c r="U291" s="245"/>
      <c r="V291" s="245"/>
      <c r="W291" s="245"/>
      <c r="X291" s="245"/>
      <c r="Y291" s="246"/>
      <c r="AD291" s="141"/>
      <c r="AE291" s="141"/>
    </row>
    <row r="292" spans="6:31" ht="11.25" customHeight="1" x14ac:dyDescent="0.2">
      <c r="F292" s="243"/>
      <c r="G292" s="243"/>
      <c r="H292" s="141"/>
      <c r="L292" s="141"/>
      <c r="M292" s="141"/>
      <c r="S292" s="245"/>
      <c r="T292" s="245"/>
      <c r="U292" s="245"/>
      <c r="V292" s="245"/>
      <c r="W292" s="245"/>
      <c r="X292" s="245"/>
      <c r="Y292" s="246"/>
      <c r="AD292" s="141"/>
      <c r="AE292" s="141"/>
    </row>
    <row r="293" spans="6:31" ht="11.25" customHeight="1" x14ac:dyDescent="0.2">
      <c r="F293" s="243"/>
      <c r="G293" s="243"/>
      <c r="H293" s="141"/>
      <c r="L293" s="141"/>
      <c r="M293" s="141"/>
      <c r="S293" s="245"/>
      <c r="T293" s="245"/>
      <c r="U293" s="245"/>
      <c r="V293" s="245"/>
      <c r="W293" s="245"/>
      <c r="X293" s="245"/>
      <c r="Y293" s="246"/>
      <c r="AD293" s="141"/>
      <c r="AE293" s="141"/>
    </row>
    <row r="294" spans="6:31" ht="11.25" customHeight="1" x14ac:dyDescent="0.2">
      <c r="F294" s="243"/>
      <c r="G294" s="243"/>
      <c r="H294" s="141"/>
      <c r="L294" s="141"/>
      <c r="M294" s="141"/>
      <c r="S294" s="245"/>
      <c r="T294" s="245"/>
      <c r="U294" s="245"/>
      <c r="V294" s="245"/>
      <c r="W294" s="245"/>
      <c r="X294" s="245"/>
      <c r="Y294" s="246"/>
      <c r="AD294" s="141"/>
      <c r="AE294" s="141"/>
    </row>
    <row r="295" spans="6:31" ht="11.25" customHeight="1" x14ac:dyDescent="0.2">
      <c r="F295" s="243"/>
      <c r="G295" s="243"/>
      <c r="H295" s="141"/>
      <c r="L295" s="141"/>
      <c r="M295" s="141"/>
      <c r="S295" s="245"/>
      <c r="T295" s="245"/>
      <c r="U295" s="245"/>
      <c r="V295" s="245"/>
      <c r="W295" s="245"/>
      <c r="X295" s="245"/>
      <c r="Y295" s="246"/>
      <c r="AD295" s="141"/>
      <c r="AE295" s="141"/>
    </row>
    <row r="296" spans="6:31" ht="11.25" customHeight="1" x14ac:dyDescent="0.2">
      <c r="F296" s="243"/>
      <c r="G296" s="243"/>
      <c r="H296" s="141"/>
      <c r="L296" s="141"/>
      <c r="M296" s="141"/>
      <c r="S296" s="245"/>
      <c r="T296" s="245"/>
      <c r="U296" s="245"/>
      <c r="V296" s="245"/>
      <c r="W296" s="245"/>
      <c r="X296" s="245"/>
      <c r="Y296" s="246"/>
      <c r="AD296" s="141"/>
      <c r="AE296" s="141"/>
    </row>
    <row r="297" spans="6:31" ht="11.25" customHeight="1" x14ac:dyDescent="0.2">
      <c r="F297" s="243"/>
      <c r="G297" s="243"/>
      <c r="H297" s="141"/>
      <c r="L297" s="141"/>
      <c r="M297" s="141"/>
      <c r="S297" s="245"/>
      <c r="T297" s="245"/>
      <c r="U297" s="245"/>
      <c r="V297" s="245"/>
      <c r="W297" s="245"/>
      <c r="X297" s="245"/>
      <c r="Y297" s="246"/>
      <c r="AD297" s="141"/>
      <c r="AE297" s="141"/>
    </row>
    <row r="298" spans="6:31" ht="11.25" customHeight="1" x14ac:dyDescent="0.2">
      <c r="F298" s="243"/>
      <c r="G298" s="243"/>
      <c r="H298" s="141"/>
      <c r="L298" s="141"/>
      <c r="M298" s="141"/>
      <c r="S298" s="245"/>
      <c r="T298" s="245"/>
      <c r="U298" s="245"/>
      <c r="V298" s="245"/>
      <c r="W298" s="245"/>
      <c r="X298" s="245"/>
      <c r="Y298" s="246"/>
      <c r="AD298" s="141"/>
      <c r="AE298" s="141"/>
    </row>
    <row r="299" spans="6:31" ht="11.25" customHeight="1" x14ac:dyDescent="0.2">
      <c r="F299" s="243"/>
      <c r="G299" s="243"/>
      <c r="H299" s="141"/>
      <c r="L299" s="141"/>
      <c r="M299" s="141"/>
      <c r="S299" s="245"/>
      <c r="T299" s="245"/>
      <c r="U299" s="245"/>
      <c r="V299" s="245"/>
      <c r="W299" s="245"/>
      <c r="X299" s="245"/>
      <c r="Y299" s="246"/>
      <c r="AD299" s="141"/>
      <c r="AE299" s="141"/>
    </row>
    <row r="300" spans="6:31" ht="11.25" customHeight="1" x14ac:dyDescent="0.2">
      <c r="F300" s="243"/>
      <c r="G300" s="243"/>
      <c r="H300" s="141"/>
      <c r="L300" s="141"/>
      <c r="M300" s="141"/>
      <c r="S300" s="245"/>
      <c r="T300" s="245"/>
      <c r="U300" s="245"/>
      <c r="V300" s="245"/>
      <c r="W300" s="245"/>
      <c r="X300" s="245"/>
      <c r="Y300" s="246"/>
      <c r="AD300" s="141"/>
      <c r="AE300" s="141"/>
    </row>
    <row r="301" spans="6:31" ht="11.25" customHeight="1" x14ac:dyDescent="0.2">
      <c r="F301" s="243"/>
      <c r="G301" s="243"/>
      <c r="H301" s="141"/>
      <c r="L301" s="141"/>
      <c r="M301" s="141"/>
      <c r="S301" s="245"/>
      <c r="T301" s="245"/>
      <c r="U301" s="245"/>
      <c r="V301" s="245"/>
      <c r="W301" s="245"/>
      <c r="X301" s="245"/>
      <c r="Y301" s="246"/>
      <c r="AD301" s="141"/>
      <c r="AE301" s="141"/>
    </row>
    <row r="302" spans="6:31" ht="11.25" customHeight="1" x14ac:dyDescent="0.2">
      <c r="F302" s="243"/>
      <c r="G302" s="243"/>
      <c r="H302" s="141"/>
      <c r="L302" s="141"/>
      <c r="M302" s="141"/>
      <c r="S302" s="245"/>
      <c r="T302" s="245"/>
      <c r="U302" s="245"/>
      <c r="V302" s="245"/>
      <c r="W302" s="245"/>
      <c r="X302" s="245"/>
      <c r="Y302" s="246"/>
      <c r="AD302" s="141"/>
      <c r="AE302" s="141"/>
    </row>
    <row r="303" spans="6:31" ht="11.25" customHeight="1" x14ac:dyDescent="0.2">
      <c r="F303" s="243"/>
      <c r="G303" s="243"/>
      <c r="H303" s="141"/>
      <c r="L303" s="141"/>
      <c r="M303" s="141"/>
      <c r="S303" s="245"/>
      <c r="T303" s="245"/>
      <c r="U303" s="245"/>
      <c r="V303" s="245"/>
      <c r="W303" s="245"/>
      <c r="X303" s="245"/>
      <c r="Y303" s="246"/>
      <c r="AD303" s="141"/>
      <c r="AE303" s="141"/>
    </row>
    <row r="304" spans="6:31" ht="11.25" customHeight="1" x14ac:dyDescent="0.2">
      <c r="F304" s="243"/>
      <c r="G304" s="243"/>
      <c r="H304" s="141"/>
      <c r="L304" s="141"/>
      <c r="M304" s="141"/>
      <c r="S304" s="245"/>
      <c r="T304" s="245"/>
      <c r="U304" s="245"/>
      <c r="V304" s="245"/>
      <c r="W304" s="245"/>
      <c r="X304" s="245"/>
      <c r="Y304" s="246"/>
      <c r="AD304" s="141"/>
      <c r="AE304" s="141"/>
    </row>
    <row r="305" spans="6:31" ht="11.25" customHeight="1" x14ac:dyDescent="0.2">
      <c r="F305" s="243"/>
      <c r="G305" s="243"/>
      <c r="H305" s="141"/>
      <c r="L305" s="141"/>
      <c r="M305" s="141"/>
      <c r="S305" s="245"/>
      <c r="T305" s="245"/>
      <c r="U305" s="245"/>
      <c r="V305" s="245"/>
      <c r="W305" s="245"/>
      <c r="X305" s="245"/>
      <c r="Y305" s="246"/>
      <c r="AD305" s="141"/>
      <c r="AE305" s="141"/>
    </row>
    <row r="306" spans="6:31" ht="11.25" customHeight="1" x14ac:dyDescent="0.2">
      <c r="F306" s="243"/>
      <c r="G306" s="243"/>
      <c r="H306" s="141"/>
      <c r="L306" s="141"/>
      <c r="M306" s="141"/>
      <c r="S306" s="245"/>
      <c r="T306" s="245"/>
      <c r="U306" s="245"/>
      <c r="V306" s="245"/>
      <c r="W306" s="245"/>
      <c r="X306" s="245"/>
      <c r="Y306" s="246"/>
      <c r="AD306" s="141"/>
      <c r="AE306" s="141"/>
    </row>
    <row r="307" spans="6:31" ht="11.25" customHeight="1" x14ac:dyDescent="0.2">
      <c r="F307" s="243"/>
      <c r="G307" s="243"/>
      <c r="H307" s="141"/>
      <c r="L307" s="141"/>
      <c r="M307" s="141"/>
      <c r="S307" s="245"/>
      <c r="T307" s="245"/>
      <c r="U307" s="245"/>
      <c r="V307" s="245"/>
      <c r="W307" s="245"/>
      <c r="X307" s="245"/>
      <c r="Y307" s="246"/>
      <c r="AD307" s="141"/>
      <c r="AE307" s="141"/>
    </row>
    <row r="308" spans="6:31" ht="11.25" customHeight="1" x14ac:dyDescent="0.2">
      <c r="F308" s="243"/>
      <c r="G308" s="243"/>
      <c r="H308" s="141"/>
      <c r="L308" s="141"/>
      <c r="M308" s="141"/>
      <c r="S308" s="245"/>
      <c r="T308" s="245"/>
      <c r="U308" s="245"/>
      <c r="V308" s="245"/>
      <c r="W308" s="245"/>
      <c r="X308" s="245"/>
      <c r="Y308" s="246"/>
      <c r="AD308" s="141"/>
      <c r="AE308" s="141"/>
    </row>
    <row r="309" spans="6:31" ht="11.25" customHeight="1" x14ac:dyDescent="0.2">
      <c r="F309" s="243"/>
      <c r="G309" s="243"/>
      <c r="H309" s="141"/>
      <c r="L309" s="141"/>
      <c r="M309" s="141"/>
      <c r="S309" s="245"/>
      <c r="T309" s="245"/>
      <c r="U309" s="245"/>
      <c r="V309" s="245"/>
      <c r="W309" s="245"/>
      <c r="X309" s="245"/>
      <c r="Y309" s="246"/>
      <c r="AD309" s="141"/>
      <c r="AE309" s="141"/>
    </row>
    <row r="310" spans="6:31" ht="11.25" customHeight="1" x14ac:dyDescent="0.2">
      <c r="F310" s="243"/>
      <c r="G310" s="243"/>
      <c r="H310" s="141"/>
      <c r="L310" s="141"/>
      <c r="M310" s="141"/>
      <c r="S310" s="245"/>
      <c r="T310" s="245"/>
      <c r="U310" s="245"/>
      <c r="V310" s="245"/>
      <c r="W310" s="245"/>
      <c r="X310" s="245"/>
      <c r="Y310" s="246"/>
      <c r="AD310" s="141"/>
      <c r="AE310" s="141"/>
    </row>
    <row r="311" spans="6:31" ht="11.25" customHeight="1" x14ac:dyDescent="0.2">
      <c r="F311" s="243"/>
      <c r="G311" s="243"/>
      <c r="H311" s="141"/>
      <c r="L311" s="141"/>
      <c r="M311" s="141"/>
      <c r="S311" s="245"/>
      <c r="T311" s="245"/>
      <c r="U311" s="245"/>
      <c r="V311" s="245"/>
      <c r="W311" s="245"/>
      <c r="X311" s="245"/>
      <c r="Y311" s="246"/>
      <c r="AD311" s="141"/>
      <c r="AE311" s="141"/>
    </row>
    <row r="312" spans="6:31" ht="11.25" customHeight="1" x14ac:dyDescent="0.2">
      <c r="F312" s="243"/>
      <c r="G312" s="243"/>
      <c r="H312" s="141"/>
      <c r="L312" s="141"/>
      <c r="M312" s="141"/>
      <c r="S312" s="245"/>
      <c r="T312" s="245"/>
      <c r="U312" s="245"/>
      <c r="V312" s="245"/>
      <c r="W312" s="245"/>
      <c r="X312" s="245"/>
      <c r="Y312" s="246"/>
      <c r="AD312" s="141"/>
      <c r="AE312" s="141"/>
    </row>
    <row r="313" spans="6:31" ht="11.25" customHeight="1" x14ac:dyDescent="0.2">
      <c r="F313" s="243"/>
      <c r="G313" s="243"/>
      <c r="H313" s="141"/>
      <c r="L313" s="141"/>
      <c r="M313" s="141"/>
      <c r="S313" s="245"/>
      <c r="T313" s="245"/>
      <c r="U313" s="245"/>
      <c r="V313" s="245"/>
      <c r="W313" s="245"/>
      <c r="X313" s="245"/>
      <c r="Y313" s="246"/>
      <c r="AD313" s="141"/>
      <c r="AE313" s="141"/>
    </row>
    <row r="314" spans="6:31" ht="11.25" customHeight="1" x14ac:dyDescent="0.2">
      <c r="F314" s="243"/>
      <c r="G314" s="243"/>
      <c r="H314" s="141"/>
      <c r="L314" s="141"/>
      <c r="M314" s="141"/>
      <c r="S314" s="245"/>
      <c r="T314" s="245"/>
      <c r="U314" s="245"/>
      <c r="V314" s="245"/>
      <c r="W314" s="245"/>
      <c r="X314" s="245"/>
      <c r="Y314" s="246"/>
      <c r="AD314" s="141"/>
      <c r="AE314" s="141"/>
    </row>
    <row r="315" spans="6:31" ht="11.25" customHeight="1" x14ac:dyDescent="0.2">
      <c r="F315" s="243"/>
      <c r="G315" s="243"/>
      <c r="H315" s="141"/>
      <c r="L315" s="141"/>
      <c r="M315" s="141"/>
      <c r="S315" s="245"/>
      <c r="T315" s="245"/>
      <c r="U315" s="245"/>
      <c r="V315" s="245"/>
      <c r="W315" s="245"/>
      <c r="X315" s="245"/>
      <c r="Y315" s="246"/>
      <c r="AD315" s="141"/>
      <c r="AE315" s="141"/>
    </row>
    <row r="316" spans="6:31" ht="11.25" customHeight="1" x14ac:dyDescent="0.2">
      <c r="F316" s="243"/>
      <c r="G316" s="243"/>
      <c r="H316" s="141"/>
      <c r="L316" s="141"/>
      <c r="M316" s="141"/>
      <c r="S316" s="245"/>
      <c r="T316" s="245"/>
      <c r="U316" s="245"/>
      <c r="V316" s="245"/>
      <c r="W316" s="245"/>
      <c r="X316" s="245"/>
      <c r="Y316" s="246"/>
      <c r="AD316" s="141"/>
      <c r="AE316" s="141"/>
    </row>
    <row r="317" spans="6:31" ht="11.25" customHeight="1" x14ac:dyDescent="0.2">
      <c r="F317" s="243"/>
      <c r="G317" s="243"/>
      <c r="H317" s="141"/>
      <c r="L317" s="141"/>
      <c r="M317" s="141"/>
      <c r="S317" s="245"/>
      <c r="T317" s="245"/>
      <c r="U317" s="245"/>
      <c r="V317" s="245"/>
      <c r="W317" s="245"/>
      <c r="X317" s="245"/>
      <c r="Y317" s="246"/>
      <c r="AD317" s="141"/>
      <c r="AE317" s="141"/>
    </row>
    <row r="318" spans="6:31" ht="11.25" customHeight="1" x14ac:dyDescent="0.2">
      <c r="F318" s="243"/>
      <c r="G318" s="243"/>
      <c r="H318" s="141"/>
      <c r="L318" s="141"/>
      <c r="M318" s="141"/>
      <c r="S318" s="245"/>
      <c r="T318" s="245"/>
      <c r="U318" s="245"/>
      <c r="V318" s="245"/>
      <c r="W318" s="245"/>
      <c r="X318" s="245"/>
      <c r="Y318" s="246"/>
      <c r="AD318" s="141"/>
      <c r="AE318" s="141"/>
    </row>
    <row r="319" spans="6:31" ht="11.25" customHeight="1" x14ac:dyDescent="0.2">
      <c r="F319" s="243"/>
      <c r="G319" s="243"/>
      <c r="H319" s="141"/>
      <c r="L319" s="141"/>
      <c r="M319" s="141"/>
      <c r="S319" s="245"/>
      <c r="T319" s="245"/>
      <c r="U319" s="245"/>
      <c r="V319" s="245"/>
      <c r="W319" s="245"/>
      <c r="X319" s="245"/>
      <c r="Y319" s="246"/>
      <c r="AD319" s="141"/>
      <c r="AE319" s="141"/>
    </row>
    <row r="320" spans="6:31" ht="11.25" customHeight="1" x14ac:dyDescent="0.2">
      <c r="F320" s="243"/>
      <c r="G320" s="243"/>
      <c r="H320" s="141"/>
      <c r="L320" s="141"/>
      <c r="M320" s="141"/>
      <c r="S320" s="245"/>
      <c r="T320" s="245"/>
      <c r="U320" s="245"/>
      <c r="V320" s="245"/>
      <c r="W320" s="245"/>
      <c r="X320" s="245"/>
      <c r="Y320" s="246"/>
      <c r="AD320" s="141"/>
      <c r="AE320" s="141"/>
    </row>
    <row r="321" spans="6:31" ht="11.25" customHeight="1" x14ac:dyDescent="0.2">
      <c r="F321" s="243"/>
      <c r="G321" s="243"/>
      <c r="H321" s="141"/>
      <c r="L321" s="141"/>
      <c r="M321" s="141"/>
      <c r="S321" s="245"/>
      <c r="T321" s="245"/>
      <c r="U321" s="245"/>
      <c r="V321" s="245"/>
      <c r="W321" s="245"/>
      <c r="X321" s="245"/>
      <c r="Y321" s="246"/>
      <c r="AD321" s="141"/>
      <c r="AE321" s="141"/>
    </row>
    <row r="322" spans="6:31" ht="11.25" customHeight="1" x14ac:dyDescent="0.2">
      <c r="F322" s="243"/>
      <c r="G322" s="243"/>
      <c r="H322" s="141"/>
      <c r="L322" s="141"/>
      <c r="M322" s="141"/>
      <c r="S322" s="245"/>
      <c r="T322" s="245"/>
      <c r="U322" s="245"/>
      <c r="V322" s="245"/>
      <c r="W322" s="245"/>
      <c r="X322" s="245"/>
      <c r="Y322" s="246"/>
      <c r="AD322" s="141"/>
      <c r="AE322" s="141"/>
    </row>
    <row r="323" spans="6:31" ht="11.25" customHeight="1" x14ac:dyDescent="0.2">
      <c r="F323" s="243"/>
      <c r="G323" s="243"/>
      <c r="H323" s="141"/>
      <c r="L323" s="141"/>
      <c r="M323" s="141"/>
      <c r="S323" s="245"/>
      <c r="T323" s="245"/>
      <c r="U323" s="245"/>
      <c r="V323" s="245"/>
      <c r="W323" s="245"/>
      <c r="X323" s="245"/>
      <c r="Y323" s="246"/>
      <c r="AD323" s="141"/>
      <c r="AE323" s="141"/>
    </row>
    <row r="324" spans="6:31" ht="11.25" customHeight="1" x14ac:dyDescent="0.2">
      <c r="F324" s="243"/>
      <c r="G324" s="243"/>
      <c r="H324" s="141"/>
      <c r="L324" s="141"/>
      <c r="M324" s="141"/>
      <c r="S324" s="245"/>
      <c r="T324" s="245"/>
      <c r="U324" s="245"/>
      <c r="V324" s="245"/>
      <c r="W324" s="245"/>
      <c r="X324" s="245"/>
      <c r="Y324" s="246"/>
      <c r="AD324" s="141"/>
      <c r="AE324" s="141"/>
    </row>
    <row r="325" spans="6:31" ht="11.25" customHeight="1" x14ac:dyDescent="0.2">
      <c r="F325" s="243"/>
      <c r="G325" s="243"/>
      <c r="H325" s="141"/>
      <c r="L325" s="141"/>
      <c r="M325" s="141"/>
      <c r="S325" s="245"/>
      <c r="T325" s="245"/>
      <c r="U325" s="245"/>
      <c r="V325" s="245"/>
      <c r="W325" s="245"/>
      <c r="X325" s="245"/>
      <c r="Y325" s="246"/>
      <c r="AD325" s="141"/>
      <c r="AE325" s="141"/>
    </row>
    <row r="326" spans="6:31" ht="11.25" customHeight="1" x14ac:dyDescent="0.2">
      <c r="F326" s="243"/>
      <c r="G326" s="243"/>
      <c r="H326" s="141"/>
      <c r="L326" s="141"/>
      <c r="M326" s="141"/>
      <c r="S326" s="245"/>
      <c r="T326" s="245"/>
      <c r="U326" s="245"/>
      <c r="V326" s="245"/>
      <c r="W326" s="245"/>
      <c r="X326" s="245"/>
      <c r="Y326" s="246"/>
      <c r="AD326" s="141"/>
      <c r="AE326" s="141"/>
    </row>
    <row r="327" spans="6:31" ht="11.25" customHeight="1" x14ac:dyDescent="0.2">
      <c r="F327" s="243"/>
      <c r="G327" s="243"/>
      <c r="H327" s="141"/>
      <c r="L327" s="141"/>
      <c r="M327" s="141"/>
      <c r="S327" s="245"/>
      <c r="T327" s="245"/>
      <c r="U327" s="245"/>
      <c r="V327" s="245"/>
      <c r="W327" s="245"/>
      <c r="X327" s="245"/>
      <c r="Y327" s="246"/>
      <c r="AD327" s="141"/>
      <c r="AE327" s="141"/>
    </row>
    <row r="328" spans="6:31" ht="11.25" customHeight="1" x14ac:dyDescent="0.2">
      <c r="F328" s="243"/>
      <c r="G328" s="243"/>
      <c r="H328" s="141"/>
      <c r="L328" s="141"/>
      <c r="M328" s="141"/>
      <c r="S328" s="245"/>
      <c r="T328" s="245"/>
      <c r="U328" s="245"/>
      <c r="V328" s="245"/>
      <c r="W328" s="245"/>
      <c r="X328" s="245"/>
      <c r="Y328" s="246"/>
      <c r="AD328" s="141"/>
      <c r="AE328" s="141"/>
    </row>
    <row r="329" spans="6:31" ht="11.25" customHeight="1" x14ac:dyDescent="0.2">
      <c r="F329" s="243"/>
      <c r="G329" s="243"/>
      <c r="H329" s="141"/>
      <c r="L329" s="141"/>
      <c r="M329" s="141"/>
      <c r="S329" s="245"/>
      <c r="T329" s="245"/>
      <c r="U329" s="245"/>
      <c r="V329" s="245"/>
      <c r="W329" s="245"/>
      <c r="X329" s="245"/>
      <c r="Y329" s="246"/>
      <c r="AD329" s="141"/>
      <c r="AE329" s="141"/>
    </row>
    <row r="330" spans="6:31" ht="11.25" customHeight="1" x14ac:dyDescent="0.2">
      <c r="F330" s="243"/>
      <c r="G330" s="243"/>
      <c r="H330" s="141"/>
      <c r="L330" s="141"/>
      <c r="M330" s="141"/>
      <c r="S330" s="245"/>
      <c r="T330" s="245"/>
      <c r="U330" s="245"/>
      <c r="V330" s="245"/>
      <c r="W330" s="245"/>
      <c r="X330" s="245"/>
      <c r="Y330" s="246"/>
      <c r="AD330" s="141"/>
      <c r="AE330" s="141"/>
    </row>
    <row r="331" spans="6:31" ht="11.25" customHeight="1" x14ac:dyDescent="0.2">
      <c r="F331" s="243"/>
      <c r="G331" s="243"/>
      <c r="H331" s="141"/>
      <c r="L331" s="141"/>
      <c r="M331" s="141"/>
      <c r="S331" s="245"/>
      <c r="T331" s="245"/>
      <c r="U331" s="245"/>
      <c r="V331" s="245"/>
      <c r="W331" s="245"/>
      <c r="X331" s="245"/>
      <c r="Y331" s="246"/>
      <c r="AD331" s="141"/>
      <c r="AE331" s="141"/>
    </row>
    <row r="332" spans="6:31" ht="11.25" customHeight="1" x14ac:dyDescent="0.2">
      <c r="F332" s="243"/>
      <c r="G332" s="243"/>
      <c r="H332" s="141"/>
      <c r="L332" s="141"/>
      <c r="M332" s="141"/>
      <c r="S332" s="245"/>
      <c r="T332" s="245"/>
      <c r="U332" s="245"/>
      <c r="V332" s="245"/>
      <c r="W332" s="245"/>
      <c r="X332" s="245"/>
      <c r="Y332" s="246"/>
      <c r="AD332" s="141"/>
      <c r="AE332" s="141"/>
    </row>
    <row r="333" spans="6:31" ht="11.25" customHeight="1" x14ac:dyDescent="0.2">
      <c r="F333" s="243"/>
      <c r="G333" s="243"/>
      <c r="H333" s="141"/>
      <c r="L333" s="141"/>
      <c r="M333" s="141"/>
      <c r="S333" s="245"/>
      <c r="T333" s="245"/>
      <c r="U333" s="245"/>
      <c r="V333" s="245"/>
      <c r="W333" s="245"/>
      <c r="X333" s="245"/>
      <c r="Y333" s="246"/>
      <c r="AD333" s="141"/>
      <c r="AE333" s="141"/>
    </row>
    <row r="334" spans="6:31" ht="11.25" customHeight="1" x14ac:dyDescent="0.2">
      <c r="F334" s="243"/>
      <c r="G334" s="243"/>
      <c r="H334" s="141"/>
      <c r="L334" s="141"/>
      <c r="M334" s="141"/>
      <c r="S334" s="245"/>
      <c r="T334" s="245"/>
      <c r="U334" s="245"/>
      <c r="V334" s="245"/>
      <c r="W334" s="245"/>
      <c r="X334" s="245"/>
      <c r="Y334" s="246"/>
      <c r="AD334" s="141"/>
      <c r="AE334" s="141"/>
    </row>
    <row r="335" spans="6:31" ht="11.25" customHeight="1" x14ac:dyDescent="0.2">
      <c r="F335" s="243"/>
      <c r="G335" s="243"/>
      <c r="H335" s="141"/>
      <c r="L335" s="141"/>
      <c r="M335" s="141"/>
      <c r="S335" s="245"/>
      <c r="T335" s="245"/>
      <c r="U335" s="245"/>
      <c r="V335" s="245"/>
      <c r="W335" s="245"/>
      <c r="X335" s="245"/>
      <c r="Y335" s="246"/>
      <c r="AD335" s="141"/>
      <c r="AE335" s="141"/>
    </row>
    <row r="336" spans="6:31" ht="11.25" customHeight="1" x14ac:dyDescent="0.2">
      <c r="F336" s="243"/>
      <c r="G336" s="243"/>
      <c r="H336" s="141"/>
      <c r="L336" s="141"/>
      <c r="M336" s="141"/>
      <c r="S336" s="245"/>
      <c r="T336" s="245"/>
      <c r="U336" s="245"/>
      <c r="V336" s="245"/>
      <c r="W336" s="245"/>
      <c r="X336" s="245"/>
      <c r="Y336" s="246"/>
      <c r="AD336" s="141"/>
      <c r="AE336" s="141"/>
    </row>
    <row r="337" spans="6:31" ht="11.25" customHeight="1" x14ac:dyDescent="0.2">
      <c r="F337" s="243"/>
      <c r="G337" s="243"/>
      <c r="H337" s="141"/>
      <c r="L337" s="141"/>
      <c r="M337" s="141"/>
      <c r="S337" s="245"/>
      <c r="T337" s="245"/>
      <c r="U337" s="245"/>
      <c r="V337" s="245"/>
      <c r="W337" s="245"/>
      <c r="X337" s="245"/>
      <c r="Y337" s="246"/>
      <c r="AD337" s="141"/>
      <c r="AE337" s="141"/>
    </row>
    <row r="338" spans="6:31" ht="11.25" customHeight="1" x14ac:dyDescent="0.2">
      <c r="F338" s="243"/>
      <c r="G338" s="243"/>
      <c r="H338" s="141"/>
      <c r="L338" s="141"/>
      <c r="M338" s="141"/>
      <c r="S338" s="245"/>
      <c r="T338" s="245"/>
      <c r="U338" s="245"/>
      <c r="V338" s="245"/>
      <c r="W338" s="245"/>
      <c r="X338" s="245"/>
      <c r="Y338" s="246"/>
      <c r="AD338" s="141"/>
      <c r="AE338" s="141"/>
    </row>
    <row r="339" spans="6:31" ht="11.25" customHeight="1" x14ac:dyDescent="0.2">
      <c r="F339" s="243"/>
      <c r="G339" s="243"/>
      <c r="H339" s="141"/>
      <c r="L339" s="141"/>
      <c r="M339" s="141"/>
      <c r="S339" s="245"/>
      <c r="T339" s="245"/>
      <c r="U339" s="245"/>
      <c r="V339" s="245"/>
      <c r="W339" s="245"/>
      <c r="X339" s="245"/>
      <c r="Y339" s="246"/>
      <c r="AD339" s="141"/>
      <c r="AE339" s="141"/>
    </row>
    <row r="340" spans="6:31" ht="11.25" customHeight="1" x14ac:dyDescent="0.2">
      <c r="F340" s="243"/>
      <c r="G340" s="243"/>
      <c r="H340" s="141"/>
      <c r="L340" s="141"/>
      <c r="M340" s="141"/>
      <c r="S340" s="245"/>
      <c r="T340" s="245"/>
      <c r="U340" s="245"/>
      <c r="V340" s="245"/>
      <c r="W340" s="245"/>
      <c r="X340" s="245"/>
      <c r="Y340" s="246"/>
      <c r="AD340" s="141"/>
      <c r="AE340" s="141"/>
    </row>
    <row r="341" spans="6:31" ht="11.25" customHeight="1" x14ac:dyDescent="0.2">
      <c r="F341" s="243"/>
      <c r="G341" s="243"/>
      <c r="H341" s="141"/>
      <c r="L341" s="141"/>
      <c r="M341" s="141"/>
      <c r="S341" s="245"/>
      <c r="T341" s="245"/>
      <c r="U341" s="245"/>
      <c r="V341" s="245"/>
      <c r="W341" s="245"/>
      <c r="X341" s="245"/>
      <c r="Y341" s="246"/>
      <c r="AD341" s="141"/>
      <c r="AE341" s="141"/>
    </row>
    <row r="342" spans="6:31" ht="11.25" customHeight="1" x14ac:dyDescent="0.2">
      <c r="F342" s="243"/>
      <c r="G342" s="243"/>
      <c r="H342" s="141"/>
      <c r="L342" s="141"/>
      <c r="M342" s="141"/>
      <c r="S342" s="245"/>
      <c r="T342" s="245"/>
      <c r="U342" s="245"/>
      <c r="V342" s="245"/>
      <c r="W342" s="245"/>
      <c r="X342" s="245"/>
      <c r="Y342" s="246"/>
      <c r="AD342" s="141"/>
      <c r="AE342" s="141"/>
    </row>
    <row r="343" spans="6:31" ht="11.25" customHeight="1" x14ac:dyDescent="0.2">
      <c r="F343" s="243"/>
      <c r="G343" s="243"/>
      <c r="H343" s="141"/>
      <c r="L343" s="141"/>
      <c r="M343" s="141"/>
      <c r="S343" s="245"/>
      <c r="T343" s="245"/>
      <c r="U343" s="245"/>
      <c r="V343" s="245"/>
      <c r="W343" s="245"/>
      <c r="X343" s="245"/>
      <c r="Y343" s="246"/>
      <c r="AD343" s="141"/>
      <c r="AE343" s="141"/>
    </row>
    <row r="344" spans="6:31" ht="11.25" customHeight="1" x14ac:dyDescent="0.2">
      <c r="F344" s="243"/>
      <c r="G344" s="243"/>
      <c r="H344" s="141"/>
      <c r="L344" s="141"/>
      <c r="M344" s="141"/>
      <c r="S344" s="245"/>
      <c r="T344" s="245"/>
      <c r="U344" s="245"/>
      <c r="V344" s="245"/>
      <c r="W344" s="245"/>
      <c r="X344" s="245"/>
      <c r="Y344" s="246"/>
      <c r="AD344" s="141"/>
      <c r="AE344" s="141"/>
    </row>
    <row r="345" spans="6:31" ht="11.25" customHeight="1" x14ac:dyDescent="0.2">
      <c r="F345" s="243"/>
      <c r="G345" s="243"/>
      <c r="H345" s="141"/>
      <c r="L345" s="141"/>
      <c r="M345" s="141"/>
      <c r="S345" s="245"/>
      <c r="T345" s="245"/>
      <c r="U345" s="245"/>
      <c r="V345" s="245"/>
      <c r="W345" s="245"/>
      <c r="X345" s="245"/>
      <c r="Y345" s="246"/>
      <c r="AD345" s="141"/>
      <c r="AE345" s="141"/>
    </row>
    <row r="346" spans="6:31" ht="11.25" customHeight="1" x14ac:dyDescent="0.2">
      <c r="F346" s="243"/>
      <c r="G346" s="243"/>
      <c r="H346" s="141"/>
      <c r="L346" s="141"/>
      <c r="M346" s="141"/>
      <c r="S346" s="245"/>
      <c r="T346" s="245"/>
      <c r="U346" s="245"/>
      <c r="V346" s="245"/>
      <c r="W346" s="245"/>
      <c r="X346" s="245"/>
      <c r="Y346" s="246"/>
      <c r="AD346" s="141"/>
      <c r="AE346" s="141"/>
    </row>
    <row r="347" spans="6:31" ht="11.25" customHeight="1" x14ac:dyDescent="0.2">
      <c r="F347" s="243"/>
      <c r="G347" s="243"/>
      <c r="H347" s="141"/>
      <c r="L347" s="141"/>
      <c r="M347" s="141"/>
      <c r="S347" s="245"/>
      <c r="T347" s="245"/>
      <c r="U347" s="245"/>
      <c r="V347" s="245"/>
      <c r="W347" s="245"/>
      <c r="X347" s="245"/>
      <c r="Y347" s="246"/>
      <c r="AD347" s="141"/>
      <c r="AE347" s="141"/>
    </row>
    <row r="348" spans="6:31" ht="11.25" customHeight="1" x14ac:dyDescent="0.2">
      <c r="F348" s="243"/>
      <c r="G348" s="243"/>
      <c r="H348" s="141"/>
      <c r="L348" s="141"/>
      <c r="M348" s="141"/>
      <c r="S348" s="245"/>
      <c r="T348" s="245"/>
      <c r="U348" s="245"/>
      <c r="V348" s="245"/>
      <c r="W348" s="245"/>
      <c r="X348" s="245"/>
      <c r="Y348" s="246"/>
      <c r="AD348" s="141"/>
      <c r="AE348" s="141"/>
    </row>
    <row r="349" spans="6:31" ht="11.25" customHeight="1" x14ac:dyDescent="0.2">
      <c r="F349" s="243"/>
      <c r="G349" s="243"/>
      <c r="H349" s="141"/>
      <c r="L349" s="141"/>
      <c r="M349" s="141"/>
      <c r="S349" s="245"/>
      <c r="T349" s="245"/>
      <c r="U349" s="245"/>
      <c r="V349" s="245"/>
      <c r="W349" s="245"/>
      <c r="X349" s="245"/>
      <c r="Y349" s="246"/>
      <c r="AD349" s="141"/>
      <c r="AE349" s="141"/>
    </row>
    <row r="350" spans="6:31" ht="11.25" customHeight="1" x14ac:dyDescent="0.2">
      <c r="F350" s="243"/>
      <c r="G350" s="243"/>
      <c r="H350" s="141"/>
      <c r="L350" s="141"/>
      <c r="M350" s="141"/>
      <c r="S350" s="245"/>
      <c r="T350" s="245"/>
      <c r="U350" s="245"/>
      <c r="V350" s="245"/>
      <c r="W350" s="245"/>
      <c r="X350" s="245"/>
      <c r="Y350" s="246"/>
      <c r="AD350" s="141"/>
      <c r="AE350" s="141"/>
    </row>
    <row r="351" spans="6:31" ht="11.25" customHeight="1" x14ac:dyDescent="0.2">
      <c r="F351" s="243"/>
      <c r="G351" s="243"/>
      <c r="H351" s="141"/>
      <c r="L351" s="141"/>
      <c r="M351" s="141"/>
      <c r="S351" s="245"/>
      <c r="T351" s="245"/>
      <c r="U351" s="245"/>
      <c r="V351" s="245"/>
      <c r="W351" s="245"/>
      <c r="X351" s="245"/>
      <c r="Y351" s="246"/>
      <c r="AD351" s="141"/>
      <c r="AE351" s="141"/>
    </row>
    <row r="352" spans="6:31" ht="11.25" customHeight="1" x14ac:dyDescent="0.2">
      <c r="F352" s="243"/>
      <c r="G352" s="243"/>
      <c r="H352" s="141"/>
      <c r="L352" s="141"/>
      <c r="M352" s="141"/>
      <c r="S352" s="245"/>
      <c r="T352" s="245"/>
      <c r="U352" s="245"/>
      <c r="V352" s="245"/>
      <c r="W352" s="245"/>
      <c r="X352" s="245"/>
      <c r="Y352" s="246"/>
      <c r="AD352" s="141"/>
      <c r="AE352" s="141"/>
    </row>
    <row r="353" spans="6:31" ht="11.25" customHeight="1" x14ac:dyDescent="0.2">
      <c r="F353" s="243"/>
      <c r="G353" s="243"/>
      <c r="H353" s="141"/>
      <c r="L353" s="141"/>
      <c r="M353" s="141"/>
      <c r="S353" s="245"/>
      <c r="T353" s="245"/>
      <c r="U353" s="245"/>
      <c r="V353" s="245"/>
      <c r="W353" s="245"/>
      <c r="X353" s="245"/>
      <c r="Y353" s="246"/>
      <c r="AD353" s="141"/>
      <c r="AE353" s="141"/>
    </row>
    <row r="354" spans="6:31" ht="11.25" customHeight="1" x14ac:dyDescent="0.2">
      <c r="F354" s="243"/>
      <c r="G354" s="243"/>
      <c r="H354" s="141"/>
      <c r="L354" s="141"/>
      <c r="M354" s="141"/>
      <c r="S354" s="245"/>
      <c r="T354" s="245"/>
      <c r="U354" s="245"/>
      <c r="V354" s="245"/>
      <c r="W354" s="245"/>
      <c r="X354" s="245"/>
      <c r="Y354" s="246"/>
      <c r="AD354" s="141"/>
      <c r="AE354" s="141"/>
    </row>
    <row r="355" spans="6:31" ht="11.25" customHeight="1" x14ac:dyDescent="0.2">
      <c r="F355" s="243"/>
      <c r="G355" s="243"/>
      <c r="H355" s="141"/>
      <c r="L355" s="141"/>
      <c r="M355" s="141"/>
      <c r="S355" s="245"/>
      <c r="T355" s="245"/>
      <c r="U355" s="245"/>
      <c r="V355" s="245"/>
      <c r="W355" s="245"/>
      <c r="X355" s="245"/>
      <c r="Y355" s="246"/>
      <c r="AD355" s="141"/>
      <c r="AE355" s="141"/>
    </row>
    <row r="356" spans="6:31" ht="11.25" customHeight="1" x14ac:dyDescent="0.2">
      <c r="F356" s="243"/>
      <c r="G356" s="243"/>
      <c r="H356" s="141"/>
      <c r="L356" s="141"/>
      <c r="M356" s="141"/>
      <c r="S356" s="245"/>
      <c r="T356" s="245"/>
      <c r="U356" s="245"/>
      <c r="V356" s="245"/>
      <c r="W356" s="245"/>
      <c r="X356" s="245"/>
      <c r="Y356" s="246"/>
      <c r="AD356" s="141"/>
      <c r="AE356" s="141"/>
    </row>
    <row r="357" spans="6:31" ht="11.25" customHeight="1" x14ac:dyDescent="0.2">
      <c r="F357" s="243"/>
      <c r="G357" s="243"/>
      <c r="H357" s="141"/>
      <c r="L357" s="141"/>
      <c r="M357" s="141"/>
      <c r="S357" s="245"/>
      <c r="T357" s="245"/>
      <c r="U357" s="245"/>
      <c r="V357" s="245"/>
      <c r="W357" s="245"/>
      <c r="X357" s="245"/>
      <c r="Y357" s="246"/>
      <c r="AD357" s="141"/>
      <c r="AE357" s="141"/>
    </row>
    <row r="358" spans="6:31" ht="11.25" customHeight="1" x14ac:dyDescent="0.2">
      <c r="F358" s="243"/>
      <c r="G358" s="243"/>
      <c r="H358" s="141"/>
      <c r="L358" s="141"/>
      <c r="M358" s="141"/>
      <c r="S358" s="245"/>
      <c r="T358" s="245"/>
      <c r="U358" s="245"/>
      <c r="V358" s="245"/>
      <c r="W358" s="245"/>
      <c r="X358" s="245"/>
      <c r="Y358" s="246"/>
      <c r="AD358" s="141"/>
      <c r="AE358" s="141"/>
    </row>
    <row r="359" spans="6:31" ht="11.25" customHeight="1" x14ac:dyDescent="0.2">
      <c r="F359" s="243"/>
      <c r="G359" s="243"/>
      <c r="H359" s="141"/>
      <c r="L359" s="141"/>
      <c r="M359" s="141"/>
      <c r="S359" s="245"/>
      <c r="T359" s="245"/>
      <c r="U359" s="245"/>
      <c r="V359" s="245"/>
      <c r="W359" s="245"/>
      <c r="X359" s="245"/>
      <c r="Y359" s="246"/>
      <c r="AD359" s="141"/>
      <c r="AE359" s="141"/>
    </row>
    <row r="360" spans="6:31" ht="11.25" customHeight="1" x14ac:dyDescent="0.2">
      <c r="F360" s="243"/>
      <c r="G360" s="243"/>
      <c r="H360" s="141"/>
      <c r="L360" s="141"/>
      <c r="M360" s="141"/>
      <c r="S360" s="245"/>
      <c r="T360" s="245"/>
      <c r="U360" s="245"/>
      <c r="V360" s="245"/>
      <c r="W360" s="245"/>
      <c r="X360" s="245"/>
      <c r="Y360" s="246"/>
      <c r="AD360" s="141"/>
      <c r="AE360" s="141"/>
    </row>
    <row r="361" spans="6:31" ht="11.25" customHeight="1" x14ac:dyDescent="0.2">
      <c r="F361" s="243"/>
      <c r="G361" s="243"/>
      <c r="H361" s="141"/>
      <c r="L361" s="141"/>
      <c r="M361" s="141"/>
      <c r="S361" s="245"/>
      <c r="T361" s="245"/>
      <c r="U361" s="245"/>
      <c r="V361" s="245"/>
      <c r="W361" s="245"/>
      <c r="X361" s="245"/>
      <c r="Y361" s="246"/>
      <c r="AD361" s="141"/>
      <c r="AE361" s="141"/>
    </row>
    <row r="362" spans="6:31" ht="11.25" customHeight="1" x14ac:dyDescent="0.2">
      <c r="F362" s="243"/>
      <c r="G362" s="243"/>
      <c r="H362" s="141"/>
      <c r="L362" s="141"/>
      <c r="M362" s="141"/>
      <c r="S362" s="245"/>
      <c r="T362" s="245"/>
      <c r="U362" s="245"/>
      <c r="V362" s="245"/>
      <c r="W362" s="245"/>
      <c r="X362" s="245"/>
      <c r="Y362" s="246"/>
      <c r="AD362" s="141"/>
      <c r="AE362" s="141"/>
    </row>
    <row r="363" spans="6:31" ht="11.25" customHeight="1" x14ac:dyDescent="0.2">
      <c r="F363" s="243"/>
      <c r="G363" s="243"/>
      <c r="H363" s="141"/>
      <c r="L363" s="141"/>
      <c r="M363" s="141"/>
      <c r="S363" s="245"/>
      <c r="T363" s="245"/>
      <c r="U363" s="245"/>
      <c r="V363" s="245"/>
      <c r="W363" s="245"/>
      <c r="X363" s="245"/>
      <c r="Y363" s="246"/>
      <c r="AD363" s="141"/>
      <c r="AE363" s="141"/>
    </row>
    <row r="364" spans="6:31" ht="11.25" customHeight="1" x14ac:dyDescent="0.2">
      <c r="F364" s="243"/>
      <c r="G364" s="243"/>
      <c r="H364" s="141"/>
      <c r="L364" s="141"/>
      <c r="M364" s="141"/>
      <c r="S364" s="245"/>
      <c r="T364" s="245"/>
      <c r="U364" s="245"/>
      <c r="V364" s="245"/>
      <c r="W364" s="245"/>
      <c r="X364" s="245"/>
      <c r="Y364" s="246"/>
      <c r="AD364" s="141"/>
      <c r="AE364" s="141"/>
    </row>
    <row r="365" spans="6:31" ht="11.25" customHeight="1" x14ac:dyDescent="0.2">
      <c r="F365" s="243"/>
      <c r="G365" s="243"/>
      <c r="H365" s="141"/>
      <c r="L365" s="141"/>
      <c r="M365" s="141"/>
      <c r="S365" s="245"/>
      <c r="T365" s="245"/>
      <c r="U365" s="245"/>
      <c r="V365" s="245"/>
      <c r="W365" s="245"/>
      <c r="X365" s="245"/>
      <c r="Y365" s="246"/>
      <c r="AD365" s="141"/>
      <c r="AE365" s="141"/>
    </row>
    <row r="366" spans="6:31" ht="11.25" customHeight="1" x14ac:dyDescent="0.2">
      <c r="F366" s="243"/>
      <c r="G366" s="243"/>
      <c r="H366" s="141"/>
      <c r="L366" s="141"/>
      <c r="M366" s="141"/>
      <c r="S366" s="245"/>
      <c r="T366" s="245"/>
      <c r="U366" s="245"/>
      <c r="V366" s="245"/>
      <c r="W366" s="245"/>
      <c r="X366" s="245"/>
      <c r="Y366" s="246"/>
      <c r="AD366" s="141"/>
      <c r="AE366" s="141"/>
    </row>
    <row r="367" spans="6:31" ht="11.25" customHeight="1" x14ac:dyDescent="0.2">
      <c r="F367" s="243"/>
      <c r="G367" s="243"/>
      <c r="H367" s="141"/>
      <c r="L367" s="141"/>
      <c r="M367" s="141"/>
      <c r="S367" s="245"/>
      <c r="T367" s="245"/>
      <c r="U367" s="245"/>
      <c r="V367" s="245"/>
      <c r="W367" s="245"/>
      <c r="X367" s="245"/>
      <c r="Y367" s="246"/>
      <c r="AD367" s="141"/>
      <c r="AE367" s="141"/>
    </row>
    <row r="368" spans="6:31" ht="11.25" customHeight="1" x14ac:dyDescent="0.2">
      <c r="F368" s="243"/>
      <c r="G368" s="243"/>
      <c r="H368" s="141"/>
      <c r="L368" s="141"/>
      <c r="M368" s="141"/>
      <c r="S368" s="245"/>
      <c r="T368" s="245"/>
      <c r="U368" s="245"/>
      <c r="V368" s="245"/>
      <c r="W368" s="245"/>
      <c r="X368" s="245"/>
      <c r="Y368" s="246"/>
      <c r="AD368" s="141"/>
      <c r="AE368" s="141"/>
    </row>
    <row r="369" spans="6:31" ht="11.25" customHeight="1" x14ac:dyDescent="0.2">
      <c r="F369" s="243"/>
      <c r="G369" s="243"/>
      <c r="H369" s="141"/>
      <c r="L369" s="141"/>
      <c r="M369" s="141"/>
      <c r="S369" s="245"/>
      <c r="T369" s="245"/>
      <c r="U369" s="245"/>
      <c r="V369" s="245"/>
      <c r="W369" s="245"/>
      <c r="X369" s="245"/>
      <c r="Y369" s="246"/>
      <c r="AD369" s="141"/>
      <c r="AE369" s="141"/>
    </row>
    <row r="370" spans="6:31" ht="11.25" customHeight="1" x14ac:dyDescent="0.2">
      <c r="F370" s="243"/>
      <c r="G370" s="243"/>
      <c r="H370" s="141"/>
      <c r="L370" s="141"/>
      <c r="M370" s="141"/>
      <c r="S370" s="245"/>
      <c r="T370" s="245"/>
      <c r="U370" s="245"/>
      <c r="V370" s="245"/>
      <c r="W370" s="245"/>
      <c r="X370" s="245"/>
      <c r="Y370" s="246"/>
      <c r="AD370" s="141"/>
      <c r="AE370" s="141"/>
    </row>
    <row r="371" spans="6:31" ht="11.25" customHeight="1" x14ac:dyDescent="0.2">
      <c r="F371" s="243"/>
      <c r="G371" s="243"/>
      <c r="H371" s="141"/>
      <c r="L371" s="141"/>
      <c r="M371" s="141"/>
      <c r="S371" s="245"/>
      <c r="T371" s="245"/>
      <c r="U371" s="245"/>
      <c r="V371" s="245"/>
      <c r="W371" s="245"/>
      <c r="X371" s="245"/>
      <c r="Y371" s="246"/>
      <c r="AD371" s="141"/>
      <c r="AE371" s="141"/>
    </row>
    <row r="372" spans="6:31" ht="11.25" customHeight="1" x14ac:dyDescent="0.2">
      <c r="F372" s="243"/>
      <c r="G372" s="243"/>
      <c r="H372" s="141"/>
      <c r="L372" s="141"/>
      <c r="M372" s="141"/>
      <c r="S372" s="245"/>
      <c r="T372" s="245"/>
      <c r="U372" s="245"/>
      <c r="V372" s="245"/>
      <c r="W372" s="245"/>
      <c r="X372" s="245"/>
      <c r="Y372" s="246"/>
      <c r="AD372" s="141"/>
      <c r="AE372" s="141"/>
    </row>
    <row r="373" spans="6:31" ht="11.25" customHeight="1" x14ac:dyDescent="0.2">
      <c r="F373" s="243"/>
      <c r="G373" s="243"/>
      <c r="H373" s="141"/>
      <c r="L373" s="141"/>
      <c r="M373" s="141"/>
      <c r="S373" s="245"/>
      <c r="T373" s="245"/>
      <c r="U373" s="245"/>
      <c r="V373" s="245"/>
      <c r="W373" s="245"/>
      <c r="X373" s="245"/>
      <c r="Y373" s="246"/>
      <c r="AD373" s="141"/>
      <c r="AE373" s="141"/>
    </row>
    <row r="374" spans="6:31" ht="11.25" customHeight="1" x14ac:dyDescent="0.2">
      <c r="F374" s="243"/>
      <c r="G374" s="243"/>
      <c r="H374" s="141"/>
      <c r="L374" s="141"/>
      <c r="M374" s="141"/>
      <c r="S374" s="245"/>
      <c r="T374" s="245"/>
      <c r="U374" s="245"/>
      <c r="V374" s="245"/>
      <c r="W374" s="245"/>
      <c r="X374" s="245"/>
      <c r="Y374" s="246"/>
      <c r="AD374" s="141"/>
      <c r="AE374" s="141"/>
    </row>
    <row r="375" spans="6:31" ht="11.25" customHeight="1" x14ac:dyDescent="0.2">
      <c r="F375" s="243"/>
      <c r="G375" s="243"/>
      <c r="H375" s="141"/>
      <c r="L375" s="141"/>
      <c r="M375" s="141"/>
      <c r="S375" s="245"/>
      <c r="T375" s="245"/>
      <c r="U375" s="245"/>
      <c r="V375" s="245"/>
      <c r="W375" s="245"/>
      <c r="X375" s="245"/>
      <c r="Y375" s="246"/>
      <c r="AD375" s="141"/>
      <c r="AE375" s="141"/>
    </row>
    <row r="376" spans="6:31" ht="11.25" customHeight="1" x14ac:dyDescent="0.2">
      <c r="F376" s="243"/>
      <c r="G376" s="243"/>
      <c r="H376" s="141"/>
      <c r="L376" s="141"/>
      <c r="M376" s="141"/>
      <c r="S376" s="245"/>
      <c r="T376" s="245"/>
      <c r="U376" s="245"/>
      <c r="V376" s="245"/>
      <c r="W376" s="245"/>
      <c r="X376" s="245"/>
      <c r="Y376" s="246"/>
      <c r="AD376" s="141"/>
      <c r="AE376" s="141"/>
    </row>
    <row r="377" spans="6:31" ht="11.25" customHeight="1" x14ac:dyDescent="0.2">
      <c r="F377" s="243"/>
      <c r="G377" s="243"/>
      <c r="H377" s="141"/>
      <c r="L377" s="141"/>
      <c r="M377" s="141"/>
      <c r="S377" s="245"/>
      <c r="T377" s="245"/>
      <c r="U377" s="245"/>
      <c r="V377" s="245"/>
      <c r="W377" s="245"/>
      <c r="X377" s="245"/>
      <c r="Y377" s="246"/>
      <c r="AD377" s="141"/>
      <c r="AE377" s="141"/>
    </row>
    <row r="378" spans="6:31" ht="11.25" customHeight="1" x14ac:dyDescent="0.2">
      <c r="F378" s="243"/>
      <c r="G378" s="243"/>
      <c r="H378" s="141"/>
      <c r="L378" s="141"/>
      <c r="M378" s="141"/>
      <c r="S378" s="245"/>
      <c r="T378" s="245"/>
      <c r="U378" s="245"/>
      <c r="V378" s="245"/>
      <c r="W378" s="245"/>
      <c r="X378" s="245"/>
      <c r="Y378" s="246"/>
      <c r="AD378" s="141"/>
      <c r="AE378" s="141"/>
    </row>
    <row r="379" spans="6:31" ht="11.25" customHeight="1" x14ac:dyDescent="0.2">
      <c r="F379" s="243"/>
      <c r="G379" s="243"/>
      <c r="H379" s="141"/>
      <c r="L379" s="141"/>
      <c r="M379" s="141"/>
      <c r="S379" s="245"/>
      <c r="T379" s="245"/>
      <c r="U379" s="245"/>
      <c r="V379" s="245"/>
      <c r="W379" s="245"/>
      <c r="X379" s="245"/>
      <c r="Y379" s="246"/>
      <c r="AD379" s="141"/>
      <c r="AE379" s="141"/>
    </row>
    <row r="380" spans="6:31" ht="11.25" customHeight="1" x14ac:dyDescent="0.2">
      <c r="F380" s="243"/>
      <c r="G380" s="243"/>
      <c r="H380" s="141"/>
      <c r="L380" s="141"/>
      <c r="M380" s="141"/>
      <c r="S380" s="245"/>
      <c r="T380" s="245"/>
      <c r="U380" s="245"/>
      <c r="V380" s="245"/>
      <c r="W380" s="245"/>
      <c r="X380" s="245"/>
      <c r="Y380" s="246"/>
      <c r="AD380" s="141"/>
      <c r="AE380" s="141"/>
    </row>
    <row r="381" spans="6:31" ht="11.25" customHeight="1" x14ac:dyDescent="0.2">
      <c r="F381" s="243"/>
      <c r="G381" s="243"/>
      <c r="H381" s="141"/>
      <c r="L381" s="141"/>
      <c r="M381" s="141"/>
      <c r="S381" s="245"/>
      <c r="T381" s="245"/>
      <c r="U381" s="245"/>
      <c r="V381" s="245"/>
      <c r="W381" s="245"/>
      <c r="X381" s="245"/>
      <c r="Y381" s="246"/>
      <c r="AD381" s="141"/>
      <c r="AE381" s="141"/>
    </row>
    <row r="382" spans="6:31" ht="11.25" customHeight="1" x14ac:dyDescent="0.2">
      <c r="F382" s="243"/>
      <c r="G382" s="243"/>
      <c r="H382" s="141"/>
      <c r="L382" s="141"/>
      <c r="M382" s="141"/>
      <c r="S382" s="245"/>
      <c r="T382" s="245"/>
      <c r="U382" s="245"/>
      <c r="V382" s="245"/>
      <c r="W382" s="245"/>
      <c r="X382" s="245"/>
      <c r="Y382" s="246"/>
      <c r="AD382" s="141"/>
      <c r="AE382" s="141"/>
    </row>
    <row r="383" spans="6:31" ht="11.25" customHeight="1" x14ac:dyDescent="0.2">
      <c r="F383" s="243"/>
      <c r="G383" s="243"/>
      <c r="H383" s="141"/>
      <c r="L383" s="141"/>
      <c r="M383" s="141"/>
      <c r="S383" s="245"/>
      <c r="T383" s="245"/>
      <c r="U383" s="245"/>
      <c r="V383" s="245"/>
      <c r="W383" s="245"/>
      <c r="X383" s="245"/>
      <c r="Y383" s="246"/>
      <c r="AD383" s="141"/>
      <c r="AE383" s="141"/>
    </row>
    <row r="384" spans="6:31" ht="11.25" customHeight="1" x14ac:dyDescent="0.2">
      <c r="F384" s="243"/>
      <c r="G384" s="243"/>
      <c r="H384" s="141"/>
      <c r="L384" s="141"/>
      <c r="M384" s="141"/>
      <c r="S384" s="245"/>
      <c r="T384" s="245"/>
      <c r="U384" s="245"/>
      <c r="V384" s="245"/>
      <c r="W384" s="245"/>
      <c r="X384" s="245"/>
      <c r="Y384" s="246"/>
      <c r="AD384" s="141"/>
      <c r="AE384" s="141"/>
    </row>
    <row r="385" spans="6:31" ht="11.25" customHeight="1" x14ac:dyDescent="0.2">
      <c r="F385" s="243"/>
      <c r="G385" s="243"/>
      <c r="H385" s="141"/>
      <c r="L385" s="141"/>
      <c r="M385" s="141"/>
      <c r="S385" s="245"/>
      <c r="T385" s="245"/>
      <c r="U385" s="245"/>
      <c r="V385" s="245"/>
      <c r="W385" s="245"/>
      <c r="X385" s="245"/>
      <c r="Y385" s="246"/>
      <c r="AD385" s="141"/>
      <c r="AE385" s="141"/>
    </row>
    <row r="386" spans="6:31" ht="11.25" customHeight="1" x14ac:dyDescent="0.2">
      <c r="F386" s="243"/>
      <c r="G386" s="243"/>
      <c r="H386" s="141"/>
      <c r="L386" s="141"/>
      <c r="M386" s="141"/>
      <c r="S386" s="245"/>
      <c r="T386" s="245"/>
      <c r="U386" s="245"/>
      <c r="V386" s="245"/>
      <c r="W386" s="245"/>
      <c r="X386" s="245"/>
      <c r="Y386" s="246"/>
      <c r="AD386" s="141"/>
      <c r="AE386" s="141"/>
    </row>
    <row r="387" spans="6:31" ht="11.25" customHeight="1" x14ac:dyDescent="0.2">
      <c r="F387" s="243"/>
      <c r="G387" s="243"/>
      <c r="H387" s="141"/>
      <c r="L387" s="141"/>
      <c r="M387" s="141"/>
      <c r="S387" s="245"/>
      <c r="T387" s="245"/>
      <c r="U387" s="245"/>
      <c r="V387" s="245"/>
      <c r="W387" s="245"/>
      <c r="X387" s="245"/>
      <c r="Y387" s="246"/>
      <c r="AD387" s="141"/>
      <c r="AE387" s="141"/>
    </row>
    <row r="388" spans="6:31" ht="11.25" customHeight="1" x14ac:dyDescent="0.2">
      <c r="F388" s="243"/>
      <c r="G388" s="243"/>
      <c r="H388" s="141"/>
      <c r="L388" s="141"/>
      <c r="M388" s="141"/>
      <c r="S388" s="245"/>
      <c r="T388" s="245"/>
      <c r="U388" s="245"/>
      <c r="V388" s="245"/>
      <c r="W388" s="245"/>
      <c r="X388" s="245"/>
      <c r="Y388" s="246"/>
      <c r="AD388" s="141"/>
      <c r="AE388" s="141"/>
    </row>
    <row r="389" spans="6:31" ht="11.25" customHeight="1" x14ac:dyDescent="0.2">
      <c r="F389" s="243"/>
      <c r="G389" s="243"/>
      <c r="H389" s="141"/>
      <c r="L389" s="141"/>
      <c r="M389" s="141"/>
      <c r="S389" s="245"/>
      <c r="T389" s="245"/>
      <c r="U389" s="245"/>
      <c r="V389" s="245"/>
      <c r="W389" s="245"/>
      <c r="X389" s="245"/>
      <c r="Y389" s="246"/>
      <c r="AD389" s="141"/>
      <c r="AE389" s="141"/>
    </row>
    <row r="390" spans="6:31" ht="11.25" customHeight="1" x14ac:dyDescent="0.2">
      <c r="F390" s="243"/>
      <c r="G390" s="243"/>
      <c r="H390" s="141"/>
      <c r="L390" s="141"/>
      <c r="M390" s="141"/>
      <c r="S390" s="245"/>
      <c r="T390" s="245"/>
      <c r="U390" s="245"/>
      <c r="V390" s="245"/>
      <c r="W390" s="245"/>
      <c r="X390" s="245"/>
      <c r="Y390" s="246"/>
      <c r="AD390" s="141"/>
      <c r="AE390" s="141"/>
    </row>
    <row r="391" spans="6:31" ht="11.25" customHeight="1" x14ac:dyDescent="0.2">
      <c r="F391" s="243"/>
      <c r="G391" s="243"/>
      <c r="H391" s="141"/>
      <c r="L391" s="141"/>
      <c r="M391" s="141"/>
      <c r="S391" s="245"/>
      <c r="T391" s="245"/>
      <c r="U391" s="245"/>
      <c r="V391" s="245"/>
      <c r="W391" s="245"/>
      <c r="X391" s="245"/>
      <c r="Y391" s="246"/>
      <c r="AD391" s="141"/>
      <c r="AE391" s="141"/>
    </row>
    <row r="392" spans="6:31" ht="11.25" customHeight="1" x14ac:dyDescent="0.2">
      <c r="F392" s="243"/>
      <c r="G392" s="243"/>
      <c r="H392" s="141"/>
      <c r="L392" s="141"/>
      <c r="M392" s="141"/>
      <c r="S392" s="245"/>
      <c r="T392" s="245"/>
      <c r="U392" s="245"/>
      <c r="V392" s="245"/>
      <c r="W392" s="245"/>
      <c r="X392" s="245"/>
      <c r="Y392" s="246"/>
      <c r="AD392" s="141"/>
      <c r="AE392" s="141"/>
    </row>
    <row r="393" spans="6:31" ht="11.25" customHeight="1" x14ac:dyDescent="0.2">
      <c r="F393" s="243"/>
      <c r="G393" s="243"/>
      <c r="H393" s="141"/>
      <c r="L393" s="141"/>
      <c r="M393" s="141"/>
      <c r="S393" s="245"/>
      <c r="T393" s="245"/>
      <c r="U393" s="245"/>
      <c r="V393" s="245"/>
      <c r="W393" s="245"/>
      <c r="X393" s="245"/>
      <c r="Y393" s="246"/>
      <c r="AD393" s="141"/>
      <c r="AE393" s="141"/>
    </row>
    <row r="394" spans="6:31" ht="11.25" customHeight="1" x14ac:dyDescent="0.2">
      <c r="F394" s="243"/>
      <c r="G394" s="243"/>
      <c r="H394" s="141"/>
      <c r="L394" s="141"/>
      <c r="M394" s="141"/>
      <c r="S394" s="245"/>
      <c r="T394" s="245"/>
      <c r="U394" s="245"/>
      <c r="V394" s="245"/>
      <c r="W394" s="245"/>
      <c r="X394" s="245"/>
      <c r="Y394" s="246"/>
      <c r="AD394" s="141"/>
      <c r="AE394" s="141"/>
    </row>
    <row r="395" spans="6:31" ht="11.25" customHeight="1" x14ac:dyDescent="0.2">
      <c r="F395" s="243"/>
      <c r="G395" s="243"/>
      <c r="H395" s="141"/>
      <c r="L395" s="141"/>
      <c r="M395" s="141"/>
      <c r="S395" s="245"/>
      <c r="T395" s="245"/>
      <c r="U395" s="245"/>
      <c r="V395" s="245"/>
      <c r="W395" s="245"/>
      <c r="X395" s="245"/>
      <c r="Y395" s="246"/>
      <c r="AD395" s="141"/>
      <c r="AE395" s="141"/>
    </row>
    <row r="396" spans="6:31" ht="11.25" customHeight="1" x14ac:dyDescent="0.2">
      <c r="F396" s="243"/>
      <c r="G396" s="243"/>
      <c r="H396" s="141"/>
      <c r="L396" s="141"/>
      <c r="M396" s="141"/>
      <c r="S396" s="245"/>
      <c r="T396" s="245"/>
      <c r="U396" s="245"/>
      <c r="V396" s="245"/>
      <c r="W396" s="245"/>
      <c r="X396" s="245"/>
      <c r="Y396" s="246"/>
      <c r="AD396" s="141"/>
      <c r="AE396" s="141"/>
    </row>
    <row r="397" spans="6:31" ht="11.25" customHeight="1" x14ac:dyDescent="0.2">
      <c r="F397" s="243"/>
      <c r="G397" s="243"/>
      <c r="H397" s="141"/>
      <c r="L397" s="141"/>
      <c r="M397" s="141"/>
      <c r="S397" s="245"/>
      <c r="T397" s="245"/>
      <c r="U397" s="245"/>
      <c r="V397" s="245"/>
      <c r="W397" s="245"/>
      <c r="X397" s="245"/>
      <c r="Y397" s="246"/>
      <c r="AD397" s="141"/>
      <c r="AE397" s="141"/>
    </row>
    <row r="398" spans="6:31" ht="11.25" customHeight="1" x14ac:dyDescent="0.2">
      <c r="F398" s="243"/>
      <c r="G398" s="243"/>
      <c r="H398" s="141"/>
      <c r="L398" s="141"/>
      <c r="M398" s="141"/>
      <c r="S398" s="245"/>
      <c r="T398" s="245"/>
      <c r="U398" s="245"/>
      <c r="V398" s="245"/>
      <c r="W398" s="245"/>
      <c r="X398" s="245"/>
      <c r="Y398" s="246"/>
      <c r="AD398" s="141"/>
      <c r="AE398" s="141"/>
    </row>
    <row r="399" spans="6:31" ht="11.25" customHeight="1" x14ac:dyDescent="0.2">
      <c r="F399" s="243"/>
      <c r="G399" s="243"/>
      <c r="H399" s="141"/>
      <c r="L399" s="141"/>
      <c r="M399" s="141"/>
      <c r="S399" s="245"/>
      <c r="T399" s="245"/>
      <c r="U399" s="245"/>
      <c r="V399" s="245"/>
      <c r="W399" s="245"/>
      <c r="X399" s="245"/>
      <c r="Y399" s="246"/>
      <c r="AD399" s="141"/>
      <c r="AE399" s="141"/>
    </row>
    <row r="400" spans="6:31" ht="11.25" customHeight="1" x14ac:dyDescent="0.2">
      <c r="F400" s="243"/>
      <c r="G400" s="243"/>
      <c r="H400" s="141"/>
      <c r="L400" s="141"/>
      <c r="M400" s="141"/>
      <c r="S400" s="245"/>
      <c r="T400" s="245"/>
      <c r="U400" s="245"/>
      <c r="V400" s="245"/>
      <c r="W400" s="245"/>
      <c r="X400" s="245"/>
      <c r="Y400" s="246"/>
      <c r="AD400" s="141"/>
      <c r="AE400" s="141"/>
    </row>
    <row r="401" spans="6:31" ht="11.25" customHeight="1" x14ac:dyDescent="0.2">
      <c r="F401" s="243"/>
      <c r="G401" s="243"/>
      <c r="H401" s="141"/>
      <c r="L401" s="141"/>
      <c r="M401" s="141"/>
      <c r="S401" s="245"/>
      <c r="T401" s="245"/>
      <c r="U401" s="245"/>
      <c r="V401" s="245"/>
      <c r="W401" s="245"/>
      <c r="X401" s="245"/>
      <c r="Y401" s="246"/>
      <c r="AD401" s="141"/>
      <c r="AE401" s="141"/>
    </row>
    <row r="402" spans="6:31" ht="11.25" customHeight="1" x14ac:dyDescent="0.2">
      <c r="F402" s="243"/>
      <c r="G402" s="243"/>
      <c r="H402" s="141"/>
      <c r="L402" s="141"/>
      <c r="M402" s="141"/>
      <c r="S402" s="245"/>
      <c r="T402" s="245"/>
      <c r="U402" s="245"/>
      <c r="V402" s="245"/>
      <c r="W402" s="245"/>
      <c r="X402" s="245"/>
      <c r="Y402" s="246"/>
      <c r="AD402" s="141"/>
      <c r="AE402" s="141"/>
    </row>
    <row r="403" spans="6:31" ht="11.25" customHeight="1" x14ac:dyDescent="0.2">
      <c r="F403" s="243"/>
      <c r="G403" s="243"/>
      <c r="H403" s="141"/>
      <c r="L403" s="141"/>
      <c r="M403" s="141"/>
      <c r="S403" s="245"/>
      <c r="T403" s="245"/>
      <c r="U403" s="245"/>
      <c r="V403" s="245"/>
      <c r="W403" s="245"/>
      <c r="X403" s="245"/>
      <c r="Y403" s="246"/>
      <c r="AD403" s="141"/>
      <c r="AE403" s="141"/>
    </row>
    <row r="404" spans="6:31" ht="11.25" customHeight="1" x14ac:dyDescent="0.2">
      <c r="F404" s="243"/>
      <c r="G404" s="243"/>
      <c r="H404" s="141"/>
      <c r="L404" s="141"/>
      <c r="M404" s="141"/>
      <c r="S404" s="245"/>
      <c r="T404" s="245"/>
      <c r="U404" s="245"/>
      <c r="V404" s="245"/>
      <c r="W404" s="245"/>
      <c r="X404" s="245"/>
      <c r="Y404" s="246"/>
      <c r="AD404" s="141"/>
      <c r="AE404" s="141"/>
    </row>
    <row r="405" spans="6:31" ht="11.25" customHeight="1" x14ac:dyDescent="0.2">
      <c r="F405" s="243"/>
      <c r="G405" s="243"/>
      <c r="H405" s="141"/>
      <c r="L405" s="141"/>
      <c r="M405" s="141"/>
      <c r="S405" s="245"/>
      <c r="T405" s="245"/>
      <c r="U405" s="245"/>
      <c r="V405" s="245"/>
      <c r="W405" s="245"/>
      <c r="X405" s="245"/>
      <c r="Y405" s="246"/>
      <c r="AD405" s="141"/>
      <c r="AE405" s="141"/>
    </row>
    <row r="406" spans="6:31" ht="11.25" customHeight="1" x14ac:dyDescent="0.2">
      <c r="F406" s="243"/>
      <c r="G406" s="243"/>
      <c r="H406" s="141"/>
      <c r="L406" s="141"/>
      <c r="M406" s="141"/>
      <c r="S406" s="245"/>
      <c r="T406" s="245"/>
      <c r="U406" s="245"/>
      <c r="V406" s="245"/>
      <c r="W406" s="245"/>
      <c r="X406" s="245"/>
      <c r="Y406" s="246"/>
      <c r="AD406" s="141"/>
      <c r="AE406" s="141"/>
    </row>
    <row r="407" spans="6:31" ht="11.25" customHeight="1" x14ac:dyDescent="0.2">
      <c r="F407" s="243"/>
      <c r="G407" s="243"/>
      <c r="H407" s="141"/>
      <c r="L407" s="141"/>
      <c r="M407" s="141"/>
      <c r="S407" s="245"/>
      <c r="T407" s="245"/>
      <c r="U407" s="245"/>
      <c r="V407" s="245"/>
      <c r="W407" s="245"/>
      <c r="X407" s="245"/>
      <c r="Y407" s="246"/>
      <c r="AD407" s="141"/>
      <c r="AE407" s="141"/>
    </row>
    <row r="408" spans="6:31" ht="11.25" customHeight="1" x14ac:dyDescent="0.2">
      <c r="F408" s="243"/>
      <c r="G408" s="243"/>
      <c r="H408" s="141"/>
      <c r="L408" s="141"/>
      <c r="M408" s="141"/>
      <c r="S408" s="245"/>
      <c r="T408" s="245"/>
      <c r="U408" s="245"/>
      <c r="V408" s="245"/>
      <c r="W408" s="245"/>
      <c r="X408" s="245"/>
      <c r="Y408" s="246"/>
      <c r="AD408" s="141"/>
      <c r="AE408" s="141"/>
    </row>
    <row r="409" spans="6:31" ht="11.25" customHeight="1" x14ac:dyDescent="0.2">
      <c r="F409" s="243"/>
      <c r="G409" s="243"/>
      <c r="H409" s="141"/>
      <c r="L409" s="141"/>
      <c r="M409" s="141"/>
      <c r="S409" s="245"/>
      <c r="T409" s="245"/>
      <c r="U409" s="245"/>
      <c r="V409" s="245"/>
      <c r="W409" s="245"/>
      <c r="X409" s="245"/>
      <c r="Y409" s="246"/>
      <c r="AD409" s="141"/>
      <c r="AE409" s="141"/>
    </row>
    <row r="410" spans="6:31" ht="11.25" customHeight="1" x14ac:dyDescent="0.2">
      <c r="F410" s="243"/>
      <c r="G410" s="243"/>
      <c r="H410" s="141"/>
      <c r="L410" s="141"/>
      <c r="M410" s="141"/>
      <c r="S410" s="245"/>
      <c r="T410" s="245"/>
      <c r="U410" s="245"/>
      <c r="V410" s="245"/>
      <c r="W410" s="245"/>
      <c r="X410" s="245"/>
      <c r="Y410" s="246"/>
      <c r="AD410" s="141"/>
      <c r="AE410" s="141"/>
    </row>
    <row r="411" spans="6:31" ht="11.25" customHeight="1" x14ac:dyDescent="0.2">
      <c r="F411" s="243"/>
      <c r="G411" s="243"/>
      <c r="H411" s="141"/>
      <c r="L411" s="141"/>
      <c r="M411" s="141"/>
      <c r="S411" s="245"/>
      <c r="T411" s="245"/>
      <c r="U411" s="245"/>
      <c r="V411" s="245"/>
      <c r="W411" s="245"/>
      <c r="X411" s="245"/>
      <c r="Y411" s="246"/>
      <c r="AD411" s="141"/>
      <c r="AE411" s="141"/>
    </row>
    <row r="412" spans="6:31" ht="11.25" customHeight="1" x14ac:dyDescent="0.2">
      <c r="F412" s="243"/>
      <c r="G412" s="243"/>
      <c r="H412" s="141"/>
      <c r="L412" s="141"/>
      <c r="M412" s="141"/>
      <c r="S412" s="245"/>
      <c r="T412" s="245"/>
      <c r="U412" s="245"/>
      <c r="V412" s="245"/>
      <c r="W412" s="245"/>
      <c r="X412" s="245"/>
      <c r="Y412" s="246"/>
      <c r="AD412" s="141"/>
      <c r="AE412" s="141"/>
    </row>
    <row r="413" spans="6:31" ht="11.25" customHeight="1" x14ac:dyDescent="0.2">
      <c r="F413" s="243"/>
      <c r="G413" s="243"/>
      <c r="H413" s="141"/>
      <c r="L413" s="141"/>
      <c r="M413" s="141"/>
      <c r="S413" s="245"/>
      <c r="T413" s="245"/>
      <c r="U413" s="245"/>
      <c r="V413" s="245"/>
      <c r="W413" s="245"/>
      <c r="X413" s="245"/>
      <c r="Y413" s="246"/>
      <c r="AD413" s="141"/>
      <c r="AE413" s="141"/>
    </row>
    <row r="414" spans="6:31" ht="11.25" customHeight="1" x14ac:dyDescent="0.2">
      <c r="F414" s="243"/>
      <c r="G414" s="243"/>
      <c r="H414" s="141"/>
      <c r="L414" s="141"/>
      <c r="M414" s="141"/>
      <c r="S414" s="245"/>
      <c r="T414" s="245"/>
      <c r="U414" s="245"/>
      <c r="V414" s="245"/>
      <c r="W414" s="245"/>
      <c r="X414" s="245"/>
      <c r="Y414" s="246"/>
      <c r="AD414" s="141"/>
      <c r="AE414" s="141"/>
    </row>
    <row r="415" spans="6:31" ht="11.25" customHeight="1" x14ac:dyDescent="0.2">
      <c r="F415" s="243"/>
      <c r="G415" s="243"/>
      <c r="H415" s="141"/>
      <c r="L415" s="141"/>
      <c r="M415" s="141"/>
      <c r="S415" s="245"/>
      <c r="T415" s="245"/>
      <c r="U415" s="245"/>
      <c r="V415" s="245"/>
      <c r="W415" s="245"/>
      <c r="X415" s="245"/>
      <c r="Y415" s="246"/>
      <c r="AD415" s="141"/>
      <c r="AE415" s="141"/>
    </row>
    <row r="416" spans="6:31" ht="11.25" customHeight="1" x14ac:dyDescent="0.2">
      <c r="F416" s="243"/>
      <c r="G416" s="243"/>
      <c r="H416" s="141"/>
      <c r="L416" s="141"/>
      <c r="M416" s="141"/>
      <c r="S416" s="245"/>
      <c r="T416" s="245"/>
      <c r="U416" s="245"/>
      <c r="V416" s="245"/>
      <c r="W416" s="245"/>
      <c r="X416" s="245"/>
      <c r="Y416" s="246"/>
      <c r="AD416" s="141"/>
      <c r="AE416" s="141"/>
    </row>
    <row r="417" spans="6:31" ht="11.25" customHeight="1" x14ac:dyDescent="0.2">
      <c r="F417" s="243"/>
      <c r="G417" s="243"/>
      <c r="H417" s="141"/>
      <c r="L417" s="141"/>
      <c r="M417" s="141"/>
      <c r="S417" s="245"/>
      <c r="T417" s="245"/>
      <c r="U417" s="245"/>
      <c r="V417" s="245"/>
      <c r="W417" s="245"/>
      <c r="X417" s="245"/>
      <c r="Y417" s="246"/>
      <c r="AD417" s="141"/>
      <c r="AE417" s="141"/>
    </row>
    <row r="418" spans="6:31" ht="11.25" customHeight="1" x14ac:dyDescent="0.2">
      <c r="F418" s="243"/>
      <c r="G418" s="243"/>
      <c r="H418" s="141"/>
      <c r="L418" s="141"/>
      <c r="M418" s="141"/>
      <c r="S418" s="245"/>
      <c r="T418" s="245"/>
      <c r="U418" s="245"/>
      <c r="V418" s="245"/>
      <c r="W418" s="245"/>
      <c r="X418" s="245"/>
      <c r="Y418" s="246"/>
      <c r="AD418" s="141"/>
      <c r="AE418" s="141"/>
    </row>
    <row r="419" spans="6:31" ht="11.25" customHeight="1" x14ac:dyDescent="0.2">
      <c r="F419" s="243"/>
      <c r="G419" s="243"/>
      <c r="H419" s="141"/>
      <c r="L419" s="141"/>
      <c r="M419" s="141"/>
      <c r="S419" s="245"/>
      <c r="T419" s="245"/>
      <c r="U419" s="245"/>
      <c r="V419" s="245"/>
      <c r="W419" s="245"/>
      <c r="X419" s="245"/>
      <c r="Y419" s="246"/>
      <c r="AD419" s="141"/>
      <c r="AE419" s="141"/>
    </row>
    <row r="420" spans="6:31" ht="11.25" customHeight="1" x14ac:dyDescent="0.2">
      <c r="F420" s="243"/>
      <c r="G420" s="243"/>
      <c r="H420" s="141"/>
      <c r="L420" s="141"/>
      <c r="M420" s="141"/>
      <c r="S420" s="245"/>
      <c r="T420" s="245"/>
      <c r="U420" s="245"/>
      <c r="V420" s="245"/>
      <c r="W420" s="245"/>
      <c r="X420" s="245"/>
      <c r="Y420" s="246"/>
      <c r="AD420" s="141"/>
      <c r="AE420" s="141"/>
    </row>
    <row r="421" spans="6:31" ht="11.25" customHeight="1" x14ac:dyDescent="0.2">
      <c r="F421" s="243"/>
      <c r="G421" s="243"/>
      <c r="H421" s="141"/>
      <c r="L421" s="141"/>
      <c r="M421" s="141"/>
      <c r="S421" s="245"/>
      <c r="T421" s="245"/>
      <c r="U421" s="245"/>
      <c r="V421" s="245"/>
      <c r="W421" s="245"/>
      <c r="X421" s="245"/>
      <c r="Y421" s="246"/>
      <c r="AD421" s="141"/>
      <c r="AE421" s="141"/>
    </row>
    <row r="422" spans="6:31" ht="11.25" customHeight="1" x14ac:dyDescent="0.2">
      <c r="F422" s="243"/>
      <c r="G422" s="243"/>
      <c r="H422" s="141"/>
      <c r="L422" s="141"/>
      <c r="M422" s="141"/>
      <c r="S422" s="245"/>
      <c r="T422" s="245"/>
      <c r="U422" s="245"/>
      <c r="V422" s="245"/>
      <c r="W422" s="245"/>
      <c r="X422" s="245"/>
      <c r="Y422" s="246"/>
      <c r="AD422" s="141"/>
      <c r="AE422" s="141"/>
    </row>
    <row r="423" spans="6:31" ht="11.25" customHeight="1" x14ac:dyDescent="0.2">
      <c r="F423" s="243"/>
      <c r="G423" s="243"/>
      <c r="H423" s="141"/>
      <c r="L423" s="141"/>
      <c r="M423" s="141"/>
      <c r="S423" s="245"/>
      <c r="T423" s="245"/>
      <c r="U423" s="245"/>
      <c r="V423" s="245"/>
      <c r="W423" s="245"/>
      <c r="X423" s="245"/>
      <c r="Y423" s="246"/>
      <c r="AD423" s="141"/>
      <c r="AE423" s="141"/>
    </row>
    <row r="424" spans="6:31" ht="11.25" customHeight="1" x14ac:dyDescent="0.2">
      <c r="F424" s="243"/>
      <c r="G424" s="243"/>
      <c r="H424" s="141"/>
      <c r="L424" s="141"/>
      <c r="M424" s="141"/>
      <c r="S424" s="245"/>
      <c r="T424" s="245"/>
      <c r="U424" s="245"/>
      <c r="V424" s="245"/>
      <c r="W424" s="245"/>
      <c r="X424" s="245"/>
      <c r="Y424" s="246"/>
      <c r="AD424" s="141"/>
      <c r="AE424" s="141"/>
    </row>
    <row r="425" spans="6:31" ht="11.25" customHeight="1" x14ac:dyDescent="0.2">
      <c r="F425" s="243"/>
      <c r="G425" s="243"/>
      <c r="H425" s="141"/>
      <c r="L425" s="141"/>
      <c r="M425" s="141"/>
      <c r="S425" s="245"/>
      <c r="T425" s="245"/>
      <c r="U425" s="245"/>
      <c r="V425" s="245"/>
      <c r="W425" s="245"/>
      <c r="X425" s="245"/>
      <c r="Y425" s="246"/>
      <c r="AD425" s="141"/>
      <c r="AE425" s="141"/>
    </row>
    <row r="426" spans="6:31" ht="11.25" customHeight="1" x14ac:dyDescent="0.2">
      <c r="F426" s="243"/>
      <c r="G426" s="243"/>
      <c r="H426" s="141"/>
      <c r="L426" s="141"/>
      <c r="M426" s="141"/>
      <c r="S426" s="245"/>
      <c r="T426" s="245"/>
      <c r="U426" s="245"/>
      <c r="V426" s="245"/>
      <c r="W426" s="245"/>
      <c r="X426" s="245"/>
      <c r="Y426" s="246"/>
      <c r="AD426" s="141"/>
      <c r="AE426" s="141"/>
    </row>
    <row r="427" spans="6:31" ht="11.25" customHeight="1" x14ac:dyDescent="0.2">
      <c r="F427" s="243"/>
      <c r="G427" s="243"/>
      <c r="H427" s="141"/>
      <c r="L427" s="141"/>
      <c r="M427" s="141"/>
      <c r="S427" s="245"/>
      <c r="T427" s="245"/>
      <c r="U427" s="245"/>
      <c r="V427" s="245"/>
      <c r="W427" s="245"/>
      <c r="X427" s="245"/>
      <c r="Y427" s="246"/>
      <c r="AD427" s="141"/>
      <c r="AE427" s="141"/>
    </row>
    <row r="428" spans="6:31" ht="11.25" customHeight="1" x14ac:dyDescent="0.2">
      <c r="F428" s="243"/>
      <c r="G428" s="243"/>
      <c r="H428" s="141"/>
      <c r="L428" s="141"/>
      <c r="M428" s="141"/>
      <c r="S428" s="245"/>
      <c r="T428" s="245"/>
      <c r="U428" s="245"/>
      <c r="V428" s="245"/>
      <c r="W428" s="245"/>
      <c r="X428" s="245"/>
      <c r="Y428" s="246"/>
      <c r="AD428" s="141"/>
      <c r="AE428" s="141"/>
    </row>
    <row r="429" spans="6:31" ht="11.25" customHeight="1" x14ac:dyDescent="0.2">
      <c r="F429" s="243"/>
      <c r="G429" s="243"/>
      <c r="H429" s="141"/>
      <c r="L429" s="141"/>
      <c r="M429" s="141"/>
      <c r="S429" s="245"/>
      <c r="T429" s="245"/>
      <c r="U429" s="245"/>
      <c r="V429" s="245"/>
      <c r="W429" s="245"/>
      <c r="X429" s="245"/>
      <c r="Y429" s="246"/>
      <c r="AD429" s="141"/>
      <c r="AE429" s="141"/>
    </row>
    <row r="430" spans="6:31" ht="11.25" customHeight="1" x14ac:dyDescent="0.2">
      <c r="F430" s="243"/>
      <c r="G430" s="243"/>
      <c r="H430" s="141"/>
      <c r="L430" s="141"/>
      <c r="M430" s="141"/>
      <c r="S430" s="245"/>
      <c r="T430" s="245"/>
      <c r="U430" s="245"/>
      <c r="V430" s="245"/>
      <c r="W430" s="245"/>
      <c r="X430" s="245"/>
      <c r="Y430" s="246"/>
      <c r="AD430" s="141"/>
      <c r="AE430" s="141"/>
    </row>
    <row r="431" spans="6:31" ht="11.25" customHeight="1" x14ac:dyDescent="0.2">
      <c r="F431" s="243"/>
      <c r="G431" s="243"/>
      <c r="H431" s="141"/>
      <c r="L431" s="141"/>
      <c r="M431" s="141"/>
      <c r="S431" s="245"/>
      <c r="T431" s="245"/>
      <c r="U431" s="245"/>
      <c r="V431" s="245"/>
      <c r="W431" s="245"/>
      <c r="X431" s="245"/>
      <c r="Y431" s="246"/>
      <c r="AD431" s="141"/>
      <c r="AE431" s="141"/>
    </row>
    <row r="432" spans="6:31" ht="11.25" customHeight="1" x14ac:dyDescent="0.2">
      <c r="F432" s="243"/>
      <c r="G432" s="243"/>
      <c r="H432" s="141"/>
      <c r="L432" s="141"/>
      <c r="M432" s="141"/>
      <c r="S432" s="245"/>
      <c r="T432" s="245"/>
      <c r="U432" s="245"/>
      <c r="V432" s="245"/>
      <c r="W432" s="245"/>
      <c r="X432" s="245"/>
      <c r="Y432" s="246"/>
      <c r="AD432" s="141"/>
      <c r="AE432" s="141"/>
    </row>
    <row r="433" spans="6:31" ht="11.25" customHeight="1" x14ac:dyDescent="0.2">
      <c r="F433" s="243"/>
      <c r="G433" s="243"/>
      <c r="H433" s="141"/>
      <c r="L433" s="141"/>
      <c r="M433" s="141"/>
      <c r="S433" s="245"/>
      <c r="T433" s="245"/>
      <c r="U433" s="245"/>
      <c r="V433" s="245"/>
      <c r="W433" s="245"/>
      <c r="X433" s="245"/>
      <c r="Y433" s="246"/>
      <c r="AD433" s="141"/>
      <c r="AE433" s="141"/>
    </row>
    <row r="434" spans="6:31" ht="11.25" customHeight="1" x14ac:dyDescent="0.2">
      <c r="F434" s="243"/>
      <c r="G434" s="243"/>
      <c r="H434" s="141"/>
      <c r="L434" s="141"/>
      <c r="M434" s="141"/>
      <c r="S434" s="245"/>
      <c r="T434" s="245"/>
      <c r="U434" s="245"/>
      <c r="V434" s="245"/>
      <c r="W434" s="245"/>
      <c r="X434" s="245"/>
      <c r="Y434" s="246"/>
      <c r="AD434" s="141"/>
      <c r="AE434" s="141"/>
    </row>
    <row r="435" spans="6:31" ht="11.25" customHeight="1" x14ac:dyDescent="0.2">
      <c r="F435" s="243"/>
      <c r="G435" s="243"/>
      <c r="H435" s="141"/>
      <c r="L435" s="141"/>
      <c r="M435" s="141"/>
      <c r="S435" s="245"/>
      <c r="T435" s="245"/>
      <c r="U435" s="245"/>
      <c r="V435" s="245"/>
      <c r="W435" s="245"/>
      <c r="X435" s="245"/>
      <c r="Y435" s="246"/>
      <c r="AD435" s="141"/>
      <c r="AE435" s="141"/>
    </row>
    <row r="436" spans="6:31" ht="11.25" customHeight="1" x14ac:dyDescent="0.2">
      <c r="F436" s="243"/>
      <c r="G436" s="243"/>
      <c r="H436" s="141"/>
      <c r="L436" s="141"/>
      <c r="M436" s="141"/>
      <c r="S436" s="245"/>
      <c r="T436" s="245"/>
      <c r="U436" s="245"/>
      <c r="V436" s="245"/>
      <c r="W436" s="245"/>
      <c r="X436" s="245"/>
      <c r="Y436" s="246"/>
      <c r="AD436" s="141"/>
      <c r="AE436" s="141"/>
    </row>
    <row r="437" spans="6:31" ht="11.25" customHeight="1" x14ac:dyDescent="0.2">
      <c r="F437" s="243"/>
      <c r="G437" s="243"/>
      <c r="H437" s="141"/>
      <c r="L437" s="141"/>
      <c r="M437" s="141"/>
      <c r="S437" s="245"/>
      <c r="T437" s="245"/>
      <c r="U437" s="245"/>
      <c r="V437" s="245"/>
      <c r="W437" s="245"/>
      <c r="X437" s="245"/>
      <c r="Y437" s="246"/>
      <c r="AD437" s="141"/>
      <c r="AE437" s="141"/>
    </row>
    <row r="438" spans="6:31" ht="11.25" customHeight="1" x14ac:dyDescent="0.2">
      <c r="F438" s="243"/>
      <c r="G438" s="243"/>
      <c r="H438" s="141"/>
      <c r="L438" s="141"/>
      <c r="M438" s="141"/>
      <c r="S438" s="245"/>
      <c r="T438" s="245"/>
      <c r="U438" s="245"/>
      <c r="V438" s="245"/>
      <c r="W438" s="245"/>
      <c r="X438" s="245"/>
      <c r="Y438" s="246"/>
      <c r="AD438" s="141"/>
      <c r="AE438" s="141"/>
    </row>
    <row r="439" spans="6:31" ht="11.25" customHeight="1" x14ac:dyDescent="0.2">
      <c r="F439" s="243"/>
      <c r="G439" s="243"/>
      <c r="H439" s="141"/>
      <c r="L439" s="141"/>
      <c r="M439" s="141"/>
      <c r="S439" s="245"/>
      <c r="T439" s="245"/>
      <c r="U439" s="245"/>
      <c r="V439" s="245"/>
      <c r="W439" s="245"/>
      <c r="X439" s="245"/>
      <c r="Y439" s="246"/>
      <c r="AD439" s="141"/>
      <c r="AE439" s="141"/>
    </row>
    <row r="440" spans="6:31" ht="11.25" customHeight="1" x14ac:dyDescent="0.2">
      <c r="F440" s="243"/>
      <c r="G440" s="243"/>
      <c r="H440" s="141"/>
      <c r="L440" s="141"/>
      <c r="M440" s="141"/>
      <c r="S440" s="245"/>
      <c r="T440" s="245"/>
      <c r="U440" s="245"/>
      <c r="V440" s="245"/>
      <c r="W440" s="245"/>
      <c r="X440" s="245"/>
      <c r="Y440" s="246"/>
      <c r="AD440" s="141"/>
      <c r="AE440" s="141"/>
    </row>
    <row r="441" spans="6:31" ht="11.25" customHeight="1" x14ac:dyDescent="0.2">
      <c r="F441" s="243"/>
      <c r="G441" s="243"/>
      <c r="H441" s="141"/>
      <c r="L441" s="141"/>
      <c r="M441" s="141"/>
      <c r="S441" s="245"/>
      <c r="T441" s="245"/>
      <c r="U441" s="245"/>
      <c r="V441" s="245"/>
      <c r="W441" s="245"/>
      <c r="X441" s="245"/>
      <c r="Y441" s="246"/>
      <c r="AD441" s="141"/>
      <c r="AE441" s="141"/>
    </row>
    <row r="442" spans="6:31" ht="11.25" customHeight="1" x14ac:dyDescent="0.2">
      <c r="F442" s="243"/>
      <c r="G442" s="243"/>
      <c r="H442" s="141"/>
      <c r="L442" s="141"/>
      <c r="M442" s="141"/>
      <c r="S442" s="245"/>
      <c r="T442" s="245"/>
      <c r="U442" s="245"/>
      <c r="V442" s="245"/>
      <c r="W442" s="245"/>
      <c r="X442" s="245"/>
      <c r="Y442" s="246"/>
      <c r="AD442" s="141"/>
      <c r="AE442" s="141"/>
    </row>
    <row r="443" spans="6:31" ht="11.25" customHeight="1" x14ac:dyDescent="0.2">
      <c r="F443" s="243"/>
      <c r="G443" s="243"/>
      <c r="H443" s="141"/>
      <c r="L443" s="141"/>
      <c r="M443" s="141"/>
      <c r="S443" s="245"/>
      <c r="T443" s="245"/>
      <c r="U443" s="245"/>
      <c r="V443" s="245"/>
      <c r="W443" s="245"/>
      <c r="X443" s="245"/>
      <c r="Y443" s="246"/>
      <c r="AD443" s="141"/>
      <c r="AE443" s="141"/>
    </row>
    <row r="444" spans="6:31" ht="11.25" customHeight="1" x14ac:dyDescent="0.2">
      <c r="F444" s="243"/>
      <c r="G444" s="243"/>
      <c r="H444" s="141"/>
      <c r="L444" s="141"/>
      <c r="M444" s="141"/>
      <c r="S444" s="245"/>
      <c r="T444" s="245"/>
      <c r="U444" s="245"/>
      <c r="V444" s="245"/>
      <c r="W444" s="245"/>
      <c r="X444" s="245"/>
      <c r="Y444" s="246"/>
      <c r="AD444" s="141"/>
      <c r="AE444" s="141"/>
    </row>
    <row r="445" spans="6:31" ht="11.25" customHeight="1" x14ac:dyDescent="0.2">
      <c r="F445" s="243"/>
      <c r="G445" s="243"/>
      <c r="H445" s="141"/>
      <c r="L445" s="141"/>
      <c r="M445" s="141"/>
      <c r="S445" s="245"/>
      <c r="T445" s="245"/>
      <c r="U445" s="245"/>
      <c r="V445" s="245"/>
      <c r="W445" s="245"/>
      <c r="X445" s="245"/>
      <c r="Y445" s="246"/>
      <c r="AD445" s="141"/>
      <c r="AE445" s="141"/>
    </row>
    <row r="446" spans="6:31" ht="11.25" customHeight="1" x14ac:dyDescent="0.2">
      <c r="F446" s="243"/>
      <c r="G446" s="243"/>
      <c r="H446" s="141"/>
      <c r="L446" s="141"/>
      <c r="M446" s="141"/>
      <c r="S446" s="245"/>
      <c r="T446" s="245"/>
      <c r="U446" s="245"/>
      <c r="V446" s="245"/>
      <c r="W446" s="245"/>
      <c r="X446" s="245"/>
      <c r="Y446" s="246"/>
      <c r="AD446" s="141"/>
      <c r="AE446" s="141"/>
    </row>
    <row r="447" spans="6:31" ht="11.25" customHeight="1" x14ac:dyDescent="0.2">
      <c r="F447" s="243"/>
      <c r="G447" s="243"/>
      <c r="H447" s="141"/>
      <c r="L447" s="141"/>
      <c r="M447" s="141"/>
      <c r="S447" s="245"/>
      <c r="T447" s="245"/>
      <c r="U447" s="245"/>
      <c r="V447" s="245"/>
      <c r="W447" s="245"/>
      <c r="X447" s="245"/>
      <c r="Y447" s="246"/>
      <c r="AD447" s="141"/>
      <c r="AE447" s="141"/>
    </row>
    <row r="448" spans="6:31" ht="11.25" customHeight="1" x14ac:dyDescent="0.2">
      <c r="F448" s="243"/>
      <c r="G448" s="243"/>
      <c r="H448" s="141"/>
      <c r="L448" s="141"/>
      <c r="M448" s="141"/>
      <c r="S448" s="245"/>
      <c r="T448" s="245"/>
      <c r="U448" s="245"/>
      <c r="V448" s="245"/>
      <c r="W448" s="245"/>
      <c r="X448" s="245"/>
      <c r="Y448" s="246"/>
      <c r="AD448" s="141"/>
      <c r="AE448" s="141"/>
    </row>
    <row r="449" spans="6:31" ht="11.25" customHeight="1" x14ac:dyDescent="0.2">
      <c r="F449" s="243"/>
      <c r="G449" s="243"/>
      <c r="H449" s="141"/>
      <c r="L449" s="141"/>
      <c r="M449" s="141"/>
      <c r="S449" s="245"/>
      <c r="T449" s="245"/>
      <c r="U449" s="245"/>
      <c r="V449" s="245"/>
      <c r="W449" s="245"/>
      <c r="X449" s="245"/>
      <c r="Y449" s="246"/>
      <c r="AD449" s="141"/>
      <c r="AE449" s="141"/>
    </row>
    <row r="450" spans="6:31" ht="11.25" customHeight="1" x14ac:dyDescent="0.2">
      <c r="F450" s="243"/>
      <c r="G450" s="243"/>
      <c r="H450" s="141"/>
      <c r="L450" s="141"/>
      <c r="M450" s="141"/>
      <c r="S450" s="245"/>
      <c r="T450" s="245"/>
      <c r="U450" s="245"/>
      <c r="V450" s="245"/>
      <c r="W450" s="245"/>
      <c r="X450" s="245"/>
      <c r="Y450" s="246"/>
      <c r="AD450" s="141"/>
      <c r="AE450" s="141"/>
    </row>
    <row r="451" spans="6:31" ht="11.25" customHeight="1" x14ac:dyDescent="0.2">
      <c r="F451" s="243"/>
      <c r="G451" s="243"/>
      <c r="H451" s="141"/>
      <c r="L451" s="141"/>
      <c r="M451" s="141"/>
      <c r="S451" s="245"/>
      <c r="T451" s="245"/>
      <c r="U451" s="245"/>
      <c r="V451" s="245"/>
      <c r="W451" s="245"/>
      <c r="X451" s="245"/>
      <c r="Y451" s="246"/>
      <c r="AD451" s="141"/>
      <c r="AE451" s="141"/>
    </row>
    <row r="452" spans="6:31" ht="11.25" customHeight="1" x14ac:dyDescent="0.2">
      <c r="F452" s="243"/>
      <c r="G452" s="243"/>
      <c r="H452" s="141"/>
      <c r="L452" s="141"/>
      <c r="M452" s="141"/>
      <c r="S452" s="245"/>
      <c r="T452" s="245"/>
      <c r="U452" s="245"/>
      <c r="V452" s="245"/>
      <c r="W452" s="245"/>
      <c r="X452" s="245"/>
      <c r="Y452" s="246"/>
      <c r="AD452" s="141"/>
      <c r="AE452" s="141"/>
    </row>
    <row r="453" spans="6:31" ht="11.25" customHeight="1" x14ac:dyDescent="0.2">
      <c r="F453" s="243"/>
      <c r="G453" s="243"/>
      <c r="H453" s="141"/>
      <c r="L453" s="141"/>
      <c r="M453" s="141"/>
      <c r="S453" s="245"/>
      <c r="T453" s="245"/>
      <c r="U453" s="245"/>
      <c r="V453" s="245"/>
      <c r="W453" s="245"/>
      <c r="X453" s="245"/>
      <c r="Y453" s="246"/>
      <c r="AD453" s="141"/>
      <c r="AE453" s="141"/>
    </row>
    <row r="454" spans="6:31" ht="11.25" customHeight="1" x14ac:dyDescent="0.2">
      <c r="F454" s="243"/>
      <c r="G454" s="243"/>
      <c r="H454" s="141"/>
      <c r="L454" s="141"/>
      <c r="M454" s="141"/>
      <c r="S454" s="245"/>
      <c r="T454" s="245"/>
      <c r="U454" s="245"/>
      <c r="V454" s="245"/>
      <c r="W454" s="245"/>
      <c r="X454" s="245"/>
      <c r="Y454" s="246"/>
      <c r="AD454" s="141"/>
      <c r="AE454" s="141"/>
    </row>
    <row r="455" spans="6:31" ht="11.25" customHeight="1" x14ac:dyDescent="0.2">
      <c r="F455" s="243"/>
      <c r="G455" s="243"/>
      <c r="H455" s="141"/>
      <c r="L455" s="141"/>
      <c r="M455" s="141"/>
      <c r="S455" s="245"/>
      <c r="T455" s="245"/>
      <c r="U455" s="245"/>
      <c r="V455" s="245"/>
      <c r="W455" s="245"/>
      <c r="X455" s="245"/>
      <c r="Y455" s="246"/>
      <c r="AD455" s="141"/>
      <c r="AE455" s="141"/>
    </row>
    <row r="456" spans="6:31" ht="11.25" customHeight="1" x14ac:dyDescent="0.2">
      <c r="F456" s="243"/>
      <c r="G456" s="243"/>
      <c r="H456" s="141"/>
      <c r="L456" s="141"/>
      <c r="M456" s="141"/>
      <c r="S456" s="245"/>
      <c r="T456" s="245"/>
      <c r="U456" s="245"/>
      <c r="V456" s="245"/>
      <c r="W456" s="245"/>
      <c r="X456" s="245"/>
      <c r="Y456" s="246"/>
      <c r="AD456" s="141"/>
      <c r="AE456" s="141"/>
    </row>
    <row r="457" spans="6:31" ht="11.25" customHeight="1" x14ac:dyDescent="0.2">
      <c r="F457" s="243"/>
      <c r="G457" s="243"/>
      <c r="H457" s="141"/>
      <c r="L457" s="141"/>
      <c r="M457" s="141"/>
      <c r="S457" s="245"/>
      <c r="T457" s="245"/>
      <c r="U457" s="245"/>
      <c r="V457" s="245"/>
      <c r="W457" s="245"/>
      <c r="X457" s="245"/>
      <c r="Y457" s="246"/>
      <c r="AD457" s="141"/>
      <c r="AE457" s="141"/>
    </row>
    <row r="458" spans="6:31" ht="11.25" customHeight="1" x14ac:dyDescent="0.2">
      <c r="F458" s="243"/>
      <c r="G458" s="243"/>
      <c r="H458" s="141"/>
      <c r="L458" s="141"/>
      <c r="M458" s="141"/>
      <c r="S458" s="245"/>
      <c r="T458" s="245"/>
      <c r="U458" s="245"/>
      <c r="V458" s="245"/>
      <c r="W458" s="245"/>
      <c r="X458" s="245"/>
      <c r="Y458" s="246"/>
      <c r="AD458" s="141"/>
      <c r="AE458" s="141"/>
    </row>
    <row r="459" spans="6:31" ht="11.25" customHeight="1" x14ac:dyDescent="0.2">
      <c r="F459" s="243"/>
      <c r="G459" s="243"/>
      <c r="H459" s="141"/>
      <c r="L459" s="141"/>
      <c r="M459" s="141"/>
      <c r="S459" s="245"/>
      <c r="T459" s="245"/>
      <c r="U459" s="245"/>
      <c r="V459" s="245"/>
      <c r="W459" s="245"/>
      <c r="X459" s="245"/>
      <c r="Y459" s="246"/>
      <c r="AD459" s="141"/>
      <c r="AE459" s="141"/>
    </row>
    <row r="460" spans="6:31" ht="11.25" customHeight="1" x14ac:dyDescent="0.2">
      <c r="F460" s="243"/>
      <c r="G460" s="243"/>
      <c r="H460" s="141"/>
      <c r="L460" s="141"/>
      <c r="M460" s="141"/>
      <c r="S460" s="245"/>
      <c r="T460" s="245"/>
      <c r="U460" s="245"/>
      <c r="V460" s="245"/>
      <c r="W460" s="245"/>
      <c r="X460" s="245"/>
      <c r="Y460" s="246"/>
      <c r="AD460" s="141"/>
      <c r="AE460" s="141"/>
    </row>
    <row r="461" spans="6:31" ht="11.25" customHeight="1" x14ac:dyDescent="0.2">
      <c r="F461" s="243"/>
      <c r="G461" s="243"/>
      <c r="H461" s="141"/>
      <c r="L461" s="141"/>
      <c r="M461" s="141"/>
      <c r="S461" s="245"/>
      <c r="T461" s="245"/>
      <c r="U461" s="245"/>
      <c r="V461" s="245"/>
      <c r="W461" s="245"/>
      <c r="X461" s="245"/>
      <c r="Y461" s="246"/>
      <c r="AD461" s="141"/>
      <c r="AE461" s="141"/>
    </row>
    <row r="462" spans="6:31" ht="11.25" customHeight="1" x14ac:dyDescent="0.2">
      <c r="F462" s="243"/>
      <c r="G462" s="243"/>
      <c r="H462" s="141"/>
      <c r="L462" s="141"/>
      <c r="M462" s="141"/>
      <c r="S462" s="245"/>
      <c r="T462" s="245"/>
      <c r="U462" s="245"/>
      <c r="V462" s="245"/>
      <c r="W462" s="245"/>
      <c r="X462" s="245"/>
      <c r="Y462" s="246"/>
      <c r="AD462" s="141"/>
      <c r="AE462" s="141"/>
    </row>
    <row r="463" spans="6:31" ht="11.25" customHeight="1" x14ac:dyDescent="0.2">
      <c r="F463" s="243"/>
      <c r="G463" s="243"/>
      <c r="H463" s="141"/>
      <c r="L463" s="141"/>
      <c r="M463" s="141"/>
      <c r="S463" s="245"/>
      <c r="T463" s="245"/>
      <c r="U463" s="245"/>
      <c r="V463" s="245"/>
      <c r="W463" s="245"/>
      <c r="X463" s="245"/>
      <c r="Y463" s="246"/>
      <c r="AD463" s="141"/>
      <c r="AE463" s="141"/>
    </row>
    <row r="464" spans="6:31" ht="11.25" customHeight="1" x14ac:dyDescent="0.2">
      <c r="F464" s="243"/>
      <c r="G464" s="243"/>
      <c r="H464" s="141"/>
      <c r="L464" s="141"/>
      <c r="M464" s="141"/>
      <c r="S464" s="245"/>
      <c r="T464" s="245"/>
      <c r="U464" s="245"/>
      <c r="V464" s="245"/>
      <c r="W464" s="245"/>
      <c r="X464" s="245"/>
      <c r="Y464" s="246"/>
      <c r="AD464" s="141"/>
      <c r="AE464" s="141"/>
    </row>
    <row r="465" spans="6:31" ht="11.25" customHeight="1" x14ac:dyDescent="0.2">
      <c r="F465" s="243"/>
      <c r="G465" s="243"/>
      <c r="H465" s="141"/>
      <c r="L465" s="141"/>
      <c r="M465" s="141"/>
      <c r="S465" s="245"/>
      <c r="T465" s="245"/>
      <c r="U465" s="245"/>
      <c r="V465" s="245"/>
      <c r="W465" s="245"/>
      <c r="X465" s="245"/>
      <c r="Y465" s="246"/>
      <c r="AD465" s="141"/>
      <c r="AE465" s="141"/>
    </row>
    <row r="466" spans="6:31" ht="11.25" customHeight="1" x14ac:dyDescent="0.2">
      <c r="F466" s="243"/>
      <c r="G466" s="243"/>
      <c r="H466" s="141"/>
      <c r="L466" s="141"/>
      <c r="M466" s="141"/>
      <c r="S466" s="245"/>
      <c r="T466" s="245"/>
      <c r="U466" s="245"/>
      <c r="V466" s="245"/>
      <c r="W466" s="245"/>
      <c r="X466" s="245"/>
      <c r="Y466" s="246"/>
      <c r="AD466" s="141"/>
      <c r="AE466" s="141"/>
    </row>
    <row r="467" spans="6:31" ht="11.25" customHeight="1" x14ac:dyDescent="0.2">
      <c r="F467" s="243"/>
      <c r="G467" s="243"/>
      <c r="H467" s="141"/>
      <c r="L467" s="141"/>
      <c r="M467" s="141"/>
      <c r="S467" s="245"/>
      <c r="T467" s="245"/>
      <c r="U467" s="245"/>
      <c r="V467" s="245"/>
      <c r="W467" s="245"/>
      <c r="X467" s="245"/>
      <c r="Y467" s="246"/>
      <c r="AD467" s="141"/>
      <c r="AE467" s="141"/>
    </row>
    <row r="468" spans="6:31" ht="11.25" customHeight="1" x14ac:dyDescent="0.2">
      <c r="F468" s="243"/>
      <c r="G468" s="243"/>
      <c r="H468" s="141"/>
      <c r="L468" s="141"/>
      <c r="M468" s="141"/>
      <c r="S468" s="245"/>
      <c r="T468" s="245"/>
      <c r="U468" s="245"/>
      <c r="V468" s="245"/>
      <c r="W468" s="245"/>
      <c r="X468" s="245"/>
      <c r="Y468" s="246"/>
      <c r="AD468" s="141"/>
      <c r="AE468" s="141"/>
    </row>
    <row r="469" spans="6:31" ht="11.25" customHeight="1" x14ac:dyDescent="0.2">
      <c r="F469" s="243"/>
      <c r="G469" s="243"/>
      <c r="H469" s="141"/>
      <c r="L469" s="141"/>
      <c r="M469" s="141"/>
      <c r="S469" s="245"/>
      <c r="T469" s="245"/>
      <c r="U469" s="245"/>
      <c r="V469" s="245"/>
      <c r="W469" s="245"/>
      <c r="X469" s="245"/>
      <c r="Y469" s="246"/>
      <c r="AD469" s="141"/>
      <c r="AE469" s="141"/>
    </row>
    <row r="470" spans="6:31" ht="11.25" customHeight="1" x14ac:dyDescent="0.2">
      <c r="F470" s="243"/>
      <c r="G470" s="243"/>
      <c r="H470" s="141"/>
      <c r="L470" s="141"/>
      <c r="M470" s="141"/>
      <c r="S470" s="245"/>
      <c r="T470" s="245"/>
      <c r="U470" s="245"/>
      <c r="V470" s="245"/>
      <c r="W470" s="245"/>
      <c r="X470" s="245"/>
      <c r="Y470" s="246"/>
      <c r="AD470" s="141"/>
      <c r="AE470" s="141"/>
    </row>
    <row r="471" spans="6:31" ht="11.25" customHeight="1" x14ac:dyDescent="0.2">
      <c r="F471" s="243"/>
      <c r="G471" s="243"/>
      <c r="H471" s="141"/>
      <c r="L471" s="141"/>
      <c r="M471" s="141"/>
      <c r="S471" s="245"/>
      <c r="T471" s="245"/>
      <c r="U471" s="245"/>
      <c r="V471" s="245"/>
      <c r="W471" s="245"/>
      <c r="X471" s="245"/>
      <c r="Y471" s="246"/>
      <c r="AD471" s="141"/>
      <c r="AE471" s="141"/>
    </row>
    <row r="472" spans="6:31" ht="11.25" customHeight="1" x14ac:dyDescent="0.2">
      <c r="F472" s="243"/>
      <c r="G472" s="243"/>
      <c r="H472" s="141"/>
      <c r="L472" s="141"/>
      <c r="M472" s="141"/>
      <c r="S472" s="245"/>
      <c r="T472" s="245"/>
      <c r="U472" s="245"/>
      <c r="V472" s="245"/>
      <c r="W472" s="245"/>
      <c r="X472" s="245"/>
      <c r="Y472" s="246"/>
      <c r="AD472" s="141"/>
      <c r="AE472" s="141"/>
    </row>
    <row r="473" spans="6:31" ht="11.25" customHeight="1" x14ac:dyDescent="0.2">
      <c r="F473" s="243"/>
      <c r="G473" s="243"/>
      <c r="H473" s="141"/>
      <c r="L473" s="141"/>
      <c r="M473" s="141"/>
      <c r="S473" s="245"/>
      <c r="T473" s="245"/>
      <c r="U473" s="245"/>
      <c r="V473" s="245"/>
      <c r="W473" s="245"/>
      <c r="X473" s="245"/>
      <c r="Y473" s="246"/>
      <c r="AD473" s="141"/>
      <c r="AE473" s="141"/>
    </row>
    <row r="474" spans="6:31" ht="11.25" customHeight="1" x14ac:dyDescent="0.2">
      <c r="F474" s="243"/>
      <c r="G474" s="243"/>
      <c r="H474" s="141"/>
      <c r="L474" s="141"/>
      <c r="M474" s="141"/>
      <c r="S474" s="245"/>
      <c r="T474" s="245"/>
      <c r="U474" s="245"/>
      <c r="V474" s="245"/>
      <c r="W474" s="245"/>
      <c r="X474" s="245"/>
      <c r="Y474" s="246"/>
      <c r="AD474" s="141"/>
      <c r="AE474" s="141"/>
    </row>
    <row r="475" spans="6:31" ht="11.25" customHeight="1" x14ac:dyDescent="0.2">
      <c r="F475" s="243"/>
      <c r="G475" s="243"/>
      <c r="H475" s="141"/>
      <c r="L475" s="141"/>
      <c r="M475" s="141"/>
      <c r="S475" s="245"/>
      <c r="T475" s="245"/>
      <c r="U475" s="245"/>
      <c r="V475" s="245"/>
      <c r="W475" s="245"/>
      <c r="X475" s="245"/>
      <c r="Y475" s="246"/>
      <c r="AD475" s="141"/>
      <c r="AE475" s="141"/>
    </row>
    <row r="476" spans="6:31" ht="11.25" customHeight="1" x14ac:dyDescent="0.2">
      <c r="F476" s="243"/>
      <c r="G476" s="243"/>
      <c r="H476" s="141"/>
      <c r="L476" s="141"/>
      <c r="M476" s="141"/>
      <c r="S476" s="245"/>
      <c r="T476" s="245"/>
      <c r="U476" s="245"/>
      <c r="V476" s="245"/>
      <c r="W476" s="245"/>
      <c r="X476" s="245"/>
      <c r="Y476" s="246"/>
      <c r="AD476" s="141"/>
      <c r="AE476" s="141"/>
    </row>
    <row r="477" spans="6:31" ht="11.25" customHeight="1" x14ac:dyDescent="0.2">
      <c r="F477" s="243"/>
      <c r="G477" s="243"/>
      <c r="H477" s="141"/>
      <c r="L477" s="141"/>
      <c r="M477" s="141"/>
      <c r="S477" s="245"/>
      <c r="T477" s="245"/>
      <c r="U477" s="245"/>
      <c r="V477" s="245"/>
      <c r="W477" s="245"/>
      <c r="X477" s="245"/>
      <c r="Y477" s="246"/>
      <c r="AD477" s="141"/>
      <c r="AE477" s="141"/>
    </row>
    <row r="478" spans="6:31" ht="11.25" customHeight="1" x14ac:dyDescent="0.2">
      <c r="F478" s="243"/>
      <c r="G478" s="243"/>
      <c r="H478" s="141"/>
      <c r="L478" s="141"/>
      <c r="M478" s="141"/>
      <c r="S478" s="245"/>
      <c r="T478" s="245"/>
      <c r="U478" s="245"/>
      <c r="V478" s="245"/>
      <c r="W478" s="245"/>
      <c r="X478" s="245"/>
      <c r="Y478" s="246"/>
      <c r="AD478" s="141"/>
      <c r="AE478" s="141"/>
    </row>
    <row r="479" spans="6:31" ht="11.25" customHeight="1" x14ac:dyDescent="0.2">
      <c r="F479" s="243"/>
      <c r="G479" s="243"/>
      <c r="H479" s="141"/>
      <c r="L479" s="141"/>
      <c r="M479" s="141"/>
      <c r="S479" s="245"/>
      <c r="T479" s="245"/>
      <c r="U479" s="245"/>
      <c r="V479" s="245"/>
      <c r="W479" s="245"/>
      <c r="X479" s="245"/>
      <c r="Y479" s="246"/>
      <c r="AD479" s="141"/>
      <c r="AE479" s="141"/>
    </row>
    <row r="480" spans="6:31" ht="11.25" customHeight="1" x14ac:dyDescent="0.2">
      <c r="F480" s="243"/>
      <c r="G480" s="243"/>
      <c r="H480" s="141"/>
      <c r="L480" s="141"/>
      <c r="M480" s="141"/>
      <c r="S480" s="245"/>
      <c r="T480" s="245"/>
      <c r="U480" s="245"/>
      <c r="V480" s="245"/>
      <c r="W480" s="245"/>
      <c r="X480" s="245"/>
      <c r="Y480" s="246"/>
      <c r="AB480" s="141"/>
      <c r="AD480" s="141"/>
      <c r="AE480" s="141"/>
    </row>
    <row r="481" spans="6:31" ht="11.25" customHeight="1" x14ac:dyDescent="0.2">
      <c r="F481" s="243"/>
      <c r="G481" s="243"/>
      <c r="H481" s="141"/>
      <c r="L481" s="141"/>
      <c r="M481" s="141"/>
      <c r="S481" s="245"/>
      <c r="T481" s="245"/>
      <c r="U481" s="245"/>
      <c r="V481" s="245"/>
      <c r="W481" s="245"/>
      <c r="X481" s="245"/>
      <c r="Y481" s="246"/>
      <c r="AB481" s="141"/>
      <c r="AD481" s="141"/>
      <c r="AE481" s="141"/>
    </row>
    <row r="482" spans="6:31" ht="11.25" customHeight="1" x14ac:dyDescent="0.2">
      <c r="F482" s="243"/>
      <c r="G482" s="243"/>
      <c r="H482" s="141"/>
      <c r="L482" s="141"/>
      <c r="M482" s="141"/>
      <c r="S482" s="245"/>
      <c r="T482" s="245"/>
      <c r="U482" s="245"/>
      <c r="V482" s="245"/>
      <c r="W482" s="245"/>
      <c r="X482" s="245"/>
      <c r="Y482" s="246"/>
      <c r="AB482" s="141"/>
      <c r="AD482" s="141"/>
      <c r="AE482" s="141"/>
    </row>
    <row r="483" spans="6:31" ht="11.25" customHeight="1" x14ac:dyDescent="0.2">
      <c r="F483" s="243"/>
      <c r="G483" s="243"/>
      <c r="H483" s="141"/>
      <c r="L483" s="141"/>
      <c r="M483" s="141"/>
      <c r="S483" s="245"/>
      <c r="T483" s="245"/>
      <c r="U483" s="245"/>
      <c r="V483" s="245"/>
      <c r="W483" s="245"/>
      <c r="X483" s="245"/>
      <c r="Y483" s="246"/>
      <c r="AB483" s="141"/>
      <c r="AD483" s="141"/>
      <c r="AE483" s="141"/>
    </row>
    <row r="484" spans="6:31" ht="11.25" customHeight="1" x14ac:dyDescent="0.2">
      <c r="F484" s="243"/>
      <c r="G484" s="243"/>
      <c r="H484" s="141"/>
      <c r="L484" s="141"/>
      <c r="M484" s="141"/>
      <c r="S484" s="245"/>
      <c r="T484" s="245"/>
      <c r="U484" s="245"/>
      <c r="V484" s="245"/>
      <c r="W484" s="245"/>
      <c r="X484" s="245"/>
      <c r="Y484" s="246"/>
      <c r="AB484" s="141"/>
      <c r="AD484" s="141"/>
      <c r="AE484" s="141"/>
    </row>
    <row r="485" spans="6:31" ht="11.25" customHeight="1" x14ac:dyDescent="0.2">
      <c r="F485" s="243"/>
      <c r="G485" s="243"/>
      <c r="H485" s="141"/>
      <c r="L485" s="141"/>
      <c r="M485" s="141"/>
      <c r="S485" s="245"/>
      <c r="T485" s="245"/>
      <c r="U485" s="245"/>
      <c r="V485" s="245"/>
      <c r="W485" s="245"/>
      <c r="X485" s="245"/>
      <c r="Y485" s="246"/>
      <c r="AB485" s="141"/>
      <c r="AD485" s="141"/>
      <c r="AE485" s="141"/>
    </row>
    <row r="486" spans="6:31" ht="11.25" customHeight="1" x14ac:dyDescent="0.2">
      <c r="F486" s="243"/>
      <c r="G486" s="243"/>
      <c r="H486" s="141"/>
      <c r="L486" s="141"/>
      <c r="M486" s="141"/>
      <c r="S486" s="245"/>
      <c r="T486" s="245"/>
      <c r="U486" s="245"/>
      <c r="V486" s="245"/>
      <c r="W486" s="245"/>
      <c r="X486" s="245"/>
      <c r="Y486" s="246"/>
      <c r="AB486" s="141"/>
      <c r="AD486" s="141"/>
      <c r="AE486" s="141"/>
    </row>
    <row r="487" spans="6:31" ht="11.25" customHeight="1" x14ac:dyDescent="0.2">
      <c r="F487" s="243"/>
      <c r="G487" s="243"/>
      <c r="H487" s="141"/>
      <c r="L487" s="141"/>
      <c r="M487" s="141"/>
      <c r="S487" s="245"/>
      <c r="T487" s="245"/>
      <c r="U487" s="245"/>
      <c r="V487" s="245"/>
      <c r="W487" s="245"/>
      <c r="X487" s="245"/>
      <c r="Y487" s="246"/>
      <c r="AB487" s="141"/>
      <c r="AD487" s="141"/>
      <c r="AE487" s="141"/>
    </row>
    <row r="488" spans="6:31" ht="11.25" customHeight="1" x14ac:dyDescent="0.2">
      <c r="F488" s="243"/>
      <c r="G488" s="243"/>
      <c r="H488" s="141"/>
      <c r="L488" s="141"/>
      <c r="M488" s="141"/>
      <c r="S488" s="245"/>
      <c r="T488" s="245"/>
      <c r="U488" s="245"/>
      <c r="V488" s="245"/>
      <c r="W488" s="245"/>
      <c r="X488" s="245"/>
      <c r="Y488" s="246"/>
      <c r="AB488" s="141"/>
      <c r="AD488" s="141"/>
      <c r="AE488" s="141"/>
    </row>
    <row r="489" spans="6:31" ht="11.25" customHeight="1" x14ac:dyDescent="0.2">
      <c r="F489" s="243"/>
      <c r="G489" s="243"/>
      <c r="H489" s="141"/>
      <c r="L489" s="141"/>
      <c r="M489" s="141"/>
      <c r="S489" s="245"/>
      <c r="T489" s="245"/>
      <c r="U489" s="245"/>
      <c r="V489" s="245"/>
      <c r="W489" s="245"/>
      <c r="X489" s="245"/>
      <c r="Y489" s="246"/>
      <c r="AB489" s="141"/>
      <c r="AD489" s="141"/>
      <c r="AE489" s="141"/>
    </row>
    <row r="490" spans="6:31" ht="11.25" customHeight="1" x14ac:dyDescent="0.2">
      <c r="F490" s="243"/>
      <c r="G490" s="243"/>
      <c r="H490" s="141"/>
      <c r="L490" s="141"/>
      <c r="M490" s="141"/>
      <c r="S490" s="245"/>
      <c r="T490" s="245"/>
      <c r="U490" s="245"/>
      <c r="V490" s="245"/>
      <c r="W490" s="245"/>
      <c r="X490" s="245"/>
      <c r="Y490" s="246"/>
      <c r="AB490" s="141"/>
      <c r="AD490" s="141"/>
      <c r="AE490" s="141"/>
    </row>
    <row r="491" spans="6:31" ht="11.25" customHeight="1" x14ac:dyDescent="0.2">
      <c r="F491" s="243"/>
      <c r="G491" s="243"/>
      <c r="H491" s="141"/>
      <c r="L491" s="141"/>
      <c r="M491" s="141"/>
      <c r="S491" s="245"/>
      <c r="T491" s="245"/>
      <c r="U491" s="245"/>
      <c r="V491" s="245"/>
      <c r="W491" s="245"/>
      <c r="X491" s="245"/>
      <c r="Y491" s="246"/>
      <c r="AB491" s="141"/>
      <c r="AD491" s="141"/>
      <c r="AE491" s="141"/>
    </row>
    <row r="492" spans="6:31" ht="11.25" customHeight="1" x14ac:dyDescent="0.2">
      <c r="F492" s="243"/>
      <c r="G492" s="243"/>
      <c r="H492" s="141"/>
      <c r="L492" s="141"/>
      <c r="M492" s="141"/>
      <c r="S492" s="245"/>
      <c r="T492" s="245"/>
      <c r="U492" s="245"/>
      <c r="V492" s="245"/>
      <c r="W492" s="245"/>
      <c r="X492" s="245"/>
      <c r="Y492" s="246"/>
      <c r="AB492" s="141"/>
      <c r="AD492" s="141"/>
      <c r="AE492" s="141"/>
    </row>
    <row r="493" spans="6:31" ht="11.25" customHeight="1" x14ac:dyDescent="0.2">
      <c r="F493" s="243"/>
      <c r="G493" s="243"/>
      <c r="H493" s="141"/>
      <c r="L493" s="141"/>
      <c r="M493" s="141"/>
      <c r="S493" s="245"/>
      <c r="T493" s="245"/>
      <c r="U493" s="245"/>
      <c r="V493" s="245"/>
      <c r="W493" s="245"/>
      <c r="X493" s="245"/>
      <c r="Y493" s="246"/>
      <c r="AB493" s="141"/>
      <c r="AD493" s="141"/>
      <c r="AE493" s="141"/>
    </row>
    <row r="494" spans="6:31" ht="11.25" customHeight="1" x14ac:dyDescent="0.2">
      <c r="F494" s="243"/>
      <c r="G494" s="243"/>
      <c r="H494" s="141"/>
      <c r="L494" s="141"/>
      <c r="M494" s="141"/>
      <c r="S494" s="245"/>
      <c r="T494" s="245"/>
      <c r="U494" s="245"/>
      <c r="V494" s="245"/>
      <c r="W494" s="245"/>
      <c r="X494" s="245"/>
      <c r="Y494" s="246"/>
      <c r="AB494" s="141"/>
      <c r="AD494" s="141"/>
      <c r="AE494" s="141"/>
    </row>
    <row r="495" spans="6:31" ht="11.25" customHeight="1" x14ac:dyDescent="0.2">
      <c r="F495" s="243"/>
      <c r="G495" s="243"/>
      <c r="H495" s="141"/>
      <c r="L495" s="141"/>
      <c r="M495" s="141"/>
      <c r="S495" s="245"/>
      <c r="T495" s="245"/>
      <c r="U495" s="245"/>
      <c r="V495" s="245"/>
      <c r="W495" s="245"/>
      <c r="X495" s="245"/>
      <c r="Y495" s="246"/>
      <c r="AB495" s="141"/>
      <c r="AD495" s="141"/>
      <c r="AE495" s="141"/>
    </row>
    <row r="496" spans="6:31" ht="11.25" customHeight="1" x14ac:dyDescent="0.2">
      <c r="F496" s="243"/>
      <c r="G496" s="243"/>
      <c r="H496" s="141"/>
      <c r="L496" s="141"/>
      <c r="M496" s="141"/>
      <c r="S496" s="245"/>
      <c r="T496" s="245"/>
      <c r="U496" s="245"/>
      <c r="V496" s="245"/>
      <c r="W496" s="245"/>
      <c r="X496" s="245"/>
      <c r="Y496" s="246"/>
      <c r="AB496" s="141"/>
      <c r="AD496" s="141"/>
      <c r="AE496" s="141"/>
    </row>
    <row r="497" spans="6:31" ht="11.25" customHeight="1" x14ac:dyDescent="0.2">
      <c r="F497" s="243"/>
      <c r="G497" s="243"/>
      <c r="H497" s="141"/>
      <c r="L497" s="141"/>
      <c r="M497" s="141"/>
      <c r="S497" s="245"/>
      <c r="T497" s="245"/>
      <c r="U497" s="245"/>
      <c r="V497" s="245"/>
      <c r="W497" s="245"/>
      <c r="X497" s="245"/>
      <c r="Y497" s="246"/>
      <c r="AB497" s="141"/>
      <c r="AD497" s="141"/>
      <c r="AE497" s="141"/>
    </row>
    <row r="498" spans="6:31" ht="11.25" customHeight="1" x14ac:dyDescent="0.2">
      <c r="F498" s="243"/>
      <c r="G498" s="243"/>
      <c r="H498" s="141"/>
      <c r="L498" s="141"/>
      <c r="M498" s="141"/>
      <c r="S498" s="245"/>
      <c r="T498" s="245"/>
      <c r="U498" s="245"/>
      <c r="V498" s="245"/>
      <c r="W498" s="245"/>
      <c r="X498" s="245"/>
      <c r="Y498" s="246"/>
      <c r="AB498" s="141"/>
      <c r="AD498" s="141"/>
      <c r="AE498" s="141"/>
    </row>
    <row r="499" spans="6:31" ht="11.25" customHeight="1" x14ac:dyDescent="0.2">
      <c r="F499" s="243"/>
      <c r="G499" s="243"/>
      <c r="H499" s="141"/>
      <c r="L499" s="141"/>
      <c r="M499" s="141"/>
      <c r="S499" s="245"/>
      <c r="T499" s="245"/>
      <c r="U499" s="245"/>
      <c r="V499" s="245"/>
      <c r="W499" s="245"/>
      <c r="X499" s="245"/>
      <c r="Y499" s="246"/>
      <c r="AB499" s="141"/>
      <c r="AD499" s="141"/>
      <c r="AE499" s="141"/>
    </row>
    <row r="500" spans="6:31" ht="11.25" customHeight="1" x14ac:dyDescent="0.2">
      <c r="F500" s="243"/>
      <c r="G500" s="243"/>
      <c r="H500" s="141"/>
      <c r="L500" s="141"/>
      <c r="M500" s="141"/>
      <c r="S500" s="245"/>
      <c r="T500" s="245"/>
      <c r="U500" s="245"/>
      <c r="V500" s="245"/>
      <c r="W500" s="245"/>
      <c r="X500" s="245"/>
      <c r="Y500" s="246"/>
      <c r="AB500" s="141"/>
      <c r="AD500" s="141"/>
      <c r="AE500" s="141"/>
    </row>
    <row r="501" spans="6:31" ht="11.25" customHeight="1" x14ac:dyDescent="0.2">
      <c r="F501" s="243"/>
      <c r="G501" s="243"/>
      <c r="H501" s="141"/>
      <c r="L501" s="141"/>
      <c r="M501" s="141"/>
      <c r="S501" s="245"/>
      <c r="T501" s="245"/>
      <c r="U501" s="245"/>
      <c r="V501" s="245"/>
      <c r="W501" s="245"/>
      <c r="X501" s="245"/>
      <c r="Y501" s="246"/>
      <c r="AB501" s="141"/>
      <c r="AD501" s="141"/>
      <c r="AE501" s="141"/>
    </row>
    <row r="502" spans="6:31" ht="11.25" customHeight="1" x14ac:dyDescent="0.2">
      <c r="F502" s="243"/>
      <c r="G502" s="243"/>
      <c r="H502" s="141"/>
      <c r="L502" s="141"/>
      <c r="M502" s="141"/>
      <c r="S502" s="245"/>
      <c r="T502" s="245"/>
      <c r="U502" s="245"/>
      <c r="V502" s="245"/>
      <c r="W502" s="245"/>
      <c r="X502" s="245"/>
      <c r="Y502" s="246"/>
      <c r="AB502" s="141"/>
      <c r="AD502" s="141"/>
      <c r="AE502" s="141"/>
    </row>
    <row r="503" spans="6:31" ht="11.25" customHeight="1" x14ac:dyDescent="0.2">
      <c r="F503" s="243"/>
      <c r="G503" s="243"/>
      <c r="H503" s="141"/>
      <c r="L503" s="141"/>
      <c r="M503" s="141"/>
      <c r="S503" s="245"/>
      <c r="T503" s="245"/>
      <c r="U503" s="245"/>
      <c r="V503" s="245"/>
      <c r="W503" s="245"/>
      <c r="X503" s="245"/>
      <c r="Y503" s="246"/>
      <c r="AB503" s="141"/>
      <c r="AD503" s="141"/>
      <c r="AE503" s="141"/>
    </row>
    <row r="504" spans="6:31" ht="11.25" customHeight="1" x14ac:dyDescent="0.2">
      <c r="F504" s="243"/>
      <c r="G504" s="243"/>
      <c r="H504" s="141"/>
      <c r="L504" s="141"/>
      <c r="M504" s="141"/>
      <c r="S504" s="245"/>
      <c r="T504" s="245"/>
      <c r="U504" s="245"/>
      <c r="V504" s="245"/>
      <c r="W504" s="245"/>
      <c r="X504" s="245"/>
      <c r="Y504" s="246"/>
      <c r="AB504" s="141"/>
      <c r="AD504" s="141"/>
      <c r="AE504" s="141"/>
    </row>
    <row r="505" spans="6:31" ht="11.25" customHeight="1" x14ac:dyDescent="0.2">
      <c r="F505" s="243"/>
      <c r="G505" s="243"/>
      <c r="H505" s="141"/>
      <c r="L505" s="141"/>
      <c r="M505" s="141"/>
      <c r="S505" s="245"/>
      <c r="T505" s="245"/>
      <c r="U505" s="245"/>
      <c r="V505" s="245"/>
      <c r="W505" s="245"/>
      <c r="X505" s="245"/>
      <c r="Y505" s="246"/>
      <c r="AB505" s="141"/>
      <c r="AD505" s="141"/>
      <c r="AE505" s="141"/>
    </row>
    <row r="506" spans="6:31" ht="11.25" customHeight="1" x14ac:dyDescent="0.2">
      <c r="F506" s="243"/>
      <c r="G506" s="243"/>
      <c r="H506" s="141"/>
      <c r="L506" s="141"/>
      <c r="M506" s="141"/>
      <c r="S506" s="245"/>
      <c r="T506" s="245"/>
      <c r="U506" s="245"/>
      <c r="V506" s="245"/>
      <c r="W506" s="245"/>
      <c r="X506" s="245"/>
      <c r="Y506" s="246"/>
      <c r="AB506" s="141"/>
      <c r="AD506" s="141"/>
      <c r="AE506" s="141"/>
    </row>
    <row r="507" spans="6:31" ht="11.25" customHeight="1" x14ac:dyDescent="0.2">
      <c r="F507" s="243"/>
      <c r="G507" s="243"/>
      <c r="H507" s="141"/>
      <c r="L507" s="141"/>
      <c r="M507" s="141"/>
      <c r="S507" s="245"/>
      <c r="T507" s="245"/>
      <c r="U507" s="245"/>
      <c r="V507" s="245"/>
      <c r="W507" s="245"/>
      <c r="X507" s="245"/>
      <c r="Y507" s="246"/>
      <c r="AB507" s="141"/>
      <c r="AD507" s="141"/>
      <c r="AE507" s="141"/>
    </row>
    <row r="508" spans="6:31" ht="11.25" customHeight="1" x14ac:dyDescent="0.2">
      <c r="F508" s="243"/>
      <c r="G508" s="243"/>
      <c r="H508" s="141"/>
      <c r="L508" s="141"/>
      <c r="M508" s="141"/>
      <c r="S508" s="245"/>
      <c r="T508" s="245"/>
      <c r="U508" s="245"/>
      <c r="V508" s="245"/>
      <c r="W508" s="245"/>
      <c r="X508" s="245"/>
      <c r="Y508" s="246"/>
      <c r="AB508" s="141"/>
      <c r="AD508" s="141"/>
      <c r="AE508" s="141"/>
    </row>
    <row r="509" spans="6:31" ht="11.25" customHeight="1" x14ac:dyDescent="0.2">
      <c r="F509" s="243"/>
      <c r="G509" s="243"/>
      <c r="H509" s="141"/>
      <c r="L509" s="141"/>
      <c r="M509" s="141"/>
      <c r="S509" s="245"/>
      <c r="T509" s="245"/>
      <c r="U509" s="245"/>
      <c r="V509" s="245"/>
      <c r="W509" s="245"/>
      <c r="X509" s="245"/>
      <c r="Y509" s="246"/>
      <c r="AB509" s="141"/>
      <c r="AD509" s="141"/>
      <c r="AE509" s="141"/>
    </row>
    <row r="510" spans="6:31" ht="11.25" customHeight="1" x14ac:dyDescent="0.2">
      <c r="F510" s="243"/>
      <c r="G510" s="243"/>
      <c r="H510" s="141"/>
      <c r="L510" s="141"/>
      <c r="M510" s="141"/>
      <c r="S510" s="245"/>
      <c r="T510" s="245"/>
      <c r="U510" s="245"/>
      <c r="V510" s="245"/>
      <c r="W510" s="245"/>
      <c r="X510" s="245"/>
      <c r="Y510" s="246"/>
      <c r="AB510" s="141"/>
      <c r="AD510" s="141"/>
      <c r="AE510" s="141"/>
    </row>
    <row r="511" spans="6:31" ht="11.25" customHeight="1" x14ac:dyDescent="0.2">
      <c r="F511" s="243"/>
      <c r="G511" s="243"/>
      <c r="H511" s="141"/>
      <c r="L511" s="141"/>
      <c r="M511" s="141"/>
      <c r="S511" s="245"/>
      <c r="T511" s="245"/>
      <c r="U511" s="245"/>
      <c r="V511" s="245"/>
      <c r="W511" s="245"/>
      <c r="X511" s="245"/>
      <c r="Y511" s="246"/>
      <c r="AB511" s="141"/>
      <c r="AD511" s="141"/>
      <c r="AE511" s="141"/>
    </row>
    <row r="512" spans="6:31" ht="11.25" customHeight="1" x14ac:dyDescent="0.2">
      <c r="F512" s="243"/>
      <c r="G512" s="243"/>
      <c r="H512" s="141"/>
      <c r="L512" s="141"/>
      <c r="M512" s="141"/>
      <c r="S512" s="245"/>
      <c r="T512" s="245"/>
      <c r="U512" s="245"/>
      <c r="V512" s="245"/>
      <c r="W512" s="245"/>
      <c r="X512" s="245"/>
      <c r="Y512" s="246"/>
      <c r="AB512" s="141"/>
      <c r="AD512" s="141"/>
      <c r="AE512" s="141"/>
    </row>
    <row r="513" spans="6:31" ht="11.25" customHeight="1" x14ac:dyDescent="0.2">
      <c r="F513" s="243"/>
      <c r="G513" s="243"/>
      <c r="H513" s="141"/>
      <c r="L513" s="141"/>
      <c r="M513" s="141"/>
      <c r="S513" s="245"/>
      <c r="T513" s="245"/>
      <c r="U513" s="245"/>
      <c r="V513" s="245"/>
      <c r="W513" s="245"/>
      <c r="X513" s="245"/>
      <c r="Y513" s="246"/>
      <c r="AB513" s="141"/>
      <c r="AD513" s="141"/>
      <c r="AE513" s="141"/>
    </row>
    <row r="514" spans="6:31" ht="11.25" customHeight="1" x14ac:dyDescent="0.2">
      <c r="F514" s="243"/>
      <c r="G514" s="243"/>
      <c r="H514" s="141"/>
      <c r="L514" s="141"/>
      <c r="M514" s="141"/>
      <c r="S514" s="245"/>
      <c r="T514" s="245"/>
      <c r="U514" s="245"/>
      <c r="V514" s="245"/>
      <c r="W514" s="245"/>
      <c r="X514" s="245"/>
      <c r="Y514" s="246"/>
      <c r="AB514" s="141"/>
      <c r="AD514" s="141"/>
      <c r="AE514" s="141"/>
    </row>
    <row r="515" spans="6:31" ht="11.25" customHeight="1" x14ac:dyDescent="0.2">
      <c r="F515" s="243"/>
      <c r="G515" s="243"/>
      <c r="H515" s="141"/>
      <c r="L515" s="141"/>
      <c r="M515" s="141"/>
      <c r="S515" s="245"/>
      <c r="T515" s="245"/>
      <c r="U515" s="245"/>
      <c r="V515" s="245"/>
      <c r="W515" s="245"/>
      <c r="X515" s="245"/>
      <c r="Y515" s="246"/>
      <c r="AB515" s="141"/>
      <c r="AD515" s="141"/>
      <c r="AE515" s="141"/>
    </row>
    <row r="516" spans="6:31" ht="11.25" customHeight="1" x14ac:dyDescent="0.2">
      <c r="F516" s="243"/>
      <c r="G516" s="243"/>
      <c r="H516" s="141"/>
      <c r="L516" s="141"/>
      <c r="M516" s="141"/>
      <c r="S516" s="245"/>
      <c r="T516" s="245"/>
      <c r="U516" s="245"/>
      <c r="V516" s="245"/>
      <c r="W516" s="245"/>
      <c r="X516" s="245"/>
      <c r="Y516" s="246"/>
      <c r="AB516" s="141"/>
      <c r="AD516" s="141"/>
      <c r="AE516" s="141"/>
    </row>
    <row r="517" spans="6:31" ht="11.25" customHeight="1" x14ac:dyDescent="0.2">
      <c r="F517" s="243"/>
      <c r="G517" s="243"/>
      <c r="H517" s="141"/>
      <c r="L517" s="141"/>
      <c r="M517" s="141"/>
      <c r="S517" s="245"/>
      <c r="T517" s="245"/>
      <c r="U517" s="245"/>
      <c r="V517" s="245"/>
      <c r="W517" s="245"/>
      <c r="X517" s="245"/>
      <c r="Y517" s="246"/>
      <c r="AB517" s="141"/>
      <c r="AD517" s="141"/>
      <c r="AE517" s="141"/>
    </row>
    <row r="518" spans="6:31" ht="11.25" customHeight="1" x14ac:dyDescent="0.2">
      <c r="F518" s="243"/>
      <c r="G518" s="243"/>
      <c r="H518" s="141"/>
      <c r="L518" s="141"/>
      <c r="M518" s="141"/>
      <c r="S518" s="245"/>
      <c r="T518" s="245"/>
      <c r="U518" s="245"/>
      <c r="V518" s="245"/>
      <c r="W518" s="245"/>
      <c r="X518" s="245"/>
      <c r="Y518" s="246"/>
      <c r="AB518" s="141"/>
      <c r="AD518" s="141"/>
      <c r="AE518" s="141"/>
    </row>
    <row r="519" spans="6:31" ht="11.25" customHeight="1" x14ac:dyDescent="0.2">
      <c r="F519" s="243"/>
      <c r="G519" s="243"/>
      <c r="H519" s="141"/>
      <c r="L519" s="141"/>
      <c r="M519" s="141"/>
      <c r="S519" s="245"/>
      <c r="T519" s="245"/>
      <c r="U519" s="245"/>
      <c r="V519" s="245"/>
      <c r="W519" s="245"/>
      <c r="X519" s="245"/>
      <c r="Y519" s="246"/>
      <c r="AB519" s="141"/>
      <c r="AD519" s="141"/>
      <c r="AE519" s="141"/>
    </row>
    <row r="520" spans="6:31" ht="11.25" customHeight="1" x14ac:dyDescent="0.2">
      <c r="F520" s="243"/>
      <c r="G520" s="243"/>
      <c r="H520" s="141"/>
      <c r="L520" s="141"/>
      <c r="M520" s="141"/>
      <c r="S520" s="245"/>
      <c r="T520" s="245"/>
      <c r="U520" s="245"/>
      <c r="V520" s="245"/>
      <c r="W520" s="245"/>
      <c r="X520" s="245"/>
      <c r="Y520" s="246"/>
      <c r="AB520" s="141"/>
      <c r="AD520" s="141"/>
      <c r="AE520" s="141"/>
    </row>
    <row r="521" spans="6:31" ht="11.25" customHeight="1" x14ac:dyDescent="0.2">
      <c r="F521" s="243"/>
      <c r="G521" s="243"/>
      <c r="H521" s="141"/>
      <c r="L521" s="141"/>
      <c r="M521" s="141"/>
      <c r="S521" s="245"/>
      <c r="T521" s="245"/>
      <c r="U521" s="245"/>
      <c r="V521" s="245"/>
      <c r="W521" s="245"/>
      <c r="X521" s="245"/>
      <c r="Y521" s="246"/>
      <c r="AB521" s="141"/>
      <c r="AD521" s="141"/>
      <c r="AE521" s="141"/>
    </row>
    <row r="522" spans="6:31" ht="11.25" customHeight="1" x14ac:dyDescent="0.2">
      <c r="F522" s="243"/>
      <c r="G522" s="243"/>
      <c r="H522" s="141"/>
      <c r="L522" s="141"/>
      <c r="M522" s="141"/>
      <c r="S522" s="245"/>
      <c r="T522" s="245"/>
      <c r="U522" s="245"/>
      <c r="V522" s="245"/>
      <c r="W522" s="245"/>
      <c r="X522" s="245"/>
      <c r="Y522" s="246"/>
      <c r="AB522" s="141"/>
      <c r="AD522" s="141"/>
      <c r="AE522" s="141"/>
    </row>
    <row r="523" spans="6:31" ht="11.25" customHeight="1" x14ac:dyDescent="0.2">
      <c r="F523" s="243"/>
      <c r="G523" s="243"/>
      <c r="H523" s="141"/>
      <c r="L523" s="141"/>
      <c r="M523" s="141"/>
      <c r="S523" s="245"/>
      <c r="T523" s="245"/>
      <c r="U523" s="245"/>
      <c r="V523" s="245"/>
      <c r="W523" s="245"/>
      <c r="X523" s="245"/>
      <c r="Y523" s="246"/>
      <c r="AB523" s="141"/>
      <c r="AD523" s="141"/>
      <c r="AE523" s="141"/>
    </row>
    <row r="524" spans="6:31" ht="11.25" customHeight="1" x14ac:dyDescent="0.2">
      <c r="F524" s="243"/>
      <c r="G524" s="243"/>
      <c r="H524" s="141"/>
      <c r="L524" s="141"/>
      <c r="M524" s="141"/>
      <c r="S524" s="245"/>
      <c r="T524" s="245"/>
      <c r="U524" s="245"/>
      <c r="V524" s="245"/>
      <c r="W524" s="245"/>
      <c r="X524" s="245"/>
      <c r="Y524" s="246"/>
      <c r="AB524" s="141"/>
      <c r="AD524" s="141"/>
      <c r="AE524" s="141"/>
    </row>
    <row r="525" spans="6:31" ht="11.25" customHeight="1" x14ac:dyDescent="0.2">
      <c r="F525" s="243"/>
      <c r="G525" s="243"/>
      <c r="H525" s="141"/>
      <c r="L525" s="141"/>
      <c r="M525" s="141"/>
      <c r="S525" s="245"/>
      <c r="T525" s="245"/>
      <c r="U525" s="245"/>
      <c r="V525" s="245"/>
      <c r="W525" s="245"/>
      <c r="X525" s="245"/>
      <c r="Y525" s="246"/>
      <c r="AB525" s="141"/>
      <c r="AD525" s="141"/>
      <c r="AE525" s="141"/>
    </row>
    <row r="526" spans="6:31" ht="11.25" customHeight="1" x14ac:dyDescent="0.2">
      <c r="F526" s="243"/>
      <c r="G526" s="243"/>
      <c r="H526" s="141"/>
      <c r="L526" s="141"/>
      <c r="M526" s="141"/>
      <c r="S526" s="245"/>
      <c r="T526" s="245"/>
      <c r="U526" s="245"/>
      <c r="V526" s="245"/>
      <c r="W526" s="245"/>
      <c r="X526" s="245"/>
      <c r="Y526" s="246"/>
      <c r="AB526" s="141"/>
      <c r="AD526" s="141"/>
      <c r="AE526" s="141"/>
    </row>
    <row r="527" spans="6:31" ht="11.25" customHeight="1" x14ac:dyDescent="0.2">
      <c r="F527" s="243"/>
      <c r="G527" s="243"/>
      <c r="H527" s="141"/>
      <c r="L527" s="141"/>
      <c r="M527" s="141"/>
      <c r="S527" s="245"/>
      <c r="T527" s="245"/>
      <c r="U527" s="245"/>
      <c r="V527" s="245"/>
      <c r="W527" s="245"/>
      <c r="X527" s="245"/>
      <c r="Y527" s="246"/>
      <c r="AB527" s="141"/>
      <c r="AD527" s="141"/>
      <c r="AE527" s="141"/>
    </row>
    <row r="528" spans="6:31" ht="11.25" customHeight="1" x14ac:dyDescent="0.2">
      <c r="F528" s="243"/>
      <c r="G528" s="243"/>
      <c r="H528" s="141"/>
      <c r="L528" s="141"/>
      <c r="M528" s="141"/>
      <c r="S528" s="245"/>
      <c r="T528" s="245"/>
      <c r="U528" s="245"/>
      <c r="V528" s="245"/>
      <c r="W528" s="245"/>
      <c r="X528" s="245"/>
      <c r="Y528" s="246"/>
      <c r="AB528" s="141"/>
      <c r="AD528" s="141"/>
      <c r="AE528" s="141"/>
    </row>
    <row r="529" spans="6:31" ht="11.25" customHeight="1" x14ac:dyDescent="0.2">
      <c r="F529" s="243"/>
      <c r="G529" s="243"/>
      <c r="H529" s="141"/>
      <c r="L529" s="141"/>
      <c r="M529" s="141"/>
      <c r="S529" s="245"/>
      <c r="T529" s="245"/>
      <c r="U529" s="245"/>
      <c r="V529" s="245"/>
      <c r="W529" s="245"/>
      <c r="X529" s="245"/>
      <c r="Y529" s="246"/>
      <c r="AB529" s="141"/>
      <c r="AD529" s="141"/>
      <c r="AE529" s="141"/>
    </row>
    <row r="530" spans="6:31" ht="11.25" customHeight="1" x14ac:dyDescent="0.2">
      <c r="F530" s="243"/>
      <c r="G530" s="243"/>
      <c r="H530" s="141"/>
      <c r="L530" s="141"/>
      <c r="M530" s="141"/>
      <c r="S530" s="245"/>
      <c r="T530" s="245"/>
      <c r="U530" s="245"/>
      <c r="V530" s="245"/>
      <c r="W530" s="245"/>
      <c r="X530" s="245"/>
      <c r="Y530" s="246"/>
      <c r="AB530" s="141"/>
      <c r="AD530" s="141"/>
      <c r="AE530" s="141"/>
    </row>
    <row r="531" spans="6:31" ht="11.25" customHeight="1" x14ac:dyDescent="0.2">
      <c r="F531" s="243"/>
      <c r="G531" s="243"/>
      <c r="H531" s="141"/>
      <c r="L531" s="141"/>
      <c r="M531" s="141"/>
      <c r="S531" s="245"/>
      <c r="T531" s="245"/>
      <c r="U531" s="245"/>
      <c r="V531" s="245"/>
      <c r="W531" s="245"/>
      <c r="X531" s="245"/>
      <c r="Y531" s="246"/>
      <c r="AB531" s="141"/>
      <c r="AD531" s="141"/>
      <c r="AE531" s="141"/>
    </row>
    <row r="532" spans="6:31" ht="11.25" customHeight="1" x14ac:dyDescent="0.2">
      <c r="F532" s="243"/>
      <c r="G532" s="243"/>
      <c r="H532" s="141"/>
      <c r="L532" s="141"/>
      <c r="M532" s="141"/>
      <c r="S532" s="245"/>
      <c r="T532" s="245"/>
      <c r="U532" s="245"/>
      <c r="V532" s="245"/>
      <c r="W532" s="245"/>
      <c r="X532" s="245"/>
      <c r="Y532" s="246"/>
      <c r="AB532" s="141"/>
      <c r="AD532" s="141"/>
      <c r="AE532" s="141"/>
    </row>
    <row r="533" spans="6:31" ht="11.25" customHeight="1" x14ac:dyDescent="0.2">
      <c r="F533" s="243"/>
      <c r="G533" s="243"/>
      <c r="H533" s="141"/>
      <c r="L533" s="141"/>
      <c r="M533" s="141"/>
      <c r="S533" s="245"/>
      <c r="T533" s="245"/>
      <c r="U533" s="245"/>
      <c r="V533" s="245"/>
      <c r="W533" s="245"/>
      <c r="X533" s="245"/>
      <c r="Y533" s="246"/>
      <c r="AB533" s="141"/>
      <c r="AD533" s="141"/>
      <c r="AE533" s="141"/>
    </row>
    <row r="534" spans="6:31" ht="11.25" customHeight="1" x14ac:dyDescent="0.2">
      <c r="F534" s="243"/>
      <c r="G534" s="243"/>
      <c r="H534" s="141"/>
      <c r="L534" s="141"/>
      <c r="M534" s="141"/>
      <c r="S534" s="245"/>
      <c r="T534" s="245"/>
      <c r="U534" s="245"/>
      <c r="V534" s="245"/>
      <c r="W534" s="245"/>
      <c r="X534" s="245"/>
      <c r="Y534" s="246"/>
      <c r="AB534" s="141"/>
      <c r="AD534" s="141"/>
      <c r="AE534" s="141"/>
    </row>
    <row r="535" spans="6:31" ht="11.25" customHeight="1" x14ac:dyDescent="0.2">
      <c r="F535" s="243"/>
      <c r="G535" s="243"/>
      <c r="H535" s="141"/>
      <c r="L535" s="141"/>
      <c r="M535" s="141"/>
      <c r="AB535" s="141"/>
      <c r="AD535" s="141"/>
      <c r="AE535" s="141"/>
    </row>
    <row r="536" spans="6:31" ht="11.25" customHeight="1" x14ac:dyDescent="0.2">
      <c r="F536" s="243"/>
      <c r="G536" s="243"/>
      <c r="H536" s="141"/>
      <c r="L536" s="141"/>
      <c r="M536" s="141"/>
      <c r="AB536" s="141"/>
      <c r="AD536" s="141"/>
      <c r="AE536" s="141"/>
    </row>
    <row r="537" spans="6:31" ht="11.25" customHeight="1" x14ac:dyDescent="0.2">
      <c r="F537" s="243"/>
      <c r="G537" s="243"/>
      <c r="H537" s="141"/>
      <c r="L537" s="141"/>
      <c r="M537" s="141"/>
      <c r="AB537" s="141"/>
      <c r="AD537" s="141"/>
      <c r="AE537" s="141"/>
    </row>
    <row r="538" spans="6:31" ht="11.25" customHeight="1" x14ac:dyDescent="0.2">
      <c r="F538" s="243"/>
      <c r="G538" s="243"/>
      <c r="H538" s="141"/>
      <c r="L538" s="141"/>
      <c r="M538" s="141"/>
      <c r="AB538" s="141"/>
      <c r="AD538" s="141"/>
      <c r="AE538" s="141"/>
    </row>
    <row r="539" spans="6:31" ht="11.25" customHeight="1" x14ac:dyDescent="0.2">
      <c r="F539" s="243"/>
      <c r="G539" s="243"/>
      <c r="H539" s="141"/>
      <c r="L539" s="141"/>
      <c r="M539" s="141"/>
      <c r="AB539" s="141"/>
      <c r="AD539" s="141"/>
      <c r="AE539" s="141"/>
    </row>
    <row r="540" spans="6:31" ht="11.25" customHeight="1" x14ac:dyDescent="0.2">
      <c r="F540" s="243"/>
      <c r="G540" s="243"/>
      <c r="H540" s="141"/>
      <c r="L540" s="141"/>
      <c r="M540" s="141"/>
      <c r="AB540" s="141"/>
      <c r="AD540" s="141"/>
      <c r="AE540" s="141"/>
    </row>
    <row r="541" spans="6:31" ht="11.25" customHeight="1" x14ac:dyDescent="0.2">
      <c r="F541" s="243"/>
      <c r="G541" s="243"/>
      <c r="H541" s="141"/>
      <c r="L541" s="141"/>
      <c r="M541" s="141"/>
      <c r="AB541" s="141"/>
      <c r="AD541" s="141"/>
      <c r="AE541" s="141"/>
    </row>
    <row r="542" spans="6:31" ht="11.25" customHeight="1" x14ac:dyDescent="0.2">
      <c r="F542" s="243"/>
      <c r="G542" s="243"/>
      <c r="H542" s="141"/>
      <c r="L542" s="141"/>
      <c r="M542" s="141"/>
      <c r="AB542" s="141"/>
      <c r="AD542" s="141"/>
      <c r="AE542" s="141"/>
    </row>
    <row r="543" spans="6:31" ht="11.25" customHeight="1" x14ac:dyDescent="0.2">
      <c r="F543" s="243"/>
      <c r="G543" s="243"/>
      <c r="H543" s="141"/>
      <c r="L543" s="141"/>
      <c r="M543" s="141"/>
      <c r="AB543" s="141"/>
      <c r="AD543" s="141"/>
      <c r="AE543" s="141"/>
    </row>
    <row r="544" spans="6:31" ht="11.25" customHeight="1" x14ac:dyDescent="0.2">
      <c r="F544" s="243"/>
      <c r="G544" s="243"/>
      <c r="H544" s="141"/>
      <c r="L544" s="141"/>
      <c r="M544" s="141"/>
      <c r="AB544" s="141"/>
      <c r="AD544" s="141"/>
      <c r="AE544" s="141"/>
    </row>
    <row r="545" spans="6:31" ht="11.25" customHeight="1" x14ac:dyDescent="0.2">
      <c r="F545" s="243"/>
      <c r="G545" s="243"/>
      <c r="H545" s="141"/>
      <c r="L545" s="141"/>
      <c r="M545" s="141"/>
      <c r="AB545" s="141"/>
      <c r="AD545" s="141"/>
      <c r="AE545" s="141"/>
    </row>
    <row r="546" spans="6:31" ht="11.25" customHeight="1" x14ac:dyDescent="0.2">
      <c r="F546" s="243"/>
      <c r="G546" s="243"/>
      <c r="H546" s="141"/>
      <c r="L546" s="141"/>
      <c r="M546" s="141"/>
      <c r="AB546" s="141"/>
      <c r="AD546" s="141"/>
      <c r="AE546" s="141"/>
    </row>
    <row r="547" spans="6:31" ht="11.25" customHeight="1" x14ac:dyDescent="0.2">
      <c r="F547" s="243"/>
      <c r="G547" s="243"/>
      <c r="H547" s="141"/>
      <c r="L547" s="141"/>
      <c r="M547" s="141"/>
      <c r="AB547" s="141"/>
      <c r="AD547" s="141"/>
      <c r="AE547" s="141"/>
    </row>
    <row r="548" spans="6:31" ht="11.25" customHeight="1" x14ac:dyDescent="0.2">
      <c r="F548" s="243"/>
      <c r="G548" s="243"/>
      <c r="H548" s="141"/>
      <c r="L548" s="141"/>
      <c r="M548" s="141"/>
      <c r="AB548" s="141"/>
      <c r="AD548" s="141"/>
      <c r="AE548" s="141"/>
    </row>
    <row r="549" spans="6:31" ht="11.25" customHeight="1" x14ac:dyDescent="0.2">
      <c r="F549" s="243"/>
      <c r="G549" s="243"/>
      <c r="H549" s="141"/>
      <c r="L549" s="141"/>
      <c r="M549" s="141"/>
      <c r="AB549" s="141"/>
      <c r="AD549" s="141"/>
      <c r="AE549" s="141"/>
    </row>
    <row r="550" spans="6:31" ht="11.25" customHeight="1" x14ac:dyDescent="0.2">
      <c r="F550" s="243"/>
      <c r="G550" s="243"/>
      <c r="H550" s="141"/>
      <c r="L550" s="141"/>
      <c r="M550" s="141"/>
      <c r="AB550" s="141"/>
      <c r="AD550" s="141"/>
      <c r="AE550" s="141"/>
    </row>
    <row r="551" spans="6:31" ht="11.25" customHeight="1" x14ac:dyDescent="0.2">
      <c r="F551" s="243"/>
      <c r="G551" s="243"/>
      <c r="H551" s="141"/>
      <c r="L551" s="141"/>
      <c r="M551" s="141"/>
      <c r="AB551" s="141"/>
      <c r="AD551" s="141"/>
      <c r="AE551" s="141"/>
    </row>
    <row r="552" spans="6:31" ht="11.25" customHeight="1" x14ac:dyDescent="0.2">
      <c r="F552" s="243"/>
      <c r="G552" s="243"/>
      <c r="H552" s="141"/>
      <c r="L552" s="141"/>
      <c r="M552" s="141"/>
      <c r="AB552" s="141"/>
      <c r="AD552" s="141"/>
      <c r="AE552" s="141"/>
    </row>
    <row r="553" spans="6:31" ht="11.25" customHeight="1" x14ac:dyDescent="0.2">
      <c r="F553" s="243"/>
      <c r="G553" s="243"/>
      <c r="H553" s="141"/>
      <c r="L553" s="141"/>
      <c r="M553" s="141"/>
      <c r="AB553" s="141"/>
      <c r="AD553" s="141"/>
      <c r="AE553" s="141"/>
    </row>
    <row r="554" spans="6:31" ht="11.25" customHeight="1" x14ac:dyDescent="0.2">
      <c r="F554" s="243"/>
      <c r="G554" s="243"/>
      <c r="H554" s="141"/>
      <c r="L554" s="141"/>
      <c r="M554" s="141"/>
      <c r="AB554" s="141"/>
      <c r="AD554" s="141"/>
      <c r="AE554" s="141"/>
    </row>
    <row r="555" spans="6:31" ht="11.25" customHeight="1" x14ac:dyDescent="0.2">
      <c r="F555" s="243"/>
      <c r="G555" s="243"/>
      <c r="H555" s="141"/>
      <c r="L555" s="141"/>
      <c r="M555" s="141"/>
      <c r="AB555" s="141"/>
      <c r="AD555" s="141"/>
      <c r="AE555" s="141"/>
    </row>
    <row r="556" spans="6:31" ht="11.25" customHeight="1" x14ac:dyDescent="0.2">
      <c r="F556" s="243"/>
      <c r="G556" s="243"/>
      <c r="H556" s="141"/>
      <c r="L556" s="141"/>
      <c r="M556" s="141"/>
      <c r="AB556" s="141"/>
      <c r="AD556" s="141"/>
      <c r="AE556" s="141"/>
    </row>
    <row r="557" spans="6:31" ht="11.25" customHeight="1" x14ac:dyDescent="0.2">
      <c r="F557" s="243"/>
      <c r="G557" s="243"/>
      <c r="H557" s="141"/>
      <c r="L557" s="141"/>
      <c r="M557" s="141"/>
      <c r="AB557" s="141"/>
      <c r="AD557" s="141"/>
      <c r="AE557" s="141"/>
    </row>
    <row r="558" spans="6:31" ht="11.25" customHeight="1" x14ac:dyDescent="0.2">
      <c r="F558" s="243"/>
      <c r="G558" s="243"/>
      <c r="H558" s="141"/>
      <c r="L558" s="141"/>
      <c r="M558" s="141"/>
      <c r="AB558" s="141"/>
      <c r="AD558" s="141"/>
      <c r="AE558" s="141"/>
    </row>
    <row r="559" spans="6:31" ht="11.25" customHeight="1" x14ac:dyDescent="0.2">
      <c r="F559" s="243"/>
      <c r="G559" s="243"/>
      <c r="H559" s="141"/>
      <c r="L559" s="141"/>
      <c r="M559" s="141"/>
      <c r="AB559" s="141"/>
      <c r="AD559" s="141"/>
      <c r="AE559" s="141"/>
    </row>
    <row r="560" spans="6:31" ht="11.25" customHeight="1" x14ac:dyDescent="0.2">
      <c r="F560" s="243"/>
      <c r="G560" s="243"/>
      <c r="H560" s="141"/>
      <c r="L560" s="141"/>
      <c r="M560" s="141"/>
      <c r="AB560" s="141"/>
      <c r="AD560" s="141"/>
      <c r="AE560" s="141"/>
    </row>
    <row r="561" spans="6:31" ht="11.25" customHeight="1" x14ac:dyDescent="0.2">
      <c r="F561" s="243"/>
      <c r="G561" s="243"/>
      <c r="H561" s="141"/>
      <c r="L561" s="141"/>
      <c r="M561" s="141"/>
      <c r="AB561" s="141"/>
      <c r="AD561" s="141"/>
      <c r="AE561" s="141"/>
    </row>
    <row r="562" spans="6:31" ht="11.25" customHeight="1" x14ac:dyDescent="0.2">
      <c r="F562" s="243"/>
      <c r="G562" s="243"/>
      <c r="H562" s="141"/>
      <c r="L562" s="141"/>
      <c r="M562" s="141"/>
      <c r="AB562" s="141"/>
      <c r="AD562" s="141"/>
      <c r="AE562" s="141"/>
    </row>
    <row r="563" spans="6:31" ht="11.25" customHeight="1" x14ac:dyDescent="0.2">
      <c r="F563" s="243"/>
      <c r="G563" s="243"/>
      <c r="H563" s="141"/>
      <c r="L563" s="141"/>
      <c r="M563" s="141"/>
      <c r="AB563" s="141"/>
      <c r="AD563" s="141"/>
      <c r="AE563" s="141"/>
    </row>
    <row r="564" spans="6:31" ht="11.25" customHeight="1" x14ac:dyDescent="0.2">
      <c r="F564" s="243"/>
      <c r="G564" s="243"/>
      <c r="H564" s="141"/>
      <c r="L564" s="141"/>
      <c r="M564" s="141"/>
      <c r="AB564" s="141"/>
      <c r="AD564" s="141"/>
      <c r="AE564" s="141"/>
    </row>
    <row r="565" spans="6:31" ht="11.25" customHeight="1" x14ac:dyDescent="0.2">
      <c r="F565" s="243"/>
      <c r="G565" s="243"/>
      <c r="H565" s="141"/>
      <c r="L565" s="141"/>
      <c r="M565" s="141"/>
      <c r="AB565" s="141"/>
      <c r="AD565" s="141"/>
      <c r="AE565" s="141"/>
    </row>
    <row r="566" spans="6:31" ht="11.25" customHeight="1" x14ac:dyDescent="0.2">
      <c r="F566" s="243"/>
      <c r="G566" s="243"/>
      <c r="H566" s="141"/>
      <c r="L566" s="141"/>
      <c r="M566" s="141"/>
      <c r="AB566" s="141"/>
      <c r="AD566" s="141"/>
      <c r="AE566" s="141"/>
    </row>
    <row r="567" spans="6:31" ht="11.25" customHeight="1" x14ac:dyDescent="0.2">
      <c r="F567" s="243"/>
      <c r="G567" s="243"/>
      <c r="H567" s="141"/>
      <c r="L567" s="141"/>
      <c r="M567" s="141"/>
      <c r="AB567" s="141"/>
      <c r="AD567" s="141"/>
      <c r="AE567" s="141"/>
    </row>
    <row r="568" spans="6:31" ht="11.25" customHeight="1" x14ac:dyDescent="0.2">
      <c r="F568" s="243"/>
      <c r="G568" s="243"/>
      <c r="H568" s="141"/>
      <c r="L568" s="141"/>
      <c r="M568" s="141"/>
      <c r="AB568" s="141"/>
      <c r="AD568" s="141"/>
      <c r="AE568" s="141"/>
    </row>
    <row r="569" spans="6:31" ht="11.25" customHeight="1" x14ac:dyDescent="0.2">
      <c r="F569" s="243"/>
      <c r="G569" s="243"/>
      <c r="H569" s="141"/>
      <c r="L569" s="141"/>
      <c r="M569" s="141"/>
      <c r="AB569" s="141"/>
      <c r="AD569" s="141"/>
      <c r="AE569" s="141"/>
    </row>
    <row r="570" spans="6:31" ht="11.25" customHeight="1" x14ac:dyDescent="0.2">
      <c r="F570" s="243"/>
      <c r="G570" s="243"/>
      <c r="H570" s="141"/>
      <c r="L570" s="141"/>
      <c r="M570" s="141"/>
      <c r="AB570" s="141"/>
      <c r="AD570" s="141"/>
      <c r="AE570" s="141"/>
    </row>
    <row r="571" spans="6:31" ht="11.25" customHeight="1" x14ac:dyDescent="0.2">
      <c r="F571" s="243"/>
      <c r="G571" s="243"/>
      <c r="H571" s="141"/>
      <c r="L571" s="141"/>
      <c r="M571" s="141"/>
      <c r="AB571" s="141"/>
      <c r="AD571" s="141"/>
      <c r="AE571" s="141"/>
    </row>
    <row r="572" spans="6:31" ht="11.25" customHeight="1" x14ac:dyDescent="0.2">
      <c r="F572" s="243"/>
      <c r="G572" s="243"/>
      <c r="H572" s="141"/>
      <c r="L572" s="141"/>
      <c r="M572" s="141"/>
      <c r="AB572" s="141"/>
      <c r="AD572" s="141"/>
      <c r="AE572" s="141"/>
    </row>
    <row r="573" spans="6:31" ht="11.25" customHeight="1" x14ac:dyDescent="0.2">
      <c r="F573" s="243"/>
      <c r="G573" s="243"/>
      <c r="H573" s="141"/>
      <c r="L573" s="141"/>
      <c r="M573" s="141"/>
      <c r="AB573" s="141"/>
      <c r="AD573" s="141"/>
      <c r="AE573" s="141"/>
    </row>
    <row r="574" spans="6:31" ht="11.25" customHeight="1" x14ac:dyDescent="0.2">
      <c r="F574" s="243"/>
      <c r="G574" s="243"/>
      <c r="H574" s="141"/>
      <c r="L574" s="141"/>
      <c r="M574" s="141"/>
      <c r="AB574" s="141"/>
      <c r="AD574" s="141"/>
      <c r="AE574" s="141"/>
    </row>
    <row r="575" spans="6:31" ht="11.25" customHeight="1" x14ac:dyDescent="0.2">
      <c r="F575" s="243"/>
      <c r="G575" s="243"/>
      <c r="H575" s="141"/>
      <c r="L575" s="141"/>
      <c r="M575" s="141"/>
      <c r="AB575" s="141"/>
      <c r="AD575" s="141"/>
      <c r="AE575" s="141"/>
    </row>
    <row r="576" spans="6:31" ht="11.25" customHeight="1" x14ac:dyDescent="0.2">
      <c r="F576" s="243"/>
      <c r="G576" s="243"/>
      <c r="H576" s="141"/>
      <c r="L576" s="141"/>
      <c r="M576" s="141"/>
      <c r="AB576" s="141"/>
      <c r="AD576" s="141"/>
      <c r="AE576" s="141"/>
    </row>
    <row r="577" spans="6:31" ht="11.25" customHeight="1" x14ac:dyDescent="0.2">
      <c r="F577" s="243"/>
      <c r="G577" s="243"/>
      <c r="H577" s="141"/>
      <c r="L577" s="141"/>
      <c r="M577" s="141"/>
      <c r="AB577" s="141"/>
      <c r="AD577" s="141"/>
      <c r="AE577" s="141"/>
    </row>
    <row r="578" spans="6:31" ht="11.25" customHeight="1" x14ac:dyDescent="0.2">
      <c r="F578" s="243"/>
      <c r="G578" s="243"/>
      <c r="H578" s="141"/>
      <c r="L578" s="141"/>
      <c r="M578" s="141"/>
      <c r="AB578" s="141"/>
      <c r="AD578" s="141"/>
      <c r="AE578" s="141"/>
    </row>
    <row r="579" spans="6:31" ht="11.25" customHeight="1" x14ac:dyDescent="0.2">
      <c r="F579" s="243"/>
      <c r="G579" s="243"/>
      <c r="H579" s="141"/>
      <c r="L579" s="141"/>
      <c r="M579" s="141"/>
      <c r="AB579" s="141"/>
      <c r="AD579" s="141"/>
      <c r="AE579" s="141"/>
    </row>
    <row r="580" spans="6:31" ht="11.25" customHeight="1" x14ac:dyDescent="0.2">
      <c r="F580" s="243"/>
      <c r="G580" s="243"/>
      <c r="H580" s="141"/>
      <c r="L580" s="141"/>
      <c r="M580" s="141"/>
      <c r="AB580" s="141"/>
      <c r="AD580" s="141"/>
      <c r="AE580" s="141"/>
    </row>
    <row r="581" spans="6:31" ht="11.25" customHeight="1" x14ac:dyDescent="0.2">
      <c r="F581" s="243"/>
      <c r="G581" s="243"/>
      <c r="H581" s="141"/>
      <c r="L581" s="141"/>
      <c r="M581" s="141"/>
      <c r="AB581" s="141"/>
      <c r="AD581" s="141"/>
      <c r="AE581" s="141"/>
    </row>
    <row r="582" spans="6:31" ht="11.25" customHeight="1" x14ac:dyDescent="0.2">
      <c r="F582" s="243"/>
      <c r="G582" s="243"/>
      <c r="H582" s="141"/>
      <c r="L582" s="141"/>
      <c r="M582" s="141"/>
      <c r="AB582" s="141"/>
      <c r="AD582" s="141"/>
      <c r="AE582" s="141"/>
    </row>
    <row r="583" spans="6:31" x14ac:dyDescent="0.2">
      <c r="F583" s="243"/>
      <c r="G583" s="243"/>
      <c r="H583" s="141"/>
      <c r="L583" s="141"/>
      <c r="M583" s="141"/>
      <c r="AB583" s="141"/>
      <c r="AD583" s="141"/>
      <c r="AE583" s="141"/>
    </row>
    <row r="584" spans="6:31" x14ac:dyDescent="0.2">
      <c r="F584" s="243"/>
      <c r="G584" s="243"/>
      <c r="H584" s="141"/>
      <c r="L584" s="141"/>
      <c r="M584" s="141"/>
      <c r="AB584" s="141"/>
      <c r="AD584" s="141"/>
      <c r="AE584" s="141"/>
    </row>
    <row r="585" spans="6:31" x14ac:dyDescent="0.2">
      <c r="F585" s="243"/>
      <c r="G585" s="243"/>
      <c r="H585" s="141"/>
      <c r="L585" s="141"/>
      <c r="M585" s="141"/>
      <c r="AB585" s="141"/>
      <c r="AD585" s="141"/>
      <c r="AE585" s="141"/>
    </row>
    <row r="586" spans="6:31" x14ac:dyDescent="0.2">
      <c r="AB586" s="141"/>
      <c r="AD586" s="141"/>
      <c r="AE586" s="141"/>
    </row>
    <row r="587" spans="6:31" x14ac:dyDescent="0.2">
      <c r="AB587" s="141"/>
      <c r="AD587" s="141"/>
      <c r="AE587" s="141"/>
    </row>
    <row r="588" spans="6:31" x14ac:dyDescent="0.2">
      <c r="AB588" s="141"/>
      <c r="AD588" s="141"/>
      <c r="AE588" s="141"/>
    </row>
    <row r="589" spans="6:31" x14ac:dyDescent="0.2">
      <c r="AB589" s="141"/>
      <c r="AD589" s="141"/>
      <c r="AE589" s="141"/>
    </row>
    <row r="590" spans="6:31" x14ac:dyDescent="0.2">
      <c r="AB590" s="141"/>
      <c r="AD590" s="141"/>
      <c r="AE590" s="141"/>
    </row>
    <row r="591" spans="6:31" x14ac:dyDescent="0.2">
      <c r="AB591" s="141"/>
      <c r="AD591" s="141"/>
      <c r="AE591" s="141"/>
    </row>
    <row r="592" spans="6:31" x14ac:dyDescent="0.2">
      <c r="AB592" s="141"/>
      <c r="AD592" s="141"/>
      <c r="AE592" s="141"/>
    </row>
    <row r="593" spans="28:31" x14ac:dyDescent="0.2">
      <c r="AB593" s="141"/>
      <c r="AD593" s="141"/>
      <c r="AE593" s="141"/>
    </row>
    <row r="594" spans="28:31" x14ac:dyDescent="0.2">
      <c r="AB594" s="141"/>
      <c r="AD594" s="141"/>
      <c r="AE594" s="141"/>
    </row>
    <row r="595" spans="28:31" x14ac:dyDescent="0.2">
      <c r="AB595" s="141"/>
      <c r="AD595" s="141"/>
      <c r="AE595" s="141"/>
    </row>
    <row r="596" spans="28:31" x14ac:dyDescent="0.2">
      <c r="AB596" s="141"/>
      <c r="AD596" s="141"/>
      <c r="AE596" s="141"/>
    </row>
    <row r="597" spans="28:31" x14ac:dyDescent="0.2">
      <c r="AB597" s="141"/>
      <c r="AD597" s="141"/>
      <c r="AE597" s="141"/>
    </row>
    <row r="598" spans="28:31" x14ac:dyDescent="0.2">
      <c r="AB598" s="141"/>
      <c r="AD598" s="141"/>
      <c r="AE598" s="141"/>
    </row>
    <row r="599" spans="28:31" x14ac:dyDescent="0.2">
      <c r="AB599" s="141"/>
      <c r="AD599" s="141"/>
      <c r="AE599" s="141"/>
    </row>
    <row r="600" spans="28:31" x14ac:dyDescent="0.2">
      <c r="AB600" s="141"/>
      <c r="AD600" s="141"/>
      <c r="AE600" s="141"/>
    </row>
    <row r="601" spans="28:31" x14ac:dyDescent="0.2">
      <c r="AB601" s="141"/>
      <c r="AD601" s="141"/>
      <c r="AE601" s="141"/>
    </row>
    <row r="602" spans="28:31" x14ac:dyDescent="0.2">
      <c r="AB602" s="141"/>
      <c r="AD602" s="141"/>
      <c r="AE602" s="141"/>
    </row>
    <row r="603" spans="28:31" x14ac:dyDescent="0.2">
      <c r="AB603" s="141"/>
      <c r="AD603" s="141"/>
      <c r="AE603" s="141"/>
    </row>
    <row r="604" spans="28:31" x14ac:dyDescent="0.2">
      <c r="AB604" s="141"/>
      <c r="AD604" s="141"/>
      <c r="AE604" s="141"/>
    </row>
    <row r="605" spans="28:31" x14ac:dyDescent="0.2">
      <c r="AB605" s="141"/>
      <c r="AD605" s="141"/>
      <c r="AE605" s="141"/>
    </row>
    <row r="606" spans="28:31" x14ac:dyDescent="0.2">
      <c r="AB606" s="141"/>
      <c r="AD606" s="141"/>
      <c r="AE606" s="141"/>
    </row>
    <row r="607" spans="28:31" x14ac:dyDescent="0.2">
      <c r="AB607" s="141"/>
      <c r="AD607" s="141"/>
      <c r="AE607" s="141"/>
    </row>
    <row r="608" spans="28:31" x14ac:dyDescent="0.2">
      <c r="AB608" s="141"/>
      <c r="AD608" s="141"/>
      <c r="AE608" s="141"/>
    </row>
    <row r="609" spans="28:31" x14ac:dyDescent="0.2">
      <c r="AB609" s="141"/>
      <c r="AD609" s="141"/>
      <c r="AE609" s="141"/>
    </row>
    <row r="610" spans="28:31" x14ac:dyDescent="0.2">
      <c r="AB610" s="141"/>
      <c r="AD610" s="141"/>
      <c r="AE610" s="141"/>
    </row>
    <row r="611" spans="28:31" x14ac:dyDescent="0.2">
      <c r="AB611" s="141"/>
      <c r="AD611" s="141"/>
      <c r="AE611" s="141"/>
    </row>
    <row r="612" spans="28:31" x14ac:dyDescent="0.2">
      <c r="AB612" s="141"/>
      <c r="AD612" s="141"/>
      <c r="AE612" s="141"/>
    </row>
    <row r="613" spans="28:31" x14ac:dyDescent="0.2">
      <c r="AB613" s="141"/>
      <c r="AD613" s="141"/>
      <c r="AE613" s="141"/>
    </row>
    <row r="614" spans="28:31" x14ac:dyDescent="0.2">
      <c r="AB614" s="141"/>
      <c r="AD614" s="141"/>
      <c r="AE614" s="141"/>
    </row>
    <row r="615" spans="28:31" x14ac:dyDescent="0.2">
      <c r="AB615" s="141"/>
      <c r="AD615" s="141"/>
      <c r="AE615" s="141"/>
    </row>
    <row r="616" spans="28:31" x14ac:dyDescent="0.2">
      <c r="AB616" s="141"/>
      <c r="AD616" s="141"/>
      <c r="AE616" s="141"/>
    </row>
    <row r="617" spans="28:31" x14ac:dyDescent="0.2">
      <c r="AB617" s="141"/>
      <c r="AD617" s="141"/>
      <c r="AE617" s="141"/>
    </row>
    <row r="618" spans="28:31" x14ac:dyDescent="0.2">
      <c r="AB618" s="141"/>
      <c r="AD618" s="141"/>
      <c r="AE618" s="141"/>
    </row>
    <row r="619" spans="28:31" x14ac:dyDescent="0.2">
      <c r="AB619" s="141"/>
      <c r="AD619" s="141"/>
      <c r="AE619" s="141"/>
    </row>
    <row r="620" spans="28:31" x14ac:dyDescent="0.2">
      <c r="AB620" s="141"/>
      <c r="AD620" s="141"/>
      <c r="AE620" s="141"/>
    </row>
    <row r="621" spans="28:31" x14ac:dyDescent="0.2">
      <c r="AB621" s="141"/>
      <c r="AD621" s="141"/>
      <c r="AE621" s="141"/>
    </row>
    <row r="622" spans="28:31" x14ac:dyDescent="0.2">
      <c r="AB622" s="141"/>
      <c r="AD622" s="141"/>
      <c r="AE622" s="141"/>
    </row>
    <row r="623" spans="28:31" x14ac:dyDescent="0.2">
      <c r="AB623" s="141"/>
      <c r="AD623" s="141"/>
      <c r="AE623" s="141"/>
    </row>
    <row r="624" spans="28:31" x14ac:dyDescent="0.2">
      <c r="AB624" s="141"/>
      <c r="AD624" s="141"/>
      <c r="AE624" s="141"/>
    </row>
    <row r="625" spans="28:31" x14ac:dyDescent="0.2">
      <c r="AB625" s="141"/>
      <c r="AD625" s="141"/>
      <c r="AE625" s="141"/>
    </row>
    <row r="626" spans="28:31" x14ac:dyDescent="0.2">
      <c r="AB626" s="141"/>
      <c r="AD626" s="141"/>
      <c r="AE626" s="141"/>
    </row>
    <row r="627" spans="28:31" x14ac:dyDescent="0.2">
      <c r="AB627" s="141"/>
      <c r="AD627" s="141"/>
      <c r="AE627" s="141"/>
    </row>
    <row r="628" spans="28:31" x14ac:dyDescent="0.2">
      <c r="AB628" s="141"/>
      <c r="AD628" s="141"/>
      <c r="AE628" s="141"/>
    </row>
    <row r="629" spans="28:31" x14ac:dyDescent="0.2">
      <c r="AB629" s="141"/>
      <c r="AD629" s="141"/>
      <c r="AE629" s="141"/>
    </row>
    <row r="630" spans="28:31" x14ac:dyDescent="0.2">
      <c r="AB630" s="141"/>
      <c r="AD630" s="141"/>
      <c r="AE630" s="141"/>
    </row>
    <row r="631" spans="28:31" x14ac:dyDescent="0.2">
      <c r="AB631" s="141"/>
      <c r="AD631" s="141"/>
      <c r="AE631" s="141"/>
    </row>
    <row r="632" spans="28:31" x14ac:dyDescent="0.2">
      <c r="AB632" s="141"/>
      <c r="AD632" s="141"/>
      <c r="AE632" s="141"/>
    </row>
    <row r="633" spans="28:31" x14ac:dyDescent="0.2">
      <c r="AB633" s="141"/>
      <c r="AD633" s="141"/>
      <c r="AE633" s="141"/>
    </row>
    <row r="634" spans="28:31" x14ac:dyDescent="0.2">
      <c r="AB634" s="141"/>
      <c r="AD634" s="141"/>
      <c r="AE634" s="141"/>
    </row>
    <row r="635" spans="28:31" x14ac:dyDescent="0.2">
      <c r="AB635" s="141"/>
      <c r="AD635" s="141"/>
      <c r="AE635" s="141"/>
    </row>
    <row r="636" spans="28:31" x14ac:dyDescent="0.2">
      <c r="AB636" s="141"/>
      <c r="AD636" s="141"/>
      <c r="AE636" s="141"/>
    </row>
    <row r="637" spans="28:31" x14ac:dyDescent="0.2">
      <c r="AB637" s="141"/>
      <c r="AD637" s="141"/>
      <c r="AE637" s="141"/>
    </row>
    <row r="638" spans="28:31" x14ac:dyDescent="0.2">
      <c r="AB638" s="141"/>
      <c r="AD638" s="141"/>
      <c r="AE638" s="141"/>
    </row>
    <row r="639" spans="28:31" x14ac:dyDescent="0.2">
      <c r="AB639" s="141"/>
      <c r="AD639" s="141"/>
      <c r="AE639" s="141"/>
    </row>
    <row r="640" spans="28:31" x14ac:dyDescent="0.2">
      <c r="AB640" s="141"/>
      <c r="AD640" s="141"/>
      <c r="AE640" s="141"/>
    </row>
    <row r="641" spans="28:31" x14ac:dyDescent="0.2">
      <c r="AB641" s="141"/>
      <c r="AD641" s="141"/>
      <c r="AE641" s="141"/>
    </row>
    <row r="642" spans="28:31" x14ac:dyDescent="0.2">
      <c r="AB642" s="141"/>
      <c r="AD642" s="141"/>
      <c r="AE642" s="141"/>
    </row>
    <row r="643" spans="28:31" x14ac:dyDescent="0.2">
      <c r="AB643" s="141"/>
      <c r="AD643" s="141"/>
      <c r="AE643" s="141"/>
    </row>
    <row r="644" spans="28:31" x14ac:dyDescent="0.2">
      <c r="AB644" s="141"/>
      <c r="AD644" s="141"/>
      <c r="AE644" s="141"/>
    </row>
    <row r="645" spans="28:31" x14ac:dyDescent="0.2">
      <c r="AB645" s="141"/>
      <c r="AD645" s="141"/>
      <c r="AE645" s="141"/>
    </row>
    <row r="646" spans="28:31" x14ac:dyDescent="0.2">
      <c r="AB646" s="141"/>
      <c r="AD646" s="141"/>
      <c r="AE646" s="141"/>
    </row>
    <row r="647" spans="28:31" x14ac:dyDescent="0.2">
      <c r="AB647" s="141"/>
      <c r="AD647" s="141"/>
      <c r="AE647" s="141"/>
    </row>
    <row r="648" spans="28:31" x14ac:dyDescent="0.2">
      <c r="AB648" s="141"/>
      <c r="AD648" s="141"/>
      <c r="AE648" s="141"/>
    </row>
    <row r="649" spans="28:31" x14ac:dyDescent="0.2">
      <c r="AB649" s="141"/>
      <c r="AD649" s="141"/>
      <c r="AE649" s="141"/>
    </row>
    <row r="650" spans="28:31" x14ac:dyDescent="0.2">
      <c r="AB650" s="141"/>
      <c r="AD650" s="141"/>
      <c r="AE650" s="141"/>
    </row>
    <row r="651" spans="28:31" x14ac:dyDescent="0.2">
      <c r="AB651" s="141"/>
      <c r="AD651" s="141"/>
      <c r="AE651" s="141"/>
    </row>
    <row r="652" spans="28:31" x14ac:dyDescent="0.2">
      <c r="AB652" s="141"/>
      <c r="AD652" s="141"/>
      <c r="AE652" s="141"/>
    </row>
    <row r="653" spans="28:31" x14ac:dyDescent="0.2">
      <c r="AB653" s="141"/>
      <c r="AD653" s="141"/>
      <c r="AE653" s="141"/>
    </row>
    <row r="654" spans="28:31" x14ac:dyDescent="0.2">
      <c r="AB654" s="141"/>
      <c r="AD654" s="141"/>
      <c r="AE654" s="141"/>
    </row>
    <row r="655" spans="28:31" x14ac:dyDescent="0.2">
      <c r="AB655" s="141"/>
      <c r="AD655" s="141"/>
      <c r="AE655" s="141"/>
    </row>
    <row r="656" spans="28:31" x14ac:dyDescent="0.2">
      <c r="AB656" s="141"/>
      <c r="AD656" s="141"/>
      <c r="AE656" s="141"/>
    </row>
    <row r="657" spans="28:31" x14ac:dyDescent="0.2">
      <c r="AB657" s="141"/>
      <c r="AD657" s="141"/>
      <c r="AE657" s="141"/>
    </row>
    <row r="658" spans="28:31" x14ac:dyDescent="0.2">
      <c r="AB658" s="141"/>
      <c r="AD658" s="141"/>
      <c r="AE658" s="141"/>
    </row>
    <row r="659" spans="28:31" x14ac:dyDescent="0.2">
      <c r="AB659" s="141"/>
      <c r="AD659" s="141"/>
      <c r="AE659" s="141"/>
    </row>
    <row r="660" spans="28:31" x14ac:dyDescent="0.2">
      <c r="AB660" s="141"/>
      <c r="AD660" s="141"/>
      <c r="AE660" s="141"/>
    </row>
    <row r="661" spans="28:31" x14ac:dyDescent="0.2">
      <c r="AB661" s="141"/>
      <c r="AD661" s="141"/>
      <c r="AE661" s="141"/>
    </row>
    <row r="662" spans="28:31" x14ac:dyDescent="0.2">
      <c r="AB662" s="141"/>
      <c r="AD662" s="141"/>
      <c r="AE662" s="141"/>
    </row>
    <row r="663" spans="28:31" x14ac:dyDescent="0.2">
      <c r="AB663" s="141"/>
      <c r="AD663" s="141"/>
      <c r="AE663" s="141"/>
    </row>
    <row r="664" spans="28:31" x14ac:dyDescent="0.2">
      <c r="AB664" s="141"/>
      <c r="AD664" s="141"/>
      <c r="AE664" s="141"/>
    </row>
    <row r="665" spans="28:31" x14ac:dyDescent="0.2">
      <c r="AB665" s="141"/>
      <c r="AD665" s="141"/>
      <c r="AE665" s="141"/>
    </row>
    <row r="666" spans="28:31" x14ac:dyDescent="0.2">
      <c r="AB666" s="141"/>
      <c r="AD666" s="141"/>
      <c r="AE666" s="141"/>
    </row>
    <row r="667" spans="28:31" x14ac:dyDescent="0.2">
      <c r="AB667" s="141"/>
      <c r="AD667" s="141"/>
      <c r="AE667" s="141"/>
    </row>
    <row r="668" spans="28:31" x14ac:dyDescent="0.2">
      <c r="AB668" s="141"/>
      <c r="AD668" s="141"/>
      <c r="AE668" s="141"/>
    </row>
    <row r="669" spans="28:31" x14ac:dyDescent="0.2">
      <c r="AB669" s="141"/>
      <c r="AD669" s="141"/>
      <c r="AE669" s="141"/>
    </row>
    <row r="670" spans="28:31" x14ac:dyDescent="0.2">
      <c r="AB670" s="141"/>
      <c r="AD670" s="141"/>
      <c r="AE670" s="141"/>
    </row>
    <row r="671" spans="28:31" x14ac:dyDescent="0.2">
      <c r="AB671" s="141"/>
      <c r="AD671" s="141"/>
      <c r="AE671" s="141"/>
    </row>
    <row r="672" spans="28:31" x14ac:dyDescent="0.2">
      <c r="AB672" s="141"/>
      <c r="AD672" s="141"/>
      <c r="AE672" s="141"/>
    </row>
    <row r="673" spans="28:31" x14ac:dyDescent="0.2">
      <c r="AB673" s="141"/>
      <c r="AD673" s="141"/>
      <c r="AE673" s="141"/>
    </row>
    <row r="674" spans="28:31" x14ac:dyDescent="0.2">
      <c r="AB674" s="141"/>
      <c r="AD674" s="141"/>
      <c r="AE674" s="141"/>
    </row>
    <row r="675" spans="28:31" x14ac:dyDescent="0.2">
      <c r="AB675" s="141"/>
      <c r="AD675" s="141"/>
      <c r="AE675" s="141"/>
    </row>
    <row r="676" spans="28:31" x14ac:dyDescent="0.2">
      <c r="AB676" s="141"/>
      <c r="AD676" s="141"/>
      <c r="AE676" s="141"/>
    </row>
    <row r="677" spans="28:31" x14ac:dyDescent="0.2">
      <c r="AB677" s="141"/>
      <c r="AD677" s="141"/>
      <c r="AE677" s="141"/>
    </row>
    <row r="678" spans="28:31" x14ac:dyDescent="0.2">
      <c r="AB678" s="141"/>
      <c r="AD678" s="141"/>
      <c r="AE678" s="141"/>
    </row>
    <row r="679" spans="28:31" x14ac:dyDescent="0.2">
      <c r="AB679" s="141"/>
      <c r="AD679" s="141"/>
      <c r="AE679" s="141"/>
    </row>
    <row r="680" spans="28:31" x14ac:dyDescent="0.2">
      <c r="AB680" s="141"/>
      <c r="AD680" s="141"/>
      <c r="AE680" s="141"/>
    </row>
    <row r="681" spans="28:31" x14ac:dyDescent="0.2">
      <c r="AB681" s="141"/>
      <c r="AD681" s="141"/>
      <c r="AE681" s="141"/>
    </row>
    <row r="682" spans="28:31" x14ac:dyDescent="0.2">
      <c r="AB682" s="141"/>
      <c r="AD682" s="141"/>
      <c r="AE682" s="141"/>
    </row>
    <row r="683" spans="28:31" x14ac:dyDescent="0.2">
      <c r="AB683" s="141"/>
      <c r="AD683" s="141"/>
      <c r="AE683" s="141"/>
    </row>
    <row r="684" spans="28:31" x14ac:dyDescent="0.2">
      <c r="AB684" s="141"/>
      <c r="AD684" s="141"/>
      <c r="AE684" s="141"/>
    </row>
    <row r="685" spans="28:31" x14ac:dyDescent="0.2">
      <c r="AB685" s="141"/>
      <c r="AD685" s="141"/>
      <c r="AE685" s="141"/>
    </row>
    <row r="686" spans="28:31" x14ac:dyDescent="0.2">
      <c r="AB686" s="141"/>
      <c r="AD686" s="141"/>
      <c r="AE686" s="141"/>
    </row>
    <row r="687" spans="28:31" x14ac:dyDescent="0.2">
      <c r="AB687" s="141"/>
      <c r="AD687" s="141"/>
      <c r="AE687" s="141"/>
    </row>
    <row r="688" spans="28:31" x14ac:dyDescent="0.2">
      <c r="AB688" s="141"/>
      <c r="AD688" s="141"/>
      <c r="AE688" s="141"/>
    </row>
    <row r="689" spans="28:31" x14ac:dyDescent="0.2">
      <c r="AB689" s="141"/>
      <c r="AD689" s="141"/>
      <c r="AE689" s="141"/>
    </row>
    <row r="690" spans="28:31" x14ac:dyDescent="0.2">
      <c r="AB690" s="141"/>
      <c r="AD690" s="141"/>
      <c r="AE690" s="141"/>
    </row>
    <row r="691" spans="28:31" x14ac:dyDescent="0.2">
      <c r="AB691" s="141"/>
      <c r="AD691" s="141"/>
      <c r="AE691" s="141"/>
    </row>
    <row r="692" spans="28:31" x14ac:dyDescent="0.2">
      <c r="AB692" s="141"/>
      <c r="AD692" s="141"/>
      <c r="AE692" s="141"/>
    </row>
    <row r="693" spans="28:31" x14ac:dyDescent="0.2">
      <c r="AB693" s="141"/>
      <c r="AD693" s="141"/>
      <c r="AE693" s="141"/>
    </row>
    <row r="694" spans="28:31" x14ac:dyDescent="0.2">
      <c r="AB694" s="141"/>
      <c r="AD694" s="141"/>
      <c r="AE694" s="141"/>
    </row>
    <row r="695" spans="28:31" x14ac:dyDescent="0.2">
      <c r="AB695" s="141"/>
      <c r="AD695" s="141"/>
      <c r="AE695" s="141"/>
    </row>
    <row r="696" spans="28:31" x14ac:dyDescent="0.2">
      <c r="AB696" s="141"/>
      <c r="AD696" s="141"/>
      <c r="AE696" s="141"/>
    </row>
    <row r="697" spans="28:31" x14ac:dyDescent="0.2">
      <c r="AB697" s="141"/>
      <c r="AD697" s="141"/>
      <c r="AE697" s="141"/>
    </row>
    <row r="698" spans="28:31" x14ac:dyDescent="0.2">
      <c r="AB698" s="141"/>
      <c r="AD698" s="141"/>
      <c r="AE698" s="141"/>
    </row>
    <row r="699" spans="28:31" x14ac:dyDescent="0.2">
      <c r="AB699" s="141"/>
      <c r="AD699" s="141"/>
      <c r="AE699" s="141"/>
    </row>
    <row r="700" spans="28:31" x14ac:dyDescent="0.2">
      <c r="AB700" s="141"/>
      <c r="AD700" s="141"/>
      <c r="AE700" s="141"/>
    </row>
    <row r="701" spans="28:31" x14ac:dyDescent="0.2">
      <c r="AB701" s="141"/>
      <c r="AD701" s="141"/>
      <c r="AE701" s="141"/>
    </row>
    <row r="702" spans="28:31" x14ac:dyDescent="0.2">
      <c r="AB702" s="141"/>
      <c r="AD702" s="141"/>
      <c r="AE702" s="141"/>
    </row>
    <row r="703" spans="28:31" x14ac:dyDescent="0.2">
      <c r="AB703" s="141"/>
      <c r="AD703" s="141"/>
      <c r="AE703" s="141"/>
    </row>
    <row r="704" spans="28:31" x14ac:dyDescent="0.2">
      <c r="AB704" s="141"/>
      <c r="AD704" s="141"/>
      <c r="AE704" s="141"/>
    </row>
    <row r="705" spans="28:31" x14ac:dyDescent="0.2">
      <c r="AB705" s="141"/>
      <c r="AD705" s="141"/>
      <c r="AE705" s="141"/>
    </row>
    <row r="706" spans="28:31" x14ac:dyDescent="0.2">
      <c r="AB706" s="141"/>
      <c r="AD706" s="141"/>
      <c r="AE706" s="141"/>
    </row>
    <row r="707" spans="28:31" x14ac:dyDescent="0.2">
      <c r="AB707" s="141"/>
      <c r="AD707" s="141"/>
      <c r="AE707" s="141"/>
    </row>
    <row r="708" spans="28:31" x14ac:dyDescent="0.2">
      <c r="AB708" s="141"/>
      <c r="AD708" s="141"/>
      <c r="AE708" s="141"/>
    </row>
    <row r="709" spans="28:31" x14ac:dyDescent="0.2">
      <c r="AB709" s="141"/>
      <c r="AD709" s="141"/>
      <c r="AE709" s="141"/>
    </row>
    <row r="710" spans="28:31" x14ac:dyDescent="0.2">
      <c r="AB710" s="141"/>
      <c r="AD710" s="141"/>
      <c r="AE710" s="141"/>
    </row>
    <row r="711" spans="28:31" x14ac:dyDescent="0.2">
      <c r="AB711" s="141"/>
      <c r="AD711" s="141"/>
      <c r="AE711" s="141"/>
    </row>
    <row r="712" spans="28:31" x14ac:dyDescent="0.2">
      <c r="AB712" s="141"/>
      <c r="AD712" s="141"/>
      <c r="AE712" s="141"/>
    </row>
    <row r="713" spans="28:31" x14ac:dyDescent="0.2">
      <c r="AB713" s="141"/>
      <c r="AD713" s="141"/>
      <c r="AE713" s="141"/>
    </row>
    <row r="714" spans="28:31" x14ac:dyDescent="0.2">
      <c r="AB714" s="141"/>
      <c r="AD714" s="141"/>
      <c r="AE714" s="141"/>
    </row>
    <row r="715" spans="28:31" x14ac:dyDescent="0.2">
      <c r="AB715" s="141"/>
      <c r="AD715" s="141"/>
      <c r="AE715" s="141"/>
    </row>
    <row r="716" spans="28:31" x14ac:dyDescent="0.2">
      <c r="AB716" s="141"/>
      <c r="AD716" s="141"/>
      <c r="AE716" s="141"/>
    </row>
    <row r="717" spans="28:31" x14ac:dyDescent="0.2">
      <c r="AB717" s="141"/>
      <c r="AD717" s="141"/>
      <c r="AE717" s="141"/>
    </row>
    <row r="718" spans="28:31" x14ac:dyDescent="0.2">
      <c r="AB718" s="141"/>
      <c r="AD718" s="141"/>
      <c r="AE718" s="141"/>
    </row>
    <row r="719" spans="28:31" x14ac:dyDescent="0.2">
      <c r="AB719" s="141"/>
      <c r="AD719" s="141"/>
      <c r="AE719" s="141"/>
    </row>
    <row r="720" spans="28:31" x14ac:dyDescent="0.2">
      <c r="AB720" s="141"/>
      <c r="AD720" s="141"/>
      <c r="AE720" s="141"/>
    </row>
    <row r="721" spans="28:31" x14ac:dyDescent="0.2">
      <c r="AB721" s="141"/>
      <c r="AD721" s="141"/>
      <c r="AE721" s="141"/>
    </row>
    <row r="722" spans="28:31" x14ac:dyDescent="0.2">
      <c r="AB722" s="141"/>
      <c r="AD722" s="141"/>
      <c r="AE722" s="141"/>
    </row>
    <row r="723" spans="28:31" x14ac:dyDescent="0.2">
      <c r="AB723" s="141"/>
      <c r="AD723" s="141"/>
      <c r="AE723" s="141"/>
    </row>
    <row r="724" spans="28:31" x14ac:dyDescent="0.2">
      <c r="AB724" s="141"/>
      <c r="AD724" s="141"/>
      <c r="AE724" s="141"/>
    </row>
    <row r="725" spans="28:31" x14ac:dyDescent="0.2">
      <c r="AB725" s="141"/>
      <c r="AD725" s="141"/>
      <c r="AE725" s="141"/>
    </row>
    <row r="726" spans="28:31" x14ac:dyDescent="0.2">
      <c r="AB726" s="141"/>
      <c r="AD726" s="141"/>
      <c r="AE726" s="141"/>
    </row>
    <row r="727" spans="28:31" x14ac:dyDescent="0.2">
      <c r="AB727" s="141"/>
      <c r="AD727" s="141"/>
      <c r="AE727" s="141"/>
    </row>
    <row r="728" spans="28:31" x14ac:dyDescent="0.2">
      <c r="AB728" s="141"/>
      <c r="AD728" s="141"/>
      <c r="AE728" s="141"/>
    </row>
    <row r="729" spans="28:31" x14ac:dyDescent="0.2">
      <c r="AB729" s="141"/>
      <c r="AD729" s="141"/>
      <c r="AE729" s="141"/>
    </row>
    <row r="730" spans="28:31" x14ac:dyDescent="0.2">
      <c r="AB730" s="141"/>
      <c r="AD730" s="141"/>
      <c r="AE730" s="141"/>
    </row>
    <row r="731" spans="28:31" x14ac:dyDescent="0.2">
      <c r="AB731" s="141"/>
      <c r="AD731" s="141"/>
      <c r="AE731" s="141"/>
    </row>
    <row r="732" spans="28:31" x14ac:dyDescent="0.2">
      <c r="AB732" s="141"/>
      <c r="AD732" s="141"/>
      <c r="AE732" s="141"/>
    </row>
    <row r="733" spans="28:31" x14ac:dyDescent="0.2">
      <c r="AB733" s="141"/>
      <c r="AD733" s="141"/>
      <c r="AE733" s="141"/>
    </row>
    <row r="734" spans="28:31" x14ac:dyDescent="0.2">
      <c r="AB734" s="141"/>
      <c r="AD734" s="141"/>
      <c r="AE734" s="141"/>
    </row>
    <row r="735" spans="28:31" x14ac:dyDescent="0.2">
      <c r="AB735" s="141"/>
      <c r="AD735" s="141"/>
      <c r="AE735" s="141"/>
    </row>
    <row r="736" spans="28:31" x14ac:dyDescent="0.2">
      <c r="AB736" s="141"/>
      <c r="AD736" s="141"/>
      <c r="AE736" s="141"/>
    </row>
    <row r="737" spans="28:31" x14ac:dyDescent="0.2">
      <c r="AB737" s="141"/>
      <c r="AD737" s="141"/>
      <c r="AE737" s="141"/>
    </row>
    <row r="738" spans="28:31" x14ac:dyDescent="0.2">
      <c r="AB738" s="141"/>
      <c r="AD738" s="141"/>
      <c r="AE738" s="141"/>
    </row>
    <row r="739" spans="28:31" x14ac:dyDescent="0.2">
      <c r="AB739" s="141"/>
      <c r="AD739" s="141"/>
      <c r="AE739" s="141"/>
    </row>
    <row r="740" spans="28:31" x14ac:dyDescent="0.2">
      <c r="AB740" s="141"/>
      <c r="AD740" s="141"/>
      <c r="AE740" s="141"/>
    </row>
    <row r="741" spans="28:31" x14ac:dyDescent="0.2">
      <c r="AB741" s="141"/>
      <c r="AD741" s="141"/>
      <c r="AE741" s="141"/>
    </row>
    <row r="742" spans="28:31" x14ac:dyDescent="0.2">
      <c r="AB742" s="141"/>
      <c r="AD742" s="141"/>
      <c r="AE742" s="141"/>
    </row>
    <row r="743" spans="28:31" x14ac:dyDescent="0.2">
      <c r="AB743" s="141"/>
      <c r="AD743" s="141"/>
      <c r="AE743" s="141"/>
    </row>
    <row r="744" spans="28:31" x14ac:dyDescent="0.2">
      <c r="AB744" s="141"/>
      <c r="AD744" s="141"/>
      <c r="AE744" s="141"/>
    </row>
    <row r="745" spans="28:31" x14ac:dyDescent="0.2">
      <c r="AB745" s="141"/>
      <c r="AD745" s="141"/>
      <c r="AE745" s="141"/>
    </row>
    <row r="746" spans="28:31" x14ac:dyDescent="0.2">
      <c r="AB746" s="141"/>
      <c r="AD746" s="141"/>
      <c r="AE746" s="141"/>
    </row>
    <row r="747" spans="28:31" x14ac:dyDescent="0.2">
      <c r="AB747" s="141"/>
      <c r="AD747" s="141"/>
      <c r="AE747" s="141"/>
    </row>
    <row r="748" spans="28:31" x14ac:dyDescent="0.2">
      <c r="AB748" s="141"/>
      <c r="AD748" s="141"/>
      <c r="AE748" s="141"/>
    </row>
    <row r="749" spans="28:31" x14ac:dyDescent="0.2">
      <c r="AB749" s="141"/>
      <c r="AD749" s="141"/>
      <c r="AE749" s="141"/>
    </row>
    <row r="750" spans="28:31" x14ac:dyDescent="0.2">
      <c r="AB750" s="141"/>
      <c r="AD750" s="141"/>
      <c r="AE750" s="141"/>
    </row>
    <row r="751" spans="28:31" x14ac:dyDescent="0.2">
      <c r="AB751" s="141"/>
      <c r="AD751" s="141"/>
      <c r="AE751" s="141"/>
    </row>
    <row r="752" spans="28:31" x14ac:dyDescent="0.2">
      <c r="AB752" s="141"/>
      <c r="AD752" s="141"/>
      <c r="AE752" s="141"/>
    </row>
    <row r="753" spans="28:31" x14ac:dyDescent="0.2">
      <c r="AB753" s="141"/>
      <c r="AD753" s="141"/>
      <c r="AE753" s="141"/>
    </row>
    <row r="754" spans="28:31" x14ac:dyDescent="0.2">
      <c r="AB754" s="141"/>
      <c r="AD754" s="141"/>
      <c r="AE754" s="141"/>
    </row>
    <row r="755" spans="28:31" x14ac:dyDescent="0.2">
      <c r="AB755" s="141"/>
      <c r="AD755" s="141"/>
      <c r="AE755" s="141"/>
    </row>
    <row r="756" spans="28:31" x14ac:dyDescent="0.2">
      <c r="AB756" s="141"/>
      <c r="AD756" s="141"/>
      <c r="AE756" s="141"/>
    </row>
    <row r="757" spans="28:31" x14ac:dyDescent="0.2">
      <c r="AB757" s="141"/>
      <c r="AD757" s="141"/>
      <c r="AE757" s="141"/>
    </row>
    <row r="758" spans="28:31" x14ac:dyDescent="0.2">
      <c r="AB758" s="141"/>
      <c r="AD758" s="141"/>
      <c r="AE758" s="141"/>
    </row>
    <row r="759" spans="28:31" x14ac:dyDescent="0.2">
      <c r="AB759" s="141"/>
      <c r="AD759" s="141"/>
      <c r="AE759" s="141"/>
    </row>
    <row r="760" spans="28:31" x14ac:dyDescent="0.2">
      <c r="AB760" s="141"/>
      <c r="AD760" s="141"/>
      <c r="AE760" s="141"/>
    </row>
    <row r="761" spans="28:31" x14ac:dyDescent="0.2">
      <c r="AB761" s="141"/>
      <c r="AD761" s="141"/>
      <c r="AE761" s="141"/>
    </row>
    <row r="762" spans="28:31" x14ac:dyDescent="0.2">
      <c r="AB762" s="141"/>
      <c r="AD762" s="141"/>
      <c r="AE762" s="141"/>
    </row>
    <row r="763" spans="28:31" x14ac:dyDescent="0.2">
      <c r="AB763" s="141"/>
      <c r="AD763" s="141"/>
      <c r="AE763" s="141"/>
    </row>
    <row r="764" spans="28:31" x14ac:dyDescent="0.2">
      <c r="AB764" s="141"/>
      <c r="AD764" s="141"/>
      <c r="AE764" s="141"/>
    </row>
    <row r="765" spans="28:31" x14ac:dyDescent="0.2">
      <c r="AB765" s="141"/>
      <c r="AD765" s="141"/>
      <c r="AE765" s="141"/>
    </row>
    <row r="766" spans="28:31" x14ac:dyDescent="0.2">
      <c r="AB766" s="141"/>
      <c r="AD766" s="141"/>
      <c r="AE766" s="141"/>
    </row>
    <row r="767" spans="28:31" x14ac:dyDescent="0.2">
      <c r="AB767" s="141"/>
      <c r="AD767" s="141"/>
      <c r="AE767" s="141"/>
    </row>
    <row r="768" spans="28:31" x14ac:dyDescent="0.2">
      <c r="AB768" s="141"/>
      <c r="AD768" s="141"/>
      <c r="AE768" s="141"/>
    </row>
    <row r="769" spans="28:31" x14ac:dyDescent="0.2">
      <c r="AB769" s="141"/>
      <c r="AD769" s="141"/>
      <c r="AE769" s="141"/>
    </row>
    <row r="770" spans="28:31" x14ac:dyDescent="0.2">
      <c r="AB770" s="141"/>
      <c r="AD770" s="141"/>
      <c r="AE770" s="141"/>
    </row>
    <row r="771" spans="28:31" x14ac:dyDescent="0.2">
      <c r="AB771" s="141"/>
      <c r="AD771" s="141"/>
      <c r="AE771" s="141"/>
    </row>
    <row r="772" spans="28:31" x14ac:dyDescent="0.2">
      <c r="AB772" s="141"/>
      <c r="AD772" s="141"/>
      <c r="AE772" s="141"/>
    </row>
    <row r="773" spans="28:31" x14ac:dyDescent="0.2">
      <c r="AB773" s="141"/>
      <c r="AD773" s="141"/>
      <c r="AE773" s="141"/>
    </row>
    <row r="774" spans="28:31" x14ac:dyDescent="0.2">
      <c r="AB774" s="141"/>
      <c r="AD774" s="141"/>
      <c r="AE774" s="141"/>
    </row>
    <row r="775" spans="28:31" x14ac:dyDescent="0.2">
      <c r="AB775" s="141"/>
      <c r="AD775" s="141"/>
      <c r="AE775" s="141"/>
    </row>
    <row r="776" spans="28:31" x14ac:dyDescent="0.2">
      <c r="AB776" s="141"/>
      <c r="AD776" s="141"/>
      <c r="AE776" s="141"/>
    </row>
    <row r="777" spans="28:31" x14ac:dyDescent="0.2">
      <c r="AB777" s="141"/>
      <c r="AD777" s="141"/>
      <c r="AE777" s="141"/>
    </row>
    <row r="778" spans="28:31" x14ac:dyDescent="0.2">
      <c r="AB778" s="141"/>
      <c r="AD778" s="141"/>
      <c r="AE778" s="141"/>
    </row>
    <row r="779" spans="28:31" x14ac:dyDescent="0.2">
      <c r="AB779" s="141"/>
      <c r="AD779" s="141"/>
      <c r="AE779" s="141"/>
    </row>
    <row r="780" spans="28:31" x14ac:dyDescent="0.2">
      <c r="AB780" s="141"/>
      <c r="AD780" s="141"/>
      <c r="AE780" s="141"/>
    </row>
    <row r="781" spans="28:31" x14ac:dyDescent="0.2">
      <c r="AB781" s="141"/>
      <c r="AD781" s="141"/>
      <c r="AE781" s="141"/>
    </row>
    <row r="782" spans="28:31" x14ac:dyDescent="0.2">
      <c r="AB782" s="141"/>
      <c r="AD782" s="141"/>
      <c r="AE782" s="141"/>
    </row>
    <row r="783" spans="28:31" x14ac:dyDescent="0.2">
      <c r="AB783" s="141"/>
      <c r="AD783" s="141"/>
      <c r="AE783" s="141"/>
    </row>
    <row r="784" spans="28:31" x14ac:dyDescent="0.2">
      <c r="AB784" s="141"/>
      <c r="AD784" s="141"/>
      <c r="AE784" s="141"/>
    </row>
    <row r="785" spans="28:31" x14ac:dyDescent="0.2">
      <c r="AB785" s="141"/>
      <c r="AD785" s="141"/>
      <c r="AE785" s="141"/>
    </row>
    <row r="786" spans="28:31" x14ac:dyDescent="0.2">
      <c r="AB786" s="141"/>
      <c r="AD786" s="141"/>
      <c r="AE786" s="141"/>
    </row>
    <row r="787" spans="28:31" x14ac:dyDescent="0.2">
      <c r="AB787" s="141"/>
      <c r="AD787" s="141"/>
      <c r="AE787" s="141"/>
    </row>
    <row r="788" spans="28:31" x14ac:dyDescent="0.2">
      <c r="AB788" s="141"/>
      <c r="AD788" s="141"/>
      <c r="AE788" s="141"/>
    </row>
    <row r="789" spans="28:31" x14ac:dyDescent="0.2">
      <c r="AB789" s="141"/>
      <c r="AD789" s="141"/>
      <c r="AE789" s="141"/>
    </row>
    <row r="790" spans="28:31" x14ac:dyDescent="0.2">
      <c r="AB790" s="141"/>
      <c r="AD790" s="141"/>
      <c r="AE790" s="141"/>
    </row>
    <row r="791" spans="28:31" x14ac:dyDescent="0.2">
      <c r="AB791" s="141"/>
      <c r="AD791" s="141"/>
      <c r="AE791" s="141"/>
    </row>
    <row r="792" spans="28:31" x14ac:dyDescent="0.2">
      <c r="AB792" s="141"/>
      <c r="AD792" s="141"/>
      <c r="AE792" s="141"/>
    </row>
    <row r="793" spans="28:31" x14ac:dyDescent="0.2">
      <c r="AB793" s="141"/>
      <c r="AD793" s="141"/>
      <c r="AE793" s="141"/>
    </row>
    <row r="794" spans="28:31" x14ac:dyDescent="0.2">
      <c r="AB794" s="141"/>
      <c r="AD794" s="141"/>
      <c r="AE794" s="141"/>
    </row>
    <row r="795" spans="28:31" x14ac:dyDescent="0.2">
      <c r="AB795" s="141"/>
      <c r="AD795" s="141"/>
      <c r="AE795" s="141"/>
    </row>
    <row r="796" spans="28:31" x14ac:dyDescent="0.2">
      <c r="AB796" s="141"/>
      <c r="AD796" s="141"/>
      <c r="AE796" s="141"/>
    </row>
    <row r="797" spans="28:31" x14ac:dyDescent="0.2">
      <c r="AB797" s="141"/>
      <c r="AD797" s="141"/>
      <c r="AE797" s="141"/>
    </row>
    <row r="798" spans="28:31" x14ac:dyDescent="0.2">
      <c r="AB798" s="141"/>
      <c r="AD798" s="141"/>
      <c r="AE798" s="141"/>
    </row>
    <row r="799" spans="28:31" x14ac:dyDescent="0.2">
      <c r="AB799" s="141"/>
      <c r="AD799" s="141"/>
      <c r="AE799" s="141"/>
    </row>
    <row r="800" spans="28:31" x14ac:dyDescent="0.2">
      <c r="AB800" s="141"/>
      <c r="AD800" s="141"/>
      <c r="AE800" s="141"/>
    </row>
    <row r="801" spans="28:31" x14ac:dyDescent="0.2">
      <c r="AB801" s="141"/>
      <c r="AD801" s="141"/>
      <c r="AE801" s="141"/>
    </row>
    <row r="802" spans="28:31" x14ac:dyDescent="0.2">
      <c r="AB802" s="141"/>
      <c r="AD802" s="141"/>
      <c r="AE802" s="141"/>
    </row>
    <row r="803" spans="28:31" x14ac:dyDescent="0.2">
      <c r="AB803" s="141"/>
      <c r="AD803" s="141"/>
      <c r="AE803" s="141"/>
    </row>
    <row r="804" spans="28:31" x14ac:dyDescent="0.2">
      <c r="AB804" s="141"/>
      <c r="AD804" s="141"/>
      <c r="AE804" s="141"/>
    </row>
    <row r="805" spans="28:31" x14ac:dyDescent="0.2">
      <c r="AB805" s="141"/>
      <c r="AD805" s="141"/>
      <c r="AE805" s="141"/>
    </row>
    <row r="806" spans="28:31" x14ac:dyDescent="0.2">
      <c r="AB806" s="141"/>
      <c r="AD806" s="141"/>
      <c r="AE806" s="141"/>
    </row>
    <row r="807" spans="28:31" x14ac:dyDescent="0.2">
      <c r="AB807" s="141"/>
      <c r="AD807" s="141"/>
      <c r="AE807" s="141"/>
    </row>
    <row r="808" spans="28:31" x14ac:dyDescent="0.2">
      <c r="AB808" s="141"/>
      <c r="AD808" s="141"/>
      <c r="AE808" s="141"/>
    </row>
    <row r="809" spans="28:31" x14ac:dyDescent="0.2">
      <c r="AB809" s="141"/>
      <c r="AD809" s="141"/>
      <c r="AE809" s="141"/>
    </row>
    <row r="810" spans="28:31" x14ac:dyDescent="0.2">
      <c r="AB810" s="141"/>
      <c r="AD810" s="141"/>
      <c r="AE810" s="141"/>
    </row>
    <row r="811" spans="28:31" x14ac:dyDescent="0.2">
      <c r="AB811" s="141"/>
      <c r="AD811" s="141"/>
      <c r="AE811" s="141"/>
    </row>
    <row r="812" spans="28:31" x14ac:dyDescent="0.2">
      <c r="AB812" s="141"/>
      <c r="AD812" s="141"/>
      <c r="AE812" s="141"/>
    </row>
    <row r="813" spans="28:31" x14ac:dyDescent="0.2">
      <c r="AB813" s="141"/>
      <c r="AD813" s="141"/>
      <c r="AE813" s="141"/>
    </row>
    <row r="814" spans="28:31" x14ac:dyDescent="0.2">
      <c r="AB814" s="141"/>
      <c r="AD814" s="141"/>
      <c r="AE814" s="141"/>
    </row>
    <row r="815" spans="28:31" x14ac:dyDescent="0.2">
      <c r="AB815" s="141"/>
      <c r="AD815" s="141"/>
      <c r="AE815" s="141"/>
    </row>
    <row r="816" spans="28:31" x14ac:dyDescent="0.2">
      <c r="AB816" s="141"/>
      <c r="AD816" s="141"/>
      <c r="AE816" s="141"/>
    </row>
    <row r="817" spans="28:31" x14ac:dyDescent="0.2">
      <c r="AB817" s="141"/>
      <c r="AD817" s="141"/>
      <c r="AE817" s="141"/>
    </row>
    <row r="818" spans="28:31" x14ac:dyDescent="0.2">
      <c r="AB818" s="141"/>
      <c r="AD818" s="141"/>
      <c r="AE818" s="141"/>
    </row>
    <row r="819" spans="28:31" x14ac:dyDescent="0.2">
      <c r="AB819" s="141"/>
      <c r="AD819" s="141"/>
      <c r="AE819" s="141"/>
    </row>
    <row r="820" spans="28:31" x14ac:dyDescent="0.2">
      <c r="AB820" s="141"/>
      <c r="AD820" s="141"/>
      <c r="AE820" s="141"/>
    </row>
    <row r="821" spans="28:31" x14ac:dyDescent="0.2">
      <c r="AB821" s="141"/>
      <c r="AD821" s="141"/>
      <c r="AE821" s="141"/>
    </row>
    <row r="822" spans="28:31" x14ac:dyDescent="0.2">
      <c r="AB822" s="141"/>
      <c r="AD822" s="141"/>
      <c r="AE822" s="141"/>
    </row>
    <row r="823" spans="28:31" x14ac:dyDescent="0.2">
      <c r="AB823" s="141"/>
      <c r="AD823" s="141"/>
      <c r="AE823" s="141"/>
    </row>
    <row r="824" spans="28:31" x14ac:dyDescent="0.2">
      <c r="AB824" s="141"/>
      <c r="AD824" s="141"/>
      <c r="AE824" s="141"/>
    </row>
    <row r="825" spans="28:31" x14ac:dyDescent="0.2">
      <c r="AB825" s="141"/>
      <c r="AD825" s="141"/>
      <c r="AE825" s="141"/>
    </row>
    <row r="826" spans="28:31" x14ac:dyDescent="0.2">
      <c r="AB826" s="141"/>
      <c r="AD826" s="141"/>
      <c r="AE826" s="141"/>
    </row>
    <row r="827" spans="28:31" x14ac:dyDescent="0.2">
      <c r="AB827" s="141"/>
      <c r="AD827" s="141"/>
      <c r="AE827" s="141"/>
    </row>
    <row r="828" spans="28:31" x14ac:dyDescent="0.2">
      <c r="AB828" s="141"/>
      <c r="AD828" s="141"/>
      <c r="AE828" s="141"/>
    </row>
    <row r="829" spans="28:31" x14ac:dyDescent="0.2">
      <c r="AB829" s="141"/>
      <c r="AD829" s="141"/>
      <c r="AE829" s="141"/>
    </row>
    <row r="830" spans="28:31" x14ac:dyDescent="0.2">
      <c r="AB830" s="141"/>
      <c r="AD830" s="141"/>
      <c r="AE830" s="141"/>
    </row>
    <row r="831" spans="28:31" x14ac:dyDescent="0.2">
      <c r="AB831" s="141"/>
      <c r="AD831" s="141"/>
      <c r="AE831" s="141"/>
    </row>
    <row r="832" spans="28:31" x14ac:dyDescent="0.2">
      <c r="AB832" s="141"/>
      <c r="AD832" s="141"/>
      <c r="AE832" s="141"/>
    </row>
    <row r="833" spans="28:31" x14ac:dyDescent="0.2">
      <c r="AB833" s="141"/>
      <c r="AD833" s="141"/>
      <c r="AE833" s="141"/>
    </row>
    <row r="834" spans="28:31" x14ac:dyDescent="0.2">
      <c r="AB834" s="141"/>
      <c r="AD834" s="141"/>
      <c r="AE834" s="141"/>
    </row>
    <row r="835" spans="28:31" x14ac:dyDescent="0.2">
      <c r="AB835" s="141"/>
      <c r="AD835" s="141"/>
      <c r="AE835" s="141"/>
    </row>
    <row r="836" spans="28:31" x14ac:dyDescent="0.2">
      <c r="AB836" s="141"/>
      <c r="AD836" s="141"/>
      <c r="AE836" s="141"/>
    </row>
    <row r="837" spans="28:31" x14ac:dyDescent="0.2">
      <c r="AB837" s="141"/>
      <c r="AD837" s="141"/>
      <c r="AE837" s="141"/>
    </row>
    <row r="838" spans="28:31" x14ac:dyDescent="0.2">
      <c r="AB838" s="141"/>
      <c r="AD838" s="141"/>
      <c r="AE838" s="141"/>
    </row>
    <row r="839" spans="28:31" x14ac:dyDescent="0.2">
      <c r="AB839" s="141"/>
      <c r="AD839" s="141"/>
      <c r="AE839" s="141"/>
    </row>
    <row r="840" spans="28:31" x14ac:dyDescent="0.2">
      <c r="AB840" s="141"/>
      <c r="AD840" s="141"/>
      <c r="AE840" s="141"/>
    </row>
    <row r="841" spans="28:31" x14ac:dyDescent="0.2">
      <c r="AB841" s="141"/>
      <c r="AD841" s="141"/>
      <c r="AE841" s="141"/>
    </row>
    <row r="842" spans="28:31" x14ac:dyDescent="0.2">
      <c r="AB842" s="141"/>
      <c r="AD842" s="141"/>
      <c r="AE842" s="141"/>
    </row>
    <row r="843" spans="28:31" x14ac:dyDescent="0.2">
      <c r="AB843" s="141"/>
      <c r="AD843" s="141"/>
      <c r="AE843" s="141"/>
    </row>
    <row r="844" spans="28:31" x14ac:dyDescent="0.2">
      <c r="AB844" s="141"/>
      <c r="AD844" s="141"/>
      <c r="AE844" s="141"/>
    </row>
    <row r="845" spans="28:31" x14ac:dyDescent="0.2">
      <c r="AB845" s="141"/>
      <c r="AD845" s="141"/>
      <c r="AE845" s="141"/>
    </row>
    <row r="846" spans="28:31" x14ac:dyDescent="0.2">
      <c r="AB846" s="141"/>
      <c r="AD846" s="141"/>
      <c r="AE846" s="141"/>
    </row>
    <row r="847" spans="28:31" x14ac:dyDescent="0.2">
      <c r="AB847" s="141"/>
      <c r="AD847" s="141"/>
      <c r="AE847" s="141"/>
    </row>
    <row r="848" spans="28:31" x14ac:dyDescent="0.2">
      <c r="AB848" s="141"/>
      <c r="AD848" s="141"/>
      <c r="AE848" s="141"/>
    </row>
    <row r="849" spans="28:31" x14ac:dyDescent="0.2">
      <c r="AB849" s="141"/>
      <c r="AD849" s="141"/>
      <c r="AE849" s="141"/>
    </row>
    <row r="850" spans="28:31" x14ac:dyDescent="0.2">
      <c r="AB850" s="141"/>
      <c r="AD850" s="141"/>
      <c r="AE850" s="141"/>
    </row>
    <row r="851" spans="28:31" x14ac:dyDescent="0.2">
      <c r="AB851" s="141"/>
      <c r="AD851" s="141"/>
      <c r="AE851" s="141"/>
    </row>
    <row r="852" spans="28:31" x14ac:dyDescent="0.2">
      <c r="AB852" s="141"/>
      <c r="AD852" s="141"/>
      <c r="AE852" s="141"/>
    </row>
    <row r="853" spans="28:31" x14ac:dyDescent="0.2">
      <c r="AB853" s="141"/>
      <c r="AD853" s="141"/>
      <c r="AE853" s="141"/>
    </row>
    <row r="854" spans="28:31" x14ac:dyDescent="0.2">
      <c r="AB854" s="141"/>
      <c r="AD854" s="141"/>
      <c r="AE854" s="141"/>
    </row>
    <row r="855" spans="28:31" x14ac:dyDescent="0.2">
      <c r="AB855" s="141"/>
      <c r="AD855" s="141"/>
      <c r="AE855" s="141"/>
    </row>
    <row r="856" spans="28:31" x14ac:dyDescent="0.2">
      <c r="AB856" s="141"/>
      <c r="AD856" s="141"/>
      <c r="AE856" s="141"/>
    </row>
    <row r="857" spans="28:31" x14ac:dyDescent="0.2">
      <c r="AB857" s="141"/>
      <c r="AD857" s="141"/>
      <c r="AE857" s="141"/>
    </row>
    <row r="858" spans="28:31" x14ac:dyDescent="0.2">
      <c r="AB858" s="141"/>
      <c r="AD858" s="141"/>
      <c r="AE858" s="141"/>
    </row>
    <row r="859" spans="28:31" x14ac:dyDescent="0.2">
      <c r="AB859" s="141"/>
      <c r="AD859" s="141"/>
      <c r="AE859" s="141"/>
    </row>
    <row r="860" spans="28:31" x14ac:dyDescent="0.2">
      <c r="AB860" s="141"/>
      <c r="AD860" s="141"/>
      <c r="AE860" s="141"/>
    </row>
    <row r="861" spans="28:31" x14ac:dyDescent="0.2">
      <c r="AB861" s="141"/>
      <c r="AD861" s="141"/>
      <c r="AE861" s="141"/>
    </row>
    <row r="862" spans="28:31" x14ac:dyDescent="0.2">
      <c r="AB862" s="141"/>
      <c r="AD862" s="141"/>
      <c r="AE862" s="141"/>
    </row>
    <row r="863" spans="28:31" x14ac:dyDescent="0.2">
      <c r="AB863" s="141"/>
      <c r="AD863" s="141"/>
      <c r="AE863" s="141"/>
    </row>
    <row r="864" spans="28:31" x14ac:dyDescent="0.2">
      <c r="AB864" s="141"/>
      <c r="AD864" s="141"/>
      <c r="AE864" s="141"/>
    </row>
    <row r="865" spans="28:31" x14ac:dyDescent="0.2">
      <c r="AB865" s="141"/>
      <c r="AD865" s="141"/>
      <c r="AE865" s="141"/>
    </row>
    <row r="866" spans="28:31" x14ac:dyDescent="0.2">
      <c r="AB866" s="141"/>
      <c r="AD866" s="141"/>
      <c r="AE866" s="141"/>
    </row>
    <row r="867" spans="28:31" x14ac:dyDescent="0.2">
      <c r="AB867" s="141"/>
      <c r="AD867" s="141"/>
      <c r="AE867" s="141"/>
    </row>
    <row r="868" spans="28:31" x14ac:dyDescent="0.2">
      <c r="AB868" s="141"/>
      <c r="AD868" s="141"/>
      <c r="AE868" s="141"/>
    </row>
    <row r="869" spans="28:31" x14ac:dyDescent="0.2">
      <c r="AB869" s="141"/>
      <c r="AD869" s="141"/>
      <c r="AE869" s="141"/>
    </row>
    <row r="870" spans="28:31" x14ac:dyDescent="0.2">
      <c r="AB870" s="141"/>
      <c r="AD870" s="141"/>
      <c r="AE870" s="141"/>
    </row>
    <row r="871" spans="28:31" x14ac:dyDescent="0.2">
      <c r="AB871" s="141"/>
      <c r="AD871" s="141"/>
      <c r="AE871" s="141"/>
    </row>
    <row r="872" spans="28:31" x14ac:dyDescent="0.2">
      <c r="AB872" s="141"/>
      <c r="AD872" s="141"/>
      <c r="AE872" s="141"/>
    </row>
    <row r="873" spans="28:31" x14ac:dyDescent="0.2">
      <c r="AB873" s="141"/>
      <c r="AD873" s="141"/>
      <c r="AE873" s="141"/>
    </row>
    <row r="874" spans="28:31" x14ac:dyDescent="0.2">
      <c r="AB874" s="141"/>
      <c r="AD874" s="141"/>
      <c r="AE874" s="141"/>
    </row>
    <row r="875" spans="28:31" x14ac:dyDescent="0.2">
      <c r="AB875" s="141"/>
      <c r="AD875" s="141"/>
      <c r="AE875" s="141"/>
    </row>
    <row r="876" spans="28:31" x14ac:dyDescent="0.2">
      <c r="AB876" s="141"/>
      <c r="AD876" s="141"/>
      <c r="AE876" s="141"/>
    </row>
    <row r="877" spans="28:31" x14ac:dyDescent="0.2">
      <c r="AB877" s="141"/>
      <c r="AD877" s="141"/>
      <c r="AE877" s="141"/>
    </row>
    <row r="878" spans="28:31" x14ac:dyDescent="0.2">
      <c r="AB878" s="141"/>
      <c r="AD878" s="141"/>
      <c r="AE878" s="141"/>
    </row>
    <row r="879" spans="28:31" x14ac:dyDescent="0.2">
      <c r="AB879" s="141"/>
      <c r="AD879" s="141"/>
      <c r="AE879" s="141"/>
    </row>
    <row r="880" spans="28:31" x14ac:dyDescent="0.2">
      <c r="AB880" s="141"/>
      <c r="AD880" s="141"/>
      <c r="AE880" s="141"/>
    </row>
    <row r="881" spans="28:31" x14ac:dyDescent="0.2">
      <c r="AB881" s="141"/>
      <c r="AD881" s="141"/>
      <c r="AE881" s="141"/>
    </row>
    <row r="882" spans="28:31" x14ac:dyDescent="0.2">
      <c r="AB882" s="141"/>
      <c r="AD882" s="141"/>
      <c r="AE882" s="141"/>
    </row>
    <row r="883" spans="28:31" x14ac:dyDescent="0.2">
      <c r="AB883" s="141"/>
      <c r="AD883" s="141"/>
      <c r="AE883" s="141"/>
    </row>
    <row r="884" spans="28:31" x14ac:dyDescent="0.2">
      <c r="AB884" s="141"/>
      <c r="AD884" s="141"/>
      <c r="AE884" s="141"/>
    </row>
    <row r="885" spans="28:31" x14ac:dyDescent="0.2">
      <c r="AB885" s="141"/>
      <c r="AD885" s="141"/>
      <c r="AE885" s="141"/>
    </row>
    <row r="886" spans="28:31" x14ac:dyDescent="0.2">
      <c r="AB886" s="141"/>
      <c r="AD886" s="141"/>
      <c r="AE886" s="141"/>
    </row>
    <row r="887" spans="28:31" x14ac:dyDescent="0.2">
      <c r="AB887" s="141"/>
      <c r="AD887" s="141"/>
      <c r="AE887" s="141"/>
    </row>
    <row r="888" spans="28:31" x14ac:dyDescent="0.2">
      <c r="AB888" s="141"/>
      <c r="AD888" s="141"/>
      <c r="AE888" s="141"/>
    </row>
    <row r="889" spans="28:31" x14ac:dyDescent="0.2">
      <c r="AB889" s="141"/>
      <c r="AD889" s="141"/>
      <c r="AE889" s="141"/>
    </row>
    <row r="890" spans="28:31" x14ac:dyDescent="0.2">
      <c r="AB890" s="141"/>
      <c r="AD890" s="141"/>
      <c r="AE890" s="141"/>
    </row>
    <row r="891" spans="28:31" x14ac:dyDescent="0.2">
      <c r="AB891" s="141"/>
      <c r="AD891" s="141"/>
      <c r="AE891" s="141"/>
    </row>
    <row r="892" spans="28:31" x14ac:dyDescent="0.2">
      <c r="AB892" s="141"/>
      <c r="AD892" s="141"/>
      <c r="AE892" s="141"/>
    </row>
    <row r="893" spans="28:31" x14ac:dyDescent="0.2">
      <c r="AB893" s="141"/>
      <c r="AD893" s="141"/>
      <c r="AE893" s="141"/>
    </row>
    <row r="894" spans="28:31" x14ac:dyDescent="0.2">
      <c r="AB894" s="141"/>
      <c r="AD894" s="141"/>
      <c r="AE894" s="141"/>
    </row>
    <row r="895" spans="28:31" x14ac:dyDescent="0.2">
      <c r="AB895" s="141"/>
      <c r="AD895" s="141"/>
      <c r="AE895" s="141"/>
    </row>
    <row r="896" spans="28:31" x14ac:dyDescent="0.2">
      <c r="AB896" s="141"/>
      <c r="AD896" s="141"/>
      <c r="AE896" s="141"/>
    </row>
    <row r="897" spans="28:31" x14ac:dyDescent="0.2">
      <c r="AB897" s="141"/>
      <c r="AD897" s="141"/>
      <c r="AE897" s="141"/>
    </row>
    <row r="898" spans="28:31" x14ac:dyDescent="0.2">
      <c r="AB898" s="141"/>
      <c r="AD898" s="141"/>
      <c r="AE898" s="141"/>
    </row>
    <row r="899" spans="28:31" x14ac:dyDescent="0.2">
      <c r="AB899" s="141"/>
      <c r="AD899" s="141"/>
      <c r="AE899" s="141"/>
    </row>
    <row r="900" spans="28:31" x14ac:dyDescent="0.2">
      <c r="AB900" s="141"/>
      <c r="AD900" s="141"/>
      <c r="AE900" s="141"/>
    </row>
    <row r="901" spans="28:31" x14ac:dyDescent="0.2">
      <c r="AB901" s="141"/>
      <c r="AD901" s="141"/>
      <c r="AE901" s="141"/>
    </row>
    <row r="902" spans="28:31" x14ac:dyDescent="0.2">
      <c r="AB902" s="141"/>
      <c r="AD902" s="141"/>
      <c r="AE902" s="141"/>
    </row>
    <row r="903" spans="28:31" x14ac:dyDescent="0.2">
      <c r="AB903" s="141"/>
      <c r="AD903" s="141"/>
      <c r="AE903" s="141"/>
    </row>
    <row r="904" spans="28:31" x14ac:dyDescent="0.2">
      <c r="AB904" s="141"/>
      <c r="AD904" s="141"/>
      <c r="AE904" s="141"/>
    </row>
    <row r="905" spans="28:31" x14ac:dyDescent="0.2">
      <c r="AB905" s="141"/>
      <c r="AD905" s="141"/>
      <c r="AE905" s="141"/>
    </row>
    <row r="906" spans="28:31" x14ac:dyDescent="0.2">
      <c r="AB906" s="141"/>
      <c r="AD906" s="141"/>
      <c r="AE906" s="141"/>
    </row>
    <row r="907" spans="28:31" x14ac:dyDescent="0.2">
      <c r="AB907" s="141"/>
      <c r="AD907" s="141"/>
      <c r="AE907" s="141"/>
    </row>
    <row r="908" spans="28:31" x14ac:dyDescent="0.2">
      <c r="AB908" s="141"/>
      <c r="AD908" s="141"/>
      <c r="AE908" s="141"/>
    </row>
    <row r="909" spans="28:31" x14ac:dyDescent="0.2">
      <c r="AB909" s="141"/>
      <c r="AD909" s="141"/>
      <c r="AE909" s="141"/>
    </row>
    <row r="910" spans="28:31" x14ac:dyDescent="0.2">
      <c r="AB910" s="141"/>
      <c r="AD910" s="141"/>
      <c r="AE910" s="141"/>
    </row>
    <row r="911" spans="28:31" x14ac:dyDescent="0.2">
      <c r="AB911" s="141"/>
      <c r="AD911" s="141"/>
      <c r="AE911" s="141"/>
    </row>
    <row r="912" spans="28:31" x14ac:dyDescent="0.2">
      <c r="AB912" s="141"/>
      <c r="AD912" s="141"/>
      <c r="AE912" s="141"/>
    </row>
    <row r="913" spans="28:31" x14ac:dyDescent="0.2">
      <c r="AB913" s="141"/>
      <c r="AD913" s="141"/>
      <c r="AE913" s="141"/>
    </row>
    <row r="914" spans="28:31" x14ac:dyDescent="0.2">
      <c r="AB914" s="141"/>
      <c r="AD914" s="141"/>
      <c r="AE914" s="141"/>
    </row>
    <row r="915" spans="28:31" x14ac:dyDescent="0.2">
      <c r="AB915" s="141"/>
      <c r="AD915" s="141"/>
      <c r="AE915" s="141"/>
    </row>
    <row r="916" spans="28:31" x14ac:dyDescent="0.2">
      <c r="AB916" s="141"/>
      <c r="AD916" s="141"/>
      <c r="AE916" s="141"/>
    </row>
    <row r="917" spans="28:31" x14ac:dyDescent="0.2">
      <c r="AB917" s="141"/>
      <c r="AD917" s="141"/>
      <c r="AE917" s="141"/>
    </row>
    <row r="918" spans="28:31" x14ac:dyDescent="0.2">
      <c r="AB918" s="141"/>
      <c r="AD918" s="141"/>
      <c r="AE918" s="141"/>
    </row>
    <row r="919" spans="28:31" x14ac:dyDescent="0.2">
      <c r="AB919" s="141"/>
      <c r="AD919" s="141"/>
      <c r="AE919" s="141"/>
    </row>
    <row r="920" spans="28:31" x14ac:dyDescent="0.2">
      <c r="AB920" s="141"/>
      <c r="AD920" s="141"/>
      <c r="AE920" s="141"/>
    </row>
    <row r="921" spans="28:31" x14ac:dyDescent="0.2">
      <c r="AB921" s="141"/>
      <c r="AD921" s="141"/>
      <c r="AE921" s="141"/>
    </row>
    <row r="922" spans="28:31" x14ac:dyDescent="0.2">
      <c r="AB922" s="141"/>
      <c r="AD922" s="141"/>
      <c r="AE922" s="141"/>
    </row>
    <row r="923" spans="28:31" x14ac:dyDescent="0.2">
      <c r="AB923" s="141"/>
      <c r="AD923" s="141"/>
      <c r="AE923" s="141"/>
    </row>
    <row r="924" spans="28:31" x14ac:dyDescent="0.2">
      <c r="AB924" s="141"/>
      <c r="AD924" s="141"/>
      <c r="AE924" s="141"/>
    </row>
    <row r="925" spans="28:31" x14ac:dyDescent="0.2">
      <c r="AB925" s="141"/>
      <c r="AD925" s="141"/>
      <c r="AE925" s="141"/>
    </row>
    <row r="926" spans="28:31" x14ac:dyDescent="0.2">
      <c r="AB926" s="141"/>
      <c r="AD926" s="141"/>
      <c r="AE926" s="141"/>
    </row>
    <row r="927" spans="28:31" x14ac:dyDescent="0.2">
      <c r="AB927" s="141"/>
      <c r="AD927" s="141"/>
      <c r="AE927" s="141"/>
    </row>
    <row r="928" spans="28:31" x14ac:dyDescent="0.2">
      <c r="AB928" s="141"/>
      <c r="AD928" s="141"/>
      <c r="AE928" s="141"/>
    </row>
    <row r="929" spans="28:31" x14ac:dyDescent="0.2">
      <c r="AB929" s="141"/>
      <c r="AD929" s="141"/>
      <c r="AE929" s="141"/>
    </row>
    <row r="930" spans="28:31" x14ac:dyDescent="0.2">
      <c r="AB930" s="141"/>
      <c r="AD930" s="141"/>
      <c r="AE930" s="141"/>
    </row>
    <row r="931" spans="28:31" x14ac:dyDescent="0.2">
      <c r="AB931" s="141"/>
      <c r="AD931" s="141"/>
      <c r="AE931" s="141"/>
    </row>
    <row r="932" spans="28:31" x14ac:dyDescent="0.2">
      <c r="AB932" s="141"/>
      <c r="AD932" s="141"/>
      <c r="AE932" s="141"/>
    </row>
    <row r="933" spans="28:31" x14ac:dyDescent="0.2">
      <c r="AB933" s="141"/>
      <c r="AD933" s="141"/>
      <c r="AE933" s="141"/>
    </row>
    <row r="934" spans="28:31" x14ac:dyDescent="0.2">
      <c r="AB934" s="141"/>
      <c r="AD934" s="141"/>
      <c r="AE934" s="141"/>
    </row>
    <row r="935" spans="28:31" x14ac:dyDescent="0.2">
      <c r="AB935" s="141"/>
      <c r="AD935" s="141"/>
      <c r="AE935" s="141"/>
    </row>
    <row r="936" spans="28:31" x14ac:dyDescent="0.2">
      <c r="AB936" s="141"/>
      <c r="AD936" s="141"/>
      <c r="AE936" s="141"/>
    </row>
    <row r="937" spans="28:31" x14ac:dyDescent="0.2">
      <c r="AB937" s="141"/>
      <c r="AD937" s="141"/>
      <c r="AE937" s="141"/>
    </row>
    <row r="938" spans="28:31" x14ac:dyDescent="0.2">
      <c r="AB938" s="141"/>
      <c r="AD938" s="141"/>
      <c r="AE938" s="141"/>
    </row>
    <row r="939" spans="28:31" x14ac:dyDescent="0.2">
      <c r="AB939" s="141"/>
      <c r="AD939" s="141"/>
      <c r="AE939" s="141"/>
    </row>
    <row r="940" spans="28:31" x14ac:dyDescent="0.2">
      <c r="AB940" s="141"/>
      <c r="AD940" s="141"/>
      <c r="AE940" s="141"/>
    </row>
    <row r="941" spans="28:31" x14ac:dyDescent="0.2">
      <c r="AB941" s="141"/>
      <c r="AD941" s="141"/>
      <c r="AE941" s="141"/>
    </row>
    <row r="942" spans="28:31" x14ac:dyDescent="0.2">
      <c r="AB942" s="141"/>
      <c r="AD942" s="141"/>
      <c r="AE942" s="141"/>
    </row>
    <row r="943" spans="28:31" x14ac:dyDescent="0.2">
      <c r="AB943" s="141"/>
      <c r="AD943" s="141"/>
      <c r="AE943" s="141"/>
    </row>
    <row r="944" spans="28:31" x14ac:dyDescent="0.2">
      <c r="AB944" s="141"/>
      <c r="AD944" s="141"/>
      <c r="AE944" s="141"/>
    </row>
    <row r="945" spans="28:31" x14ac:dyDescent="0.2">
      <c r="AB945" s="141"/>
      <c r="AD945" s="141"/>
      <c r="AE945" s="141"/>
    </row>
    <row r="946" spans="28:31" x14ac:dyDescent="0.2">
      <c r="AB946" s="141"/>
      <c r="AD946" s="141"/>
      <c r="AE946" s="141"/>
    </row>
    <row r="947" spans="28:31" x14ac:dyDescent="0.2">
      <c r="AB947" s="141"/>
      <c r="AD947" s="141"/>
      <c r="AE947" s="141"/>
    </row>
    <row r="948" spans="28:31" x14ac:dyDescent="0.2">
      <c r="AB948" s="141"/>
      <c r="AD948" s="141"/>
      <c r="AE948" s="141"/>
    </row>
    <row r="949" spans="28:31" x14ac:dyDescent="0.2">
      <c r="AB949" s="141"/>
      <c r="AD949" s="141"/>
      <c r="AE949" s="141"/>
    </row>
    <row r="950" spans="28:31" x14ac:dyDescent="0.2">
      <c r="AB950" s="141"/>
      <c r="AD950" s="141"/>
      <c r="AE950" s="141"/>
    </row>
    <row r="951" spans="28:31" x14ac:dyDescent="0.2">
      <c r="AB951" s="141"/>
      <c r="AD951" s="141"/>
      <c r="AE951" s="141"/>
    </row>
    <row r="952" spans="28:31" x14ac:dyDescent="0.2">
      <c r="AB952" s="141"/>
      <c r="AD952" s="141"/>
      <c r="AE952" s="141"/>
    </row>
    <row r="953" spans="28:31" x14ac:dyDescent="0.2">
      <c r="AB953" s="141"/>
      <c r="AD953" s="141"/>
      <c r="AE953" s="141"/>
    </row>
    <row r="954" spans="28:31" x14ac:dyDescent="0.2">
      <c r="AB954" s="141"/>
      <c r="AD954" s="141"/>
      <c r="AE954" s="141"/>
    </row>
    <row r="955" spans="28:31" x14ac:dyDescent="0.2">
      <c r="AB955" s="141"/>
      <c r="AD955" s="141"/>
      <c r="AE955" s="141"/>
    </row>
    <row r="956" spans="28:31" x14ac:dyDescent="0.2">
      <c r="AB956" s="141"/>
      <c r="AD956" s="141"/>
      <c r="AE956" s="141"/>
    </row>
    <row r="957" spans="28:31" x14ac:dyDescent="0.2">
      <c r="AB957" s="141"/>
      <c r="AD957" s="141"/>
      <c r="AE957" s="141"/>
    </row>
    <row r="958" spans="28:31" x14ac:dyDescent="0.2">
      <c r="AB958" s="141"/>
      <c r="AD958" s="141"/>
      <c r="AE958" s="141"/>
    </row>
    <row r="959" spans="28:31" x14ac:dyDescent="0.2">
      <c r="AB959" s="141"/>
      <c r="AD959" s="141"/>
      <c r="AE959" s="141"/>
    </row>
    <row r="960" spans="28:31" x14ac:dyDescent="0.2">
      <c r="AB960" s="141"/>
      <c r="AD960" s="141"/>
      <c r="AE960" s="141"/>
    </row>
    <row r="961" spans="28:31" x14ac:dyDescent="0.2">
      <c r="AB961" s="141"/>
      <c r="AD961" s="141"/>
      <c r="AE961" s="141"/>
    </row>
    <row r="962" spans="28:31" x14ac:dyDescent="0.2">
      <c r="AB962" s="141"/>
      <c r="AD962" s="141"/>
      <c r="AE962" s="141"/>
    </row>
    <row r="963" spans="28:31" x14ac:dyDescent="0.2">
      <c r="AB963" s="141"/>
      <c r="AD963" s="141"/>
      <c r="AE963" s="141"/>
    </row>
    <row r="964" spans="28:31" x14ac:dyDescent="0.2">
      <c r="AB964" s="141"/>
      <c r="AD964" s="141"/>
      <c r="AE964" s="141"/>
    </row>
    <row r="965" spans="28:31" x14ac:dyDescent="0.2">
      <c r="AB965" s="141"/>
      <c r="AD965" s="141"/>
      <c r="AE965" s="141"/>
    </row>
    <row r="966" spans="28:31" x14ac:dyDescent="0.2">
      <c r="AB966" s="141"/>
      <c r="AD966" s="141"/>
      <c r="AE966" s="141"/>
    </row>
    <row r="967" spans="28:31" x14ac:dyDescent="0.2">
      <c r="AB967" s="141"/>
      <c r="AD967" s="141"/>
      <c r="AE967" s="141"/>
    </row>
    <row r="968" spans="28:31" x14ac:dyDescent="0.2">
      <c r="AB968" s="141"/>
      <c r="AD968" s="141"/>
      <c r="AE968" s="141"/>
    </row>
    <row r="969" spans="28:31" x14ac:dyDescent="0.2">
      <c r="AB969" s="141"/>
      <c r="AD969" s="141"/>
      <c r="AE969" s="141"/>
    </row>
    <row r="970" spans="28:31" x14ac:dyDescent="0.2">
      <c r="AB970" s="141"/>
      <c r="AD970" s="141"/>
      <c r="AE970" s="141"/>
    </row>
    <row r="971" spans="28:31" x14ac:dyDescent="0.2">
      <c r="AB971" s="141"/>
      <c r="AD971" s="141"/>
      <c r="AE971" s="141"/>
    </row>
    <row r="972" spans="28:31" x14ac:dyDescent="0.2">
      <c r="AB972" s="141"/>
      <c r="AD972" s="141"/>
      <c r="AE972" s="141"/>
    </row>
    <row r="973" spans="28:31" x14ac:dyDescent="0.2">
      <c r="AB973" s="141"/>
      <c r="AD973" s="141"/>
      <c r="AE973" s="141"/>
    </row>
    <row r="974" spans="28:31" x14ac:dyDescent="0.2">
      <c r="AB974" s="141"/>
      <c r="AD974" s="141"/>
      <c r="AE974" s="141"/>
    </row>
    <row r="975" spans="28:31" x14ac:dyDescent="0.2">
      <c r="AB975" s="141"/>
      <c r="AD975" s="141"/>
      <c r="AE975" s="141"/>
    </row>
    <row r="976" spans="28:31" x14ac:dyDescent="0.2">
      <c r="AB976" s="141"/>
      <c r="AD976" s="141"/>
      <c r="AE976" s="141"/>
    </row>
    <row r="977" spans="28:31" x14ac:dyDescent="0.2">
      <c r="AB977" s="141"/>
      <c r="AD977" s="141"/>
      <c r="AE977" s="141"/>
    </row>
    <row r="978" spans="28:31" x14ac:dyDescent="0.2">
      <c r="AB978" s="141"/>
      <c r="AD978" s="141"/>
      <c r="AE978" s="141"/>
    </row>
    <row r="979" spans="28:31" x14ac:dyDescent="0.2">
      <c r="AB979" s="141"/>
      <c r="AD979" s="141"/>
      <c r="AE979" s="141"/>
    </row>
    <row r="980" spans="28:31" x14ac:dyDescent="0.2">
      <c r="AB980" s="141"/>
      <c r="AD980" s="141"/>
      <c r="AE980" s="141"/>
    </row>
    <row r="981" spans="28:31" x14ac:dyDescent="0.2">
      <c r="AB981" s="141"/>
      <c r="AD981" s="141"/>
      <c r="AE981" s="141"/>
    </row>
    <row r="982" spans="28:31" x14ac:dyDescent="0.2">
      <c r="AB982" s="141"/>
      <c r="AD982" s="141"/>
      <c r="AE982" s="141"/>
    </row>
    <row r="983" spans="28:31" x14ac:dyDescent="0.2">
      <c r="AB983" s="141"/>
      <c r="AD983" s="141"/>
      <c r="AE983" s="141"/>
    </row>
    <row r="984" spans="28:31" x14ac:dyDescent="0.2">
      <c r="AB984" s="141"/>
      <c r="AD984" s="141"/>
      <c r="AE984" s="141"/>
    </row>
    <row r="985" spans="28:31" x14ac:dyDescent="0.2">
      <c r="AB985" s="141"/>
      <c r="AD985" s="141"/>
      <c r="AE985" s="141"/>
    </row>
    <row r="986" spans="28:31" x14ac:dyDescent="0.2">
      <c r="AB986" s="141"/>
      <c r="AD986" s="141"/>
      <c r="AE986" s="141"/>
    </row>
    <row r="987" spans="28:31" x14ac:dyDescent="0.2">
      <c r="AB987" s="141"/>
      <c r="AD987" s="141"/>
      <c r="AE987" s="141"/>
    </row>
    <row r="988" spans="28:31" x14ac:dyDescent="0.2">
      <c r="AB988" s="141"/>
      <c r="AD988" s="141"/>
      <c r="AE988" s="141"/>
    </row>
    <row r="989" spans="28:31" x14ac:dyDescent="0.2">
      <c r="AB989" s="141"/>
      <c r="AD989" s="141"/>
      <c r="AE989" s="141"/>
    </row>
    <row r="990" spans="28:31" x14ac:dyDescent="0.2">
      <c r="AB990" s="141"/>
      <c r="AD990" s="141"/>
      <c r="AE990" s="141"/>
    </row>
    <row r="991" spans="28:31" x14ac:dyDescent="0.2">
      <c r="AB991" s="141"/>
      <c r="AD991" s="141"/>
      <c r="AE991" s="141"/>
    </row>
    <row r="992" spans="28:31" x14ac:dyDescent="0.2">
      <c r="AB992" s="141"/>
      <c r="AD992" s="141"/>
      <c r="AE992" s="141"/>
    </row>
    <row r="993" spans="28:31" x14ac:dyDescent="0.2">
      <c r="AB993" s="141"/>
      <c r="AD993" s="141"/>
      <c r="AE993" s="141"/>
    </row>
    <row r="994" spans="28:31" x14ac:dyDescent="0.2">
      <c r="AB994" s="141"/>
      <c r="AD994" s="141"/>
      <c r="AE994" s="141"/>
    </row>
    <row r="995" spans="28:31" x14ac:dyDescent="0.2">
      <c r="AB995" s="141"/>
      <c r="AD995" s="141"/>
      <c r="AE995" s="141"/>
    </row>
    <row r="996" spans="28:31" x14ac:dyDescent="0.2">
      <c r="AB996" s="141"/>
      <c r="AD996" s="141"/>
      <c r="AE996" s="141"/>
    </row>
    <row r="997" spans="28:31" x14ac:dyDescent="0.2">
      <c r="AB997" s="141"/>
      <c r="AD997" s="141"/>
      <c r="AE997" s="141"/>
    </row>
    <row r="998" spans="28:31" x14ac:dyDescent="0.2">
      <c r="AB998" s="141"/>
      <c r="AD998" s="141"/>
      <c r="AE998" s="141"/>
    </row>
    <row r="999" spans="28:31" x14ac:dyDescent="0.2">
      <c r="AB999" s="141"/>
      <c r="AD999" s="141"/>
      <c r="AE999" s="141"/>
    </row>
    <row r="1000" spans="28:31" x14ac:dyDescent="0.2">
      <c r="AB1000" s="141"/>
      <c r="AD1000" s="141"/>
      <c r="AE1000" s="141"/>
    </row>
    <row r="1001" spans="28:31" x14ac:dyDescent="0.2">
      <c r="AB1001" s="141"/>
      <c r="AD1001" s="141"/>
      <c r="AE1001" s="141"/>
    </row>
    <row r="1002" spans="28:31" x14ac:dyDescent="0.2">
      <c r="AB1002" s="141"/>
      <c r="AD1002" s="141"/>
      <c r="AE1002" s="141"/>
    </row>
    <row r="1003" spans="28:31" x14ac:dyDescent="0.2">
      <c r="AB1003" s="141"/>
      <c r="AD1003" s="141"/>
      <c r="AE1003" s="141"/>
    </row>
    <row r="1004" spans="28:31" x14ac:dyDescent="0.2">
      <c r="AB1004" s="141"/>
      <c r="AD1004" s="141"/>
      <c r="AE1004" s="141"/>
    </row>
    <row r="1005" spans="28:31" x14ac:dyDescent="0.2">
      <c r="AB1005" s="141"/>
      <c r="AD1005" s="141"/>
      <c r="AE1005" s="141"/>
    </row>
    <row r="1006" spans="28:31" x14ac:dyDescent="0.2">
      <c r="AB1006" s="141"/>
      <c r="AD1006" s="141"/>
      <c r="AE1006" s="141"/>
    </row>
    <row r="1007" spans="28:31" x14ac:dyDescent="0.2">
      <c r="AB1007" s="141"/>
      <c r="AD1007" s="141"/>
      <c r="AE1007" s="141"/>
    </row>
    <row r="1008" spans="28:31" x14ac:dyDescent="0.2">
      <c r="AB1008" s="141"/>
      <c r="AD1008" s="141"/>
      <c r="AE1008" s="141"/>
    </row>
    <row r="1009" spans="28:31" x14ac:dyDescent="0.2">
      <c r="AB1009" s="141"/>
      <c r="AD1009" s="141"/>
      <c r="AE1009" s="141"/>
    </row>
    <row r="1010" spans="28:31" x14ac:dyDescent="0.2">
      <c r="AB1010" s="141"/>
      <c r="AD1010" s="141"/>
      <c r="AE1010" s="141"/>
    </row>
    <row r="1011" spans="28:31" x14ac:dyDescent="0.2">
      <c r="AB1011" s="141"/>
      <c r="AD1011" s="141"/>
      <c r="AE1011" s="141"/>
    </row>
    <row r="1012" spans="28:31" x14ac:dyDescent="0.2">
      <c r="AB1012" s="141"/>
      <c r="AD1012" s="141"/>
      <c r="AE1012" s="141"/>
    </row>
    <row r="1013" spans="28:31" x14ac:dyDescent="0.2">
      <c r="AB1013" s="141"/>
      <c r="AD1013" s="141"/>
      <c r="AE1013" s="141"/>
    </row>
    <row r="1014" spans="28:31" x14ac:dyDescent="0.2">
      <c r="AB1014" s="141"/>
      <c r="AD1014" s="141"/>
      <c r="AE1014" s="141"/>
    </row>
    <row r="1015" spans="28:31" x14ac:dyDescent="0.2">
      <c r="AB1015" s="141"/>
      <c r="AD1015" s="141"/>
      <c r="AE1015" s="141"/>
    </row>
    <row r="1016" spans="28:31" x14ac:dyDescent="0.2">
      <c r="AB1016" s="141"/>
      <c r="AD1016" s="141"/>
      <c r="AE1016" s="141"/>
    </row>
    <row r="1017" spans="28:31" x14ac:dyDescent="0.2">
      <c r="AB1017" s="141"/>
      <c r="AD1017" s="141"/>
      <c r="AE1017" s="141"/>
    </row>
    <row r="1018" spans="28:31" x14ac:dyDescent="0.2">
      <c r="AB1018" s="141"/>
      <c r="AD1018" s="141"/>
      <c r="AE1018" s="141"/>
    </row>
    <row r="1019" spans="28:31" x14ac:dyDescent="0.2">
      <c r="AB1019" s="141"/>
      <c r="AD1019" s="141"/>
      <c r="AE1019" s="141"/>
    </row>
    <row r="1020" spans="28:31" x14ac:dyDescent="0.2">
      <c r="AB1020" s="141"/>
      <c r="AD1020" s="141"/>
      <c r="AE1020" s="141"/>
    </row>
    <row r="1021" spans="28:31" x14ac:dyDescent="0.2">
      <c r="AB1021" s="141"/>
      <c r="AD1021" s="141"/>
      <c r="AE1021" s="141"/>
    </row>
    <row r="1022" spans="28:31" x14ac:dyDescent="0.2">
      <c r="AB1022" s="141"/>
      <c r="AD1022" s="141"/>
      <c r="AE1022" s="141"/>
    </row>
    <row r="1023" spans="28:31" x14ac:dyDescent="0.2">
      <c r="AB1023" s="141"/>
      <c r="AD1023" s="141"/>
      <c r="AE1023" s="141"/>
    </row>
    <row r="1024" spans="28:31" x14ac:dyDescent="0.2">
      <c r="AB1024" s="141"/>
      <c r="AD1024" s="141"/>
      <c r="AE1024" s="141"/>
    </row>
    <row r="1025" spans="28:31" x14ac:dyDescent="0.2">
      <c r="AB1025" s="141"/>
      <c r="AD1025" s="141"/>
      <c r="AE1025" s="141"/>
    </row>
    <row r="1026" spans="28:31" x14ac:dyDescent="0.2">
      <c r="AB1026" s="141"/>
      <c r="AD1026" s="141"/>
      <c r="AE1026" s="141"/>
    </row>
    <row r="1027" spans="28:31" x14ac:dyDescent="0.2">
      <c r="AB1027" s="141"/>
      <c r="AD1027" s="141"/>
      <c r="AE1027" s="141"/>
    </row>
    <row r="1028" spans="28:31" x14ac:dyDescent="0.2">
      <c r="AB1028" s="141"/>
      <c r="AD1028" s="141"/>
      <c r="AE1028" s="141"/>
    </row>
    <row r="1029" spans="28:31" x14ac:dyDescent="0.2">
      <c r="AB1029" s="141"/>
      <c r="AD1029" s="141"/>
      <c r="AE1029" s="141"/>
    </row>
    <row r="1030" spans="28:31" x14ac:dyDescent="0.2">
      <c r="AB1030" s="141"/>
      <c r="AD1030" s="141"/>
      <c r="AE1030" s="141"/>
    </row>
    <row r="1031" spans="28:31" x14ac:dyDescent="0.2">
      <c r="AB1031" s="141"/>
      <c r="AD1031" s="141"/>
      <c r="AE1031" s="141"/>
    </row>
    <row r="1032" spans="28:31" x14ac:dyDescent="0.2">
      <c r="AB1032" s="141"/>
      <c r="AD1032" s="141"/>
      <c r="AE1032" s="141"/>
    </row>
    <row r="1033" spans="28:31" x14ac:dyDescent="0.2">
      <c r="AB1033" s="141"/>
      <c r="AD1033" s="141"/>
      <c r="AE1033" s="141"/>
    </row>
    <row r="1034" spans="28:31" x14ac:dyDescent="0.2">
      <c r="AB1034" s="141"/>
      <c r="AD1034" s="141"/>
      <c r="AE1034" s="141"/>
    </row>
    <row r="1035" spans="28:31" x14ac:dyDescent="0.2">
      <c r="AB1035" s="141"/>
      <c r="AD1035" s="141"/>
      <c r="AE1035" s="141"/>
    </row>
    <row r="1036" spans="28:31" x14ac:dyDescent="0.2">
      <c r="AB1036" s="141"/>
      <c r="AD1036" s="141"/>
      <c r="AE1036" s="141"/>
    </row>
    <row r="1037" spans="28:31" x14ac:dyDescent="0.2">
      <c r="AB1037" s="141"/>
      <c r="AD1037" s="141"/>
      <c r="AE1037" s="141"/>
    </row>
    <row r="1038" spans="28:31" x14ac:dyDescent="0.2">
      <c r="AB1038" s="141"/>
      <c r="AD1038" s="141"/>
      <c r="AE1038" s="141"/>
    </row>
    <row r="1039" spans="28:31" x14ac:dyDescent="0.2">
      <c r="AB1039" s="141"/>
      <c r="AD1039" s="141"/>
      <c r="AE1039" s="141"/>
    </row>
    <row r="1040" spans="28:31" x14ac:dyDescent="0.2">
      <c r="AB1040" s="141"/>
      <c r="AD1040" s="141"/>
      <c r="AE1040" s="141"/>
    </row>
    <row r="1041" spans="28:31" x14ac:dyDescent="0.2">
      <c r="AB1041" s="141"/>
      <c r="AD1041" s="141"/>
      <c r="AE1041" s="141"/>
    </row>
    <row r="1042" spans="28:31" x14ac:dyDescent="0.2">
      <c r="AB1042" s="141"/>
      <c r="AD1042" s="141"/>
      <c r="AE1042" s="141"/>
    </row>
    <row r="1043" spans="28:31" x14ac:dyDescent="0.2">
      <c r="AB1043" s="141"/>
      <c r="AD1043" s="141"/>
      <c r="AE1043" s="141"/>
    </row>
    <row r="1044" spans="28:31" x14ac:dyDescent="0.2">
      <c r="AB1044" s="141"/>
      <c r="AD1044" s="141"/>
      <c r="AE1044" s="141"/>
    </row>
    <row r="1045" spans="28:31" x14ac:dyDescent="0.2">
      <c r="AB1045" s="141"/>
      <c r="AD1045" s="141"/>
      <c r="AE1045" s="141"/>
    </row>
    <row r="1046" spans="28:31" x14ac:dyDescent="0.2">
      <c r="AB1046" s="141"/>
      <c r="AD1046" s="141"/>
      <c r="AE1046" s="141"/>
    </row>
    <row r="1047" spans="28:31" x14ac:dyDescent="0.2">
      <c r="AB1047" s="141"/>
      <c r="AD1047" s="141"/>
      <c r="AE1047" s="141"/>
    </row>
    <row r="1048" spans="28:31" x14ac:dyDescent="0.2">
      <c r="AB1048" s="141"/>
      <c r="AD1048" s="141"/>
      <c r="AE1048" s="141"/>
    </row>
    <row r="1049" spans="28:31" x14ac:dyDescent="0.2">
      <c r="AB1049" s="141"/>
      <c r="AD1049" s="141"/>
      <c r="AE1049" s="141"/>
    </row>
    <row r="1050" spans="28:31" x14ac:dyDescent="0.2">
      <c r="AB1050" s="141"/>
      <c r="AD1050" s="141"/>
      <c r="AE1050" s="141"/>
    </row>
    <row r="1051" spans="28:31" x14ac:dyDescent="0.2">
      <c r="AB1051" s="141"/>
      <c r="AD1051" s="141"/>
      <c r="AE1051" s="141"/>
    </row>
    <row r="1052" spans="28:31" x14ac:dyDescent="0.2">
      <c r="AB1052" s="141"/>
      <c r="AD1052" s="141"/>
      <c r="AE1052" s="141"/>
    </row>
    <row r="1053" spans="28:31" x14ac:dyDescent="0.2">
      <c r="AB1053" s="141"/>
      <c r="AD1053" s="141"/>
      <c r="AE1053" s="141"/>
    </row>
    <row r="1054" spans="28:31" x14ac:dyDescent="0.2">
      <c r="AB1054" s="141"/>
      <c r="AD1054" s="141"/>
      <c r="AE1054" s="141"/>
    </row>
    <row r="1055" spans="28:31" x14ac:dyDescent="0.2">
      <c r="AB1055" s="141"/>
      <c r="AD1055" s="141"/>
      <c r="AE1055" s="141"/>
    </row>
    <row r="1056" spans="28:31" x14ac:dyDescent="0.2">
      <c r="AB1056" s="141"/>
      <c r="AD1056" s="141"/>
      <c r="AE1056" s="141"/>
    </row>
    <row r="1057" spans="28:31" x14ac:dyDescent="0.2">
      <c r="AB1057" s="141"/>
      <c r="AD1057" s="141"/>
      <c r="AE1057" s="141"/>
    </row>
    <row r="1058" spans="28:31" x14ac:dyDescent="0.2">
      <c r="AB1058" s="141"/>
      <c r="AD1058" s="141"/>
      <c r="AE1058" s="141"/>
    </row>
    <row r="1059" spans="28:31" x14ac:dyDescent="0.2">
      <c r="AB1059" s="141"/>
      <c r="AD1059" s="141"/>
      <c r="AE1059" s="141"/>
    </row>
    <row r="1060" spans="28:31" x14ac:dyDescent="0.2">
      <c r="AB1060" s="141"/>
      <c r="AD1060" s="141"/>
      <c r="AE1060" s="141"/>
    </row>
    <row r="1061" spans="28:31" x14ac:dyDescent="0.2">
      <c r="AB1061" s="141"/>
      <c r="AD1061" s="141"/>
      <c r="AE1061" s="141"/>
    </row>
    <row r="1062" spans="28:31" x14ac:dyDescent="0.2">
      <c r="AB1062" s="141"/>
      <c r="AD1062" s="141"/>
      <c r="AE1062" s="141"/>
    </row>
    <row r="1063" spans="28:31" x14ac:dyDescent="0.2">
      <c r="AB1063" s="141"/>
      <c r="AD1063" s="141"/>
      <c r="AE1063" s="141"/>
    </row>
    <row r="1064" spans="28:31" x14ac:dyDescent="0.2">
      <c r="AB1064" s="141"/>
      <c r="AD1064" s="141"/>
      <c r="AE1064" s="141"/>
    </row>
    <row r="1065" spans="28:31" x14ac:dyDescent="0.2">
      <c r="AB1065" s="141"/>
      <c r="AD1065" s="141"/>
      <c r="AE1065" s="141"/>
    </row>
    <row r="1066" spans="28:31" x14ac:dyDescent="0.2">
      <c r="AB1066" s="141"/>
      <c r="AD1066" s="141"/>
      <c r="AE1066" s="141"/>
    </row>
    <row r="1067" spans="28:31" x14ac:dyDescent="0.2">
      <c r="AB1067" s="141"/>
      <c r="AD1067" s="141"/>
      <c r="AE1067" s="141"/>
    </row>
    <row r="1068" spans="28:31" x14ac:dyDescent="0.2">
      <c r="AB1068" s="141"/>
      <c r="AD1068" s="141"/>
      <c r="AE1068" s="141"/>
    </row>
    <row r="1069" spans="28:31" x14ac:dyDescent="0.2">
      <c r="AB1069" s="141"/>
      <c r="AD1069" s="141"/>
      <c r="AE1069" s="141"/>
    </row>
    <row r="1070" spans="28:31" x14ac:dyDescent="0.2">
      <c r="AB1070" s="141"/>
      <c r="AD1070" s="141"/>
      <c r="AE1070" s="141"/>
    </row>
    <row r="1071" spans="28:31" x14ac:dyDescent="0.2">
      <c r="AB1071" s="141"/>
      <c r="AD1071" s="141"/>
      <c r="AE1071" s="141"/>
    </row>
    <row r="1072" spans="28:31" x14ac:dyDescent="0.2">
      <c r="AB1072" s="141"/>
      <c r="AD1072" s="141"/>
      <c r="AE1072" s="141"/>
    </row>
    <row r="1073" spans="28:31" x14ac:dyDescent="0.2">
      <c r="AB1073" s="141"/>
      <c r="AD1073" s="141"/>
      <c r="AE1073" s="141"/>
    </row>
    <row r="1074" spans="28:31" x14ac:dyDescent="0.2">
      <c r="AB1074" s="141"/>
      <c r="AD1074" s="141"/>
      <c r="AE1074" s="141"/>
    </row>
    <row r="1075" spans="28:31" x14ac:dyDescent="0.2">
      <c r="AB1075" s="141"/>
      <c r="AD1075" s="141"/>
      <c r="AE1075" s="141"/>
    </row>
    <row r="1076" spans="28:31" x14ac:dyDescent="0.2">
      <c r="AB1076" s="141"/>
      <c r="AD1076" s="141"/>
      <c r="AE1076" s="141"/>
    </row>
    <row r="1077" spans="28:31" x14ac:dyDescent="0.2">
      <c r="AB1077" s="141"/>
      <c r="AD1077" s="141"/>
      <c r="AE1077" s="141"/>
    </row>
    <row r="1078" spans="28:31" x14ac:dyDescent="0.2">
      <c r="AB1078" s="141"/>
      <c r="AD1078" s="141"/>
      <c r="AE1078" s="141"/>
    </row>
    <row r="1079" spans="28:31" x14ac:dyDescent="0.2">
      <c r="AB1079" s="141"/>
      <c r="AD1079" s="141"/>
      <c r="AE1079" s="141"/>
    </row>
    <row r="1080" spans="28:31" x14ac:dyDescent="0.2">
      <c r="AB1080" s="141"/>
      <c r="AD1080" s="141"/>
      <c r="AE1080" s="141"/>
    </row>
    <row r="1081" spans="28:31" x14ac:dyDescent="0.2">
      <c r="AB1081" s="141"/>
      <c r="AD1081" s="141"/>
      <c r="AE1081" s="141"/>
    </row>
    <row r="1082" spans="28:31" x14ac:dyDescent="0.2">
      <c r="AB1082" s="141"/>
      <c r="AD1082" s="141"/>
      <c r="AE1082" s="141"/>
    </row>
    <row r="1083" spans="28:31" x14ac:dyDescent="0.2">
      <c r="AB1083" s="141"/>
      <c r="AD1083" s="141"/>
      <c r="AE1083" s="141"/>
    </row>
    <row r="1084" spans="28:31" x14ac:dyDescent="0.2">
      <c r="AB1084" s="141"/>
      <c r="AD1084" s="141"/>
      <c r="AE1084" s="141"/>
    </row>
    <row r="1085" spans="28:31" x14ac:dyDescent="0.2">
      <c r="AB1085" s="141"/>
      <c r="AD1085" s="141"/>
      <c r="AE1085" s="141"/>
    </row>
    <row r="1086" spans="28:31" x14ac:dyDescent="0.2">
      <c r="AB1086" s="141"/>
      <c r="AD1086" s="141"/>
      <c r="AE1086" s="141"/>
    </row>
    <row r="1087" spans="28:31" x14ac:dyDescent="0.2">
      <c r="AB1087" s="141"/>
      <c r="AD1087" s="141"/>
      <c r="AE1087" s="141"/>
    </row>
    <row r="1088" spans="28:31" x14ac:dyDescent="0.2">
      <c r="AB1088" s="141"/>
      <c r="AD1088" s="141"/>
      <c r="AE1088" s="141"/>
    </row>
    <row r="1089" spans="28:31" x14ac:dyDescent="0.2">
      <c r="AB1089" s="141"/>
      <c r="AD1089" s="141"/>
      <c r="AE1089" s="141"/>
    </row>
    <row r="1090" spans="28:31" x14ac:dyDescent="0.2">
      <c r="AB1090" s="141"/>
      <c r="AD1090" s="141"/>
      <c r="AE1090" s="141"/>
    </row>
    <row r="1091" spans="28:31" x14ac:dyDescent="0.2">
      <c r="AB1091" s="141"/>
      <c r="AD1091" s="141"/>
      <c r="AE1091" s="141"/>
    </row>
    <row r="1092" spans="28:31" x14ac:dyDescent="0.2">
      <c r="AB1092" s="141"/>
      <c r="AD1092" s="141"/>
      <c r="AE1092" s="141"/>
    </row>
    <row r="1093" spans="28:31" x14ac:dyDescent="0.2">
      <c r="AB1093" s="141"/>
      <c r="AD1093" s="141"/>
      <c r="AE1093" s="141"/>
    </row>
    <row r="1094" spans="28:31" x14ac:dyDescent="0.2">
      <c r="AB1094" s="141"/>
      <c r="AD1094" s="141"/>
      <c r="AE1094" s="141"/>
    </row>
    <row r="1095" spans="28:31" x14ac:dyDescent="0.2">
      <c r="AB1095" s="141"/>
      <c r="AD1095" s="141"/>
      <c r="AE1095" s="141"/>
    </row>
    <row r="1096" spans="28:31" x14ac:dyDescent="0.2">
      <c r="AB1096" s="141"/>
      <c r="AD1096" s="141"/>
      <c r="AE1096" s="141"/>
    </row>
    <row r="1097" spans="28:31" x14ac:dyDescent="0.2">
      <c r="AB1097" s="141"/>
      <c r="AD1097" s="141"/>
      <c r="AE1097" s="141"/>
    </row>
    <row r="1098" spans="28:31" x14ac:dyDescent="0.2">
      <c r="AB1098" s="141"/>
      <c r="AD1098" s="141"/>
      <c r="AE1098" s="141"/>
    </row>
    <row r="1099" spans="28:31" x14ac:dyDescent="0.2">
      <c r="AB1099" s="141"/>
      <c r="AD1099" s="141"/>
      <c r="AE1099" s="141"/>
    </row>
    <row r="1100" spans="28:31" x14ac:dyDescent="0.2">
      <c r="AB1100" s="141"/>
      <c r="AD1100" s="141"/>
      <c r="AE1100" s="141"/>
    </row>
    <row r="1101" spans="28:31" x14ac:dyDescent="0.2">
      <c r="AB1101" s="141"/>
      <c r="AD1101" s="141"/>
      <c r="AE1101" s="141"/>
    </row>
    <row r="1102" spans="28:31" x14ac:dyDescent="0.2">
      <c r="AB1102" s="141"/>
      <c r="AD1102" s="141"/>
      <c r="AE1102" s="141"/>
    </row>
    <row r="1103" spans="28:31" x14ac:dyDescent="0.2">
      <c r="AB1103" s="141"/>
      <c r="AD1103" s="141"/>
      <c r="AE1103" s="141"/>
    </row>
    <row r="1104" spans="28:31" x14ac:dyDescent="0.2">
      <c r="AB1104" s="141"/>
      <c r="AD1104" s="141"/>
      <c r="AE1104" s="141"/>
    </row>
    <row r="1105" spans="28:31" x14ac:dyDescent="0.2">
      <c r="AB1105" s="141"/>
      <c r="AD1105" s="141"/>
      <c r="AE1105" s="141"/>
    </row>
    <row r="1106" spans="28:31" x14ac:dyDescent="0.2">
      <c r="AB1106" s="141"/>
      <c r="AD1106" s="141"/>
      <c r="AE1106" s="141"/>
    </row>
    <row r="1107" spans="28:31" x14ac:dyDescent="0.2">
      <c r="AB1107" s="141"/>
      <c r="AD1107" s="141"/>
      <c r="AE1107" s="141"/>
    </row>
    <row r="1108" spans="28:31" x14ac:dyDescent="0.2">
      <c r="AB1108" s="141"/>
      <c r="AD1108" s="141"/>
      <c r="AE1108" s="141"/>
    </row>
    <row r="1109" spans="28:31" x14ac:dyDescent="0.2">
      <c r="AB1109" s="141"/>
      <c r="AD1109" s="141"/>
      <c r="AE1109" s="141"/>
    </row>
    <row r="1110" spans="28:31" x14ac:dyDescent="0.2">
      <c r="AB1110" s="141"/>
      <c r="AD1110" s="141"/>
      <c r="AE1110" s="141"/>
    </row>
    <row r="1111" spans="28:31" x14ac:dyDescent="0.2">
      <c r="AB1111" s="141"/>
      <c r="AD1111" s="141"/>
      <c r="AE1111" s="141"/>
    </row>
    <row r="1112" spans="28:31" x14ac:dyDescent="0.2">
      <c r="AB1112" s="141"/>
      <c r="AD1112" s="141"/>
      <c r="AE1112" s="141"/>
    </row>
    <row r="1113" spans="28:31" x14ac:dyDescent="0.2">
      <c r="AB1113" s="141"/>
      <c r="AD1113" s="141"/>
      <c r="AE1113" s="141"/>
    </row>
    <row r="1114" spans="28:31" x14ac:dyDescent="0.2">
      <c r="AB1114" s="141"/>
      <c r="AD1114" s="141"/>
      <c r="AE1114" s="141"/>
    </row>
    <row r="1115" spans="28:31" x14ac:dyDescent="0.2">
      <c r="AB1115" s="141"/>
      <c r="AD1115" s="141"/>
      <c r="AE1115" s="141"/>
    </row>
    <row r="1116" spans="28:31" x14ac:dyDescent="0.2">
      <c r="AB1116" s="141"/>
      <c r="AD1116" s="141"/>
      <c r="AE1116" s="141"/>
    </row>
    <row r="1117" spans="28:31" x14ac:dyDescent="0.2">
      <c r="AB1117" s="141"/>
      <c r="AD1117" s="141"/>
      <c r="AE1117" s="141"/>
    </row>
    <row r="1118" spans="28:31" x14ac:dyDescent="0.2">
      <c r="AB1118" s="141"/>
      <c r="AD1118" s="141"/>
      <c r="AE1118" s="141"/>
    </row>
    <row r="1119" spans="28:31" x14ac:dyDescent="0.2">
      <c r="AB1119" s="141"/>
      <c r="AD1119" s="141"/>
      <c r="AE1119" s="141"/>
    </row>
    <row r="1120" spans="28:31" x14ac:dyDescent="0.2">
      <c r="AB1120" s="141"/>
      <c r="AD1120" s="141"/>
      <c r="AE1120" s="141"/>
    </row>
    <row r="1121" spans="28:31" x14ac:dyDescent="0.2">
      <c r="AB1121" s="141"/>
      <c r="AD1121" s="141"/>
      <c r="AE1121" s="141"/>
    </row>
    <row r="1122" spans="28:31" x14ac:dyDescent="0.2">
      <c r="AB1122" s="141"/>
      <c r="AD1122" s="141"/>
      <c r="AE1122" s="141"/>
    </row>
    <row r="1123" spans="28:31" x14ac:dyDescent="0.2">
      <c r="AB1123" s="141"/>
      <c r="AD1123" s="141"/>
      <c r="AE1123" s="141"/>
    </row>
    <row r="1124" spans="28:31" x14ac:dyDescent="0.2">
      <c r="AB1124" s="141"/>
      <c r="AD1124" s="141"/>
      <c r="AE1124" s="141"/>
    </row>
    <row r="1125" spans="28:31" x14ac:dyDescent="0.2">
      <c r="AB1125" s="141"/>
      <c r="AD1125" s="141"/>
      <c r="AE1125" s="141"/>
    </row>
    <row r="1126" spans="28:31" x14ac:dyDescent="0.2">
      <c r="AB1126" s="141"/>
      <c r="AD1126" s="141"/>
      <c r="AE1126" s="141"/>
    </row>
    <row r="1127" spans="28:31" x14ac:dyDescent="0.2">
      <c r="AB1127" s="141"/>
      <c r="AD1127" s="141"/>
      <c r="AE1127" s="141"/>
    </row>
    <row r="1128" spans="28:31" x14ac:dyDescent="0.2">
      <c r="AB1128" s="141"/>
      <c r="AD1128" s="141"/>
      <c r="AE1128" s="141"/>
    </row>
    <row r="1129" spans="28:31" x14ac:dyDescent="0.2">
      <c r="AB1129" s="141"/>
      <c r="AD1129" s="141"/>
      <c r="AE1129" s="141"/>
    </row>
    <row r="1130" spans="28:31" x14ac:dyDescent="0.2">
      <c r="AB1130" s="141"/>
      <c r="AD1130" s="141"/>
      <c r="AE1130" s="141"/>
    </row>
    <row r="1131" spans="28:31" x14ac:dyDescent="0.2">
      <c r="AB1131" s="141"/>
      <c r="AD1131" s="141"/>
      <c r="AE1131" s="141"/>
    </row>
    <row r="1132" spans="28:31" x14ac:dyDescent="0.2">
      <c r="AB1132" s="141"/>
      <c r="AD1132" s="141"/>
      <c r="AE1132" s="141"/>
    </row>
    <row r="1133" spans="28:31" x14ac:dyDescent="0.2">
      <c r="AB1133" s="141"/>
      <c r="AD1133" s="141"/>
      <c r="AE1133" s="141"/>
    </row>
    <row r="1134" spans="28:31" x14ac:dyDescent="0.2">
      <c r="AB1134" s="141"/>
      <c r="AD1134" s="141"/>
      <c r="AE1134" s="141"/>
    </row>
    <row r="1135" spans="28:31" x14ac:dyDescent="0.2">
      <c r="AB1135" s="141"/>
      <c r="AD1135" s="141"/>
      <c r="AE1135" s="141"/>
    </row>
    <row r="1136" spans="28:31" x14ac:dyDescent="0.2">
      <c r="AB1136" s="141"/>
      <c r="AD1136" s="141"/>
      <c r="AE1136" s="141"/>
    </row>
    <row r="1137" spans="28:31" x14ac:dyDescent="0.2">
      <c r="AB1137" s="141"/>
      <c r="AD1137" s="141"/>
      <c r="AE1137" s="141"/>
    </row>
    <row r="1138" spans="28:31" x14ac:dyDescent="0.2">
      <c r="AB1138" s="141"/>
      <c r="AD1138" s="141"/>
      <c r="AE1138" s="141"/>
    </row>
    <row r="1139" spans="28:31" x14ac:dyDescent="0.2">
      <c r="AB1139" s="141"/>
      <c r="AD1139" s="141"/>
      <c r="AE1139" s="141"/>
    </row>
    <row r="1140" spans="28:31" x14ac:dyDescent="0.2">
      <c r="AB1140" s="141"/>
      <c r="AD1140" s="141"/>
      <c r="AE1140" s="141"/>
    </row>
    <row r="1141" spans="28:31" x14ac:dyDescent="0.2">
      <c r="AB1141" s="141"/>
      <c r="AD1141" s="141"/>
      <c r="AE1141" s="141"/>
    </row>
    <row r="1142" spans="28:31" x14ac:dyDescent="0.2">
      <c r="AB1142" s="141"/>
      <c r="AD1142" s="141"/>
      <c r="AE1142" s="141"/>
    </row>
    <row r="1143" spans="28:31" x14ac:dyDescent="0.2">
      <c r="AB1143" s="141"/>
      <c r="AD1143" s="141"/>
      <c r="AE1143" s="141"/>
    </row>
    <row r="1144" spans="28:31" x14ac:dyDescent="0.2">
      <c r="AB1144" s="141"/>
      <c r="AD1144" s="141"/>
      <c r="AE1144" s="141"/>
    </row>
    <row r="1145" spans="28:31" x14ac:dyDescent="0.2">
      <c r="AB1145" s="141"/>
      <c r="AD1145" s="141"/>
      <c r="AE1145" s="141"/>
    </row>
    <row r="1146" spans="28:31" x14ac:dyDescent="0.2">
      <c r="AB1146" s="141"/>
      <c r="AD1146" s="141"/>
      <c r="AE1146" s="141"/>
    </row>
    <row r="1147" spans="28:31" x14ac:dyDescent="0.2">
      <c r="AB1147" s="141"/>
      <c r="AD1147" s="141"/>
      <c r="AE1147" s="141"/>
    </row>
    <row r="1148" spans="28:31" x14ac:dyDescent="0.2">
      <c r="AB1148" s="141"/>
      <c r="AD1148" s="141"/>
      <c r="AE1148" s="141"/>
    </row>
    <row r="1149" spans="28:31" x14ac:dyDescent="0.2">
      <c r="AB1149" s="141"/>
      <c r="AD1149" s="141"/>
      <c r="AE1149" s="141"/>
    </row>
    <row r="1150" spans="28:31" x14ac:dyDescent="0.2">
      <c r="AB1150" s="141"/>
      <c r="AD1150" s="141"/>
      <c r="AE1150" s="141"/>
    </row>
    <row r="1151" spans="28:31" x14ac:dyDescent="0.2">
      <c r="AB1151" s="141"/>
      <c r="AD1151" s="141"/>
      <c r="AE1151" s="141"/>
    </row>
    <row r="1152" spans="28:31" x14ac:dyDescent="0.2">
      <c r="AB1152" s="141"/>
      <c r="AD1152" s="141"/>
      <c r="AE1152" s="141"/>
    </row>
    <row r="1153" spans="28:31" x14ac:dyDescent="0.2">
      <c r="AB1153" s="141"/>
      <c r="AD1153" s="141"/>
      <c r="AE1153" s="141"/>
    </row>
    <row r="1154" spans="28:31" x14ac:dyDescent="0.2">
      <c r="AB1154" s="141"/>
      <c r="AD1154" s="141"/>
      <c r="AE1154" s="141"/>
    </row>
    <row r="1155" spans="28:31" x14ac:dyDescent="0.2">
      <c r="AB1155" s="141"/>
      <c r="AD1155" s="141"/>
      <c r="AE1155" s="141"/>
    </row>
    <row r="1156" spans="28:31" x14ac:dyDescent="0.2">
      <c r="AB1156" s="141"/>
      <c r="AD1156" s="141"/>
      <c r="AE1156" s="141"/>
    </row>
    <row r="1157" spans="28:31" x14ac:dyDescent="0.2">
      <c r="AB1157" s="141"/>
      <c r="AD1157" s="141"/>
      <c r="AE1157" s="141"/>
    </row>
    <row r="1158" spans="28:31" x14ac:dyDescent="0.2">
      <c r="AB1158" s="141"/>
      <c r="AD1158" s="141"/>
      <c r="AE1158" s="141"/>
    </row>
    <row r="1159" spans="28:31" x14ac:dyDescent="0.2">
      <c r="AB1159" s="141"/>
      <c r="AD1159" s="141"/>
      <c r="AE1159" s="141"/>
    </row>
    <row r="1160" spans="28:31" x14ac:dyDescent="0.2">
      <c r="AB1160" s="141"/>
      <c r="AD1160" s="141"/>
      <c r="AE1160" s="141"/>
    </row>
    <row r="1161" spans="28:31" x14ac:dyDescent="0.2">
      <c r="AB1161" s="141"/>
      <c r="AD1161" s="141"/>
      <c r="AE1161" s="141"/>
    </row>
    <row r="1162" spans="28:31" x14ac:dyDescent="0.2">
      <c r="AB1162" s="141"/>
      <c r="AD1162" s="141"/>
      <c r="AE1162" s="141"/>
    </row>
    <row r="1163" spans="28:31" x14ac:dyDescent="0.2">
      <c r="AB1163" s="141"/>
      <c r="AD1163" s="141"/>
      <c r="AE1163" s="141"/>
    </row>
    <row r="1164" spans="28:31" x14ac:dyDescent="0.2">
      <c r="AB1164" s="141"/>
      <c r="AD1164" s="141"/>
      <c r="AE1164" s="141"/>
    </row>
    <row r="1165" spans="28:31" x14ac:dyDescent="0.2">
      <c r="AB1165" s="141"/>
      <c r="AD1165" s="141"/>
      <c r="AE1165" s="141"/>
    </row>
    <row r="1166" spans="28:31" x14ac:dyDescent="0.2">
      <c r="AB1166" s="141"/>
      <c r="AD1166" s="141"/>
      <c r="AE1166" s="141"/>
    </row>
    <row r="1167" spans="28:31" x14ac:dyDescent="0.2">
      <c r="AB1167" s="141"/>
      <c r="AD1167" s="141"/>
      <c r="AE1167" s="141"/>
    </row>
    <row r="1168" spans="28:31" x14ac:dyDescent="0.2">
      <c r="AB1168" s="141"/>
      <c r="AD1168" s="141"/>
      <c r="AE1168" s="141"/>
    </row>
    <row r="1169" spans="28:31" x14ac:dyDescent="0.2">
      <c r="AB1169" s="141"/>
      <c r="AD1169" s="141"/>
      <c r="AE1169" s="141"/>
    </row>
    <row r="1170" spans="28:31" x14ac:dyDescent="0.2">
      <c r="AB1170" s="141"/>
      <c r="AD1170" s="141"/>
      <c r="AE1170" s="141"/>
    </row>
    <row r="1171" spans="28:31" x14ac:dyDescent="0.2">
      <c r="AB1171" s="141"/>
      <c r="AD1171" s="141"/>
      <c r="AE1171" s="141"/>
    </row>
    <row r="1172" spans="28:31" x14ac:dyDescent="0.2">
      <c r="AB1172" s="141"/>
      <c r="AD1172" s="141"/>
      <c r="AE1172" s="141"/>
    </row>
    <row r="1173" spans="28:31" x14ac:dyDescent="0.2">
      <c r="AB1173" s="141"/>
      <c r="AD1173" s="141"/>
      <c r="AE1173" s="141"/>
    </row>
    <row r="1174" spans="28:31" x14ac:dyDescent="0.2">
      <c r="AB1174" s="141"/>
      <c r="AD1174" s="141"/>
      <c r="AE1174" s="141"/>
    </row>
    <row r="1175" spans="28:31" x14ac:dyDescent="0.2">
      <c r="AB1175" s="141"/>
      <c r="AD1175" s="141"/>
      <c r="AE1175" s="141"/>
    </row>
    <row r="1176" spans="28:31" x14ac:dyDescent="0.2">
      <c r="AB1176" s="141"/>
      <c r="AD1176" s="141"/>
      <c r="AE1176" s="141"/>
    </row>
    <row r="1177" spans="28:31" x14ac:dyDescent="0.2">
      <c r="AB1177" s="141"/>
      <c r="AD1177" s="141"/>
      <c r="AE1177" s="141"/>
    </row>
    <row r="1178" spans="28:31" x14ac:dyDescent="0.2">
      <c r="AB1178" s="141"/>
      <c r="AD1178" s="141"/>
      <c r="AE1178" s="141"/>
    </row>
    <row r="1179" spans="28:31" x14ac:dyDescent="0.2">
      <c r="AB1179" s="141"/>
      <c r="AD1179" s="141"/>
      <c r="AE1179" s="141"/>
    </row>
    <row r="1180" spans="28:31" x14ac:dyDescent="0.2">
      <c r="AB1180" s="141"/>
      <c r="AD1180" s="141"/>
      <c r="AE1180" s="141"/>
    </row>
    <row r="1181" spans="28:31" x14ac:dyDescent="0.2">
      <c r="AB1181" s="141"/>
      <c r="AD1181" s="141"/>
      <c r="AE1181" s="141"/>
    </row>
    <row r="1182" spans="28:31" x14ac:dyDescent="0.2">
      <c r="AB1182" s="141"/>
      <c r="AD1182" s="141"/>
      <c r="AE1182" s="141"/>
    </row>
    <row r="1183" spans="28:31" x14ac:dyDescent="0.2">
      <c r="AB1183" s="141"/>
      <c r="AD1183" s="141"/>
      <c r="AE1183" s="141"/>
    </row>
    <row r="1184" spans="28:31" x14ac:dyDescent="0.2">
      <c r="AB1184" s="141"/>
      <c r="AD1184" s="141"/>
      <c r="AE1184" s="141"/>
    </row>
    <row r="1185" spans="28:31" x14ac:dyDescent="0.2">
      <c r="AB1185" s="141"/>
      <c r="AD1185" s="141"/>
      <c r="AE1185" s="141"/>
    </row>
    <row r="1186" spans="28:31" x14ac:dyDescent="0.2">
      <c r="AB1186" s="141"/>
      <c r="AD1186" s="141"/>
      <c r="AE1186" s="141"/>
    </row>
    <row r="1187" spans="28:31" x14ac:dyDescent="0.2">
      <c r="AB1187" s="141"/>
      <c r="AD1187" s="141"/>
      <c r="AE1187" s="141"/>
    </row>
    <row r="1188" spans="28:31" x14ac:dyDescent="0.2">
      <c r="AB1188" s="141"/>
      <c r="AD1188" s="141"/>
      <c r="AE1188" s="141"/>
    </row>
    <row r="1189" spans="28:31" x14ac:dyDescent="0.2">
      <c r="AB1189" s="141"/>
      <c r="AD1189" s="141"/>
      <c r="AE1189" s="141"/>
    </row>
    <row r="1190" spans="28:31" x14ac:dyDescent="0.2">
      <c r="AB1190" s="141"/>
      <c r="AD1190" s="141"/>
      <c r="AE1190" s="141"/>
    </row>
    <row r="1191" spans="28:31" x14ac:dyDescent="0.2">
      <c r="AB1191" s="141"/>
      <c r="AD1191" s="141"/>
      <c r="AE1191" s="141"/>
    </row>
    <row r="1192" spans="28:31" x14ac:dyDescent="0.2">
      <c r="AB1192" s="141"/>
      <c r="AD1192" s="141"/>
      <c r="AE1192" s="141"/>
    </row>
    <row r="1193" spans="28:31" x14ac:dyDescent="0.2">
      <c r="AB1193" s="141"/>
      <c r="AD1193" s="141"/>
      <c r="AE1193" s="141"/>
    </row>
    <row r="1194" spans="28:31" x14ac:dyDescent="0.2">
      <c r="AB1194" s="141"/>
      <c r="AD1194" s="141"/>
      <c r="AE1194" s="141"/>
    </row>
    <row r="1195" spans="28:31" x14ac:dyDescent="0.2">
      <c r="AB1195" s="141"/>
      <c r="AD1195" s="141"/>
      <c r="AE1195" s="141"/>
    </row>
    <row r="1196" spans="28:31" x14ac:dyDescent="0.2">
      <c r="AB1196" s="141"/>
      <c r="AD1196" s="141"/>
      <c r="AE1196" s="141"/>
    </row>
    <row r="1197" spans="28:31" x14ac:dyDescent="0.2">
      <c r="AB1197" s="141"/>
      <c r="AD1197" s="141"/>
      <c r="AE1197" s="141"/>
    </row>
    <row r="1198" spans="28:31" x14ac:dyDescent="0.2">
      <c r="AB1198" s="141"/>
      <c r="AD1198" s="141"/>
      <c r="AE1198" s="141"/>
    </row>
    <row r="1199" spans="28:31" x14ac:dyDescent="0.2">
      <c r="AB1199" s="141"/>
      <c r="AD1199" s="141"/>
      <c r="AE1199" s="141"/>
    </row>
    <row r="1200" spans="28:31" x14ac:dyDescent="0.2">
      <c r="AB1200" s="141"/>
      <c r="AD1200" s="141"/>
      <c r="AE1200" s="141"/>
    </row>
    <row r="1201" spans="28:31" x14ac:dyDescent="0.2">
      <c r="AB1201" s="141"/>
      <c r="AD1201" s="141"/>
      <c r="AE1201" s="141"/>
    </row>
    <row r="1202" spans="28:31" x14ac:dyDescent="0.2">
      <c r="AB1202" s="141"/>
      <c r="AD1202" s="141"/>
      <c r="AE1202" s="141"/>
    </row>
    <row r="1203" spans="28:31" x14ac:dyDescent="0.2">
      <c r="AB1203" s="141"/>
      <c r="AD1203" s="141"/>
      <c r="AE1203" s="141"/>
    </row>
    <row r="1204" spans="28:31" x14ac:dyDescent="0.2">
      <c r="AB1204" s="141"/>
      <c r="AD1204" s="141"/>
      <c r="AE1204" s="141"/>
    </row>
    <row r="1205" spans="28:31" x14ac:dyDescent="0.2">
      <c r="AB1205" s="141"/>
      <c r="AD1205" s="141"/>
      <c r="AE1205" s="141"/>
    </row>
    <row r="1206" spans="28:31" x14ac:dyDescent="0.2">
      <c r="AB1206" s="141"/>
      <c r="AD1206" s="141"/>
      <c r="AE1206" s="141"/>
    </row>
    <row r="1207" spans="28:31" x14ac:dyDescent="0.2">
      <c r="AB1207" s="141"/>
      <c r="AD1207" s="141"/>
      <c r="AE1207" s="141"/>
    </row>
    <row r="1208" spans="28:31" x14ac:dyDescent="0.2">
      <c r="AB1208" s="141"/>
      <c r="AD1208" s="141"/>
      <c r="AE1208" s="141"/>
    </row>
    <row r="1209" spans="28:31" x14ac:dyDescent="0.2">
      <c r="AB1209" s="141"/>
      <c r="AD1209" s="141"/>
      <c r="AE1209" s="141"/>
    </row>
    <row r="1210" spans="28:31" x14ac:dyDescent="0.2">
      <c r="AB1210" s="141"/>
      <c r="AD1210" s="141"/>
      <c r="AE1210" s="141"/>
    </row>
    <row r="1211" spans="28:31" x14ac:dyDescent="0.2">
      <c r="AB1211" s="141"/>
      <c r="AD1211" s="141"/>
      <c r="AE1211" s="141"/>
    </row>
    <row r="1212" spans="28:31" x14ac:dyDescent="0.2">
      <c r="AB1212" s="141"/>
      <c r="AD1212" s="141"/>
      <c r="AE1212" s="141"/>
    </row>
    <row r="1213" spans="28:31" x14ac:dyDescent="0.2">
      <c r="AB1213" s="141"/>
      <c r="AD1213" s="141"/>
      <c r="AE1213" s="141"/>
    </row>
    <row r="1214" spans="28:31" x14ac:dyDescent="0.2">
      <c r="AB1214" s="141"/>
      <c r="AD1214" s="141"/>
      <c r="AE1214" s="141"/>
    </row>
    <row r="1215" spans="28:31" x14ac:dyDescent="0.2">
      <c r="AB1215" s="141"/>
      <c r="AD1215" s="141"/>
      <c r="AE1215" s="141"/>
    </row>
    <row r="1216" spans="28:31" x14ac:dyDescent="0.2">
      <c r="AB1216" s="141"/>
      <c r="AD1216" s="141"/>
      <c r="AE1216" s="141"/>
    </row>
    <row r="1217" spans="28:31" x14ac:dyDescent="0.2">
      <c r="AB1217" s="141"/>
      <c r="AD1217" s="141"/>
      <c r="AE1217" s="141"/>
    </row>
    <row r="1218" spans="28:31" x14ac:dyDescent="0.2">
      <c r="AB1218" s="141"/>
      <c r="AD1218" s="141"/>
      <c r="AE1218" s="141"/>
    </row>
    <row r="1219" spans="28:31" x14ac:dyDescent="0.2">
      <c r="AB1219" s="141"/>
      <c r="AD1219" s="141"/>
      <c r="AE1219" s="141"/>
    </row>
    <row r="1220" spans="28:31" x14ac:dyDescent="0.2">
      <c r="AB1220" s="141"/>
      <c r="AD1220" s="141"/>
      <c r="AE1220" s="141"/>
    </row>
    <row r="1221" spans="28:31" x14ac:dyDescent="0.2">
      <c r="AB1221" s="141"/>
      <c r="AD1221" s="141"/>
      <c r="AE1221" s="141"/>
    </row>
    <row r="1222" spans="28:31" x14ac:dyDescent="0.2">
      <c r="AB1222" s="141"/>
      <c r="AD1222" s="141"/>
      <c r="AE1222" s="141"/>
    </row>
    <row r="1223" spans="28:31" x14ac:dyDescent="0.2">
      <c r="AB1223" s="141"/>
      <c r="AD1223" s="141"/>
      <c r="AE1223" s="141"/>
    </row>
    <row r="1224" spans="28:31" x14ac:dyDescent="0.2">
      <c r="AB1224" s="141"/>
      <c r="AD1224" s="141"/>
      <c r="AE1224" s="141"/>
    </row>
    <row r="1225" spans="28:31" x14ac:dyDescent="0.2">
      <c r="AB1225" s="141"/>
      <c r="AD1225" s="141"/>
      <c r="AE1225" s="141"/>
    </row>
    <row r="1226" spans="28:31" x14ac:dyDescent="0.2">
      <c r="AB1226" s="141"/>
      <c r="AD1226" s="141"/>
      <c r="AE1226" s="141"/>
    </row>
    <row r="1227" spans="28:31" x14ac:dyDescent="0.2">
      <c r="AB1227" s="141"/>
      <c r="AD1227" s="141"/>
      <c r="AE1227" s="141"/>
    </row>
    <row r="1228" spans="28:31" x14ac:dyDescent="0.2">
      <c r="AB1228" s="141"/>
      <c r="AD1228" s="141"/>
      <c r="AE1228" s="141"/>
    </row>
    <row r="1229" spans="28:31" x14ac:dyDescent="0.2">
      <c r="AB1229" s="141"/>
      <c r="AD1229" s="141"/>
      <c r="AE1229" s="141"/>
    </row>
    <row r="1230" spans="28:31" x14ac:dyDescent="0.2">
      <c r="AB1230" s="141"/>
      <c r="AD1230" s="141"/>
      <c r="AE1230" s="141"/>
    </row>
    <row r="1231" spans="28:31" x14ac:dyDescent="0.2">
      <c r="AB1231" s="141"/>
      <c r="AD1231" s="141"/>
      <c r="AE1231" s="141"/>
    </row>
    <row r="1232" spans="28:31" x14ac:dyDescent="0.2">
      <c r="AB1232" s="141"/>
      <c r="AD1232" s="141"/>
      <c r="AE1232" s="141"/>
    </row>
    <row r="1233" spans="28:31" x14ac:dyDescent="0.2">
      <c r="AB1233" s="141"/>
      <c r="AD1233" s="141"/>
      <c r="AE1233" s="141"/>
    </row>
    <row r="1234" spans="28:31" x14ac:dyDescent="0.2">
      <c r="AB1234" s="141"/>
      <c r="AD1234" s="141"/>
      <c r="AE1234" s="141"/>
    </row>
    <row r="1235" spans="28:31" x14ac:dyDescent="0.2">
      <c r="AB1235" s="141"/>
      <c r="AD1235" s="141"/>
      <c r="AE1235" s="141"/>
    </row>
    <row r="1236" spans="28:31" x14ac:dyDescent="0.2">
      <c r="AB1236" s="141"/>
      <c r="AD1236" s="141"/>
      <c r="AE1236" s="141"/>
    </row>
    <row r="1237" spans="28:31" x14ac:dyDescent="0.2">
      <c r="AB1237" s="141"/>
      <c r="AD1237" s="141"/>
      <c r="AE1237" s="141"/>
    </row>
    <row r="1238" spans="28:31" x14ac:dyDescent="0.2">
      <c r="AB1238" s="141"/>
      <c r="AD1238" s="141"/>
      <c r="AE1238" s="141"/>
    </row>
    <row r="1239" spans="28:31" x14ac:dyDescent="0.2">
      <c r="AB1239" s="141"/>
      <c r="AD1239" s="141"/>
      <c r="AE1239" s="141"/>
    </row>
    <row r="1240" spans="28:31" x14ac:dyDescent="0.2">
      <c r="AB1240" s="141"/>
      <c r="AD1240" s="141"/>
      <c r="AE1240" s="141"/>
    </row>
    <row r="1241" spans="28:31" x14ac:dyDescent="0.2">
      <c r="AB1241" s="141"/>
      <c r="AD1241" s="141"/>
      <c r="AE1241" s="141"/>
    </row>
    <row r="1242" spans="28:31" x14ac:dyDescent="0.2">
      <c r="AB1242" s="141"/>
      <c r="AD1242" s="141"/>
      <c r="AE1242" s="141"/>
    </row>
    <row r="1243" spans="28:31" x14ac:dyDescent="0.2">
      <c r="AB1243" s="141"/>
      <c r="AD1243" s="141"/>
      <c r="AE1243" s="141"/>
    </row>
    <row r="1244" spans="28:31" x14ac:dyDescent="0.2">
      <c r="AB1244" s="141"/>
      <c r="AD1244" s="141"/>
      <c r="AE1244" s="141"/>
    </row>
    <row r="1245" spans="28:31" x14ac:dyDescent="0.2">
      <c r="AB1245" s="141"/>
      <c r="AD1245" s="141"/>
      <c r="AE1245" s="141"/>
    </row>
    <row r="1246" spans="28:31" x14ac:dyDescent="0.2">
      <c r="AB1246" s="141"/>
      <c r="AD1246" s="141"/>
      <c r="AE1246" s="141"/>
    </row>
    <row r="1247" spans="28:31" x14ac:dyDescent="0.2">
      <c r="AB1247" s="141"/>
      <c r="AD1247" s="141"/>
      <c r="AE1247" s="141"/>
    </row>
    <row r="1248" spans="28:31" x14ac:dyDescent="0.2">
      <c r="AB1248" s="141"/>
      <c r="AD1248" s="141"/>
      <c r="AE1248" s="141"/>
    </row>
    <row r="1249" spans="28:31" x14ac:dyDescent="0.2">
      <c r="AB1249" s="141"/>
      <c r="AD1249" s="141"/>
      <c r="AE1249" s="141"/>
    </row>
    <row r="1250" spans="28:31" x14ac:dyDescent="0.2">
      <c r="AB1250" s="141"/>
      <c r="AD1250" s="141"/>
      <c r="AE1250" s="141"/>
    </row>
    <row r="1251" spans="28:31" x14ac:dyDescent="0.2">
      <c r="AB1251" s="141"/>
      <c r="AD1251" s="141"/>
      <c r="AE1251" s="141"/>
    </row>
    <row r="1252" spans="28:31" x14ac:dyDescent="0.2">
      <c r="AB1252" s="141"/>
      <c r="AD1252" s="141"/>
      <c r="AE1252" s="141"/>
    </row>
    <row r="1253" spans="28:31" x14ac:dyDescent="0.2">
      <c r="AB1253" s="141"/>
      <c r="AD1253" s="141"/>
      <c r="AE1253" s="141"/>
    </row>
    <row r="1254" spans="28:31" x14ac:dyDescent="0.2">
      <c r="AB1254" s="141"/>
      <c r="AD1254" s="141"/>
      <c r="AE1254" s="141"/>
    </row>
    <row r="1255" spans="28:31" x14ac:dyDescent="0.2">
      <c r="AB1255" s="141"/>
      <c r="AD1255" s="141"/>
      <c r="AE1255" s="141"/>
    </row>
    <row r="1256" spans="28:31" x14ac:dyDescent="0.2">
      <c r="AB1256" s="141"/>
      <c r="AD1256" s="141"/>
      <c r="AE1256" s="141"/>
    </row>
    <row r="1257" spans="28:31" x14ac:dyDescent="0.2">
      <c r="AB1257" s="141"/>
      <c r="AD1257" s="141"/>
      <c r="AE1257" s="141"/>
    </row>
    <row r="1258" spans="28:31" x14ac:dyDescent="0.2">
      <c r="AB1258" s="141"/>
      <c r="AD1258" s="141"/>
      <c r="AE1258" s="141"/>
    </row>
    <row r="1259" spans="28:31" x14ac:dyDescent="0.2">
      <c r="AB1259" s="141"/>
      <c r="AD1259" s="141"/>
      <c r="AE1259" s="141"/>
    </row>
    <row r="1260" spans="28:31" x14ac:dyDescent="0.2">
      <c r="AB1260" s="141"/>
      <c r="AD1260" s="141"/>
      <c r="AE1260" s="141"/>
    </row>
    <row r="1261" spans="28:31" x14ac:dyDescent="0.2">
      <c r="AB1261" s="141"/>
      <c r="AD1261" s="141"/>
      <c r="AE1261" s="141"/>
    </row>
    <row r="1262" spans="28:31" x14ac:dyDescent="0.2">
      <c r="AB1262" s="141"/>
      <c r="AD1262" s="141"/>
      <c r="AE1262" s="141"/>
    </row>
    <row r="1263" spans="28:31" x14ac:dyDescent="0.2">
      <c r="AB1263" s="141"/>
      <c r="AD1263" s="141"/>
      <c r="AE1263" s="141"/>
    </row>
    <row r="1264" spans="28:31" x14ac:dyDescent="0.2">
      <c r="AB1264" s="141"/>
      <c r="AD1264" s="141"/>
      <c r="AE1264" s="141"/>
    </row>
    <row r="1265" spans="28:31" x14ac:dyDescent="0.2">
      <c r="AB1265" s="141"/>
      <c r="AD1265" s="141"/>
      <c r="AE1265" s="141"/>
    </row>
    <row r="1266" spans="28:31" x14ac:dyDescent="0.2">
      <c r="AB1266" s="141"/>
      <c r="AD1266" s="141"/>
      <c r="AE1266" s="141"/>
    </row>
    <row r="1267" spans="28:31" x14ac:dyDescent="0.2">
      <c r="AB1267" s="141"/>
      <c r="AD1267" s="141"/>
      <c r="AE1267" s="141"/>
    </row>
    <row r="1268" spans="28:31" x14ac:dyDescent="0.2">
      <c r="AB1268" s="141"/>
      <c r="AD1268" s="141"/>
      <c r="AE1268" s="141"/>
    </row>
    <row r="1269" spans="28:31" x14ac:dyDescent="0.2">
      <c r="AB1269" s="141"/>
      <c r="AD1269" s="141"/>
      <c r="AE1269" s="141"/>
    </row>
    <row r="1270" spans="28:31" x14ac:dyDescent="0.2">
      <c r="AB1270" s="141"/>
      <c r="AD1270" s="141"/>
      <c r="AE1270" s="141"/>
    </row>
    <row r="1271" spans="28:31" x14ac:dyDescent="0.2">
      <c r="AB1271" s="141"/>
      <c r="AD1271" s="141"/>
      <c r="AE1271" s="141"/>
    </row>
    <row r="1272" spans="28:31" x14ac:dyDescent="0.2">
      <c r="AB1272" s="141"/>
      <c r="AD1272" s="141"/>
      <c r="AE1272" s="141"/>
    </row>
    <row r="1273" spans="28:31" x14ac:dyDescent="0.2">
      <c r="AB1273" s="141"/>
      <c r="AD1273" s="141"/>
      <c r="AE1273" s="141"/>
    </row>
    <row r="1274" spans="28:31" x14ac:dyDescent="0.2">
      <c r="AB1274" s="141"/>
      <c r="AD1274" s="141"/>
      <c r="AE1274" s="141"/>
    </row>
    <row r="1275" spans="28:31" x14ac:dyDescent="0.2">
      <c r="AB1275" s="141"/>
      <c r="AD1275" s="141"/>
      <c r="AE1275" s="141"/>
    </row>
    <row r="1276" spans="28:31" x14ac:dyDescent="0.2">
      <c r="AB1276" s="141"/>
      <c r="AD1276" s="141"/>
      <c r="AE1276" s="141"/>
    </row>
    <row r="1277" spans="28:31" x14ac:dyDescent="0.2">
      <c r="AB1277" s="141"/>
      <c r="AD1277" s="141"/>
      <c r="AE1277" s="141"/>
    </row>
    <row r="1278" spans="28:31" x14ac:dyDescent="0.2">
      <c r="AB1278" s="141"/>
      <c r="AD1278" s="141"/>
      <c r="AE1278" s="141"/>
    </row>
    <row r="1279" spans="28:31" x14ac:dyDescent="0.2">
      <c r="AB1279" s="141"/>
      <c r="AD1279" s="141"/>
      <c r="AE1279" s="141"/>
    </row>
    <row r="1280" spans="28:31" x14ac:dyDescent="0.2">
      <c r="AB1280" s="141"/>
      <c r="AD1280" s="141"/>
      <c r="AE1280" s="141"/>
    </row>
    <row r="1281" spans="28:31" x14ac:dyDescent="0.2">
      <c r="AB1281" s="141"/>
      <c r="AD1281" s="141"/>
      <c r="AE1281" s="141"/>
    </row>
    <row r="1282" spans="28:31" x14ac:dyDescent="0.2">
      <c r="AB1282" s="141"/>
      <c r="AD1282" s="141"/>
      <c r="AE1282" s="141"/>
    </row>
    <row r="1283" spans="28:31" x14ac:dyDescent="0.2">
      <c r="AB1283" s="141"/>
      <c r="AD1283" s="141"/>
      <c r="AE1283" s="141"/>
    </row>
    <row r="1284" spans="28:31" x14ac:dyDescent="0.2">
      <c r="AB1284" s="141"/>
      <c r="AD1284" s="141"/>
      <c r="AE1284" s="141"/>
    </row>
    <row r="1285" spans="28:31" x14ac:dyDescent="0.2">
      <c r="AB1285" s="141"/>
      <c r="AD1285" s="141"/>
      <c r="AE1285" s="141"/>
    </row>
    <row r="1286" spans="28:31" x14ac:dyDescent="0.2">
      <c r="AB1286" s="141"/>
      <c r="AD1286" s="141"/>
      <c r="AE1286" s="141"/>
    </row>
    <row r="1287" spans="28:31" x14ac:dyDescent="0.2">
      <c r="AB1287" s="141"/>
      <c r="AD1287" s="141"/>
      <c r="AE1287" s="141"/>
    </row>
    <row r="1288" spans="28:31" x14ac:dyDescent="0.2">
      <c r="AB1288" s="141"/>
      <c r="AD1288" s="141"/>
      <c r="AE1288" s="141"/>
    </row>
    <row r="1289" spans="28:31" x14ac:dyDescent="0.2">
      <c r="AB1289" s="141"/>
      <c r="AD1289" s="141"/>
      <c r="AE1289" s="141"/>
    </row>
    <row r="1290" spans="28:31" x14ac:dyDescent="0.2">
      <c r="AB1290" s="141"/>
      <c r="AD1290" s="141"/>
      <c r="AE1290" s="141"/>
    </row>
    <row r="1291" spans="28:31" x14ac:dyDescent="0.2">
      <c r="AB1291" s="141"/>
      <c r="AD1291" s="141"/>
      <c r="AE1291" s="141"/>
    </row>
    <row r="1292" spans="28:31" x14ac:dyDescent="0.2">
      <c r="AB1292" s="141"/>
      <c r="AD1292" s="141"/>
      <c r="AE1292" s="141"/>
    </row>
    <row r="1293" spans="28:31" x14ac:dyDescent="0.2">
      <c r="AB1293" s="141"/>
      <c r="AD1293" s="141"/>
      <c r="AE1293" s="141"/>
    </row>
    <row r="1294" spans="28:31" x14ac:dyDescent="0.2">
      <c r="AB1294" s="141"/>
      <c r="AD1294" s="141"/>
      <c r="AE1294" s="141"/>
    </row>
    <row r="1295" spans="28:31" x14ac:dyDescent="0.2">
      <c r="AB1295" s="141"/>
      <c r="AD1295" s="141"/>
      <c r="AE1295" s="141"/>
    </row>
    <row r="1296" spans="28:31" x14ac:dyDescent="0.2">
      <c r="AB1296" s="141"/>
      <c r="AD1296" s="141"/>
      <c r="AE1296" s="141"/>
    </row>
    <row r="1297" spans="28:31" x14ac:dyDescent="0.2">
      <c r="AB1297" s="141"/>
      <c r="AD1297" s="141"/>
      <c r="AE1297" s="141"/>
    </row>
    <row r="1298" spans="28:31" x14ac:dyDescent="0.2">
      <c r="AB1298" s="141"/>
      <c r="AD1298" s="141"/>
      <c r="AE1298" s="141"/>
    </row>
    <row r="1299" spans="28:31" x14ac:dyDescent="0.2">
      <c r="AB1299" s="141"/>
      <c r="AD1299" s="141"/>
      <c r="AE1299" s="141"/>
    </row>
    <row r="1300" spans="28:31" x14ac:dyDescent="0.2">
      <c r="AB1300" s="141"/>
      <c r="AD1300" s="141"/>
      <c r="AE1300" s="141"/>
    </row>
    <row r="1301" spans="28:31" x14ac:dyDescent="0.2">
      <c r="AB1301" s="141"/>
      <c r="AD1301" s="141"/>
      <c r="AE1301" s="141"/>
    </row>
    <row r="1302" spans="28:31" x14ac:dyDescent="0.2">
      <c r="AB1302" s="141"/>
      <c r="AD1302" s="141"/>
      <c r="AE1302" s="141"/>
    </row>
    <row r="1303" spans="28:31" x14ac:dyDescent="0.2">
      <c r="AB1303" s="141"/>
      <c r="AD1303" s="141"/>
      <c r="AE1303" s="141"/>
    </row>
    <row r="1304" spans="28:31" x14ac:dyDescent="0.2">
      <c r="AB1304" s="141"/>
      <c r="AD1304" s="141"/>
      <c r="AE1304" s="141"/>
    </row>
    <row r="1305" spans="28:31" x14ac:dyDescent="0.2">
      <c r="AB1305" s="141"/>
      <c r="AD1305" s="141"/>
      <c r="AE1305" s="141"/>
    </row>
    <row r="1306" spans="28:31" x14ac:dyDescent="0.2">
      <c r="AB1306" s="141"/>
      <c r="AD1306" s="141"/>
      <c r="AE1306" s="141"/>
    </row>
    <row r="1307" spans="28:31" x14ac:dyDescent="0.2">
      <c r="AB1307" s="141"/>
      <c r="AD1307" s="141"/>
      <c r="AE1307" s="141"/>
    </row>
    <row r="1308" spans="28:31" x14ac:dyDescent="0.2">
      <c r="AB1308" s="141"/>
      <c r="AD1308" s="141"/>
      <c r="AE1308" s="141"/>
    </row>
    <row r="1309" spans="28:31" x14ac:dyDescent="0.2">
      <c r="AB1309" s="141"/>
      <c r="AD1309" s="141"/>
      <c r="AE1309" s="141"/>
    </row>
    <row r="1310" spans="28:31" x14ac:dyDescent="0.2">
      <c r="AB1310" s="141"/>
      <c r="AD1310" s="141"/>
      <c r="AE1310" s="141"/>
    </row>
    <row r="1311" spans="28:31" x14ac:dyDescent="0.2">
      <c r="AB1311" s="141"/>
      <c r="AD1311" s="141"/>
      <c r="AE1311" s="141"/>
    </row>
    <row r="1312" spans="28:31" x14ac:dyDescent="0.2">
      <c r="AB1312" s="141"/>
      <c r="AD1312" s="141"/>
      <c r="AE1312" s="141"/>
    </row>
    <row r="1313" spans="28:31" x14ac:dyDescent="0.2">
      <c r="AB1313" s="141"/>
      <c r="AD1313" s="141"/>
      <c r="AE1313" s="141"/>
    </row>
    <row r="1314" spans="28:31" x14ac:dyDescent="0.2">
      <c r="AB1314" s="141"/>
      <c r="AD1314" s="141"/>
      <c r="AE1314" s="141"/>
    </row>
    <row r="1315" spans="28:31" x14ac:dyDescent="0.2">
      <c r="AB1315" s="141"/>
      <c r="AD1315" s="141"/>
      <c r="AE1315" s="141"/>
    </row>
    <row r="1316" spans="28:31" x14ac:dyDescent="0.2">
      <c r="AB1316" s="141"/>
      <c r="AD1316" s="141"/>
      <c r="AE1316" s="141"/>
    </row>
    <row r="1317" spans="28:31" x14ac:dyDescent="0.2">
      <c r="AB1317" s="141"/>
      <c r="AD1317" s="141"/>
      <c r="AE1317" s="141"/>
    </row>
    <row r="1318" spans="28:31" x14ac:dyDescent="0.2">
      <c r="AB1318" s="141"/>
      <c r="AD1318" s="141"/>
      <c r="AE1318" s="141"/>
    </row>
    <row r="1319" spans="28:31" x14ac:dyDescent="0.2">
      <c r="AB1319" s="141"/>
      <c r="AD1319" s="141"/>
      <c r="AE1319" s="141"/>
    </row>
    <row r="1320" spans="28:31" x14ac:dyDescent="0.2">
      <c r="AB1320" s="141"/>
      <c r="AD1320" s="141"/>
      <c r="AE1320" s="141"/>
    </row>
    <row r="1321" spans="28:31" x14ac:dyDescent="0.2">
      <c r="AB1321" s="141"/>
      <c r="AD1321" s="141"/>
      <c r="AE1321" s="141"/>
    </row>
    <row r="1322" spans="28:31" x14ac:dyDescent="0.2">
      <c r="AB1322" s="141"/>
      <c r="AD1322" s="141"/>
      <c r="AE1322" s="141"/>
    </row>
    <row r="1323" spans="28:31" x14ac:dyDescent="0.2">
      <c r="AB1323" s="141"/>
      <c r="AD1323" s="141"/>
      <c r="AE1323" s="141"/>
    </row>
    <row r="1324" spans="28:31" x14ac:dyDescent="0.2">
      <c r="AB1324" s="141"/>
      <c r="AD1324" s="141"/>
      <c r="AE1324" s="141"/>
    </row>
    <row r="1325" spans="28:31" x14ac:dyDescent="0.2">
      <c r="AB1325" s="141"/>
      <c r="AD1325" s="141"/>
      <c r="AE1325" s="141"/>
    </row>
    <row r="1326" spans="28:31" x14ac:dyDescent="0.2">
      <c r="AB1326" s="141"/>
      <c r="AD1326" s="141"/>
      <c r="AE1326" s="141"/>
    </row>
    <row r="1327" spans="28:31" x14ac:dyDescent="0.2">
      <c r="AB1327" s="141"/>
      <c r="AD1327" s="141"/>
      <c r="AE1327" s="141"/>
    </row>
    <row r="1328" spans="28:31" x14ac:dyDescent="0.2">
      <c r="AB1328" s="141"/>
      <c r="AD1328" s="141"/>
      <c r="AE1328" s="141"/>
    </row>
    <row r="1329" spans="28:31" x14ac:dyDescent="0.2">
      <c r="AB1329" s="141"/>
      <c r="AD1329" s="141"/>
      <c r="AE1329" s="141"/>
    </row>
    <row r="1330" spans="28:31" x14ac:dyDescent="0.2">
      <c r="AB1330" s="141"/>
      <c r="AD1330" s="141"/>
      <c r="AE1330" s="141"/>
    </row>
    <row r="1331" spans="28:31" x14ac:dyDescent="0.2">
      <c r="AB1331" s="141"/>
      <c r="AD1331" s="141"/>
      <c r="AE1331" s="141"/>
    </row>
    <row r="1332" spans="28:31" x14ac:dyDescent="0.2">
      <c r="AB1332" s="141"/>
      <c r="AD1332" s="141"/>
      <c r="AE1332" s="141"/>
    </row>
    <row r="1333" spans="28:31" x14ac:dyDescent="0.2">
      <c r="AB1333" s="141"/>
      <c r="AD1333" s="141"/>
      <c r="AE1333" s="141"/>
    </row>
    <row r="1334" spans="28:31" x14ac:dyDescent="0.2">
      <c r="AB1334" s="141"/>
      <c r="AD1334" s="141"/>
      <c r="AE1334" s="141"/>
    </row>
    <row r="1335" spans="28:31" x14ac:dyDescent="0.2">
      <c r="AB1335" s="141"/>
      <c r="AD1335" s="141"/>
      <c r="AE1335" s="141"/>
    </row>
    <row r="1336" spans="28:31" x14ac:dyDescent="0.2">
      <c r="AB1336" s="141"/>
      <c r="AD1336" s="141"/>
      <c r="AE1336" s="141"/>
    </row>
    <row r="1337" spans="28:31" x14ac:dyDescent="0.2">
      <c r="AB1337" s="141"/>
      <c r="AD1337" s="141"/>
      <c r="AE1337" s="141"/>
    </row>
    <row r="1338" spans="28:31" x14ac:dyDescent="0.2">
      <c r="AB1338" s="141"/>
      <c r="AD1338" s="141"/>
      <c r="AE1338" s="141"/>
    </row>
    <row r="1339" spans="28:31" x14ac:dyDescent="0.2">
      <c r="AB1339" s="141"/>
      <c r="AD1339" s="141"/>
      <c r="AE1339" s="141"/>
    </row>
    <row r="1340" spans="28:31" x14ac:dyDescent="0.2">
      <c r="AB1340" s="141"/>
      <c r="AD1340" s="141"/>
      <c r="AE1340" s="141"/>
    </row>
    <row r="1341" spans="28:31" x14ac:dyDescent="0.2">
      <c r="AB1341" s="141"/>
      <c r="AD1341" s="141"/>
      <c r="AE1341" s="141"/>
    </row>
    <row r="1342" spans="28:31" x14ac:dyDescent="0.2">
      <c r="AB1342" s="141"/>
      <c r="AD1342" s="141"/>
      <c r="AE1342" s="141"/>
    </row>
    <row r="1343" spans="28:31" x14ac:dyDescent="0.2">
      <c r="AB1343" s="141"/>
      <c r="AD1343" s="141"/>
      <c r="AE1343" s="141"/>
    </row>
    <row r="1344" spans="28:31" x14ac:dyDescent="0.2">
      <c r="AB1344" s="141"/>
      <c r="AD1344" s="141"/>
      <c r="AE1344" s="141"/>
    </row>
    <row r="1345" spans="28:31" x14ac:dyDescent="0.2">
      <c r="AB1345" s="141"/>
      <c r="AD1345" s="141"/>
      <c r="AE1345" s="141"/>
    </row>
    <row r="1346" spans="28:31" x14ac:dyDescent="0.2">
      <c r="AB1346" s="141"/>
      <c r="AD1346" s="141"/>
      <c r="AE1346" s="141"/>
    </row>
    <row r="1347" spans="28:31" x14ac:dyDescent="0.2">
      <c r="AB1347" s="141"/>
      <c r="AD1347" s="141"/>
      <c r="AE1347" s="141"/>
    </row>
    <row r="1348" spans="28:31" x14ac:dyDescent="0.2">
      <c r="AB1348" s="141"/>
      <c r="AD1348" s="141"/>
      <c r="AE1348" s="141"/>
    </row>
    <row r="1349" spans="28:31" x14ac:dyDescent="0.2">
      <c r="AB1349" s="141"/>
      <c r="AD1349" s="141"/>
      <c r="AE1349" s="141"/>
    </row>
    <row r="1350" spans="28:31" x14ac:dyDescent="0.2">
      <c r="AB1350" s="141"/>
      <c r="AD1350" s="141"/>
      <c r="AE1350" s="141"/>
    </row>
    <row r="1351" spans="28:31" x14ac:dyDescent="0.2">
      <c r="AB1351" s="141"/>
      <c r="AD1351" s="141"/>
      <c r="AE1351" s="141"/>
    </row>
    <row r="1352" spans="28:31" x14ac:dyDescent="0.2">
      <c r="AB1352" s="141"/>
      <c r="AD1352" s="141"/>
      <c r="AE1352" s="141"/>
    </row>
    <row r="1353" spans="28:31" x14ac:dyDescent="0.2">
      <c r="AB1353" s="141"/>
      <c r="AD1353" s="141"/>
      <c r="AE1353" s="141"/>
    </row>
    <row r="1354" spans="28:31" x14ac:dyDescent="0.2">
      <c r="AB1354" s="141"/>
      <c r="AD1354" s="141"/>
      <c r="AE1354" s="141"/>
    </row>
    <row r="1355" spans="28:31" x14ac:dyDescent="0.2">
      <c r="AB1355" s="141"/>
      <c r="AD1355" s="141"/>
      <c r="AE1355" s="141"/>
    </row>
    <row r="1356" spans="28:31" x14ac:dyDescent="0.2">
      <c r="AB1356" s="141"/>
      <c r="AD1356" s="141"/>
      <c r="AE1356" s="141"/>
    </row>
    <row r="1357" spans="28:31" x14ac:dyDescent="0.2">
      <c r="AB1357" s="141"/>
      <c r="AD1357" s="141"/>
      <c r="AE1357" s="141"/>
    </row>
    <row r="1358" spans="28:31" x14ac:dyDescent="0.2">
      <c r="AB1358" s="141"/>
      <c r="AD1358" s="141"/>
      <c r="AE1358" s="141"/>
    </row>
    <row r="1359" spans="28:31" x14ac:dyDescent="0.2">
      <c r="AB1359" s="141"/>
      <c r="AD1359" s="141"/>
      <c r="AE1359" s="141"/>
    </row>
    <row r="1360" spans="28:31" x14ac:dyDescent="0.2">
      <c r="AB1360" s="141"/>
      <c r="AD1360" s="141"/>
      <c r="AE1360" s="141"/>
    </row>
    <row r="1361" spans="28:31" x14ac:dyDescent="0.2">
      <c r="AB1361" s="141"/>
      <c r="AD1361" s="141"/>
      <c r="AE1361" s="141"/>
    </row>
    <row r="1362" spans="28:31" x14ac:dyDescent="0.2">
      <c r="AB1362" s="141"/>
      <c r="AD1362" s="141"/>
      <c r="AE1362" s="141"/>
    </row>
    <row r="1363" spans="28:31" x14ac:dyDescent="0.2">
      <c r="AB1363" s="141"/>
      <c r="AD1363" s="141"/>
      <c r="AE1363" s="141"/>
    </row>
    <row r="1364" spans="28:31" x14ac:dyDescent="0.2">
      <c r="AB1364" s="141"/>
      <c r="AD1364" s="141"/>
      <c r="AE1364" s="141"/>
    </row>
    <row r="1365" spans="28:31" x14ac:dyDescent="0.2">
      <c r="AB1365" s="141"/>
      <c r="AD1365" s="141"/>
      <c r="AE1365" s="141"/>
    </row>
    <row r="1366" spans="28:31" x14ac:dyDescent="0.2">
      <c r="AB1366" s="141"/>
      <c r="AD1366" s="141"/>
      <c r="AE1366" s="141"/>
    </row>
    <row r="1367" spans="28:31" x14ac:dyDescent="0.2">
      <c r="AB1367" s="141"/>
      <c r="AD1367" s="141"/>
      <c r="AE1367" s="141"/>
    </row>
    <row r="1368" spans="28:31" x14ac:dyDescent="0.2">
      <c r="AB1368" s="141"/>
      <c r="AD1368" s="141"/>
      <c r="AE1368" s="141"/>
    </row>
    <row r="1369" spans="28:31" x14ac:dyDescent="0.2">
      <c r="AB1369" s="141"/>
      <c r="AD1369" s="141"/>
      <c r="AE1369" s="141"/>
    </row>
    <row r="1370" spans="28:31" x14ac:dyDescent="0.2">
      <c r="AB1370" s="141"/>
      <c r="AD1370" s="141"/>
      <c r="AE1370" s="141"/>
    </row>
    <row r="1371" spans="28:31" x14ac:dyDescent="0.2">
      <c r="AB1371" s="141"/>
      <c r="AD1371" s="141"/>
      <c r="AE1371" s="141"/>
    </row>
    <row r="1372" spans="28:31" x14ac:dyDescent="0.2">
      <c r="AB1372" s="141"/>
      <c r="AD1372" s="141"/>
      <c r="AE1372" s="141"/>
    </row>
    <row r="1373" spans="28:31" x14ac:dyDescent="0.2">
      <c r="AB1373" s="141"/>
      <c r="AD1373" s="141"/>
      <c r="AE1373" s="141"/>
    </row>
    <row r="1374" spans="28:31" x14ac:dyDescent="0.2">
      <c r="AB1374" s="141"/>
      <c r="AD1374" s="141"/>
      <c r="AE1374" s="141"/>
    </row>
    <row r="1375" spans="28:31" x14ac:dyDescent="0.2">
      <c r="AB1375" s="141"/>
      <c r="AD1375" s="141"/>
      <c r="AE1375" s="141"/>
    </row>
    <row r="1376" spans="28:31" x14ac:dyDescent="0.2">
      <c r="AB1376" s="141"/>
      <c r="AD1376" s="141"/>
      <c r="AE1376" s="141"/>
    </row>
    <row r="1377" spans="28:31" x14ac:dyDescent="0.2">
      <c r="AB1377" s="141"/>
      <c r="AD1377" s="141"/>
      <c r="AE1377" s="141"/>
    </row>
    <row r="1378" spans="28:31" x14ac:dyDescent="0.2">
      <c r="AB1378" s="141"/>
      <c r="AD1378" s="141"/>
      <c r="AE1378" s="141"/>
    </row>
    <row r="1379" spans="28:31" x14ac:dyDescent="0.2">
      <c r="AB1379" s="141"/>
      <c r="AD1379" s="141"/>
      <c r="AE1379" s="141"/>
    </row>
    <row r="1380" spans="28:31" x14ac:dyDescent="0.2">
      <c r="AB1380" s="141"/>
      <c r="AD1380" s="141"/>
      <c r="AE1380" s="141"/>
    </row>
    <row r="1381" spans="28:31" x14ac:dyDescent="0.2">
      <c r="AB1381" s="141"/>
      <c r="AD1381" s="141"/>
      <c r="AE1381" s="141"/>
    </row>
    <row r="1382" spans="28:31" x14ac:dyDescent="0.2">
      <c r="AB1382" s="141"/>
      <c r="AD1382" s="141"/>
      <c r="AE1382" s="141"/>
    </row>
    <row r="1383" spans="28:31" x14ac:dyDescent="0.2">
      <c r="AB1383" s="141"/>
      <c r="AD1383" s="141"/>
      <c r="AE1383" s="141"/>
    </row>
    <row r="1384" spans="28:31" x14ac:dyDescent="0.2">
      <c r="AB1384" s="141"/>
      <c r="AD1384" s="141"/>
      <c r="AE1384" s="141"/>
    </row>
    <row r="1385" spans="28:31" x14ac:dyDescent="0.2">
      <c r="AB1385" s="141"/>
      <c r="AD1385" s="141"/>
      <c r="AE1385" s="141"/>
    </row>
    <row r="1386" spans="28:31" x14ac:dyDescent="0.2">
      <c r="AB1386" s="141"/>
      <c r="AD1386" s="141"/>
      <c r="AE1386" s="141"/>
    </row>
    <row r="1387" spans="28:31" x14ac:dyDescent="0.2">
      <c r="AB1387" s="141"/>
      <c r="AD1387" s="141"/>
      <c r="AE1387" s="141"/>
    </row>
    <row r="1388" spans="28:31" x14ac:dyDescent="0.2">
      <c r="AB1388" s="141"/>
      <c r="AD1388" s="141"/>
      <c r="AE1388" s="141"/>
    </row>
    <row r="1389" spans="28:31" x14ac:dyDescent="0.2">
      <c r="AB1389" s="141"/>
      <c r="AD1389" s="141"/>
      <c r="AE1389" s="141"/>
    </row>
    <row r="1390" spans="28:31" x14ac:dyDescent="0.2">
      <c r="AB1390" s="141"/>
      <c r="AD1390" s="141"/>
      <c r="AE1390" s="141"/>
    </row>
    <row r="1391" spans="28:31" x14ac:dyDescent="0.2">
      <c r="AB1391" s="141"/>
      <c r="AD1391" s="141"/>
      <c r="AE1391" s="141"/>
    </row>
    <row r="1392" spans="28:31" x14ac:dyDescent="0.2">
      <c r="AB1392" s="141"/>
      <c r="AD1392" s="141"/>
      <c r="AE1392" s="141"/>
    </row>
    <row r="1393" spans="28:31" x14ac:dyDescent="0.2">
      <c r="AB1393" s="141"/>
      <c r="AD1393" s="141"/>
      <c r="AE1393" s="141"/>
    </row>
    <row r="1394" spans="28:31" x14ac:dyDescent="0.2">
      <c r="AB1394" s="141"/>
      <c r="AD1394" s="141"/>
      <c r="AE1394" s="141"/>
    </row>
    <row r="1395" spans="28:31" x14ac:dyDescent="0.2">
      <c r="AB1395" s="141"/>
      <c r="AD1395" s="141"/>
      <c r="AE1395" s="141"/>
    </row>
    <row r="1396" spans="28:31" x14ac:dyDescent="0.2">
      <c r="AB1396" s="141"/>
      <c r="AD1396" s="141"/>
      <c r="AE1396" s="141"/>
    </row>
    <row r="1397" spans="28:31" x14ac:dyDescent="0.2">
      <c r="AB1397" s="141"/>
      <c r="AD1397" s="141"/>
      <c r="AE1397" s="141"/>
    </row>
    <row r="1398" spans="28:31" x14ac:dyDescent="0.2">
      <c r="AB1398" s="141"/>
      <c r="AD1398" s="141"/>
      <c r="AE1398" s="141"/>
    </row>
    <row r="1399" spans="28:31" x14ac:dyDescent="0.2">
      <c r="AB1399" s="141"/>
      <c r="AD1399" s="141"/>
      <c r="AE1399" s="141"/>
    </row>
    <row r="1400" spans="28:31" x14ac:dyDescent="0.2">
      <c r="AB1400" s="141"/>
      <c r="AD1400" s="141"/>
      <c r="AE1400" s="141"/>
    </row>
    <row r="1401" spans="28:31" x14ac:dyDescent="0.2">
      <c r="AB1401" s="141"/>
      <c r="AD1401" s="141"/>
      <c r="AE1401" s="141"/>
    </row>
    <row r="1402" spans="28:31" x14ac:dyDescent="0.2">
      <c r="AB1402" s="141"/>
      <c r="AD1402" s="141"/>
      <c r="AE1402" s="141"/>
    </row>
    <row r="1403" spans="28:31" x14ac:dyDescent="0.2">
      <c r="AB1403" s="141"/>
      <c r="AD1403" s="141"/>
      <c r="AE1403" s="141"/>
    </row>
    <row r="1404" spans="28:31" x14ac:dyDescent="0.2">
      <c r="AB1404" s="141"/>
      <c r="AD1404" s="141"/>
      <c r="AE1404" s="141"/>
    </row>
    <row r="1405" spans="28:31" x14ac:dyDescent="0.2">
      <c r="AB1405" s="141"/>
      <c r="AD1405" s="141"/>
      <c r="AE1405" s="141"/>
    </row>
    <row r="1406" spans="28:31" x14ac:dyDescent="0.2">
      <c r="AB1406" s="141"/>
      <c r="AD1406" s="141"/>
      <c r="AE1406" s="141"/>
    </row>
    <row r="1407" spans="28:31" x14ac:dyDescent="0.2">
      <c r="AB1407" s="141"/>
      <c r="AD1407" s="141"/>
      <c r="AE1407" s="141"/>
    </row>
    <row r="1408" spans="28:31" x14ac:dyDescent="0.2">
      <c r="AB1408" s="141"/>
      <c r="AD1408" s="141"/>
      <c r="AE1408" s="141"/>
    </row>
    <row r="1409" spans="28:31" x14ac:dyDescent="0.2">
      <c r="AB1409" s="141"/>
      <c r="AD1409" s="141"/>
      <c r="AE1409" s="141"/>
    </row>
    <row r="1410" spans="28:31" x14ac:dyDescent="0.2">
      <c r="AB1410" s="141"/>
      <c r="AD1410" s="141"/>
      <c r="AE1410" s="141"/>
    </row>
    <row r="1411" spans="28:31" x14ac:dyDescent="0.2">
      <c r="AB1411" s="141"/>
      <c r="AD1411" s="141"/>
      <c r="AE1411" s="141"/>
    </row>
    <row r="1412" spans="28:31" x14ac:dyDescent="0.2">
      <c r="AB1412" s="141"/>
      <c r="AD1412" s="141"/>
      <c r="AE1412" s="141"/>
    </row>
    <row r="1413" spans="28:31" x14ac:dyDescent="0.2">
      <c r="AB1413" s="141"/>
      <c r="AD1413" s="141"/>
      <c r="AE1413" s="141"/>
    </row>
    <row r="1414" spans="28:31" x14ac:dyDescent="0.2">
      <c r="AB1414" s="141"/>
      <c r="AD1414" s="141"/>
      <c r="AE1414" s="141"/>
    </row>
    <row r="1415" spans="28:31" x14ac:dyDescent="0.2">
      <c r="AB1415" s="141"/>
      <c r="AD1415" s="141"/>
      <c r="AE1415" s="141"/>
    </row>
    <row r="1416" spans="28:31" x14ac:dyDescent="0.2">
      <c r="AB1416" s="141"/>
      <c r="AD1416" s="141"/>
      <c r="AE1416" s="141"/>
    </row>
    <row r="1417" spans="28:31" x14ac:dyDescent="0.2">
      <c r="AB1417" s="141"/>
      <c r="AD1417" s="141"/>
      <c r="AE1417" s="141"/>
    </row>
    <row r="1418" spans="28:31" x14ac:dyDescent="0.2">
      <c r="AB1418" s="141"/>
      <c r="AD1418" s="141"/>
      <c r="AE1418" s="141"/>
    </row>
    <row r="1419" spans="28:31" x14ac:dyDescent="0.2">
      <c r="AB1419" s="141"/>
      <c r="AD1419" s="141"/>
      <c r="AE1419" s="141"/>
    </row>
    <row r="1420" spans="28:31" x14ac:dyDescent="0.2">
      <c r="AB1420" s="141"/>
      <c r="AD1420" s="141"/>
      <c r="AE1420" s="141"/>
    </row>
    <row r="1421" spans="28:31" x14ac:dyDescent="0.2">
      <c r="AB1421" s="141"/>
      <c r="AD1421" s="141"/>
      <c r="AE1421" s="141"/>
    </row>
    <row r="1422" spans="28:31" x14ac:dyDescent="0.2">
      <c r="AB1422" s="141"/>
      <c r="AD1422" s="141"/>
      <c r="AE1422" s="141"/>
    </row>
    <row r="1423" spans="28:31" x14ac:dyDescent="0.2">
      <c r="AB1423" s="141"/>
      <c r="AD1423" s="141"/>
      <c r="AE1423" s="141"/>
    </row>
    <row r="1424" spans="28:31" x14ac:dyDescent="0.2">
      <c r="AB1424" s="141"/>
      <c r="AD1424" s="141"/>
      <c r="AE1424" s="141"/>
    </row>
    <row r="1425" spans="28:31" x14ac:dyDescent="0.2">
      <c r="AB1425" s="141"/>
      <c r="AD1425" s="141"/>
      <c r="AE1425" s="141"/>
    </row>
    <row r="1426" spans="28:31" x14ac:dyDescent="0.2">
      <c r="AB1426" s="141"/>
      <c r="AD1426" s="141"/>
      <c r="AE1426" s="141"/>
    </row>
    <row r="1427" spans="28:31" x14ac:dyDescent="0.2">
      <c r="AB1427" s="141"/>
      <c r="AD1427" s="141"/>
      <c r="AE1427" s="141"/>
    </row>
    <row r="1428" spans="28:31" x14ac:dyDescent="0.2">
      <c r="AB1428" s="141"/>
      <c r="AD1428" s="141"/>
      <c r="AE1428" s="141"/>
    </row>
    <row r="1429" spans="28:31" x14ac:dyDescent="0.2">
      <c r="AB1429" s="141"/>
      <c r="AD1429" s="141"/>
      <c r="AE1429" s="141"/>
    </row>
    <row r="1430" spans="28:31" x14ac:dyDescent="0.2">
      <c r="AB1430" s="141"/>
      <c r="AD1430" s="141"/>
      <c r="AE1430" s="141"/>
    </row>
    <row r="1431" spans="28:31" x14ac:dyDescent="0.2">
      <c r="AB1431" s="141"/>
      <c r="AD1431" s="141"/>
      <c r="AE1431" s="141"/>
    </row>
    <row r="1432" spans="28:31" x14ac:dyDescent="0.2">
      <c r="AB1432" s="141"/>
      <c r="AD1432" s="141"/>
      <c r="AE1432" s="141"/>
    </row>
    <row r="1433" spans="28:31" x14ac:dyDescent="0.2">
      <c r="AB1433" s="141"/>
      <c r="AD1433" s="141"/>
      <c r="AE1433" s="141"/>
    </row>
    <row r="1434" spans="28:31" x14ac:dyDescent="0.2">
      <c r="AB1434" s="141"/>
      <c r="AD1434" s="141"/>
      <c r="AE1434" s="141"/>
    </row>
    <row r="1435" spans="28:31" x14ac:dyDescent="0.2">
      <c r="AB1435" s="141"/>
      <c r="AD1435" s="141"/>
      <c r="AE1435" s="141"/>
    </row>
    <row r="1436" spans="28:31" x14ac:dyDescent="0.2">
      <c r="AB1436" s="141"/>
      <c r="AD1436" s="141"/>
      <c r="AE1436" s="141"/>
    </row>
    <row r="1437" spans="28:31" x14ac:dyDescent="0.2">
      <c r="AB1437" s="141"/>
      <c r="AD1437" s="141"/>
      <c r="AE1437" s="141"/>
    </row>
    <row r="1438" spans="28:31" x14ac:dyDescent="0.2">
      <c r="AB1438" s="141"/>
      <c r="AD1438" s="141"/>
      <c r="AE1438" s="141"/>
    </row>
    <row r="1439" spans="28:31" x14ac:dyDescent="0.2">
      <c r="AB1439" s="141"/>
      <c r="AD1439" s="141"/>
      <c r="AE1439" s="141"/>
    </row>
    <row r="1440" spans="28:31" x14ac:dyDescent="0.2">
      <c r="AB1440" s="141"/>
      <c r="AD1440" s="141"/>
      <c r="AE1440" s="141"/>
    </row>
    <row r="1441" spans="28:31" x14ac:dyDescent="0.2">
      <c r="AB1441" s="141"/>
      <c r="AD1441" s="141"/>
      <c r="AE1441" s="141"/>
    </row>
    <row r="1442" spans="28:31" x14ac:dyDescent="0.2">
      <c r="AB1442" s="141"/>
      <c r="AD1442" s="141"/>
      <c r="AE1442" s="141"/>
    </row>
    <row r="1443" spans="28:31" x14ac:dyDescent="0.2">
      <c r="AB1443" s="141"/>
      <c r="AD1443" s="141"/>
      <c r="AE1443" s="141"/>
    </row>
    <row r="1444" spans="28:31" x14ac:dyDescent="0.2">
      <c r="AB1444" s="141"/>
      <c r="AD1444" s="141"/>
      <c r="AE1444" s="141"/>
    </row>
    <row r="1445" spans="28:31" x14ac:dyDescent="0.2">
      <c r="AB1445" s="141"/>
      <c r="AD1445" s="141"/>
      <c r="AE1445" s="141"/>
    </row>
    <row r="1446" spans="28:31" x14ac:dyDescent="0.2">
      <c r="AB1446" s="141"/>
      <c r="AD1446" s="141"/>
      <c r="AE1446" s="141"/>
    </row>
    <row r="1447" spans="28:31" x14ac:dyDescent="0.2">
      <c r="AB1447" s="141"/>
      <c r="AD1447" s="141"/>
      <c r="AE1447" s="141"/>
    </row>
    <row r="1448" spans="28:31" x14ac:dyDescent="0.2">
      <c r="AB1448" s="141"/>
      <c r="AD1448" s="141"/>
      <c r="AE1448" s="141"/>
    </row>
    <row r="1449" spans="28:31" x14ac:dyDescent="0.2">
      <c r="AB1449" s="141"/>
      <c r="AD1449" s="141"/>
      <c r="AE1449" s="141"/>
    </row>
    <row r="1450" spans="28:31" x14ac:dyDescent="0.2">
      <c r="AB1450" s="141"/>
      <c r="AD1450" s="141"/>
      <c r="AE1450" s="141"/>
    </row>
    <row r="1451" spans="28:31" x14ac:dyDescent="0.2">
      <c r="AB1451" s="141"/>
      <c r="AD1451" s="141"/>
      <c r="AE1451" s="141"/>
    </row>
    <row r="1452" spans="28:31" x14ac:dyDescent="0.2">
      <c r="AB1452" s="141"/>
      <c r="AD1452" s="141"/>
      <c r="AE1452" s="141"/>
    </row>
    <row r="1453" spans="28:31" x14ac:dyDescent="0.2">
      <c r="AB1453" s="141"/>
      <c r="AD1453" s="141"/>
      <c r="AE1453" s="141"/>
    </row>
    <row r="1454" spans="28:31" x14ac:dyDescent="0.2">
      <c r="AB1454" s="141"/>
      <c r="AD1454" s="141"/>
      <c r="AE1454" s="141"/>
    </row>
    <row r="1455" spans="28:31" x14ac:dyDescent="0.2">
      <c r="AB1455" s="141"/>
      <c r="AD1455" s="141"/>
      <c r="AE1455" s="141"/>
    </row>
    <row r="1456" spans="28:31" x14ac:dyDescent="0.2">
      <c r="AB1456" s="141"/>
      <c r="AD1456" s="141"/>
      <c r="AE1456" s="141"/>
    </row>
    <row r="1457" spans="28:31" x14ac:dyDescent="0.2">
      <c r="AB1457" s="141"/>
      <c r="AD1457" s="141"/>
      <c r="AE1457" s="141"/>
    </row>
    <row r="1458" spans="28:31" x14ac:dyDescent="0.2">
      <c r="AB1458" s="141"/>
      <c r="AD1458" s="141"/>
      <c r="AE1458" s="141"/>
    </row>
    <row r="1459" spans="28:31" x14ac:dyDescent="0.2">
      <c r="AB1459" s="141"/>
      <c r="AD1459" s="141"/>
      <c r="AE1459" s="141"/>
    </row>
    <row r="1460" spans="28:31" x14ac:dyDescent="0.2">
      <c r="AB1460" s="141"/>
      <c r="AD1460" s="141"/>
      <c r="AE1460" s="141"/>
    </row>
    <row r="1461" spans="28:31" x14ac:dyDescent="0.2">
      <c r="AB1461" s="141"/>
      <c r="AD1461" s="141"/>
      <c r="AE1461" s="141"/>
    </row>
    <row r="1462" spans="28:31" x14ac:dyDescent="0.2">
      <c r="AB1462" s="141"/>
      <c r="AD1462" s="141"/>
      <c r="AE1462" s="141"/>
    </row>
    <row r="1463" spans="28:31" x14ac:dyDescent="0.2">
      <c r="AB1463" s="141"/>
      <c r="AD1463" s="141"/>
      <c r="AE1463" s="141"/>
    </row>
    <row r="1464" spans="28:31" x14ac:dyDescent="0.2">
      <c r="AB1464" s="141"/>
      <c r="AD1464" s="141"/>
      <c r="AE1464" s="141"/>
    </row>
    <row r="1465" spans="28:31" x14ac:dyDescent="0.2">
      <c r="AB1465" s="141"/>
      <c r="AD1465" s="141"/>
      <c r="AE1465" s="141"/>
    </row>
    <row r="1466" spans="28:31" x14ac:dyDescent="0.2">
      <c r="AB1466" s="141"/>
      <c r="AD1466" s="141"/>
      <c r="AE1466" s="141"/>
    </row>
    <row r="1467" spans="28:31" x14ac:dyDescent="0.2">
      <c r="AB1467" s="141"/>
      <c r="AD1467" s="141"/>
      <c r="AE1467" s="141"/>
    </row>
    <row r="1468" spans="28:31" x14ac:dyDescent="0.2">
      <c r="AB1468" s="141"/>
      <c r="AD1468" s="141"/>
      <c r="AE1468" s="141"/>
    </row>
    <row r="1469" spans="28:31" x14ac:dyDescent="0.2">
      <c r="AB1469" s="141"/>
      <c r="AD1469" s="141"/>
      <c r="AE1469" s="141"/>
    </row>
    <row r="1470" spans="28:31" x14ac:dyDescent="0.2">
      <c r="AB1470" s="141"/>
      <c r="AD1470" s="141"/>
      <c r="AE1470" s="141"/>
    </row>
    <row r="1471" spans="28:31" x14ac:dyDescent="0.2">
      <c r="AB1471" s="141"/>
      <c r="AD1471" s="141"/>
      <c r="AE1471" s="141"/>
    </row>
    <row r="1472" spans="28:31" x14ac:dyDescent="0.2">
      <c r="AB1472" s="141"/>
      <c r="AD1472" s="141"/>
      <c r="AE1472" s="141"/>
    </row>
    <row r="1473" spans="28:31" x14ac:dyDescent="0.2">
      <c r="AB1473" s="141"/>
      <c r="AD1473" s="141"/>
      <c r="AE1473" s="141"/>
    </row>
    <row r="1474" spans="28:31" x14ac:dyDescent="0.2">
      <c r="AB1474" s="141"/>
      <c r="AD1474" s="141"/>
      <c r="AE1474" s="141"/>
    </row>
    <row r="1475" spans="28:31" x14ac:dyDescent="0.2">
      <c r="AB1475" s="141"/>
      <c r="AD1475" s="141"/>
      <c r="AE1475" s="141"/>
    </row>
    <row r="1476" spans="28:31" x14ac:dyDescent="0.2">
      <c r="AB1476" s="141"/>
      <c r="AD1476" s="141"/>
      <c r="AE1476" s="141"/>
    </row>
    <row r="1477" spans="28:31" x14ac:dyDescent="0.2">
      <c r="AB1477" s="141"/>
      <c r="AD1477" s="141"/>
      <c r="AE1477" s="141"/>
    </row>
    <row r="1478" spans="28:31" x14ac:dyDescent="0.2">
      <c r="AB1478" s="141"/>
      <c r="AD1478" s="141"/>
      <c r="AE1478" s="141"/>
    </row>
    <row r="1479" spans="28:31" x14ac:dyDescent="0.2">
      <c r="AB1479" s="141"/>
      <c r="AD1479" s="141"/>
      <c r="AE1479" s="141"/>
    </row>
    <row r="1480" spans="28:31" x14ac:dyDescent="0.2">
      <c r="AB1480" s="141"/>
      <c r="AD1480" s="141"/>
      <c r="AE1480" s="141"/>
    </row>
    <row r="1481" spans="28:31" x14ac:dyDescent="0.2">
      <c r="AB1481" s="141"/>
      <c r="AD1481" s="141"/>
      <c r="AE1481" s="141"/>
    </row>
    <row r="1482" spans="28:31" x14ac:dyDescent="0.2">
      <c r="AB1482" s="141"/>
      <c r="AD1482" s="141"/>
      <c r="AE1482" s="141"/>
    </row>
    <row r="1483" spans="28:31" x14ac:dyDescent="0.2">
      <c r="AB1483" s="141"/>
      <c r="AD1483" s="141"/>
      <c r="AE1483" s="141"/>
    </row>
    <row r="1484" spans="28:31" x14ac:dyDescent="0.2">
      <c r="AB1484" s="141"/>
      <c r="AD1484" s="141"/>
      <c r="AE1484" s="141"/>
    </row>
    <row r="1485" spans="28:31" x14ac:dyDescent="0.2">
      <c r="AB1485" s="141"/>
      <c r="AD1485" s="141"/>
      <c r="AE1485" s="141"/>
    </row>
    <row r="1486" spans="28:31" x14ac:dyDescent="0.2">
      <c r="AB1486" s="141"/>
      <c r="AD1486" s="141"/>
      <c r="AE1486" s="141"/>
    </row>
    <row r="1487" spans="28:31" x14ac:dyDescent="0.2">
      <c r="AB1487" s="141"/>
      <c r="AD1487" s="141"/>
      <c r="AE1487" s="141"/>
    </row>
    <row r="1488" spans="28:31" x14ac:dyDescent="0.2">
      <c r="AB1488" s="141"/>
      <c r="AD1488" s="141"/>
      <c r="AE1488" s="141"/>
    </row>
    <row r="1489" spans="28:31" x14ac:dyDescent="0.2">
      <c r="AB1489" s="141"/>
      <c r="AD1489" s="141"/>
      <c r="AE1489" s="141"/>
    </row>
    <row r="1490" spans="28:31" x14ac:dyDescent="0.2">
      <c r="AB1490" s="141"/>
      <c r="AD1490" s="141"/>
      <c r="AE1490" s="141"/>
    </row>
    <row r="1491" spans="28:31" x14ac:dyDescent="0.2">
      <c r="AB1491" s="141"/>
      <c r="AD1491" s="141"/>
      <c r="AE1491" s="141"/>
    </row>
    <row r="1492" spans="28:31" x14ac:dyDescent="0.2">
      <c r="AB1492" s="141"/>
      <c r="AD1492" s="141"/>
      <c r="AE1492" s="141"/>
    </row>
    <row r="1493" spans="28:31" x14ac:dyDescent="0.2">
      <c r="AB1493" s="141"/>
      <c r="AD1493" s="141"/>
      <c r="AE1493" s="141"/>
    </row>
    <row r="1494" spans="28:31" x14ac:dyDescent="0.2">
      <c r="AB1494" s="141"/>
      <c r="AD1494" s="141"/>
      <c r="AE1494" s="141"/>
    </row>
    <row r="1495" spans="28:31" x14ac:dyDescent="0.2">
      <c r="AB1495" s="141"/>
      <c r="AD1495" s="141"/>
      <c r="AE1495" s="141"/>
    </row>
    <row r="1496" spans="28:31" x14ac:dyDescent="0.2">
      <c r="AB1496" s="141"/>
      <c r="AD1496" s="141"/>
      <c r="AE1496" s="141"/>
    </row>
    <row r="1497" spans="28:31" x14ac:dyDescent="0.2">
      <c r="AB1497" s="141"/>
      <c r="AD1497" s="141"/>
      <c r="AE1497" s="141"/>
    </row>
    <row r="1498" spans="28:31" x14ac:dyDescent="0.2">
      <c r="AB1498" s="141"/>
      <c r="AD1498" s="141"/>
      <c r="AE1498" s="141"/>
    </row>
    <row r="1499" spans="28:31" x14ac:dyDescent="0.2">
      <c r="AB1499" s="141"/>
      <c r="AD1499" s="141"/>
      <c r="AE1499" s="141"/>
    </row>
    <row r="1500" spans="28:31" x14ac:dyDescent="0.2">
      <c r="AB1500" s="141"/>
      <c r="AD1500" s="141"/>
      <c r="AE1500" s="141"/>
    </row>
    <row r="1501" spans="28:31" x14ac:dyDescent="0.2">
      <c r="AB1501" s="141"/>
      <c r="AD1501" s="141"/>
      <c r="AE1501" s="141"/>
    </row>
    <row r="1502" spans="28:31" x14ac:dyDescent="0.2">
      <c r="AB1502" s="141"/>
      <c r="AD1502" s="141"/>
      <c r="AE1502" s="141"/>
    </row>
    <row r="1503" spans="28:31" x14ac:dyDescent="0.2">
      <c r="AB1503" s="141"/>
      <c r="AD1503" s="141"/>
      <c r="AE1503" s="141"/>
    </row>
    <row r="1504" spans="28:31" x14ac:dyDescent="0.2">
      <c r="AB1504" s="141"/>
      <c r="AD1504" s="141"/>
      <c r="AE1504" s="141"/>
    </row>
    <row r="1505" spans="28:31" x14ac:dyDescent="0.2">
      <c r="AB1505" s="141"/>
      <c r="AD1505" s="141"/>
      <c r="AE1505" s="141"/>
    </row>
    <row r="1506" spans="28:31" x14ac:dyDescent="0.2">
      <c r="AB1506" s="141"/>
      <c r="AD1506" s="141"/>
      <c r="AE1506" s="141"/>
    </row>
    <row r="1507" spans="28:31" x14ac:dyDescent="0.2">
      <c r="AB1507" s="141"/>
      <c r="AD1507" s="141"/>
      <c r="AE1507" s="141"/>
    </row>
    <row r="1508" spans="28:31" x14ac:dyDescent="0.2">
      <c r="AB1508" s="141"/>
      <c r="AD1508" s="141"/>
      <c r="AE1508" s="141"/>
    </row>
    <row r="1509" spans="28:31" x14ac:dyDescent="0.2">
      <c r="AB1509" s="141"/>
      <c r="AD1509" s="141"/>
      <c r="AE1509" s="141"/>
    </row>
    <row r="1510" spans="28:31" x14ac:dyDescent="0.2">
      <c r="AB1510" s="141"/>
      <c r="AD1510" s="141"/>
      <c r="AE1510" s="141"/>
    </row>
    <row r="1511" spans="28:31" x14ac:dyDescent="0.2">
      <c r="AB1511" s="141"/>
      <c r="AD1511" s="141"/>
      <c r="AE1511" s="141"/>
    </row>
    <row r="1512" spans="28:31" x14ac:dyDescent="0.2">
      <c r="AB1512" s="141"/>
      <c r="AD1512" s="141"/>
      <c r="AE1512" s="141"/>
    </row>
    <row r="1513" spans="28:31" x14ac:dyDescent="0.2">
      <c r="AB1513" s="141"/>
      <c r="AD1513" s="141"/>
      <c r="AE1513" s="141"/>
    </row>
    <row r="1514" spans="28:31" x14ac:dyDescent="0.2">
      <c r="AB1514" s="141"/>
      <c r="AD1514" s="141"/>
      <c r="AE1514" s="141"/>
    </row>
    <row r="1515" spans="28:31" x14ac:dyDescent="0.2">
      <c r="AB1515" s="141"/>
      <c r="AD1515" s="141"/>
      <c r="AE1515" s="141"/>
    </row>
    <row r="1516" spans="28:31" x14ac:dyDescent="0.2">
      <c r="AB1516" s="141"/>
      <c r="AD1516" s="141"/>
      <c r="AE1516" s="141"/>
    </row>
    <row r="1517" spans="28:31" x14ac:dyDescent="0.2">
      <c r="AB1517" s="141"/>
      <c r="AD1517" s="141"/>
      <c r="AE1517" s="141"/>
    </row>
    <row r="1518" spans="28:31" x14ac:dyDescent="0.2">
      <c r="AB1518" s="141"/>
      <c r="AD1518" s="141"/>
      <c r="AE1518" s="141"/>
    </row>
    <row r="1519" spans="28:31" x14ac:dyDescent="0.2">
      <c r="AB1519" s="141"/>
      <c r="AD1519" s="141"/>
      <c r="AE1519" s="141"/>
    </row>
    <row r="1520" spans="28:31" x14ac:dyDescent="0.2">
      <c r="AB1520" s="141"/>
      <c r="AD1520" s="141"/>
      <c r="AE1520" s="141"/>
    </row>
    <row r="1521" spans="28:31" x14ac:dyDescent="0.2">
      <c r="AB1521" s="141"/>
      <c r="AD1521" s="141"/>
      <c r="AE1521" s="141"/>
    </row>
    <row r="1522" spans="28:31" x14ac:dyDescent="0.2">
      <c r="AB1522" s="141"/>
      <c r="AD1522" s="141"/>
      <c r="AE1522" s="141"/>
    </row>
    <row r="1523" spans="28:31" x14ac:dyDescent="0.2">
      <c r="AB1523" s="141"/>
      <c r="AD1523" s="141"/>
      <c r="AE1523" s="141"/>
    </row>
    <row r="1524" spans="28:31" x14ac:dyDescent="0.2">
      <c r="AB1524" s="141"/>
      <c r="AD1524" s="141"/>
      <c r="AE1524" s="141"/>
    </row>
    <row r="1525" spans="28:31" x14ac:dyDescent="0.2">
      <c r="AB1525" s="141"/>
      <c r="AD1525" s="141"/>
      <c r="AE1525" s="141"/>
    </row>
    <row r="1526" spans="28:31" x14ac:dyDescent="0.2">
      <c r="AB1526" s="141"/>
      <c r="AD1526" s="141"/>
      <c r="AE1526" s="141"/>
    </row>
    <row r="1527" spans="28:31" x14ac:dyDescent="0.2">
      <c r="AB1527" s="141"/>
      <c r="AD1527" s="141"/>
      <c r="AE1527" s="141"/>
    </row>
    <row r="1528" spans="28:31" x14ac:dyDescent="0.2">
      <c r="AB1528" s="141"/>
      <c r="AD1528" s="141"/>
      <c r="AE1528" s="141"/>
    </row>
    <row r="1529" spans="28:31" x14ac:dyDescent="0.2">
      <c r="AB1529" s="141"/>
      <c r="AD1529" s="141"/>
      <c r="AE1529" s="141"/>
    </row>
    <row r="1530" spans="28:31" x14ac:dyDescent="0.2">
      <c r="AB1530" s="141"/>
      <c r="AD1530" s="141"/>
      <c r="AE1530" s="141"/>
    </row>
    <row r="1531" spans="28:31" x14ac:dyDescent="0.2">
      <c r="AB1531" s="141"/>
      <c r="AD1531" s="141"/>
      <c r="AE1531" s="141"/>
    </row>
    <row r="1532" spans="28:31" x14ac:dyDescent="0.2">
      <c r="AB1532" s="141"/>
      <c r="AD1532" s="141"/>
      <c r="AE1532" s="141"/>
    </row>
    <row r="1533" spans="28:31" x14ac:dyDescent="0.2">
      <c r="AB1533" s="141"/>
      <c r="AD1533" s="141"/>
      <c r="AE1533" s="141"/>
    </row>
    <row r="1534" spans="28:31" x14ac:dyDescent="0.2">
      <c r="AB1534" s="141"/>
      <c r="AD1534" s="141"/>
      <c r="AE1534" s="141"/>
    </row>
    <row r="1535" spans="28:31" x14ac:dyDescent="0.2">
      <c r="AB1535" s="141"/>
      <c r="AD1535" s="141"/>
      <c r="AE1535" s="141"/>
    </row>
    <row r="1536" spans="28:31" x14ac:dyDescent="0.2">
      <c r="AB1536" s="141"/>
      <c r="AD1536" s="141"/>
      <c r="AE1536" s="141"/>
    </row>
    <row r="1537" spans="28:31" x14ac:dyDescent="0.2">
      <c r="AB1537" s="141"/>
      <c r="AD1537" s="141"/>
      <c r="AE1537" s="141"/>
    </row>
    <row r="1538" spans="28:31" x14ac:dyDescent="0.2">
      <c r="AB1538" s="141"/>
      <c r="AD1538" s="141"/>
      <c r="AE1538" s="141"/>
    </row>
    <row r="1539" spans="28:31" x14ac:dyDescent="0.2">
      <c r="AB1539" s="141"/>
      <c r="AD1539" s="141"/>
      <c r="AE1539" s="141"/>
    </row>
    <row r="1540" spans="28:31" x14ac:dyDescent="0.2">
      <c r="AB1540" s="141"/>
      <c r="AD1540" s="141"/>
      <c r="AE1540" s="141"/>
    </row>
    <row r="1541" spans="28:31" x14ac:dyDescent="0.2">
      <c r="AB1541" s="141"/>
      <c r="AD1541" s="141"/>
      <c r="AE1541" s="141"/>
    </row>
    <row r="1542" spans="28:31" x14ac:dyDescent="0.2">
      <c r="AB1542" s="141"/>
      <c r="AD1542" s="141"/>
      <c r="AE1542" s="141"/>
    </row>
    <row r="1543" spans="28:31" x14ac:dyDescent="0.2">
      <c r="AB1543" s="141"/>
      <c r="AD1543" s="141"/>
      <c r="AE1543" s="141"/>
    </row>
    <row r="1544" spans="28:31" x14ac:dyDescent="0.2">
      <c r="AB1544" s="141"/>
      <c r="AD1544" s="141"/>
      <c r="AE1544" s="141"/>
    </row>
    <row r="1545" spans="28:31" x14ac:dyDescent="0.2">
      <c r="AB1545" s="141"/>
      <c r="AD1545" s="141"/>
      <c r="AE1545" s="141"/>
    </row>
    <row r="1546" spans="28:31" x14ac:dyDescent="0.2">
      <c r="AB1546" s="141"/>
      <c r="AD1546" s="141"/>
      <c r="AE1546" s="141"/>
    </row>
    <row r="1547" spans="28:31" x14ac:dyDescent="0.2">
      <c r="AB1547" s="141"/>
      <c r="AD1547" s="141"/>
      <c r="AE1547" s="141"/>
    </row>
    <row r="1548" spans="28:31" x14ac:dyDescent="0.2">
      <c r="AB1548" s="141"/>
      <c r="AD1548" s="141"/>
      <c r="AE1548" s="141"/>
    </row>
    <row r="1549" spans="28:31" x14ac:dyDescent="0.2">
      <c r="AB1549" s="141"/>
      <c r="AD1549" s="141"/>
      <c r="AE1549" s="141"/>
    </row>
    <row r="1550" spans="28:31" x14ac:dyDescent="0.2">
      <c r="AB1550" s="141"/>
      <c r="AD1550" s="141"/>
      <c r="AE1550" s="141"/>
    </row>
    <row r="1551" spans="28:31" x14ac:dyDescent="0.2">
      <c r="AB1551" s="141"/>
      <c r="AD1551" s="141"/>
      <c r="AE1551" s="141"/>
    </row>
    <row r="1552" spans="28:31" x14ac:dyDescent="0.2">
      <c r="AB1552" s="141"/>
      <c r="AD1552" s="141"/>
      <c r="AE1552" s="141"/>
    </row>
    <row r="1553" spans="28:31" x14ac:dyDescent="0.2">
      <c r="AB1553" s="141"/>
      <c r="AD1553" s="141"/>
      <c r="AE1553" s="141"/>
    </row>
    <row r="1554" spans="28:31" x14ac:dyDescent="0.2">
      <c r="AB1554" s="141"/>
      <c r="AD1554" s="141"/>
      <c r="AE1554" s="141"/>
    </row>
    <row r="1555" spans="28:31" x14ac:dyDescent="0.2">
      <c r="AB1555" s="141"/>
      <c r="AD1555" s="141"/>
      <c r="AE1555" s="141"/>
    </row>
    <row r="1556" spans="28:31" x14ac:dyDescent="0.2">
      <c r="AB1556" s="141"/>
      <c r="AD1556" s="141"/>
      <c r="AE1556" s="141"/>
    </row>
    <row r="1557" spans="28:31" x14ac:dyDescent="0.2">
      <c r="AB1557" s="141"/>
      <c r="AD1557" s="141"/>
      <c r="AE1557" s="141"/>
    </row>
    <row r="1558" spans="28:31" x14ac:dyDescent="0.2">
      <c r="AB1558" s="141"/>
      <c r="AD1558" s="141"/>
      <c r="AE1558" s="141"/>
    </row>
    <row r="1559" spans="28:31" x14ac:dyDescent="0.2">
      <c r="AB1559" s="141"/>
      <c r="AD1559" s="141"/>
      <c r="AE1559" s="141"/>
    </row>
    <row r="1560" spans="28:31" x14ac:dyDescent="0.2">
      <c r="AB1560" s="141"/>
      <c r="AD1560" s="141"/>
      <c r="AE1560" s="141"/>
    </row>
    <row r="1561" spans="28:31" x14ac:dyDescent="0.2">
      <c r="AB1561" s="141"/>
      <c r="AD1561" s="141"/>
      <c r="AE1561" s="141"/>
    </row>
    <row r="1562" spans="28:31" x14ac:dyDescent="0.2">
      <c r="AB1562" s="141"/>
      <c r="AD1562" s="141"/>
      <c r="AE1562" s="141"/>
    </row>
    <row r="1563" spans="28:31" x14ac:dyDescent="0.2">
      <c r="AB1563" s="141"/>
      <c r="AD1563" s="141"/>
      <c r="AE1563" s="141"/>
    </row>
    <row r="1564" spans="28:31" x14ac:dyDescent="0.2">
      <c r="AB1564" s="141"/>
      <c r="AD1564" s="141"/>
      <c r="AE1564" s="141"/>
    </row>
    <row r="1565" spans="28:31" x14ac:dyDescent="0.2">
      <c r="AB1565" s="141"/>
      <c r="AD1565" s="141"/>
      <c r="AE1565" s="141"/>
    </row>
    <row r="1566" spans="28:31" x14ac:dyDescent="0.2">
      <c r="AB1566" s="141"/>
      <c r="AD1566" s="141"/>
      <c r="AE1566" s="141"/>
    </row>
    <row r="1567" spans="28:31" x14ac:dyDescent="0.2">
      <c r="AB1567" s="141"/>
      <c r="AD1567" s="141"/>
      <c r="AE1567" s="141"/>
    </row>
    <row r="1568" spans="28:31" x14ac:dyDescent="0.2">
      <c r="AB1568" s="141"/>
      <c r="AD1568" s="141"/>
      <c r="AE1568" s="141"/>
    </row>
    <row r="1569" spans="28:31" x14ac:dyDescent="0.2">
      <c r="AB1569" s="141"/>
      <c r="AD1569" s="141"/>
      <c r="AE1569" s="141"/>
    </row>
    <row r="1570" spans="28:31" x14ac:dyDescent="0.2">
      <c r="AB1570" s="141"/>
      <c r="AD1570" s="141"/>
      <c r="AE1570" s="141"/>
    </row>
    <row r="1571" spans="28:31" x14ac:dyDescent="0.2">
      <c r="AB1571" s="141"/>
      <c r="AD1571" s="141"/>
      <c r="AE1571" s="141"/>
    </row>
    <row r="1572" spans="28:31" x14ac:dyDescent="0.2">
      <c r="AB1572" s="141"/>
      <c r="AD1572" s="141"/>
      <c r="AE1572" s="141"/>
    </row>
    <row r="1573" spans="28:31" x14ac:dyDescent="0.2">
      <c r="AB1573" s="141"/>
      <c r="AD1573" s="141"/>
      <c r="AE1573" s="141"/>
    </row>
    <row r="1574" spans="28:31" x14ac:dyDescent="0.2">
      <c r="AB1574" s="141"/>
      <c r="AD1574" s="141"/>
      <c r="AE1574" s="141"/>
    </row>
    <row r="1575" spans="28:31" x14ac:dyDescent="0.2">
      <c r="AB1575" s="141"/>
      <c r="AD1575" s="141"/>
      <c r="AE1575" s="141"/>
    </row>
    <row r="1576" spans="28:31" x14ac:dyDescent="0.2">
      <c r="AB1576" s="141"/>
      <c r="AD1576" s="141"/>
      <c r="AE1576" s="141"/>
    </row>
    <row r="1577" spans="28:31" x14ac:dyDescent="0.2">
      <c r="AB1577" s="141"/>
      <c r="AD1577" s="141"/>
      <c r="AE1577" s="141"/>
    </row>
    <row r="1578" spans="28:31" x14ac:dyDescent="0.2">
      <c r="AB1578" s="141"/>
      <c r="AD1578" s="141"/>
      <c r="AE1578" s="141"/>
    </row>
    <row r="1579" spans="28:31" x14ac:dyDescent="0.2">
      <c r="AB1579" s="141"/>
      <c r="AD1579" s="141"/>
      <c r="AE1579" s="141"/>
    </row>
    <row r="1580" spans="28:31" x14ac:dyDescent="0.2">
      <c r="AB1580" s="141"/>
      <c r="AD1580" s="141"/>
      <c r="AE1580" s="141"/>
    </row>
    <row r="1581" spans="28:31" x14ac:dyDescent="0.2">
      <c r="AB1581" s="141"/>
      <c r="AD1581" s="141"/>
      <c r="AE1581" s="141"/>
    </row>
    <row r="1582" spans="28:31" x14ac:dyDescent="0.2">
      <c r="AB1582" s="141"/>
      <c r="AD1582" s="141"/>
      <c r="AE1582" s="141"/>
    </row>
    <row r="1583" spans="28:31" x14ac:dyDescent="0.2">
      <c r="AB1583" s="141"/>
      <c r="AD1583" s="141"/>
      <c r="AE1583" s="141"/>
    </row>
    <row r="1584" spans="28:31" x14ac:dyDescent="0.2">
      <c r="AB1584" s="141"/>
      <c r="AD1584" s="141"/>
      <c r="AE1584" s="141"/>
    </row>
    <row r="1585" spans="28:31" x14ac:dyDescent="0.2">
      <c r="AB1585" s="141"/>
      <c r="AD1585" s="141"/>
      <c r="AE1585" s="141"/>
    </row>
    <row r="1586" spans="28:31" x14ac:dyDescent="0.2">
      <c r="AB1586" s="141"/>
      <c r="AD1586" s="141"/>
      <c r="AE1586" s="141"/>
    </row>
    <row r="1587" spans="28:31" x14ac:dyDescent="0.2">
      <c r="AB1587" s="141"/>
      <c r="AD1587" s="141"/>
      <c r="AE1587" s="141"/>
    </row>
    <row r="1588" spans="28:31" x14ac:dyDescent="0.2">
      <c r="AB1588" s="141"/>
      <c r="AD1588" s="141"/>
      <c r="AE1588" s="141"/>
    </row>
    <row r="1589" spans="28:31" x14ac:dyDescent="0.2">
      <c r="AB1589" s="141"/>
      <c r="AD1589" s="141"/>
      <c r="AE1589" s="141"/>
    </row>
    <row r="1590" spans="28:31" x14ac:dyDescent="0.2">
      <c r="AB1590" s="141"/>
      <c r="AD1590" s="141"/>
      <c r="AE1590" s="141"/>
    </row>
    <row r="1591" spans="28:31" x14ac:dyDescent="0.2">
      <c r="AB1591" s="141"/>
      <c r="AD1591" s="141"/>
      <c r="AE1591" s="141"/>
    </row>
    <row r="1592" spans="28:31" x14ac:dyDescent="0.2">
      <c r="AB1592" s="141"/>
      <c r="AD1592" s="141"/>
      <c r="AE1592" s="141"/>
    </row>
    <row r="1593" spans="28:31" x14ac:dyDescent="0.2">
      <c r="AB1593" s="141"/>
      <c r="AD1593" s="141"/>
      <c r="AE1593" s="141"/>
    </row>
    <row r="1594" spans="28:31" x14ac:dyDescent="0.2">
      <c r="AB1594" s="141"/>
      <c r="AD1594" s="141"/>
      <c r="AE1594" s="141"/>
    </row>
    <row r="1595" spans="28:31" x14ac:dyDescent="0.2">
      <c r="AB1595" s="141"/>
      <c r="AD1595" s="141"/>
      <c r="AE1595" s="141"/>
    </row>
    <row r="1596" spans="28:31" x14ac:dyDescent="0.2">
      <c r="AB1596" s="141"/>
      <c r="AD1596" s="141"/>
      <c r="AE1596" s="141"/>
    </row>
    <row r="1597" spans="28:31" x14ac:dyDescent="0.2">
      <c r="AB1597" s="141"/>
      <c r="AD1597" s="141"/>
      <c r="AE1597" s="141"/>
    </row>
    <row r="1598" spans="28:31" x14ac:dyDescent="0.2">
      <c r="AB1598" s="141"/>
      <c r="AD1598" s="141"/>
      <c r="AE1598" s="141"/>
    </row>
    <row r="1599" spans="28:31" x14ac:dyDescent="0.2">
      <c r="AB1599" s="141"/>
      <c r="AD1599" s="141"/>
      <c r="AE1599" s="141"/>
    </row>
    <row r="1600" spans="28:31" x14ac:dyDescent="0.2">
      <c r="AB1600" s="141"/>
      <c r="AD1600" s="141"/>
      <c r="AE1600" s="141"/>
    </row>
    <row r="1601" spans="28:31" x14ac:dyDescent="0.2">
      <c r="AB1601" s="141"/>
      <c r="AD1601" s="141"/>
      <c r="AE1601" s="141"/>
    </row>
    <row r="1602" spans="28:31" x14ac:dyDescent="0.2">
      <c r="AB1602" s="141"/>
      <c r="AD1602" s="141"/>
      <c r="AE1602" s="141"/>
    </row>
    <row r="1603" spans="28:31" x14ac:dyDescent="0.2">
      <c r="AB1603" s="141"/>
      <c r="AD1603" s="141"/>
      <c r="AE1603" s="141"/>
    </row>
    <row r="1604" spans="28:31" x14ac:dyDescent="0.2">
      <c r="AB1604" s="141"/>
      <c r="AD1604" s="141"/>
      <c r="AE1604" s="141"/>
    </row>
    <row r="1605" spans="28:31" x14ac:dyDescent="0.2">
      <c r="AB1605" s="141"/>
      <c r="AD1605" s="141"/>
      <c r="AE1605" s="141"/>
    </row>
    <row r="1606" spans="28:31" x14ac:dyDescent="0.2">
      <c r="AB1606" s="141"/>
      <c r="AD1606" s="141"/>
      <c r="AE1606" s="141"/>
    </row>
    <row r="1607" spans="28:31" x14ac:dyDescent="0.2">
      <c r="AB1607" s="141"/>
      <c r="AD1607" s="141"/>
      <c r="AE1607" s="141"/>
    </row>
    <row r="1608" spans="28:31" x14ac:dyDescent="0.2">
      <c r="AB1608" s="141"/>
      <c r="AD1608" s="141"/>
      <c r="AE1608" s="141"/>
    </row>
    <row r="1609" spans="28:31" x14ac:dyDescent="0.2">
      <c r="AB1609" s="141"/>
      <c r="AD1609" s="141"/>
      <c r="AE1609" s="141"/>
    </row>
    <row r="1610" spans="28:31" x14ac:dyDescent="0.2">
      <c r="AB1610" s="141"/>
      <c r="AD1610" s="141"/>
      <c r="AE1610" s="141"/>
    </row>
    <row r="1611" spans="28:31" x14ac:dyDescent="0.2">
      <c r="AB1611" s="141"/>
      <c r="AD1611" s="141"/>
      <c r="AE1611" s="141"/>
    </row>
    <row r="1612" spans="28:31" x14ac:dyDescent="0.2">
      <c r="AB1612" s="141"/>
      <c r="AD1612" s="141"/>
      <c r="AE1612" s="141"/>
    </row>
    <row r="1613" spans="28:31" x14ac:dyDescent="0.2">
      <c r="AB1613" s="141"/>
      <c r="AD1613" s="141"/>
      <c r="AE1613" s="141"/>
    </row>
    <row r="1614" spans="28:31" x14ac:dyDescent="0.2">
      <c r="AB1614" s="141"/>
      <c r="AD1614" s="141"/>
      <c r="AE1614" s="141"/>
    </row>
    <row r="1615" spans="28:31" x14ac:dyDescent="0.2">
      <c r="AB1615" s="141"/>
      <c r="AD1615" s="141"/>
      <c r="AE1615" s="141"/>
    </row>
    <row r="1616" spans="28:31" x14ac:dyDescent="0.2">
      <c r="AB1616" s="141"/>
      <c r="AD1616" s="141"/>
      <c r="AE1616" s="141"/>
    </row>
    <row r="1617" spans="28:31" x14ac:dyDescent="0.2">
      <c r="AB1617" s="141"/>
      <c r="AD1617" s="141"/>
      <c r="AE1617" s="141"/>
    </row>
    <row r="1618" spans="28:31" x14ac:dyDescent="0.2">
      <c r="AB1618" s="141"/>
      <c r="AD1618" s="141"/>
      <c r="AE1618" s="141"/>
    </row>
    <row r="1619" spans="28:31" x14ac:dyDescent="0.2">
      <c r="AB1619" s="141"/>
      <c r="AD1619" s="141"/>
      <c r="AE1619" s="141"/>
    </row>
    <row r="1620" spans="28:31" x14ac:dyDescent="0.2">
      <c r="AB1620" s="141"/>
      <c r="AD1620" s="141"/>
      <c r="AE1620" s="141"/>
    </row>
    <row r="1621" spans="28:31" x14ac:dyDescent="0.2">
      <c r="AB1621" s="141"/>
      <c r="AD1621" s="141"/>
      <c r="AE1621" s="141"/>
    </row>
    <row r="1622" spans="28:31" x14ac:dyDescent="0.2">
      <c r="AB1622" s="141"/>
      <c r="AD1622" s="141"/>
      <c r="AE1622" s="141"/>
    </row>
    <row r="1623" spans="28:31" x14ac:dyDescent="0.2">
      <c r="AB1623" s="141"/>
      <c r="AD1623" s="141"/>
      <c r="AE1623" s="141"/>
    </row>
    <row r="1624" spans="28:31" x14ac:dyDescent="0.2">
      <c r="AB1624" s="141"/>
      <c r="AD1624" s="141"/>
      <c r="AE1624" s="141"/>
    </row>
    <row r="1625" spans="28:31" x14ac:dyDescent="0.2">
      <c r="AB1625" s="141"/>
      <c r="AD1625" s="141"/>
      <c r="AE1625" s="141"/>
    </row>
    <row r="1626" spans="28:31" x14ac:dyDescent="0.2">
      <c r="AB1626" s="141"/>
      <c r="AD1626" s="141"/>
      <c r="AE1626" s="141"/>
    </row>
    <row r="1627" spans="28:31" x14ac:dyDescent="0.2">
      <c r="AB1627" s="141"/>
      <c r="AD1627" s="141"/>
      <c r="AE1627" s="141"/>
    </row>
    <row r="1628" spans="28:31" x14ac:dyDescent="0.2">
      <c r="AB1628" s="141"/>
      <c r="AD1628" s="141"/>
      <c r="AE1628" s="141"/>
    </row>
    <row r="1629" spans="28:31" x14ac:dyDescent="0.2">
      <c r="AB1629" s="141"/>
      <c r="AD1629" s="141"/>
      <c r="AE1629" s="141"/>
    </row>
    <row r="1630" spans="28:31" x14ac:dyDescent="0.2">
      <c r="AB1630" s="141"/>
      <c r="AD1630" s="141"/>
      <c r="AE1630" s="141"/>
    </row>
    <row r="1631" spans="28:31" x14ac:dyDescent="0.2">
      <c r="AB1631" s="141"/>
      <c r="AD1631" s="141"/>
      <c r="AE1631" s="141"/>
    </row>
    <row r="1632" spans="28:31" x14ac:dyDescent="0.2">
      <c r="AB1632" s="141"/>
      <c r="AD1632" s="141"/>
      <c r="AE1632" s="141"/>
    </row>
    <row r="1633" spans="28:31" x14ac:dyDescent="0.2">
      <c r="AB1633" s="141"/>
      <c r="AD1633" s="141"/>
      <c r="AE1633" s="141"/>
    </row>
    <row r="1634" spans="28:31" x14ac:dyDescent="0.2">
      <c r="AB1634" s="141"/>
      <c r="AD1634" s="141"/>
      <c r="AE1634" s="141"/>
    </row>
    <row r="1635" spans="28:31" x14ac:dyDescent="0.2">
      <c r="AB1635" s="141"/>
      <c r="AD1635" s="141"/>
      <c r="AE1635" s="141"/>
    </row>
    <row r="1636" spans="28:31" x14ac:dyDescent="0.2">
      <c r="AB1636" s="141"/>
      <c r="AD1636" s="141"/>
      <c r="AE1636" s="141"/>
    </row>
    <row r="1637" spans="28:31" x14ac:dyDescent="0.2">
      <c r="AB1637" s="141"/>
      <c r="AD1637" s="141"/>
      <c r="AE1637" s="141"/>
    </row>
    <row r="1638" spans="28:31" x14ac:dyDescent="0.2">
      <c r="AB1638" s="141"/>
      <c r="AD1638" s="141"/>
      <c r="AE1638" s="141"/>
    </row>
    <row r="1639" spans="28:31" x14ac:dyDescent="0.2">
      <c r="AB1639" s="141"/>
      <c r="AD1639" s="141"/>
      <c r="AE1639" s="141"/>
    </row>
    <row r="1640" spans="28:31" x14ac:dyDescent="0.2">
      <c r="AB1640" s="141"/>
      <c r="AD1640" s="141"/>
      <c r="AE1640" s="141"/>
    </row>
    <row r="1641" spans="28:31" x14ac:dyDescent="0.2">
      <c r="AB1641" s="141"/>
      <c r="AD1641" s="141"/>
      <c r="AE1641" s="141"/>
    </row>
    <row r="1642" spans="28:31" x14ac:dyDescent="0.2">
      <c r="AB1642" s="141"/>
      <c r="AD1642" s="141"/>
      <c r="AE1642" s="141"/>
    </row>
    <row r="1643" spans="28:31" x14ac:dyDescent="0.2">
      <c r="AB1643" s="141"/>
      <c r="AD1643" s="141"/>
      <c r="AE1643" s="141"/>
    </row>
    <row r="1644" spans="28:31" x14ac:dyDescent="0.2">
      <c r="AB1644" s="141"/>
      <c r="AD1644" s="141"/>
      <c r="AE1644" s="141"/>
    </row>
    <row r="1645" spans="28:31" x14ac:dyDescent="0.2">
      <c r="AB1645" s="141"/>
      <c r="AD1645" s="141"/>
      <c r="AE1645" s="141"/>
    </row>
    <row r="1646" spans="28:31" x14ac:dyDescent="0.2">
      <c r="AB1646" s="141"/>
      <c r="AD1646" s="141"/>
      <c r="AE1646" s="141"/>
    </row>
    <row r="1647" spans="28:31" x14ac:dyDescent="0.2">
      <c r="AB1647" s="141"/>
      <c r="AD1647" s="141"/>
      <c r="AE1647" s="141"/>
    </row>
    <row r="1648" spans="28:31" x14ac:dyDescent="0.2">
      <c r="AB1648" s="141"/>
      <c r="AD1648" s="141"/>
      <c r="AE1648" s="141"/>
    </row>
    <row r="1649" spans="28:31" x14ac:dyDescent="0.2">
      <c r="AB1649" s="141"/>
      <c r="AD1649" s="141"/>
      <c r="AE1649" s="141"/>
    </row>
    <row r="1650" spans="28:31" x14ac:dyDescent="0.2">
      <c r="AB1650" s="141"/>
      <c r="AD1650" s="141"/>
      <c r="AE1650" s="141"/>
    </row>
    <row r="1651" spans="28:31" x14ac:dyDescent="0.2">
      <c r="AB1651" s="141"/>
      <c r="AD1651" s="141"/>
      <c r="AE1651" s="141"/>
    </row>
    <row r="1652" spans="28:31" x14ac:dyDescent="0.2">
      <c r="AB1652" s="141"/>
      <c r="AD1652" s="141"/>
      <c r="AE1652" s="141"/>
    </row>
    <row r="1653" spans="28:31" x14ac:dyDescent="0.2">
      <c r="AB1653" s="141"/>
      <c r="AD1653" s="141"/>
      <c r="AE1653" s="141"/>
    </row>
    <row r="1654" spans="28:31" x14ac:dyDescent="0.2">
      <c r="AB1654" s="141"/>
      <c r="AD1654" s="141"/>
      <c r="AE1654" s="141"/>
    </row>
    <row r="1655" spans="28:31" x14ac:dyDescent="0.2">
      <c r="AB1655" s="141"/>
      <c r="AD1655" s="141"/>
      <c r="AE1655" s="141"/>
    </row>
    <row r="1656" spans="28:31" x14ac:dyDescent="0.2">
      <c r="AB1656" s="141"/>
      <c r="AD1656" s="141"/>
      <c r="AE1656" s="141"/>
    </row>
    <row r="1657" spans="28:31" x14ac:dyDescent="0.2">
      <c r="AB1657" s="141"/>
      <c r="AD1657" s="141"/>
      <c r="AE1657" s="141"/>
    </row>
    <row r="1658" spans="28:31" x14ac:dyDescent="0.2">
      <c r="AB1658" s="141"/>
      <c r="AD1658" s="141"/>
      <c r="AE1658" s="141"/>
    </row>
    <row r="1659" spans="28:31" x14ac:dyDescent="0.2">
      <c r="AB1659" s="141"/>
      <c r="AD1659" s="141"/>
      <c r="AE1659" s="141"/>
    </row>
    <row r="1660" spans="28:31" x14ac:dyDescent="0.2">
      <c r="AB1660" s="141"/>
      <c r="AD1660" s="141"/>
      <c r="AE1660" s="141"/>
    </row>
    <row r="1661" spans="28:31" x14ac:dyDescent="0.2">
      <c r="AB1661" s="141"/>
      <c r="AD1661" s="141"/>
      <c r="AE1661" s="141"/>
    </row>
    <row r="1662" spans="28:31" x14ac:dyDescent="0.2">
      <c r="AB1662" s="141"/>
      <c r="AD1662" s="141"/>
      <c r="AE1662" s="141"/>
    </row>
    <row r="1663" spans="28:31" x14ac:dyDescent="0.2">
      <c r="AB1663" s="141"/>
      <c r="AD1663" s="141"/>
      <c r="AE1663" s="141"/>
    </row>
    <row r="1664" spans="28:31" x14ac:dyDescent="0.2">
      <c r="AB1664" s="141"/>
      <c r="AD1664" s="141"/>
      <c r="AE1664" s="141"/>
    </row>
    <row r="1665" spans="28:31" x14ac:dyDescent="0.2">
      <c r="AB1665" s="141"/>
      <c r="AD1665" s="141"/>
      <c r="AE1665" s="141"/>
    </row>
    <row r="1666" spans="28:31" x14ac:dyDescent="0.2">
      <c r="AB1666" s="141"/>
      <c r="AD1666" s="141"/>
      <c r="AE1666" s="141"/>
    </row>
    <row r="1667" spans="28:31" x14ac:dyDescent="0.2">
      <c r="AB1667" s="141"/>
      <c r="AD1667" s="141"/>
      <c r="AE1667" s="141"/>
    </row>
    <row r="1668" spans="28:31" x14ac:dyDescent="0.2">
      <c r="AB1668" s="141"/>
      <c r="AD1668" s="141"/>
      <c r="AE1668" s="141"/>
    </row>
    <row r="1669" spans="28:31" x14ac:dyDescent="0.2">
      <c r="AB1669" s="141"/>
      <c r="AD1669" s="141"/>
      <c r="AE1669" s="141"/>
    </row>
    <row r="1670" spans="28:31" x14ac:dyDescent="0.2">
      <c r="AB1670" s="141"/>
      <c r="AD1670" s="141"/>
      <c r="AE1670" s="141"/>
    </row>
    <row r="1671" spans="28:31" x14ac:dyDescent="0.2">
      <c r="AB1671" s="141"/>
      <c r="AD1671" s="141"/>
      <c r="AE1671" s="141"/>
    </row>
    <row r="1672" spans="28:31" x14ac:dyDescent="0.2">
      <c r="AB1672" s="141"/>
      <c r="AD1672" s="141"/>
      <c r="AE1672" s="141"/>
    </row>
    <row r="1673" spans="28:31" x14ac:dyDescent="0.2">
      <c r="AB1673" s="141"/>
      <c r="AD1673" s="141"/>
      <c r="AE1673" s="141"/>
    </row>
    <row r="1674" spans="28:31" x14ac:dyDescent="0.2">
      <c r="AB1674" s="141"/>
      <c r="AD1674" s="141"/>
      <c r="AE1674" s="141"/>
    </row>
    <row r="1675" spans="28:31" x14ac:dyDescent="0.2">
      <c r="AB1675" s="141"/>
      <c r="AD1675" s="141"/>
      <c r="AE1675" s="141"/>
    </row>
    <row r="1676" spans="28:31" x14ac:dyDescent="0.2">
      <c r="AB1676" s="141"/>
      <c r="AD1676" s="141"/>
      <c r="AE1676" s="141"/>
    </row>
    <row r="1677" spans="28:31" x14ac:dyDescent="0.2">
      <c r="AB1677" s="141"/>
      <c r="AD1677" s="141"/>
      <c r="AE1677" s="141"/>
    </row>
    <row r="1678" spans="28:31" x14ac:dyDescent="0.2">
      <c r="AB1678" s="141"/>
      <c r="AD1678" s="141"/>
      <c r="AE1678" s="141"/>
    </row>
    <row r="1679" spans="28:31" x14ac:dyDescent="0.2">
      <c r="AB1679" s="141"/>
      <c r="AD1679" s="141"/>
      <c r="AE1679" s="141"/>
    </row>
    <row r="1680" spans="28:31" x14ac:dyDescent="0.2">
      <c r="AB1680" s="141"/>
      <c r="AD1680" s="141"/>
      <c r="AE1680" s="141"/>
    </row>
    <row r="1681" spans="28:31" x14ac:dyDescent="0.2">
      <c r="AB1681" s="141"/>
      <c r="AD1681" s="141"/>
      <c r="AE1681" s="141"/>
    </row>
    <row r="1682" spans="28:31" x14ac:dyDescent="0.2">
      <c r="AB1682" s="141"/>
      <c r="AD1682" s="141"/>
      <c r="AE1682" s="141"/>
    </row>
    <row r="1683" spans="28:31" x14ac:dyDescent="0.2">
      <c r="AB1683" s="141"/>
      <c r="AD1683" s="141"/>
      <c r="AE1683" s="141"/>
    </row>
    <row r="1684" spans="28:31" x14ac:dyDescent="0.2">
      <c r="AB1684" s="141"/>
      <c r="AD1684" s="141"/>
      <c r="AE1684" s="141"/>
    </row>
    <row r="1685" spans="28:31" x14ac:dyDescent="0.2">
      <c r="AB1685" s="141"/>
      <c r="AD1685" s="141"/>
      <c r="AE1685" s="141"/>
    </row>
    <row r="1686" spans="28:31" x14ac:dyDescent="0.2">
      <c r="AB1686" s="141"/>
      <c r="AD1686" s="141"/>
      <c r="AE1686" s="141"/>
    </row>
    <row r="1687" spans="28:31" x14ac:dyDescent="0.2">
      <c r="AB1687" s="141"/>
      <c r="AD1687" s="141"/>
      <c r="AE1687" s="141"/>
    </row>
    <row r="1688" spans="28:31" x14ac:dyDescent="0.2">
      <c r="AB1688" s="141"/>
      <c r="AD1688" s="141"/>
      <c r="AE1688" s="141"/>
    </row>
    <row r="1689" spans="28:31" x14ac:dyDescent="0.2">
      <c r="AB1689" s="141"/>
      <c r="AD1689" s="141"/>
      <c r="AE1689" s="141"/>
    </row>
    <row r="1690" spans="28:31" x14ac:dyDescent="0.2">
      <c r="AB1690" s="141"/>
      <c r="AD1690" s="141"/>
      <c r="AE1690" s="141"/>
    </row>
    <row r="1691" spans="28:31" x14ac:dyDescent="0.2">
      <c r="AB1691" s="141"/>
      <c r="AD1691" s="141"/>
      <c r="AE1691" s="141"/>
    </row>
    <row r="1692" spans="28:31" x14ac:dyDescent="0.2">
      <c r="AB1692" s="141"/>
      <c r="AD1692" s="141"/>
      <c r="AE1692" s="141"/>
    </row>
    <row r="1693" spans="28:31" x14ac:dyDescent="0.2">
      <c r="AB1693" s="141"/>
      <c r="AD1693" s="141"/>
      <c r="AE1693" s="141"/>
    </row>
    <row r="1694" spans="28:31" x14ac:dyDescent="0.2">
      <c r="AB1694" s="141"/>
      <c r="AD1694" s="141"/>
      <c r="AE1694" s="141"/>
    </row>
    <row r="1695" spans="28:31" x14ac:dyDescent="0.2">
      <c r="AB1695" s="141"/>
      <c r="AD1695" s="141"/>
      <c r="AE1695" s="141"/>
    </row>
    <row r="1696" spans="28:31" x14ac:dyDescent="0.2">
      <c r="AB1696" s="141"/>
      <c r="AD1696" s="141"/>
      <c r="AE1696" s="141"/>
    </row>
    <row r="1697" spans="28:31" x14ac:dyDescent="0.2">
      <c r="AB1697" s="141"/>
      <c r="AD1697" s="141"/>
      <c r="AE1697" s="141"/>
    </row>
    <row r="1698" spans="28:31" x14ac:dyDescent="0.2">
      <c r="AB1698" s="141"/>
      <c r="AD1698" s="141"/>
      <c r="AE1698" s="141"/>
    </row>
    <row r="1699" spans="28:31" x14ac:dyDescent="0.2">
      <c r="AB1699" s="141"/>
      <c r="AD1699" s="141"/>
      <c r="AE1699" s="141"/>
    </row>
    <row r="1700" spans="28:31" x14ac:dyDescent="0.2">
      <c r="AB1700" s="141"/>
      <c r="AD1700" s="141"/>
      <c r="AE1700" s="141"/>
    </row>
    <row r="1701" spans="28:31" x14ac:dyDescent="0.2">
      <c r="AB1701" s="141"/>
      <c r="AD1701" s="141"/>
      <c r="AE1701" s="141"/>
    </row>
    <row r="1702" spans="28:31" x14ac:dyDescent="0.2">
      <c r="AB1702" s="141"/>
      <c r="AD1702" s="141"/>
      <c r="AE1702" s="141"/>
    </row>
    <row r="1703" spans="28:31" x14ac:dyDescent="0.2">
      <c r="AB1703" s="141"/>
      <c r="AD1703" s="141"/>
      <c r="AE1703" s="141"/>
    </row>
    <row r="1704" spans="28:31" x14ac:dyDescent="0.2">
      <c r="AB1704" s="141"/>
      <c r="AD1704" s="141"/>
      <c r="AE1704" s="141"/>
    </row>
    <row r="1705" spans="28:31" x14ac:dyDescent="0.2">
      <c r="AB1705" s="141"/>
      <c r="AD1705" s="141"/>
      <c r="AE1705" s="141"/>
    </row>
    <row r="1706" spans="28:31" x14ac:dyDescent="0.2">
      <c r="AB1706" s="141"/>
      <c r="AD1706" s="141"/>
      <c r="AE1706" s="141"/>
    </row>
    <row r="1707" spans="28:31" x14ac:dyDescent="0.2">
      <c r="AB1707" s="141"/>
      <c r="AD1707" s="141"/>
      <c r="AE1707" s="141"/>
    </row>
    <row r="1708" spans="28:31" x14ac:dyDescent="0.2">
      <c r="AB1708" s="141"/>
      <c r="AD1708" s="141"/>
      <c r="AE1708" s="141"/>
    </row>
    <row r="1709" spans="28:31" x14ac:dyDescent="0.2">
      <c r="AB1709" s="141"/>
      <c r="AD1709" s="141"/>
      <c r="AE1709" s="141"/>
    </row>
    <row r="1710" spans="28:31" x14ac:dyDescent="0.2">
      <c r="AB1710" s="141"/>
      <c r="AD1710" s="141"/>
      <c r="AE1710" s="141"/>
    </row>
    <row r="1711" spans="28:31" x14ac:dyDescent="0.2">
      <c r="AB1711" s="141"/>
      <c r="AD1711" s="141"/>
      <c r="AE1711" s="141"/>
    </row>
    <row r="1712" spans="28:31" x14ac:dyDescent="0.2">
      <c r="AB1712" s="141"/>
      <c r="AD1712" s="141"/>
      <c r="AE1712" s="141"/>
    </row>
    <row r="1713" spans="28:31" x14ac:dyDescent="0.2">
      <c r="AB1713" s="141"/>
      <c r="AD1713" s="141"/>
      <c r="AE1713" s="141"/>
    </row>
    <row r="1714" spans="28:31" x14ac:dyDescent="0.2">
      <c r="AB1714" s="141"/>
      <c r="AD1714" s="141"/>
      <c r="AE1714" s="141"/>
    </row>
    <row r="1715" spans="28:31" x14ac:dyDescent="0.2">
      <c r="AB1715" s="141"/>
      <c r="AD1715" s="141"/>
      <c r="AE1715" s="141"/>
    </row>
    <row r="1716" spans="28:31" x14ac:dyDescent="0.2">
      <c r="AB1716" s="141"/>
      <c r="AD1716" s="141"/>
      <c r="AE1716" s="141"/>
    </row>
    <row r="1717" spans="28:31" x14ac:dyDescent="0.2">
      <c r="AB1717" s="141"/>
      <c r="AD1717" s="141"/>
      <c r="AE1717" s="141"/>
    </row>
    <row r="1718" spans="28:31" x14ac:dyDescent="0.2">
      <c r="AB1718" s="141"/>
      <c r="AD1718" s="141"/>
      <c r="AE1718" s="141"/>
    </row>
    <row r="1719" spans="28:31" x14ac:dyDescent="0.2">
      <c r="AB1719" s="141"/>
      <c r="AD1719" s="141"/>
      <c r="AE1719" s="141"/>
    </row>
    <row r="1720" spans="28:31" x14ac:dyDescent="0.2">
      <c r="AB1720" s="141"/>
      <c r="AD1720" s="141"/>
      <c r="AE1720" s="141"/>
    </row>
    <row r="1721" spans="28:31" x14ac:dyDescent="0.2">
      <c r="AB1721" s="141"/>
      <c r="AD1721" s="141"/>
      <c r="AE1721" s="141"/>
    </row>
    <row r="1722" spans="28:31" x14ac:dyDescent="0.2">
      <c r="AB1722" s="141"/>
      <c r="AD1722" s="141"/>
      <c r="AE1722" s="141"/>
    </row>
    <row r="1723" spans="28:31" x14ac:dyDescent="0.2">
      <c r="AB1723" s="141"/>
      <c r="AD1723" s="141"/>
      <c r="AE1723" s="141"/>
    </row>
    <row r="1724" spans="28:31" x14ac:dyDescent="0.2">
      <c r="AB1724" s="141"/>
      <c r="AD1724" s="141"/>
      <c r="AE1724" s="141"/>
    </row>
    <row r="1725" spans="28:31" x14ac:dyDescent="0.2">
      <c r="AB1725" s="141"/>
      <c r="AD1725" s="141"/>
      <c r="AE1725" s="141"/>
    </row>
    <row r="1726" spans="28:31" x14ac:dyDescent="0.2">
      <c r="AB1726" s="141"/>
      <c r="AD1726" s="141"/>
      <c r="AE1726" s="141"/>
    </row>
    <row r="1727" spans="28:31" x14ac:dyDescent="0.2">
      <c r="AB1727" s="141"/>
      <c r="AD1727" s="141"/>
      <c r="AE1727" s="141"/>
    </row>
    <row r="1728" spans="28:31" x14ac:dyDescent="0.2">
      <c r="AB1728" s="141"/>
      <c r="AD1728" s="141"/>
      <c r="AE1728" s="141"/>
    </row>
    <row r="1729" spans="28:31" x14ac:dyDescent="0.2">
      <c r="AB1729" s="141"/>
      <c r="AD1729" s="141"/>
      <c r="AE1729" s="141"/>
    </row>
    <row r="1730" spans="28:31" x14ac:dyDescent="0.2">
      <c r="AB1730" s="141"/>
      <c r="AD1730" s="141"/>
      <c r="AE1730" s="141"/>
    </row>
    <row r="1731" spans="28:31" x14ac:dyDescent="0.2">
      <c r="AB1731" s="141"/>
      <c r="AD1731" s="141"/>
      <c r="AE1731" s="141"/>
    </row>
    <row r="1732" spans="28:31" x14ac:dyDescent="0.2">
      <c r="AB1732" s="141"/>
      <c r="AD1732" s="141"/>
      <c r="AE1732" s="141"/>
    </row>
    <row r="1733" spans="28:31" x14ac:dyDescent="0.2">
      <c r="AB1733" s="141"/>
      <c r="AD1733" s="141"/>
      <c r="AE1733" s="141"/>
    </row>
    <row r="1734" spans="28:31" x14ac:dyDescent="0.2">
      <c r="AB1734" s="141"/>
      <c r="AD1734" s="141"/>
      <c r="AE1734" s="141"/>
    </row>
    <row r="1735" spans="28:31" x14ac:dyDescent="0.2">
      <c r="AB1735" s="141"/>
      <c r="AD1735" s="141"/>
      <c r="AE1735" s="141"/>
    </row>
    <row r="1736" spans="28:31" x14ac:dyDescent="0.2">
      <c r="AB1736" s="141"/>
      <c r="AD1736" s="141"/>
      <c r="AE1736" s="141"/>
    </row>
    <row r="1737" spans="28:31" x14ac:dyDescent="0.2">
      <c r="AB1737" s="141"/>
      <c r="AD1737" s="141"/>
      <c r="AE1737" s="141"/>
    </row>
    <row r="1738" spans="28:31" x14ac:dyDescent="0.2">
      <c r="AB1738" s="141"/>
      <c r="AD1738" s="141"/>
      <c r="AE1738" s="141"/>
    </row>
    <row r="1739" spans="28:31" x14ac:dyDescent="0.2">
      <c r="AB1739" s="141"/>
      <c r="AD1739" s="141"/>
      <c r="AE1739" s="141"/>
    </row>
    <row r="1740" spans="28:31" x14ac:dyDescent="0.2">
      <c r="AB1740" s="141"/>
      <c r="AD1740" s="141"/>
      <c r="AE1740" s="141"/>
    </row>
    <row r="1741" spans="28:31" x14ac:dyDescent="0.2">
      <c r="AB1741" s="141"/>
      <c r="AD1741" s="141"/>
      <c r="AE1741" s="141"/>
    </row>
    <row r="1742" spans="28:31" x14ac:dyDescent="0.2">
      <c r="AB1742" s="141"/>
      <c r="AD1742" s="141"/>
      <c r="AE1742" s="141"/>
    </row>
    <row r="1743" spans="28:31" x14ac:dyDescent="0.2">
      <c r="AB1743" s="141"/>
      <c r="AD1743" s="141"/>
      <c r="AE1743" s="141"/>
    </row>
    <row r="1744" spans="28:31" x14ac:dyDescent="0.2">
      <c r="AB1744" s="141"/>
      <c r="AD1744" s="141"/>
      <c r="AE1744" s="141"/>
    </row>
    <row r="1745" spans="28:31" x14ac:dyDescent="0.2">
      <c r="AB1745" s="141"/>
      <c r="AD1745" s="141"/>
      <c r="AE1745" s="141"/>
    </row>
    <row r="1746" spans="28:31" x14ac:dyDescent="0.2">
      <c r="AB1746" s="141"/>
      <c r="AD1746" s="141"/>
      <c r="AE1746" s="141"/>
    </row>
    <row r="1747" spans="28:31" x14ac:dyDescent="0.2">
      <c r="AB1747" s="141"/>
      <c r="AD1747" s="141"/>
      <c r="AE1747" s="141"/>
    </row>
    <row r="1748" spans="28:31" x14ac:dyDescent="0.2">
      <c r="AB1748" s="141"/>
      <c r="AD1748" s="141"/>
      <c r="AE1748" s="141"/>
    </row>
    <row r="1749" spans="28:31" x14ac:dyDescent="0.2">
      <c r="AB1749" s="141"/>
      <c r="AD1749" s="141"/>
      <c r="AE1749" s="141"/>
    </row>
    <row r="1750" spans="28:31" x14ac:dyDescent="0.2">
      <c r="AB1750" s="141"/>
      <c r="AD1750" s="141"/>
      <c r="AE1750" s="141"/>
    </row>
    <row r="1751" spans="28:31" x14ac:dyDescent="0.2">
      <c r="AB1751" s="141"/>
      <c r="AD1751" s="141"/>
      <c r="AE1751" s="141"/>
    </row>
    <row r="1752" spans="28:31" x14ac:dyDescent="0.2">
      <c r="AB1752" s="141"/>
      <c r="AD1752" s="141"/>
      <c r="AE1752" s="141"/>
    </row>
    <row r="1753" spans="28:31" x14ac:dyDescent="0.2">
      <c r="AB1753" s="141"/>
      <c r="AD1753" s="141"/>
      <c r="AE1753" s="141"/>
    </row>
    <row r="1754" spans="28:31" x14ac:dyDescent="0.2">
      <c r="AB1754" s="141"/>
      <c r="AD1754" s="141"/>
      <c r="AE1754" s="141"/>
    </row>
    <row r="1755" spans="28:31" x14ac:dyDescent="0.2">
      <c r="AB1755" s="141"/>
      <c r="AD1755" s="141"/>
      <c r="AE1755" s="141"/>
    </row>
    <row r="1756" spans="28:31" x14ac:dyDescent="0.2">
      <c r="AB1756" s="141"/>
      <c r="AD1756" s="141"/>
      <c r="AE1756" s="141"/>
    </row>
    <row r="1757" spans="28:31" x14ac:dyDescent="0.2">
      <c r="AB1757" s="141"/>
      <c r="AD1757" s="141"/>
      <c r="AE1757" s="141"/>
    </row>
    <row r="1758" spans="28:31" x14ac:dyDescent="0.2">
      <c r="AB1758" s="141"/>
      <c r="AD1758" s="141"/>
      <c r="AE1758" s="141"/>
    </row>
    <row r="1759" spans="28:31" x14ac:dyDescent="0.2">
      <c r="AB1759" s="141"/>
      <c r="AD1759" s="141"/>
      <c r="AE1759" s="141"/>
    </row>
    <row r="1760" spans="28:31" x14ac:dyDescent="0.2">
      <c r="AB1760" s="141"/>
      <c r="AD1760" s="141"/>
      <c r="AE1760" s="141"/>
    </row>
    <row r="1761" spans="28:31" x14ac:dyDescent="0.2">
      <c r="AB1761" s="141"/>
      <c r="AD1761" s="141"/>
      <c r="AE1761" s="141"/>
    </row>
    <row r="1762" spans="28:31" x14ac:dyDescent="0.2">
      <c r="AB1762" s="141"/>
      <c r="AD1762" s="141"/>
      <c r="AE1762" s="141"/>
    </row>
    <row r="1763" spans="28:31" x14ac:dyDescent="0.2">
      <c r="AB1763" s="141"/>
      <c r="AD1763" s="141"/>
      <c r="AE1763" s="141"/>
    </row>
    <row r="1764" spans="28:31" x14ac:dyDescent="0.2">
      <c r="AB1764" s="141"/>
      <c r="AD1764" s="141"/>
      <c r="AE1764" s="141"/>
    </row>
    <row r="1765" spans="28:31" x14ac:dyDescent="0.2">
      <c r="AB1765" s="141"/>
      <c r="AD1765" s="141"/>
      <c r="AE1765" s="141"/>
    </row>
    <row r="1766" spans="28:31" x14ac:dyDescent="0.2">
      <c r="AB1766" s="141"/>
      <c r="AD1766" s="141"/>
      <c r="AE1766" s="141"/>
    </row>
    <row r="1767" spans="28:31" x14ac:dyDescent="0.2">
      <c r="AB1767" s="141"/>
      <c r="AD1767" s="141"/>
      <c r="AE1767" s="141"/>
    </row>
    <row r="1768" spans="28:31" x14ac:dyDescent="0.2">
      <c r="AB1768" s="141"/>
      <c r="AD1768" s="141"/>
      <c r="AE1768" s="141"/>
    </row>
    <row r="1769" spans="28:31" x14ac:dyDescent="0.2">
      <c r="AB1769" s="141"/>
      <c r="AD1769" s="141"/>
      <c r="AE1769" s="141"/>
    </row>
    <row r="1770" spans="28:31" x14ac:dyDescent="0.2">
      <c r="AB1770" s="141"/>
      <c r="AD1770" s="141"/>
      <c r="AE1770" s="141"/>
    </row>
    <row r="1771" spans="28:31" x14ac:dyDescent="0.2">
      <c r="AB1771" s="141"/>
      <c r="AD1771" s="141"/>
      <c r="AE1771" s="141"/>
    </row>
    <row r="1772" spans="28:31" x14ac:dyDescent="0.2">
      <c r="AB1772" s="141"/>
      <c r="AD1772" s="141"/>
      <c r="AE1772" s="141"/>
    </row>
    <row r="1773" spans="28:31" x14ac:dyDescent="0.2">
      <c r="AB1773" s="141"/>
      <c r="AD1773" s="141"/>
      <c r="AE1773" s="141"/>
    </row>
    <row r="1774" spans="28:31" x14ac:dyDescent="0.2">
      <c r="AB1774" s="141"/>
      <c r="AD1774" s="141"/>
      <c r="AE1774" s="141"/>
    </row>
    <row r="1775" spans="28:31" x14ac:dyDescent="0.2">
      <c r="AB1775" s="141"/>
      <c r="AD1775" s="141"/>
      <c r="AE1775" s="141"/>
    </row>
    <row r="1776" spans="28:31" x14ac:dyDescent="0.2">
      <c r="AB1776" s="141"/>
      <c r="AD1776" s="141"/>
      <c r="AE1776" s="141"/>
    </row>
    <row r="1777" spans="28:31" x14ac:dyDescent="0.2">
      <c r="AB1777" s="141"/>
      <c r="AD1777" s="141"/>
      <c r="AE1777" s="141"/>
    </row>
    <row r="1778" spans="28:31" x14ac:dyDescent="0.2">
      <c r="AB1778" s="141"/>
      <c r="AD1778" s="141"/>
      <c r="AE1778" s="141"/>
    </row>
    <row r="1779" spans="28:31" x14ac:dyDescent="0.2">
      <c r="AB1779" s="141"/>
      <c r="AD1779" s="141"/>
      <c r="AE1779" s="141"/>
    </row>
    <row r="1780" spans="28:31" x14ac:dyDescent="0.2">
      <c r="AB1780" s="141"/>
      <c r="AD1780" s="141"/>
      <c r="AE1780" s="141"/>
    </row>
    <row r="1781" spans="28:31" x14ac:dyDescent="0.2">
      <c r="AB1781" s="141"/>
      <c r="AD1781" s="141"/>
      <c r="AE1781" s="141"/>
    </row>
    <row r="1782" spans="28:31" x14ac:dyDescent="0.2">
      <c r="AB1782" s="141"/>
      <c r="AD1782" s="141"/>
      <c r="AE1782" s="141"/>
    </row>
    <row r="1783" spans="28:31" x14ac:dyDescent="0.2">
      <c r="AB1783" s="141"/>
      <c r="AD1783" s="141"/>
      <c r="AE1783" s="141"/>
    </row>
    <row r="1784" spans="28:31" x14ac:dyDescent="0.2">
      <c r="AB1784" s="141"/>
      <c r="AD1784" s="141"/>
      <c r="AE1784" s="141"/>
    </row>
    <row r="1785" spans="28:31" x14ac:dyDescent="0.2">
      <c r="AB1785" s="141"/>
      <c r="AD1785" s="141"/>
      <c r="AE1785" s="141"/>
    </row>
    <row r="1786" spans="28:31" x14ac:dyDescent="0.2">
      <c r="AB1786" s="141"/>
      <c r="AD1786" s="141"/>
      <c r="AE1786" s="141"/>
    </row>
    <row r="1787" spans="28:31" x14ac:dyDescent="0.2">
      <c r="AB1787" s="141"/>
      <c r="AD1787" s="141"/>
      <c r="AE1787" s="141"/>
    </row>
    <row r="1788" spans="28:31" x14ac:dyDescent="0.2">
      <c r="AB1788" s="141"/>
      <c r="AD1788" s="141"/>
      <c r="AE1788" s="141"/>
    </row>
    <row r="1789" spans="28:31" x14ac:dyDescent="0.2">
      <c r="AB1789" s="141"/>
      <c r="AD1789" s="141"/>
      <c r="AE1789" s="141"/>
    </row>
    <row r="1790" spans="28:31" x14ac:dyDescent="0.2">
      <c r="AB1790" s="141"/>
      <c r="AD1790" s="141"/>
      <c r="AE1790" s="141"/>
    </row>
    <row r="1791" spans="28:31" x14ac:dyDescent="0.2">
      <c r="AB1791" s="141"/>
      <c r="AD1791" s="141"/>
      <c r="AE1791" s="141"/>
    </row>
    <row r="1792" spans="28:31" x14ac:dyDescent="0.2">
      <c r="AB1792" s="141"/>
      <c r="AD1792" s="141"/>
      <c r="AE1792" s="141"/>
    </row>
    <row r="1793" spans="28:31" x14ac:dyDescent="0.2">
      <c r="AB1793" s="141"/>
      <c r="AD1793" s="141"/>
      <c r="AE1793" s="141"/>
    </row>
    <row r="1794" spans="28:31" x14ac:dyDescent="0.2">
      <c r="AB1794" s="141"/>
      <c r="AD1794" s="141"/>
      <c r="AE1794" s="141"/>
    </row>
    <row r="1795" spans="28:31" x14ac:dyDescent="0.2">
      <c r="AB1795" s="141"/>
      <c r="AD1795" s="141"/>
      <c r="AE1795" s="141"/>
    </row>
    <row r="1796" spans="28:31" x14ac:dyDescent="0.2">
      <c r="AB1796" s="141"/>
      <c r="AD1796" s="141"/>
      <c r="AE1796" s="141"/>
    </row>
    <row r="1797" spans="28:31" x14ac:dyDescent="0.2">
      <c r="AB1797" s="141"/>
      <c r="AD1797" s="141"/>
      <c r="AE1797" s="141"/>
    </row>
    <row r="1798" spans="28:31" x14ac:dyDescent="0.2">
      <c r="AB1798" s="141"/>
      <c r="AD1798" s="141"/>
      <c r="AE1798" s="141"/>
    </row>
    <row r="1799" spans="28:31" x14ac:dyDescent="0.2">
      <c r="AB1799" s="141"/>
      <c r="AD1799" s="141"/>
      <c r="AE1799" s="141"/>
    </row>
    <row r="1800" spans="28:31" x14ac:dyDescent="0.2">
      <c r="AB1800" s="141"/>
      <c r="AD1800" s="141"/>
      <c r="AE1800" s="141"/>
    </row>
    <row r="1801" spans="28:31" x14ac:dyDescent="0.2">
      <c r="AB1801" s="141"/>
      <c r="AD1801" s="141"/>
      <c r="AE1801" s="141"/>
    </row>
    <row r="1802" spans="28:31" x14ac:dyDescent="0.2">
      <c r="AB1802" s="141"/>
      <c r="AD1802" s="141"/>
      <c r="AE1802" s="141"/>
    </row>
    <row r="1803" spans="28:31" x14ac:dyDescent="0.2">
      <c r="AB1803" s="141"/>
      <c r="AD1803" s="141"/>
      <c r="AE1803" s="141"/>
    </row>
    <row r="1804" spans="28:31" x14ac:dyDescent="0.2">
      <c r="AB1804" s="141"/>
      <c r="AD1804" s="141"/>
      <c r="AE1804" s="141"/>
    </row>
    <row r="1805" spans="28:31" x14ac:dyDescent="0.2">
      <c r="AB1805" s="141"/>
      <c r="AD1805" s="141"/>
      <c r="AE1805" s="141"/>
    </row>
    <row r="1806" spans="28:31" x14ac:dyDescent="0.2">
      <c r="AB1806" s="141"/>
      <c r="AD1806" s="141"/>
      <c r="AE1806" s="141"/>
    </row>
    <row r="1807" spans="28:31" x14ac:dyDescent="0.2">
      <c r="AB1807" s="141"/>
      <c r="AD1807" s="141"/>
      <c r="AE1807" s="141"/>
    </row>
    <row r="1808" spans="28:31" x14ac:dyDescent="0.2">
      <c r="AB1808" s="141"/>
      <c r="AD1808" s="141"/>
      <c r="AE1808" s="141"/>
    </row>
    <row r="1809" spans="28:31" x14ac:dyDescent="0.2">
      <c r="AB1809" s="141"/>
      <c r="AD1809" s="141"/>
      <c r="AE1809" s="141"/>
    </row>
    <row r="1810" spans="28:31" x14ac:dyDescent="0.2">
      <c r="AB1810" s="141"/>
      <c r="AD1810" s="141"/>
      <c r="AE1810" s="141"/>
    </row>
    <row r="1811" spans="28:31" x14ac:dyDescent="0.2">
      <c r="AB1811" s="141"/>
      <c r="AD1811" s="141"/>
      <c r="AE1811" s="141"/>
    </row>
    <row r="1812" spans="28:31" x14ac:dyDescent="0.2">
      <c r="AB1812" s="141"/>
      <c r="AD1812" s="141"/>
      <c r="AE1812" s="141"/>
    </row>
    <row r="1813" spans="28:31" x14ac:dyDescent="0.2">
      <c r="AB1813" s="141"/>
      <c r="AD1813" s="141"/>
      <c r="AE1813" s="141"/>
    </row>
    <row r="1814" spans="28:31" x14ac:dyDescent="0.2">
      <c r="AB1814" s="141"/>
      <c r="AD1814" s="141"/>
      <c r="AE1814" s="141"/>
    </row>
    <row r="1815" spans="28:31" x14ac:dyDescent="0.2">
      <c r="AB1815" s="141"/>
      <c r="AD1815" s="141"/>
      <c r="AE1815" s="141"/>
    </row>
    <row r="1816" spans="28:31" x14ac:dyDescent="0.2">
      <c r="AB1816" s="141"/>
      <c r="AD1816" s="141"/>
      <c r="AE1816" s="141"/>
    </row>
    <row r="1817" spans="28:31" x14ac:dyDescent="0.2">
      <c r="AB1817" s="141"/>
      <c r="AD1817" s="141"/>
      <c r="AE1817" s="141"/>
    </row>
    <row r="1818" spans="28:31" x14ac:dyDescent="0.2">
      <c r="AB1818" s="141"/>
      <c r="AD1818" s="141"/>
      <c r="AE1818" s="141"/>
    </row>
    <row r="1819" spans="28:31" x14ac:dyDescent="0.2">
      <c r="AB1819" s="141"/>
      <c r="AD1819" s="141"/>
      <c r="AE1819" s="141"/>
    </row>
    <row r="1820" spans="28:31" x14ac:dyDescent="0.2">
      <c r="AB1820" s="141"/>
      <c r="AD1820" s="141"/>
      <c r="AE1820" s="141"/>
    </row>
    <row r="1821" spans="28:31" x14ac:dyDescent="0.2">
      <c r="AB1821" s="141"/>
      <c r="AD1821" s="141"/>
      <c r="AE1821" s="141"/>
    </row>
    <row r="1822" spans="28:31" x14ac:dyDescent="0.2">
      <c r="AB1822" s="141"/>
      <c r="AD1822" s="141"/>
      <c r="AE1822" s="141"/>
    </row>
    <row r="1823" spans="28:31" x14ac:dyDescent="0.2">
      <c r="AB1823" s="141"/>
      <c r="AD1823" s="141"/>
      <c r="AE1823" s="141"/>
    </row>
    <row r="1824" spans="28:31" x14ac:dyDescent="0.2">
      <c r="AB1824" s="141"/>
      <c r="AD1824" s="141"/>
      <c r="AE1824" s="141"/>
    </row>
    <row r="1825" spans="28:31" x14ac:dyDescent="0.2">
      <c r="AB1825" s="141"/>
      <c r="AD1825" s="141"/>
      <c r="AE1825" s="141"/>
    </row>
    <row r="1826" spans="28:31" x14ac:dyDescent="0.2">
      <c r="AB1826" s="141"/>
      <c r="AD1826" s="141"/>
      <c r="AE1826" s="141"/>
    </row>
    <row r="1827" spans="28:31" x14ac:dyDescent="0.2">
      <c r="AB1827" s="141"/>
      <c r="AD1827" s="141"/>
      <c r="AE1827" s="141"/>
    </row>
    <row r="1828" spans="28:31" x14ac:dyDescent="0.2">
      <c r="AB1828" s="141"/>
      <c r="AD1828" s="141"/>
      <c r="AE1828" s="141"/>
    </row>
    <row r="1829" spans="28:31" x14ac:dyDescent="0.2">
      <c r="AB1829" s="141"/>
      <c r="AD1829" s="141"/>
      <c r="AE1829" s="141"/>
    </row>
    <row r="1830" spans="28:31" x14ac:dyDescent="0.2">
      <c r="AB1830" s="141"/>
      <c r="AD1830" s="141"/>
      <c r="AE1830" s="141"/>
    </row>
    <row r="1831" spans="28:31" x14ac:dyDescent="0.2">
      <c r="AB1831" s="141"/>
      <c r="AD1831" s="141"/>
      <c r="AE1831" s="141"/>
    </row>
    <row r="1832" spans="28:31" x14ac:dyDescent="0.2">
      <c r="AB1832" s="141"/>
      <c r="AD1832" s="141"/>
      <c r="AE1832" s="141"/>
    </row>
    <row r="1833" spans="28:31" x14ac:dyDescent="0.2">
      <c r="AB1833" s="141"/>
      <c r="AD1833" s="141"/>
      <c r="AE1833" s="141"/>
    </row>
    <row r="1834" spans="28:31" x14ac:dyDescent="0.2">
      <c r="AB1834" s="141"/>
      <c r="AD1834" s="141"/>
      <c r="AE1834" s="141"/>
    </row>
    <row r="1835" spans="28:31" x14ac:dyDescent="0.2">
      <c r="AB1835" s="141"/>
      <c r="AD1835" s="141"/>
      <c r="AE1835" s="141"/>
    </row>
    <row r="1836" spans="28:31" x14ac:dyDescent="0.2">
      <c r="AB1836" s="141"/>
      <c r="AD1836" s="141"/>
      <c r="AE1836" s="141"/>
    </row>
    <row r="1837" spans="28:31" x14ac:dyDescent="0.2">
      <c r="AB1837" s="141"/>
      <c r="AD1837" s="141"/>
      <c r="AE1837" s="141"/>
    </row>
    <row r="1838" spans="28:31" x14ac:dyDescent="0.2">
      <c r="AB1838" s="141"/>
      <c r="AD1838" s="141"/>
      <c r="AE1838" s="141"/>
    </row>
    <row r="1839" spans="28:31" x14ac:dyDescent="0.2">
      <c r="AB1839" s="141"/>
      <c r="AD1839" s="141"/>
      <c r="AE1839" s="141"/>
    </row>
    <row r="1840" spans="28:31" x14ac:dyDescent="0.2">
      <c r="AB1840" s="141"/>
      <c r="AD1840" s="141"/>
      <c r="AE1840" s="141"/>
    </row>
    <row r="1841" spans="28:31" x14ac:dyDescent="0.2">
      <c r="AB1841" s="141"/>
      <c r="AD1841" s="141"/>
      <c r="AE1841" s="141"/>
    </row>
    <row r="1842" spans="28:31" x14ac:dyDescent="0.2">
      <c r="AB1842" s="141"/>
      <c r="AD1842" s="141"/>
      <c r="AE1842" s="141"/>
    </row>
    <row r="1843" spans="28:31" x14ac:dyDescent="0.2">
      <c r="AB1843" s="141"/>
      <c r="AD1843" s="141"/>
      <c r="AE1843" s="141"/>
    </row>
    <row r="1844" spans="28:31" x14ac:dyDescent="0.2">
      <c r="AB1844" s="141"/>
      <c r="AD1844" s="141"/>
      <c r="AE1844" s="141"/>
    </row>
    <row r="1845" spans="28:31" x14ac:dyDescent="0.2">
      <c r="AB1845" s="141"/>
      <c r="AD1845" s="141"/>
      <c r="AE1845" s="141"/>
    </row>
    <row r="1846" spans="28:31" x14ac:dyDescent="0.2">
      <c r="AB1846" s="141"/>
      <c r="AD1846" s="141"/>
      <c r="AE1846" s="141"/>
    </row>
    <row r="1847" spans="28:31" x14ac:dyDescent="0.2">
      <c r="AB1847" s="141"/>
      <c r="AD1847" s="141"/>
      <c r="AE1847" s="141"/>
    </row>
    <row r="1848" spans="28:31" x14ac:dyDescent="0.2">
      <c r="AB1848" s="141"/>
      <c r="AD1848" s="141"/>
      <c r="AE1848" s="141"/>
    </row>
    <row r="1849" spans="28:31" x14ac:dyDescent="0.2">
      <c r="AB1849" s="141"/>
      <c r="AD1849" s="141"/>
      <c r="AE1849" s="141"/>
    </row>
    <row r="1850" spans="28:31" x14ac:dyDescent="0.2">
      <c r="AB1850" s="141"/>
      <c r="AD1850" s="141"/>
      <c r="AE1850" s="141"/>
    </row>
    <row r="1851" spans="28:31" x14ac:dyDescent="0.2">
      <c r="AB1851" s="141"/>
      <c r="AD1851" s="141"/>
      <c r="AE1851" s="141"/>
    </row>
    <row r="1852" spans="28:31" x14ac:dyDescent="0.2">
      <c r="AB1852" s="141"/>
      <c r="AD1852" s="141"/>
      <c r="AE1852" s="141"/>
    </row>
    <row r="1853" spans="28:31" x14ac:dyDescent="0.2">
      <c r="AB1853" s="141"/>
      <c r="AD1853" s="141"/>
      <c r="AE1853" s="141"/>
    </row>
    <row r="1854" spans="28:31" x14ac:dyDescent="0.2">
      <c r="AB1854" s="141"/>
      <c r="AD1854" s="141"/>
      <c r="AE1854" s="141"/>
    </row>
    <row r="1855" spans="28:31" x14ac:dyDescent="0.2">
      <c r="AB1855" s="141"/>
      <c r="AD1855" s="141"/>
      <c r="AE1855" s="141"/>
    </row>
    <row r="1856" spans="28:31" x14ac:dyDescent="0.2">
      <c r="AB1856" s="141"/>
      <c r="AD1856" s="141"/>
      <c r="AE1856" s="141"/>
    </row>
    <row r="1857" spans="28:31" x14ac:dyDescent="0.2">
      <c r="AB1857" s="141"/>
      <c r="AD1857" s="141"/>
      <c r="AE1857" s="141"/>
    </row>
    <row r="1858" spans="28:31" x14ac:dyDescent="0.2">
      <c r="AB1858" s="141"/>
      <c r="AD1858" s="141"/>
      <c r="AE1858" s="141"/>
    </row>
    <row r="1859" spans="28:31" x14ac:dyDescent="0.2">
      <c r="AB1859" s="141"/>
      <c r="AD1859" s="141"/>
      <c r="AE1859" s="141"/>
    </row>
    <row r="1860" spans="28:31" x14ac:dyDescent="0.2">
      <c r="AB1860" s="141"/>
      <c r="AD1860" s="141"/>
      <c r="AE1860" s="141"/>
    </row>
    <row r="1861" spans="28:31" x14ac:dyDescent="0.2">
      <c r="AB1861" s="141"/>
      <c r="AD1861" s="141"/>
      <c r="AE1861" s="141"/>
    </row>
    <row r="1862" spans="28:31" x14ac:dyDescent="0.2">
      <c r="AB1862" s="141"/>
      <c r="AD1862" s="141"/>
      <c r="AE1862" s="141"/>
    </row>
    <row r="1863" spans="28:31" x14ac:dyDescent="0.2">
      <c r="AB1863" s="141"/>
      <c r="AD1863" s="141"/>
      <c r="AE1863" s="141"/>
    </row>
    <row r="1864" spans="28:31" x14ac:dyDescent="0.2">
      <c r="AB1864" s="141"/>
      <c r="AD1864" s="141"/>
      <c r="AE1864" s="141"/>
    </row>
    <row r="1865" spans="28:31" x14ac:dyDescent="0.2">
      <c r="AB1865" s="141"/>
      <c r="AD1865" s="141"/>
      <c r="AE1865" s="141"/>
    </row>
    <row r="1866" spans="28:31" x14ac:dyDescent="0.2">
      <c r="AB1866" s="141"/>
      <c r="AD1866" s="141"/>
      <c r="AE1866" s="141"/>
    </row>
    <row r="1867" spans="28:31" x14ac:dyDescent="0.2">
      <c r="AB1867" s="141"/>
      <c r="AD1867" s="141"/>
      <c r="AE1867" s="141"/>
    </row>
    <row r="1868" spans="28:31" x14ac:dyDescent="0.2">
      <c r="AB1868" s="141"/>
      <c r="AD1868" s="141"/>
      <c r="AE1868" s="141"/>
    </row>
    <row r="1869" spans="28:31" x14ac:dyDescent="0.2">
      <c r="AB1869" s="141"/>
      <c r="AD1869" s="141"/>
      <c r="AE1869" s="141"/>
    </row>
    <row r="1870" spans="28:31" x14ac:dyDescent="0.2">
      <c r="AB1870" s="141"/>
      <c r="AD1870" s="141"/>
      <c r="AE1870" s="141"/>
    </row>
    <row r="1871" spans="28:31" x14ac:dyDescent="0.2">
      <c r="AB1871" s="141"/>
      <c r="AD1871" s="141"/>
      <c r="AE1871" s="141"/>
    </row>
    <row r="1872" spans="28:31" x14ac:dyDescent="0.2">
      <c r="AB1872" s="141"/>
      <c r="AD1872" s="141"/>
      <c r="AE1872" s="141"/>
    </row>
    <row r="1873" spans="28:31" x14ac:dyDescent="0.2">
      <c r="AB1873" s="141"/>
      <c r="AD1873" s="141"/>
      <c r="AE1873" s="141"/>
    </row>
    <row r="1874" spans="28:31" x14ac:dyDescent="0.2">
      <c r="AB1874" s="141"/>
      <c r="AD1874" s="141"/>
      <c r="AE1874" s="141"/>
    </row>
    <row r="1875" spans="28:31" x14ac:dyDescent="0.2">
      <c r="AB1875" s="141"/>
      <c r="AD1875" s="141"/>
      <c r="AE1875" s="141"/>
    </row>
    <row r="1876" spans="28:31" x14ac:dyDescent="0.2">
      <c r="AB1876" s="141"/>
      <c r="AD1876" s="141"/>
      <c r="AE1876" s="141"/>
    </row>
    <row r="1877" spans="28:31" x14ac:dyDescent="0.2">
      <c r="AB1877" s="141"/>
      <c r="AD1877" s="141"/>
      <c r="AE1877" s="141"/>
    </row>
    <row r="1878" spans="28:31" x14ac:dyDescent="0.2">
      <c r="AB1878" s="141"/>
      <c r="AD1878" s="141"/>
      <c r="AE1878" s="141"/>
    </row>
    <row r="1879" spans="28:31" x14ac:dyDescent="0.2">
      <c r="AB1879" s="141"/>
      <c r="AD1879" s="141"/>
      <c r="AE1879" s="141"/>
    </row>
    <row r="1880" spans="28:31" x14ac:dyDescent="0.2">
      <c r="AB1880" s="141"/>
      <c r="AD1880" s="141"/>
      <c r="AE1880" s="141"/>
    </row>
    <row r="1881" spans="28:31" x14ac:dyDescent="0.2">
      <c r="AB1881" s="141"/>
      <c r="AD1881" s="141"/>
      <c r="AE1881" s="141"/>
    </row>
    <row r="1882" spans="28:31" x14ac:dyDescent="0.2">
      <c r="AB1882" s="141"/>
      <c r="AD1882" s="141"/>
      <c r="AE1882" s="141"/>
    </row>
    <row r="1883" spans="28:31" x14ac:dyDescent="0.2">
      <c r="AB1883" s="141"/>
      <c r="AD1883" s="141"/>
      <c r="AE1883" s="141"/>
    </row>
    <row r="1884" spans="28:31" x14ac:dyDescent="0.2">
      <c r="AB1884" s="141"/>
      <c r="AD1884" s="141"/>
      <c r="AE1884" s="141"/>
    </row>
    <row r="1885" spans="28:31" x14ac:dyDescent="0.2">
      <c r="AB1885" s="141"/>
      <c r="AD1885" s="141"/>
      <c r="AE1885" s="141"/>
    </row>
    <row r="1886" spans="28:31" x14ac:dyDescent="0.2">
      <c r="AB1886" s="141"/>
      <c r="AD1886" s="141"/>
      <c r="AE1886" s="141"/>
    </row>
    <row r="1887" spans="28:31" x14ac:dyDescent="0.2">
      <c r="AB1887" s="141"/>
      <c r="AD1887" s="141"/>
      <c r="AE1887" s="141"/>
    </row>
    <row r="1888" spans="28:31" x14ac:dyDescent="0.2">
      <c r="AB1888" s="141"/>
      <c r="AD1888" s="141"/>
      <c r="AE1888" s="141"/>
    </row>
    <row r="1889" spans="28:31" x14ac:dyDescent="0.2">
      <c r="AB1889" s="141"/>
      <c r="AD1889" s="141"/>
      <c r="AE1889" s="141"/>
    </row>
    <row r="1890" spans="28:31" x14ac:dyDescent="0.2">
      <c r="AB1890" s="141"/>
      <c r="AD1890" s="141"/>
      <c r="AE1890" s="141"/>
    </row>
    <row r="1891" spans="28:31" x14ac:dyDescent="0.2">
      <c r="AB1891" s="141"/>
      <c r="AD1891" s="141"/>
      <c r="AE1891" s="141"/>
    </row>
    <row r="1892" spans="28:31" x14ac:dyDescent="0.2">
      <c r="AB1892" s="141"/>
      <c r="AD1892" s="141"/>
      <c r="AE1892" s="141"/>
    </row>
    <row r="1893" spans="28:31" x14ac:dyDescent="0.2">
      <c r="AB1893" s="141"/>
      <c r="AD1893" s="141"/>
      <c r="AE1893" s="141"/>
    </row>
    <row r="1894" spans="28:31" x14ac:dyDescent="0.2">
      <c r="AB1894" s="141"/>
      <c r="AD1894" s="141"/>
      <c r="AE1894" s="141"/>
    </row>
    <row r="1895" spans="28:31" x14ac:dyDescent="0.2">
      <c r="AB1895" s="141"/>
      <c r="AD1895" s="141"/>
      <c r="AE1895" s="141"/>
    </row>
    <row r="1896" spans="28:31" x14ac:dyDescent="0.2">
      <c r="AB1896" s="141"/>
      <c r="AD1896" s="141"/>
      <c r="AE1896" s="141"/>
    </row>
    <row r="1897" spans="28:31" x14ac:dyDescent="0.2">
      <c r="AB1897" s="141"/>
      <c r="AD1897" s="141"/>
      <c r="AE1897" s="141"/>
    </row>
    <row r="1898" spans="28:31" x14ac:dyDescent="0.2">
      <c r="AB1898" s="141"/>
      <c r="AD1898" s="141"/>
      <c r="AE1898" s="141"/>
    </row>
    <row r="1899" spans="28:31" x14ac:dyDescent="0.2">
      <c r="AB1899" s="141"/>
      <c r="AD1899" s="141"/>
      <c r="AE1899" s="141"/>
    </row>
    <row r="1900" spans="28:31" x14ac:dyDescent="0.2">
      <c r="AB1900" s="141"/>
      <c r="AD1900" s="141"/>
      <c r="AE1900" s="141"/>
    </row>
    <row r="1901" spans="28:31" x14ac:dyDescent="0.2">
      <c r="AB1901" s="141"/>
      <c r="AD1901" s="141"/>
      <c r="AE1901" s="141"/>
    </row>
    <row r="1902" spans="28:31" x14ac:dyDescent="0.2">
      <c r="AB1902" s="141"/>
      <c r="AD1902" s="141"/>
      <c r="AE1902" s="141"/>
    </row>
    <row r="1903" spans="28:31" x14ac:dyDescent="0.2">
      <c r="AB1903" s="141"/>
      <c r="AD1903" s="141"/>
      <c r="AE1903" s="141"/>
    </row>
    <row r="1904" spans="28:31" x14ac:dyDescent="0.2">
      <c r="AB1904" s="141"/>
      <c r="AD1904" s="141"/>
      <c r="AE1904" s="141"/>
    </row>
    <row r="1905" spans="28:31" x14ac:dyDescent="0.2">
      <c r="AB1905" s="141"/>
      <c r="AD1905" s="141"/>
      <c r="AE1905" s="141"/>
    </row>
    <row r="1906" spans="28:31" x14ac:dyDescent="0.2">
      <c r="AB1906" s="141"/>
      <c r="AD1906" s="141"/>
      <c r="AE1906" s="141"/>
    </row>
    <row r="1907" spans="28:31" x14ac:dyDescent="0.2">
      <c r="AB1907" s="141"/>
      <c r="AD1907" s="141"/>
      <c r="AE1907" s="141"/>
    </row>
    <row r="1908" spans="28:31" x14ac:dyDescent="0.2">
      <c r="AB1908" s="141"/>
      <c r="AD1908" s="141"/>
      <c r="AE1908" s="141"/>
    </row>
    <row r="1909" spans="28:31" x14ac:dyDescent="0.2">
      <c r="AB1909" s="141"/>
      <c r="AD1909" s="141"/>
      <c r="AE1909" s="141"/>
    </row>
    <row r="1910" spans="28:31" x14ac:dyDescent="0.2">
      <c r="AB1910" s="141"/>
      <c r="AD1910" s="141"/>
      <c r="AE1910" s="141"/>
    </row>
    <row r="1911" spans="28:31" x14ac:dyDescent="0.2">
      <c r="AB1911" s="141"/>
      <c r="AD1911" s="141"/>
      <c r="AE1911" s="141"/>
    </row>
    <row r="1912" spans="28:31" x14ac:dyDescent="0.2">
      <c r="AB1912" s="141"/>
      <c r="AD1912" s="141"/>
      <c r="AE1912" s="141"/>
    </row>
    <row r="1913" spans="28:31" x14ac:dyDescent="0.2">
      <c r="AB1913" s="141"/>
      <c r="AD1913" s="141"/>
      <c r="AE1913" s="141"/>
    </row>
    <row r="1914" spans="28:31" x14ac:dyDescent="0.2">
      <c r="AB1914" s="141"/>
      <c r="AD1914" s="141"/>
      <c r="AE1914" s="141"/>
    </row>
    <row r="1915" spans="28:31" x14ac:dyDescent="0.2">
      <c r="AB1915" s="141"/>
      <c r="AD1915" s="141"/>
      <c r="AE1915" s="141"/>
    </row>
    <row r="1916" spans="28:31" x14ac:dyDescent="0.2">
      <c r="AB1916" s="141"/>
      <c r="AD1916" s="141"/>
      <c r="AE1916" s="141"/>
    </row>
    <row r="1917" spans="28:31" x14ac:dyDescent="0.2">
      <c r="AB1917" s="141"/>
      <c r="AD1917" s="141"/>
      <c r="AE1917" s="141"/>
    </row>
    <row r="1918" spans="28:31" x14ac:dyDescent="0.2">
      <c r="AB1918" s="141"/>
      <c r="AD1918" s="141"/>
      <c r="AE1918" s="141"/>
    </row>
    <row r="1919" spans="28:31" x14ac:dyDescent="0.2">
      <c r="AB1919" s="141"/>
      <c r="AD1919" s="141"/>
      <c r="AE1919" s="141"/>
    </row>
    <row r="1920" spans="28:31" x14ac:dyDescent="0.2">
      <c r="AB1920" s="141"/>
      <c r="AD1920" s="141"/>
      <c r="AE1920" s="141"/>
    </row>
    <row r="1921" spans="28:31" x14ac:dyDescent="0.2">
      <c r="AB1921" s="141"/>
      <c r="AD1921" s="141"/>
      <c r="AE1921" s="141"/>
    </row>
    <row r="1922" spans="28:31" x14ac:dyDescent="0.2">
      <c r="AB1922" s="141"/>
      <c r="AD1922" s="141"/>
      <c r="AE1922" s="141"/>
    </row>
    <row r="1923" spans="28:31" x14ac:dyDescent="0.2">
      <c r="AB1923" s="141"/>
      <c r="AD1923" s="141"/>
      <c r="AE1923" s="141"/>
    </row>
    <row r="1924" spans="28:31" x14ac:dyDescent="0.2">
      <c r="AB1924" s="141"/>
      <c r="AD1924" s="141"/>
      <c r="AE1924" s="141"/>
    </row>
    <row r="1925" spans="28:31" x14ac:dyDescent="0.2">
      <c r="AB1925" s="141"/>
      <c r="AD1925" s="141"/>
      <c r="AE1925" s="141"/>
    </row>
    <row r="1926" spans="28:31" x14ac:dyDescent="0.2">
      <c r="AB1926" s="141"/>
      <c r="AD1926" s="141"/>
      <c r="AE1926" s="141"/>
    </row>
    <row r="1927" spans="28:31" x14ac:dyDescent="0.2">
      <c r="AB1927" s="141"/>
      <c r="AD1927" s="141"/>
      <c r="AE1927" s="141"/>
    </row>
    <row r="1928" spans="28:31" x14ac:dyDescent="0.2">
      <c r="AB1928" s="141"/>
      <c r="AD1928" s="141"/>
      <c r="AE1928" s="141"/>
    </row>
    <row r="1929" spans="28:31" x14ac:dyDescent="0.2">
      <c r="AB1929" s="141"/>
      <c r="AD1929" s="141"/>
      <c r="AE1929" s="141"/>
    </row>
    <row r="1930" spans="28:31" x14ac:dyDescent="0.2">
      <c r="AB1930" s="141"/>
      <c r="AD1930" s="141"/>
      <c r="AE1930" s="141"/>
    </row>
    <row r="1931" spans="28:31" x14ac:dyDescent="0.2">
      <c r="AB1931" s="141"/>
      <c r="AD1931" s="141"/>
      <c r="AE1931" s="141"/>
    </row>
    <row r="1932" spans="28:31" x14ac:dyDescent="0.2">
      <c r="AB1932" s="141"/>
      <c r="AD1932" s="141"/>
      <c r="AE1932" s="141"/>
    </row>
    <row r="1933" spans="28:31" x14ac:dyDescent="0.2">
      <c r="AB1933" s="141"/>
      <c r="AD1933" s="141"/>
      <c r="AE1933" s="141"/>
    </row>
    <row r="1934" spans="28:31" x14ac:dyDescent="0.2">
      <c r="AB1934" s="141"/>
      <c r="AD1934" s="141"/>
      <c r="AE1934" s="141"/>
    </row>
    <row r="1935" spans="28:31" x14ac:dyDescent="0.2">
      <c r="AB1935" s="141"/>
      <c r="AD1935" s="141"/>
      <c r="AE1935" s="141"/>
    </row>
    <row r="1936" spans="28:31" x14ac:dyDescent="0.2">
      <c r="AB1936" s="141"/>
      <c r="AD1936" s="141"/>
      <c r="AE1936" s="141"/>
    </row>
    <row r="1937" spans="28:31" x14ac:dyDescent="0.2">
      <c r="AB1937" s="141"/>
      <c r="AD1937" s="141"/>
      <c r="AE1937" s="141"/>
    </row>
    <row r="1938" spans="28:31" x14ac:dyDescent="0.2">
      <c r="AB1938" s="141"/>
      <c r="AD1938" s="141"/>
      <c r="AE1938" s="141"/>
    </row>
    <row r="1939" spans="28:31" x14ac:dyDescent="0.2">
      <c r="AB1939" s="141"/>
      <c r="AD1939" s="141"/>
      <c r="AE1939" s="141"/>
    </row>
    <row r="1940" spans="28:31" x14ac:dyDescent="0.2">
      <c r="AB1940" s="141"/>
      <c r="AD1940" s="141"/>
      <c r="AE1940" s="141"/>
    </row>
    <row r="1941" spans="28:31" x14ac:dyDescent="0.2">
      <c r="AB1941" s="141"/>
      <c r="AD1941" s="141"/>
      <c r="AE1941" s="141"/>
    </row>
    <row r="1942" spans="28:31" x14ac:dyDescent="0.2">
      <c r="AB1942" s="141"/>
      <c r="AD1942" s="141"/>
      <c r="AE1942" s="141"/>
    </row>
    <row r="1943" spans="28:31" x14ac:dyDescent="0.2">
      <c r="AB1943" s="141"/>
      <c r="AD1943" s="141"/>
      <c r="AE1943" s="141"/>
    </row>
    <row r="1944" spans="28:31" x14ac:dyDescent="0.2">
      <c r="AB1944" s="141"/>
      <c r="AD1944" s="141"/>
      <c r="AE1944" s="141"/>
    </row>
    <row r="1945" spans="28:31" x14ac:dyDescent="0.2">
      <c r="AB1945" s="141"/>
      <c r="AD1945" s="141"/>
      <c r="AE1945" s="141"/>
    </row>
    <row r="1946" spans="28:31" x14ac:dyDescent="0.2">
      <c r="AB1946" s="141"/>
      <c r="AD1946" s="141"/>
      <c r="AE1946" s="141"/>
    </row>
    <row r="1947" spans="28:31" x14ac:dyDescent="0.2">
      <c r="AB1947" s="141"/>
      <c r="AD1947" s="141"/>
      <c r="AE1947" s="141"/>
    </row>
    <row r="1948" spans="28:31" x14ac:dyDescent="0.2">
      <c r="AB1948" s="141"/>
      <c r="AD1948" s="141"/>
      <c r="AE1948" s="141"/>
    </row>
    <row r="1949" spans="28:31" x14ac:dyDescent="0.2">
      <c r="AB1949" s="141"/>
      <c r="AD1949" s="141"/>
      <c r="AE1949" s="141"/>
    </row>
    <row r="1950" spans="28:31" x14ac:dyDescent="0.2">
      <c r="AB1950" s="141"/>
      <c r="AD1950" s="141"/>
      <c r="AE1950" s="141"/>
    </row>
    <row r="1951" spans="28:31" x14ac:dyDescent="0.2">
      <c r="AB1951" s="141"/>
      <c r="AD1951" s="141"/>
      <c r="AE1951" s="141"/>
    </row>
    <row r="1952" spans="28:31" x14ac:dyDescent="0.2">
      <c r="AB1952" s="141"/>
      <c r="AD1952" s="141"/>
      <c r="AE1952" s="141"/>
    </row>
    <row r="1953" spans="28:31" x14ac:dyDescent="0.2">
      <c r="AB1953" s="141"/>
      <c r="AD1953" s="141"/>
      <c r="AE1953" s="141"/>
    </row>
    <row r="1954" spans="28:31" x14ac:dyDescent="0.2">
      <c r="AB1954" s="141"/>
      <c r="AD1954" s="141"/>
      <c r="AE1954" s="141"/>
    </row>
    <row r="1955" spans="28:31" x14ac:dyDescent="0.2">
      <c r="AB1955" s="141"/>
      <c r="AD1955" s="141"/>
      <c r="AE1955" s="141"/>
    </row>
    <row r="1956" spans="28:31" x14ac:dyDescent="0.2">
      <c r="AB1956" s="141"/>
      <c r="AD1956" s="141"/>
      <c r="AE1956" s="141"/>
    </row>
    <row r="1957" spans="28:31" x14ac:dyDescent="0.2">
      <c r="AB1957" s="141"/>
      <c r="AD1957" s="141"/>
      <c r="AE1957" s="141"/>
    </row>
    <row r="1958" spans="28:31" x14ac:dyDescent="0.2">
      <c r="AB1958" s="141"/>
      <c r="AD1958" s="141"/>
      <c r="AE1958" s="141"/>
    </row>
    <row r="1959" spans="28:31" x14ac:dyDescent="0.2">
      <c r="AB1959" s="141"/>
      <c r="AD1959" s="141"/>
      <c r="AE1959" s="141"/>
    </row>
    <row r="1960" spans="28:31" x14ac:dyDescent="0.2">
      <c r="AB1960" s="141"/>
      <c r="AD1960" s="141"/>
      <c r="AE1960" s="141"/>
    </row>
    <row r="1961" spans="28:31" x14ac:dyDescent="0.2">
      <c r="AB1961" s="141"/>
      <c r="AD1961" s="141"/>
      <c r="AE1961" s="141"/>
    </row>
    <row r="1962" spans="28:31" x14ac:dyDescent="0.2">
      <c r="AB1962" s="141"/>
      <c r="AD1962" s="141"/>
      <c r="AE1962" s="141"/>
    </row>
    <row r="1963" spans="28:31" x14ac:dyDescent="0.2">
      <c r="AB1963" s="141"/>
      <c r="AD1963" s="141"/>
      <c r="AE1963" s="141"/>
    </row>
    <row r="1964" spans="28:31" x14ac:dyDescent="0.2">
      <c r="AB1964" s="141"/>
      <c r="AD1964" s="141"/>
      <c r="AE1964" s="141"/>
    </row>
    <row r="1965" spans="28:31" x14ac:dyDescent="0.2">
      <c r="AB1965" s="141"/>
      <c r="AD1965" s="141"/>
      <c r="AE1965" s="141"/>
    </row>
    <row r="1966" spans="28:31" x14ac:dyDescent="0.2">
      <c r="AB1966" s="141"/>
      <c r="AD1966" s="141"/>
      <c r="AE1966" s="141"/>
    </row>
    <row r="1967" spans="28:31" x14ac:dyDescent="0.2">
      <c r="AB1967" s="141"/>
      <c r="AD1967" s="141"/>
      <c r="AE1967" s="141"/>
    </row>
    <row r="1968" spans="28:31" x14ac:dyDescent="0.2">
      <c r="AB1968" s="141"/>
      <c r="AD1968" s="141"/>
      <c r="AE1968" s="141"/>
    </row>
    <row r="1969" spans="28:31" x14ac:dyDescent="0.2">
      <c r="AB1969" s="141"/>
      <c r="AD1969" s="141"/>
      <c r="AE1969" s="141"/>
    </row>
    <row r="1970" spans="28:31" x14ac:dyDescent="0.2">
      <c r="AB1970" s="141"/>
      <c r="AD1970" s="141"/>
      <c r="AE1970" s="141"/>
    </row>
    <row r="1971" spans="28:31" x14ac:dyDescent="0.2">
      <c r="AB1971" s="141"/>
      <c r="AD1971" s="141"/>
      <c r="AE1971" s="141"/>
    </row>
    <row r="1972" spans="28:31" x14ac:dyDescent="0.2">
      <c r="AB1972" s="141"/>
      <c r="AD1972" s="141"/>
      <c r="AE1972" s="141"/>
    </row>
    <row r="1973" spans="28:31" x14ac:dyDescent="0.2">
      <c r="AB1973" s="141"/>
      <c r="AD1973" s="141"/>
      <c r="AE1973" s="141"/>
    </row>
    <row r="1974" spans="28:31" x14ac:dyDescent="0.2">
      <c r="AB1974" s="141"/>
      <c r="AD1974" s="141"/>
      <c r="AE1974" s="141"/>
    </row>
    <row r="1975" spans="28:31" x14ac:dyDescent="0.2">
      <c r="AB1975" s="141"/>
      <c r="AD1975" s="141"/>
      <c r="AE1975" s="141"/>
    </row>
    <row r="1976" spans="28:31" x14ac:dyDescent="0.2">
      <c r="AB1976" s="141"/>
      <c r="AD1976" s="141"/>
      <c r="AE1976" s="141"/>
    </row>
    <row r="1977" spans="28:31" x14ac:dyDescent="0.2">
      <c r="AB1977" s="141"/>
      <c r="AD1977" s="141"/>
      <c r="AE1977" s="141"/>
    </row>
    <row r="1978" spans="28:31" x14ac:dyDescent="0.2">
      <c r="AB1978" s="141"/>
      <c r="AD1978" s="141"/>
      <c r="AE1978" s="141"/>
    </row>
    <row r="1979" spans="28:31" x14ac:dyDescent="0.2">
      <c r="AB1979" s="141"/>
      <c r="AD1979" s="141"/>
      <c r="AE1979" s="141"/>
    </row>
    <row r="1980" spans="28:31" x14ac:dyDescent="0.2">
      <c r="AB1980" s="141"/>
      <c r="AD1980" s="141"/>
      <c r="AE1980" s="141"/>
    </row>
    <row r="1981" spans="28:31" x14ac:dyDescent="0.2">
      <c r="AB1981" s="141"/>
      <c r="AD1981" s="141"/>
      <c r="AE1981" s="141"/>
    </row>
    <row r="1982" spans="28:31" x14ac:dyDescent="0.2">
      <c r="AB1982" s="141"/>
      <c r="AD1982" s="141"/>
      <c r="AE1982" s="141"/>
    </row>
    <row r="1983" spans="28:31" x14ac:dyDescent="0.2">
      <c r="AB1983" s="141"/>
      <c r="AD1983" s="141"/>
      <c r="AE1983" s="141"/>
    </row>
    <row r="1984" spans="28:31" x14ac:dyDescent="0.2">
      <c r="AB1984" s="141"/>
      <c r="AD1984" s="141"/>
      <c r="AE1984" s="141"/>
    </row>
    <row r="1985" spans="28:31" x14ac:dyDescent="0.2">
      <c r="AB1985" s="141"/>
      <c r="AD1985" s="141"/>
      <c r="AE1985" s="141"/>
    </row>
    <row r="1986" spans="28:31" x14ac:dyDescent="0.2">
      <c r="AB1986" s="141"/>
      <c r="AD1986" s="141"/>
      <c r="AE1986" s="141"/>
    </row>
    <row r="1987" spans="28:31" x14ac:dyDescent="0.2">
      <c r="AB1987" s="141"/>
      <c r="AD1987" s="141"/>
      <c r="AE1987" s="141"/>
    </row>
    <row r="1988" spans="28:31" x14ac:dyDescent="0.2">
      <c r="AB1988" s="141"/>
      <c r="AD1988" s="141"/>
      <c r="AE1988" s="141"/>
    </row>
    <row r="1989" spans="28:31" x14ac:dyDescent="0.2">
      <c r="AB1989" s="141"/>
      <c r="AD1989" s="141"/>
      <c r="AE1989" s="141"/>
    </row>
    <row r="1990" spans="28:31" x14ac:dyDescent="0.2">
      <c r="AB1990" s="141"/>
      <c r="AD1990" s="141"/>
      <c r="AE1990" s="141"/>
    </row>
    <row r="1991" spans="28:31" x14ac:dyDescent="0.2">
      <c r="AB1991" s="141"/>
      <c r="AD1991" s="141"/>
      <c r="AE1991" s="141"/>
    </row>
    <row r="1992" spans="28:31" x14ac:dyDescent="0.2">
      <c r="AB1992" s="141"/>
      <c r="AD1992" s="141"/>
      <c r="AE1992" s="141"/>
    </row>
    <row r="1993" spans="28:31" x14ac:dyDescent="0.2">
      <c r="AB1993" s="141"/>
      <c r="AD1993" s="141"/>
      <c r="AE1993" s="141"/>
    </row>
    <row r="1994" spans="28:31" x14ac:dyDescent="0.2">
      <c r="AB1994" s="141"/>
      <c r="AD1994" s="141"/>
      <c r="AE1994" s="141"/>
    </row>
    <row r="1995" spans="28:31" x14ac:dyDescent="0.2">
      <c r="AB1995" s="141"/>
      <c r="AD1995" s="141"/>
      <c r="AE1995" s="141"/>
    </row>
    <row r="1996" spans="28:31" x14ac:dyDescent="0.2">
      <c r="AB1996" s="141"/>
      <c r="AD1996" s="141"/>
      <c r="AE1996" s="141"/>
    </row>
    <row r="1997" spans="28:31" x14ac:dyDescent="0.2">
      <c r="AB1997" s="141"/>
      <c r="AD1997" s="141"/>
      <c r="AE1997" s="141"/>
    </row>
    <row r="1998" spans="28:31" x14ac:dyDescent="0.2">
      <c r="AB1998" s="141"/>
      <c r="AD1998" s="141"/>
      <c r="AE1998" s="141"/>
    </row>
    <row r="1999" spans="28:31" x14ac:dyDescent="0.2">
      <c r="AB1999" s="141"/>
      <c r="AD1999" s="141"/>
      <c r="AE1999" s="141"/>
    </row>
    <row r="2000" spans="28:31" x14ac:dyDescent="0.2">
      <c r="AB2000" s="141"/>
      <c r="AD2000" s="141"/>
      <c r="AE2000" s="141"/>
    </row>
    <row r="2001" spans="28:31" x14ac:dyDescent="0.2">
      <c r="AB2001" s="141"/>
      <c r="AD2001" s="141"/>
      <c r="AE2001" s="141"/>
    </row>
    <row r="2002" spans="28:31" x14ac:dyDescent="0.2">
      <c r="AB2002" s="141"/>
      <c r="AD2002" s="141"/>
      <c r="AE2002" s="141"/>
    </row>
    <row r="2003" spans="28:31" x14ac:dyDescent="0.2">
      <c r="AB2003" s="141"/>
      <c r="AD2003" s="141"/>
      <c r="AE2003" s="141"/>
    </row>
    <row r="2004" spans="28:31" x14ac:dyDescent="0.2">
      <c r="AB2004" s="141"/>
      <c r="AD2004" s="141"/>
      <c r="AE2004" s="141"/>
    </row>
    <row r="2005" spans="28:31" x14ac:dyDescent="0.2">
      <c r="AB2005" s="141"/>
      <c r="AD2005" s="141"/>
      <c r="AE2005" s="141"/>
    </row>
    <row r="2006" spans="28:31" x14ac:dyDescent="0.2">
      <c r="AB2006" s="141"/>
      <c r="AD2006" s="141"/>
      <c r="AE2006" s="141"/>
    </row>
    <row r="2007" spans="28:31" x14ac:dyDescent="0.2">
      <c r="AB2007" s="141"/>
      <c r="AD2007" s="141"/>
      <c r="AE2007" s="141"/>
    </row>
    <row r="2008" spans="28:31" x14ac:dyDescent="0.2">
      <c r="AB2008" s="141"/>
      <c r="AD2008" s="141"/>
      <c r="AE2008" s="141"/>
    </row>
    <row r="2009" spans="28:31" x14ac:dyDescent="0.2">
      <c r="AB2009" s="141"/>
      <c r="AD2009" s="141"/>
      <c r="AE2009" s="141"/>
    </row>
    <row r="2010" spans="28:31" x14ac:dyDescent="0.2">
      <c r="AB2010" s="141"/>
      <c r="AD2010" s="141"/>
      <c r="AE2010" s="141"/>
    </row>
    <row r="2011" spans="28:31" x14ac:dyDescent="0.2">
      <c r="AB2011" s="141"/>
      <c r="AD2011" s="141"/>
      <c r="AE2011" s="141"/>
    </row>
    <row r="2012" spans="28:31" x14ac:dyDescent="0.2">
      <c r="AB2012" s="141"/>
      <c r="AD2012" s="141"/>
      <c r="AE2012" s="141"/>
    </row>
    <row r="2013" spans="28:31" x14ac:dyDescent="0.2">
      <c r="AB2013" s="141"/>
      <c r="AD2013" s="141"/>
      <c r="AE2013" s="141"/>
    </row>
    <row r="2014" spans="28:31" x14ac:dyDescent="0.2">
      <c r="AB2014" s="141"/>
      <c r="AD2014" s="141"/>
      <c r="AE2014" s="141"/>
    </row>
    <row r="2015" spans="28:31" x14ac:dyDescent="0.2">
      <c r="AB2015" s="141"/>
      <c r="AD2015" s="141"/>
      <c r="AE2015" s="141"/>
    </row>
    <row r="2016" spans="28:31" x14ac:dyDescent="0.2">
      <c r="AB2016" s="141"/>
      <c r="AD2016" s="141"/>
      <c r="AE2016" s="141"/>
    </row>
    <row r="2017" spans="28:31" x14ac:dyDescent="0.2">
      <c r="AB2017" s="141"/>
      <c r="AD2017" s="141"/>
      <c r="AE2017" s="141"/>
    </row>
    <row r="2018" spans="28:31" x14ac:dyDescent="0.2">
      <c r="AB2018" s="141"/>
      <c r="AD2018" s="141"/>
      <c r="AE2018" s="141"/>
    </row>
    <row r="2019" spans="28:31" x14ac:dyDescent="0.2">
      <c r="AB2019" s="141"/>
      <c r="AD2019" s="141"/>
      <c r="AE2019" s="141"/>
    </row>
    <row r="2020" spans="28:31" x14ac:dyDescent="0.2">
      <c r="AB2020" s="141"/>
      <c r="AD2020" s="141"/>
      <c r="AE2020" s="141"/>
    </row>
    <row r="2021" spans="28:31" x14ac:dyDescent="0.2">
      <c r="AB2021" s="141"/>
      <c r="AD2021" s="141"/>
      <c r="AE2021" s="141"/>
    </row>
    <row r="2022" spans="28:31" x14ac:dyDescent="0.2">
      <c r="AB2022" s="141"/>
      <c r="AD2022" s="141"/>
      <c r="AE2022" s="141"/>
    </row>
    <row r="2023" spans="28:31" x14ac:dyDescent="0.2">
      <c r="AB2023" s="141"/>
      <c r="AD2023" s="141"/>
      <c r="AE2023" s="141"/>
    </row>
    <row r="2024" spans="28:31" x14ac:dyDescent="0.2">
      <c r="AB2024" s="141"/>
      <c r="AD2024" s="141"/>
      <c r="AE2024" s="141"/>
    </row>
    <row r="2025" spans="28:31" x14ac:dyDescent="0.2">
      <c r="AB2025" s="141"/>
      <c r="AD2025" s="141"/>
      <c r="AE2025" s="141"/>
    </row>
    <row r="2026" spans="28:31" x14ac:dyDescent="0.2">
      <c r="AB2026" s="141"/>
      <c r="AD2026" s="141"/>
      <c r="AE2026" s="141"/>
    </row>
    <row r="2027" spans="28:31" x14ac:dyDescent="0.2">
      <c r="AB2027" s="141"/>
      <c r="AD2027" s="141"/>
      <c r="AE2027" s="141"/>
    </row>
    <row r="2028" spans="28:31" x14ac:dyDescent="0.2">
      <c r="AB2028" s="141"/>
      <c r="AD2028" s="141"/>
      <c r="AE2028" s="141"/>
    </row>
    <row r="2029" spans="28:31" x14ac:dyDescent="0.2">
      <c r="AB2029" s="141"/>
      <c r="AD2029" s="141"/>
      <c r="AE2029" s="141"/>
    </row>
    <row r="2030" spans="28:31" x14ac:dyDescent="0.2">
      <c r="AB2030" s="141"/>
      <c r="AD2030" s="141"/>
      <c r="AE2030" s="141"/>
    </row>
    <row r="2031" spans="28:31" x14ac:dyDescent="0.2">
      <c r="AB2031" s="141"/>
      <c r="AD2031" s="141"/>
      <c r="AE2031" s="141"/>
    </row>
    <row r="2032" spans="28:31" x14ac:dyDescent="0.2">
      <c r="AB2032" s="141"/>
      <c r="AD2032" s="141"/>
      <c r="AE2032" s="141"/>
    </row>
    <row r="2033" spans="28:31" x14ac:dyDescent="0.2">
      <c r="AB2033" s="141"/>
      <c r="AD2033" s="141"/>
      <c r="AE2033" s="141"/>
    </row>
    <row r="2034" spans="28:31" x14ac:dyDescent="0.2">
      <c r="AB2034" s="141"/>
      <c r="AD2034" s="141"/>
      <c r="AE2034" s="141"/>
    </row>
    <row r="2035" spans="28:31" x14ac:dyDescent="0.2">
      <c r="AB2035" s="141"/>
      <c r="AD2035" s="141"/>
      <c r="AE2035" s="141"/>
    </row>
    <row r="2036" spans="28:31" x14ac:dyDescent="0.2">
      <c r="AB2036" s="141"/>
      <c r="AD2036" s="141"/>
      <c r="AE2036" s="141"/>
    </row>
    <row r="2037" spans="28:31" x14ac:dyDescent="0.2">
      <c r="AB2037" s="141"/>
      <c r="AD2037" s="141"/>
      <c r="AE2037" s="141"/>
    </row>
    <row r="2038" spans="28:31" x14ac:dyDescent="0.2">
      <c r="AB2038" s="141"/>
      <c r="AD2038" s="141"/>
      <c r="AE2038" s="141"/>
    </row>
    <row r="2039" spans="28:31" x14ac:dyDescent="0.2">
      <c r="AB2039" s="141"/>
      <c r="AD2039" s="141"/>
      <c r="AE2039" s="141"/>
    </row>
    <row r="2040" spans="28:31" x14ac:dyDescent="0.2">
      <c r="AB2040" s="141"/>
      <c r="AD2040" s="141"/>
      <c r="AE2040" s="141"/>
    </row>
    <row r="2041" spans="28:31" x14ac:dyDescent="0.2">
      <c r="AB2041" s="141"/>
      <c r="AD2041" s="141"/>
      <c r="AE2041" s="141"/>
    </row>
    <row r="2042" spans="28:31" x14ac:dyDescent="0.2">
      <c r="AB2042" s="141"/>
      <c r="AD2042" s="141"/>
      <c r="AE2042" s="141"/>
    </row>
    <row r="2043" spans="28:31" x14ac:dyDescent="0.2">
      <c r="AB2043" s="141"/>
      <c r="AD2043" s="141"/>
      <c r="AE2043" s="141"/>
    </row>
    <row r="2044" spans="28:31" x14ac:dyDescent="0.2">
      <c r="AB2044" s="141"/>
      <c r="AD2044" s="141"/>
      <c r="AE2044" s="141"/>
    </row>
    <row r="2045" spans="28:31" x14ac:dyDescent="0.2">
      <c r="AB2045" s="141"/>
      <c r="AD2045" s="141"/>
      <c r="AE2045" s="141"/>
    </row>
    <row r="2046" spans="28:31" x14ac:dyDescent="0.2">
      <c r="AB2046" s="141"/>
      <c r="AD2046" s="141"/>
      <c r="AE2046" s="141"/>
    </row>
    <row r="2047" spans="28:31" x14ac:dyDescent="0.2">
      <c r="AB2047" s="141"/>
      <c r="AD2047" s="141"/>
      <c r="AE2047" s="141"/>
    </row>
    <row r="2048" spans="28:31" x14ac:dyDescent="0.2">
      <c r="AB2048" s="141"/>
      <c r="AD2048" s="141"/>
      <c r="AE2048" s="141"/>
    </row>
    <row r="2049" spans="28:31" x14ac:dyDescent="0.2">
      <c r="AB2049" s="141"/>
      <c r="AD2049" s="141"/>
      <c r="AE2049" s="141"/>
    </row>
    <row r="2050" spans="28:31" x14ac:dyDescent="0.2">
      <c r="AB2050" s="141"/>
      <c r="AD2050" s="141"/>
      <c r="AE2050" s="141"/>
    </row>
    <row r="2051" spans="28:31" x14ac:dyDescent="0.2">
      <c r="AB2051" s="141"/>
      <c r="AD2051" s="141"/>
      <c r="AE2051" s="141"/>
    </row>
    <row r="2052" spans="28:31" x14ac:dyDescent="0.2">
      <c r="AB2052" s="141"/>
      <c r="AD2052" s="141"/>
      <c r="AE2052" s="141"/>
    </row>
    <row r="2053" spans="28:31" x14ac:dyDescent="0.2">
      <c r="AB2053" s="141"/>
      <c r="AD2053" s="141"/>
      <c r="AE2053" s="141"/>
    </row>
    <row r="2054" spans="28:31" x14ac:dyDescent="0.2">
      <c r="AB2054" s="141"/>
      <c r="AD2054" s="141"/>
      <c r="AE2054" s="141"/>
    </row>
    <row r="2055" spans="28:31" x14ac:dyDescent="0.2">
      <c r="AB2055" s="141"/>
      <c r="AD2055" s="141"/>
      <c r="AE2055" s="141"/>
    </row>
    <row r="2056" spans="28:31" x14ac:dyDescent="0.2">
      <c r="AB2056" s="141"/>
      <c r="AD2056" s="141"/>
      <c r="AE2056" s="141"/>
    </row>
    <row r="2057" spans="28:31" x14ac:dyDescent="0.2">
      <c r="AB2057" s="141"/>
      <c r="AD2057" s="141"/>
      <c r="AE2057" s="141"/>
    </row>
    <row r="2058" spans="28:31" x14ac:dyDescent="0.2">
      <c r="AB2058" s="141"/>
      <c r="AD2058" s="141"/>
      <c r="AE2058" s="141"/>
    </row>
    <row r="2059" spans="28:31" x14ac:dyDescent="0.2">
      <c r="AB2059" s="141"/>
      <c r="AD2059" s="141"/>
      <c r="AE2059" s="141"/>
    </row>
    <row r="2060" spans="28:31" x14ac:dyDescent="0.2">
      <c r="AB2060" s="141"/>
      <c r="AD2060" s="141"/>
      <c r="AE2060" s="141"/>
    </row>
    <row r="2061" spans="28:31" x14ac:dyDescent="0.2">
      <c r="AB2061" s="141"/>
      <c r="AD2061" s="141"/>
      <c r="AE2061" s="141"/>
    </row>
    <row r="2062" spans="28:31" x14ac:dyDescent="0.2">
      <c r="AB2062" s="141"/>
      <c r="AD2062" s="141"/>
      <c r="AE2062" s="141"/>
    </row>
    <row r="2063" spans="28:31" x14ac:dyDescent="0.2">
      <c r="AB2063" s="141"/>
      <c r="AD2063" s="141"/>
      <c r="AE2063" s="141"/>
    </row>
    <row r="2064" spans="28:31" x14ac:dyDescent="0.2">
      <c r="AB2064" s="141"/>
      <c r="AD2064" s="141"/>
      <c r="AE2064" s="141"/>
    </row>
    <row r="2065" spans="28:31" x14ac:dyDescent="0.2">
      <c r="AB2065" s="141"/>
      <c r="AD2065" s="141"/>
      <c r="AE2065" s="141"/>
    </row>
    <row r="2066" spans="28:31" x14ac:dyDescent="0.2">
      <c r="AB2066" s="141"/>
      <c r="AD2066" s="141"/>
      <c r="AE2066" s="141"/>
    </row>
    <row r="2067" spans="28:31" x14ac:dyDescent="0.2">
      <c r="AB2067" s="141"/>
      <c r="AD2067" s="141"/>
      <c r="AE2067" s="141"/>
    </row>
    <row r="2068" spans="28:31" x14ac:dyDescent="0.2">
      <c r="AB2068" s="141"/>
      <c r="AD2068" s="141"/>
      <c r="AE2068" s="141"/>
    </row>
    <row r="2069" spans="28:31" x14ac:dyDescent="0.2">
      <c r="AB2069" s="141"/>
      <c r="AD2069" s="141"/>
      <c r="AE2069" s="141"/>
    </row>
    <row r="2070" spans="28:31" x14ac:dyDescent="0.2">
      <c r="AB2070" s="141"/>
      <c r="AD2070" s="141"/>
      <c r="AE2070" s="141"/>
    </row>
    <row r="2071" spans="28:31" x14ac:dyDescent="0.2">
      <c r="AB2071" s="141"/>
      <c r="AD2071" s="141"/>
      <c r="AE2071" s="141"/>
    </row>
    <row r="2072" spans="28:31" x14ac:dyDescent="0.2">
      <c r="AB2072" s="141"/>
      <c r="AD2072" s="141"/>
      <c r="AE2072" s="141"/>
    </row>
    <row r="2073" spans="28:31" x14ac:dyDescent="0.2">
      <c r="AB2073" s="141"/>
      <c r="AD2073" s="141"/>
      <c r="AE2073" s="141"/>
    </row>
    <row r="2074" spans="28:31" x14ac:dyDescent="0.2">
      <c r="AB2074" s="141"/>
      <c r="AD2074" s="141"/>
      <c r="AE2074" s="141"/>
    </row>
    <row r="2075" spans="28:31" x14ac:dyDescent="0.2">
      <c r="AB2075" s="141"/>
      <c r="AD2075" s="141"/>
      <c r="AE2075" s="141"/>
    </row>
    <row r="2076" spans="28:31" x14ac:dyDescent="0.2">
      <c r="AB2076" s="141"/>
      <c r="AD2076" s="141"/>
      <c r="AE2076" s="141"/>
    </row>
    <row r="2077" spans="28:31" x14ac:dyDescent="0.2">
      <c r="AB2077" s="141"/>
      <c r="AD2077" s="141"/>
      <c r="AE2077" s="141"/>
    </row>
    <row r="2078" spans="28:31" x14ac:dyDescent="0.2">
      <c r="AB2078" s="141"/>
      <c r="AD2078" s="141"/>
      <c r="AE2078" s="141"/>
    </row>
    <row r="2079" spans="28:31" x14ac:dyDescent="0.2">
      <c r="AB2079" s="141"/>
      <c r="AD2079" s="141"/>
      <c r="AE2079" s="141"/>
    </row>
    <row r="2080" spans="28:31" x14ac:dyDescent="0.2">
      <c r="AB2080" s="141"/>
      <c r="AD2080" s="141"/>
      <c r="AE2080" s="141"/>
    </row>
    <row r="2081" spans="28:31" x14ac:dyDescent="0.2">
      <c r="AB2081" s="141"/>
      <c r="AD2081" s="141"/>
      <c r="AE2081" s="141"/>
    </row>
    <row r="2082" spans="28:31" x14ac:dyDescent="0.2">
      <c r="AB2082" s="141"/>
      <c r="AD2082" s="141"/>
      <c r="AE2082" s="141"/>
    </row>
    <row r="2083" spans="28:31" x14ac:dyDescent="0.2">
      <c r="AB2083" s="141"/>
      <c r="AD2083" s="141"/>
      <c r="AE2083" s="141"/>
    </row>
    <row r="2084" spans="28:31" x14ac:dyDescent="0.2">
      <c r="AB2084" s="141"/>
      <c r="AD2084" s="141"/>
      <c r="AE2084" s="141"/>
    </row>
    <row r="2085" spans="28:31" x14ac:dyDescent="0.2">
      <c r="AB2085" s="141"/>
      <c r="AD2085" s="141"/>
      <c r="AE2085" s="141"/>
    </row>
    <row r="2086" spans="28:31" x14ac:dyDescent="0.2">
      <c r="AB2086" s="141"/>
      <c r="AD2086" s="141"/>
      <c r="AE2086" s="141"/>
    </row>
    <row r="2087" spans="28:31" x14ac:dyDescent="0.2">
      <c r="AB2087" s="141"/>
      <c r="AD2087" s="141"/>
      <c r="AE2087" s="141"/>
    </row>
    <row r="2088" spans="28:31" x14ac:dyDescent="0.2">
      <c r="AB2088" s="141"/>
      <c r="AD2088" s="141"/>
      <c r="AE2088" s="141"/>
    </row>
    <row r="2089" spans="28:31" x14ac:dyDescent="0.2">
      <c r="AB2089" s="141"/>
      <c r="AD2089" s="141"/>
      <c r="AE2089" s="141"/>
    </row>
    <row r="2090" spans="28:31" x14ac:dyDescent="0.2">
      <c r="AB2090" s="141"/>
      <c r="AD2090" s="141"/>
      <c r="AE2090" s="141"/>
    </row>
    <row r="2091" spans="28:31" x14ac:dyDescent="0.2">
      <c r="AB2091" s="141"/>
      <c r="AD2091" s="141"/>
      <c r="AE2091" s="141"/>
    </row>
    <row r="2092" spans="28:31" x14ac:dyDescent="0.2">
      <c r="AB2092" s="141"/>
      <c r="AD2092" s="141"/>
      <c r="AE2092" s="141"/>
    </row>
    <row r="2093" spans="28:31" x14ac:dyDescent="0.2">
      <c r="AB2093" s="141"/>
      <c r="AD2093" s="141"/>
      <c r="AE2093" s="141"/>
    </row>
    <row r="2094" spans="28:31" x14ac:dyDescent="0.2">
      <c r="AB2094" s="141"/>
      <c r="AD2094" s="141"/>
      <c r="AE2094" s="141"/>
    </row>
    <row r="2095" spans="28:31" x14ac:dyDescent="0.2">
      <c r="AB2095" s="141"/>
      <c r="AD2095" s="141"/>
      <c r="AE2095" s="141"/>
    </row>
    <row r="2096" spans="28:31" x14ac:dyDescent="0.2">
      <c r="AB2096" s="141"/>
      <c r="AD2096" s="141"/>
      <c r="AE2096" s="141"/>
    </row>
    <row r="2097" spans="28:31" x14ac:dyDescent="0.2">
      <c r="AB2097" s="141"/>
      <c r="AD2097" s="141"/>
      <c r="AE2097" s="141"/>
    </row>
    <row r="2098" spans="28:31" x14ac:dyDescent="0.2">
      <c r="AB2098" s="141"/>
      <c r="AD2098" s="141"/>
      <c r="AE2098" s="141"/>
    </row>
    <row r="2099" spans="28:31" x14ac:dyDescent="0.2">
      <c r="AB2099" s="141"/>
      <c r="AD2099" s="141"/>
      <c r="AE2099" s="141"/>
    </row>
    <row r="2100" spans="28:31" x14ac:dyDescent="0.2">
      <c r="AB2100" s="141"/>
      <c r="AD2100" s="141"/>
      <c r="AE2100" s="141"/>
    </row>
    <row r="2101" spans="28:31" x14ac:dyDescent="0.2">
      <c r="AB2101" s="141"/>
      <c r="AD2101" s="141"/>
      <c r="AE2101" s="141"/>
    </row>
    <row r="2102" spans="28:31" x14ac:dyDescent="0.2">
      <c r="AB2102" s="141"/>
      <c r="AD2102" s="141"/>
      <c r="AE2102" s="141"/>
    </row>
    <row r="2103" spans="28:31" x14ac:dyDescent="0.2">
      <c r="AB2103" s="141"/>
      <c r="AD2103" s="141"/>
      <c r="AE2103" s="141"/>
    </row>
    <row r="2104" spans="28:31" x14ac:dyDescent="0.2">
      <c r="AB2104" s="141"/>
      <c r="AD2104" s="141"/>
      <c r="AE2104" s="141"/>
    </row>
    <row r="2105" spans="28:31" x14ac:dyDescent="0.2">
      <c r="AB2105" s="141"/>
      <c r="AD2105" s="141"/>
      <c r="AE2105" s="141"/>
    </row>
    <row r="2106" spans="28:31" x14ac:dyDescent="0.2">
      <c r="AB2106" s="141"/>
      <c r="AD2106" s="141"/>
      <c r="AE2106" s="141"/>
    </row>
    <row r="2107" spans="28:31" x14ac:dyDescent="0.2">
      <c r="AB2107" s="141"/>
      <c r="AD2107" s="141"/>
      <c r="AE2107" s="141"/>
    </row>
    <row r="2108" spans="28:31" x14ac:dyDescent="0.2">
      <c r="AB2108" s="141"/>
      <c r="AD2108" s="141"/>
      <c r="AE2108" s="141"/>
    </row>
    <row r="2109" spans="28:31" x14ac:dyDescent="0.2">
      <c r="AB2109" s="141"/>
      <c r="AD2109" s="141"/>
      <c r="AE2109" s="141"/>
    </row>
    <row r="2110" spans="28:31" x14ac:dyDescent="0.2">
      <c r="AB2110" s="141"/>
      <c r="AD2110" s="141"/>
      <c r="AE2110" s="141"/>
    </row>
    <row r="2111" spans="28:31" x14ac:dyDescent="0.2">
      <c r="AB2111" s="141"/>
      <c r="AD2111" s="141"/>
      <c r="AE2111" s="141"/>
    </row>
    <row r="2112" spans="28:31" x14ac:dyDescent="0.2">
      <c r="AB2112" s="141"/>
      <c r="AD2112" s="141"/>
      <c r="AE2112" s="141"/>
    </row>
    <row r="2113" spans="28:31" x14ac:dyDescent="0.2">
      <c r="AB2113" s="141"/>
      <c r="AD2113" s="141"/>
      <c r="AE2113" s="141"/>
    </row>
    <row r="2114" spans="28:31" x14ac:dyDescent="0.2">
      <c r="AB2114" s="141"/>
      <c r="AD2114" s="141"/>
      <c r="AE2114" s="141"/>
    </row>
    <row r="2115" spans="28:31" x14ac:dyDescent="0.2">
      <c r="AB2115" s="141"/>
      <c r="AD2115" s="141"/>
      <c r="AE2115" s="141"/>
    </row>
    <row r="2116" spans="28:31" x14ac:dyDescent="0.2">
      <c r="AB2116" s="141"/>
      <c r="AD2116" s="141"/>
      <c r="AE2116" s="141"/>
    </row>
    <row r="2117" spans="28:31" x14ac:dyDescent="0.2">
      <c r="AB2117" s="141"/>
      <c r="AD2117" s="141"/>
      <c r="AE2117" s="141"/>
    </row>
    <row r="2118" spans="28:31" x14ac:dyDescent="0.2">
      <c r="AB2118" s="141"/>
      <c r="AD2118" s="141"/>
      <c r="AE2118" s="141"/>
    </row>
    <row r="2119" spans="28:31" x14ac:dyDescent="0.2">
      <c r="AB2119" s="141"/>
      <c r="AD2119" s="141"/>
      <c r="AE2119" s="141"/>
    </row>
    <row r="2120" spans="28:31" x14ac:dyDescent="0.2">
      <c r="AB2120" s="141"/>
      <c r="AD2120" s="141"/>
      <c r="AE2120" s="141"/>
    </row>
    <row r="2121" spans="28:31" x14ac:dyDescent="0.2">
      <c r="AB2121" s="141"/>
      <c r="AD2121" s="141"/>
      <c r="AE2121" s="141"/>
    </row>
    <row r="2122" spans="28:31" x14ac:dyDescent="0.2">
      <c r="AB2122" s="141"/>
      <c r="AD2122" s="141"/>
      <c r="AE2122" s="141"/>
    </row>
    <row r="2123" spans="28:31" x14ac:dyDescent="0.2">
      <c r="AB2123" s="141"/>
      <c r="AD2123" s="141"/>
      <c r="AE2123" s="141"/>
    </row>
    <row r="2124" spans="28:31" x14ac:dyDescent="0.2">
      <c r="AB2124" s="141"/>
      <c r="AD2124" s="141"/>
      <c r="AE2124" s="141"/>
    </row>
    <row r="2125" spans="28:31" x14ac:dyDescent="0.2">
      <c r="AB2125" s="141"/>
      <c r="AD2125" s="141"/>
      <c r="AE2125" s="141"/>
    </row>
    <row r="2126" spans="28:31" x14ac:dyDescent="0.2">
      <c r="AB2126" s="141"/>
      <c r="AD2126" s="141"/>
      <c r="AE2126" s="141"/>
    </row>
    <row r="2127" spans="28:31" x14ac:dyDescent="0.2">
      <c r="AB2127" s="141"/>
      <c r="AD2127" s="141"/>
      <c r="AE2127" s="141"/>
    </row>
    <row r="2128" spans="28:31" x14ac:dyDescent="0.2">
      <c r="AB2128" s="141"/>
      <c r="AD2128" s="141"/>
      <c r="AE2128" s="141"/>
    </row>
    <row r="2129" spans="28:31" x14ac:dyDescent="0.2">
      <c r="AB2129" s="141"/>
      <c r="AD2129" s="141"/>
      <c r="AE2129" s="141"/>
    </row>
    <row r="2130" spans="28:31" x14ac:dyDescent="0.2">
      <c r="AB2130" s="141"/>
      <c r="AD2130" s="141"/>
      <c r="AE2130" s="141"/>
    </row>
    <row r="2131" spans="28:31" x14ac:dyDescent="0.2">
      <c r="AB2131" s="141"/>
      <c r="AD2131" s="141"/>
      <c r="AE2131" s="141"/>
    </row>
    <row r="2132" spans="28:31" x14ac:dyDescent="0.2">
      <c r="AB2132" s="141"/>
      <c r="AD2132" s="141"/>
      <c r="AE2132" s="141"/>
    </row>
    <row r="2133" spans="28:31" x14ac:dyDescent="0.2">
      <c r="AB2133" s="141"/>
      <c r="AD2133" s="141"/>
      <c r="AE2133" s="141"/>
    </row>
    <row r="2134" spans="28:31" x14ac:dyDescent="0.2">
      <c r="AB2134" s="141"/>
      <c r="AD2134" s="141"/>
      <c r="AE2134" s="141"/>
    </row>
    <row r="2135" spans="28:31" x14ac:dyDescent="0.2">
      <c r="AB2135" s="141"/>
      <c r="AD2135" s="141"/>
      <c r="AE2135" s="141"/>
    </row>
    <row r="2136" spans="28:31" x14ac:dyDescent="0.2">
      <c r="AB2136" s="141"/>
      <c r="AD2136" s="141"/>
      <c r="AE2136" s="141"/>
    </row>
    <row r="2137" spans="28:31" x14ac:dyDescent="0.2">
      <c r="AB2137" s="141"/>
      <c r="AD2137" s="141"/>
      <c r="AE2137" s="141"/>
    </row>
    <row r="2138" spans="28:31" x14ac:dyDescent="0.2">
      <c r="AB2138" s="141"/>
      <c r="AD2138" s="141"/>
      <c r="AE2138" s="141"/>
    </row>
    <row r="2139" spans="28:31" x14ac:dyDescent="0.2">
      <c r="AB2139" s="141"/>
      <c r="AD2139" s="141"/>
      <c r="AE2139" s="141"/>
    </row>
    <row r="2140" spans="28:31" x14ac:dyDescent="0.2">
      <c r="AB2140" s="141"/>
      <c r="AD2140" s="141"/>
      <c r="AE2140" s="141"/>
    </row>
    <row r="2141" spans="28:31" x14ac:dyDescent="0.2">
      <c r="AB2141" s="141"/>
      <c r="AD2141" s="141"/>
      <c r="AE2141" s="141"/>
    </row>
    <row r="2142" spans="28:31" x14ac:dyDescent="0.2">
      <c r="AB2142" s="141"/>
      <c r="AD2142" s="141"/>
      <c r="AE2142" s="141"/>
    </row>
    <row r="2143" spans="28:31" x14ac:dyDescent="0.2">
      <c r="AB2143" s="141"/>
      <c r="AD2143" s="141"/>
      <c r="AE2143" s="141"/>
    </row>
    <row r="2144" spans="28:31" x14ac:dyDescent="0.2">
      <c r="AB2144" s="141"/>
      <c r="AD2144" s="141"/>
      <c r="AE2144" s="141"/>
    </row>
    <row r="2145" spans="28:31" x14ac:dyDescent="0.2">
      <c r="AB2145" s="141"/>
      <c r="AD2145" s="141"/>
      <c r="AE2145" s="141"/>
    </row>
    <row r="2146" spans="28:31" x14ac:dyDescent="0.2">
      <c r="AB2146" s="141"/>
      <c r="AD2146" s="141"/>
      <c r="AE2146" s="141"/>
    </row>
    <row r="2147" spans="28:31" x14ac:dyDescent="0.2">
      <c r="AB2147" s="141"/>
      <c r="AD2147" s="141"/>
      <c r="AE2147" s="141"/>
    </row>
    <row r="2148" spans="28:31" x14ac:dyDescent="0.2">
      <c r="AB2148" s="141"/>
      <c r="AD2148" s="141"/>
      <c r="AE2148" s="141"/>
    </row>
    <row r="2149" spans="28:31" x14ac:dyDescent="0.2">
      <c r="AB2149" s="141"/>
      <c r="AD2149" s="141"/>
      <c r="AE2149" s="141"/>
    </row>
    <row r="2150" spans="28:31" x14ac:dyDescent="0.2">
      <c r="AB2150" s="141"/>
      <c r="AD2150" s="141"/>
      <c r="AE2150" s="141"/>
    </row>
    <row r="2151" spans="28:31" x14ac:dyDescent="0.2">
      <c r="AB2151" s="141"/>
      <c r="AD2151" s="141"/>
      <c r="AE2151" s="141"/>
    </row>
    <row r="2152" spans="28:31" x14ac:dyDescent="0.2">
      <c r="AB2152" s="141"/>
      <c r="AD2152" s="141"/>
      <c r="AE2152" s="141"/>
    </row>
    <row r="2153" spans="28:31" x14ac:dyDescent="0.2">
      <c r="AB2153" s="141"/>
      <c r="AD2153" s="141"/>
      <c r="AE2153" s="141"/>
    </row>
    <row r="2154" spans="28:31" x14ac:dyDescent="0.2">
      <c r="AB2154" s="141"/>
      <c r="AD2154" s="141"/>
      <c r="AE2154" s="141"/>
    </row>
    <row r="2155" spans="28:31" x14ac:dyDescent="0.2">
      <c r="AB2155" s="141"/>
      <c r="AD2155" s="141"/>
      <c r="AE2155" s="141"/>
    </row>
    <row r="2156" spans="28:31" x14ac:dyDescent="0.2">
      <c r="AB2156" s="141"/>
      <c r="AD2156" s="141"/>
      <c r="AE2156" s="141"/>
    </row>
    <row r="2157" spans="28:31" x14ac:dyDescent="0.2">
      <c r="AB2157" s="141"/>
      <c r="AD2157" s="141"/>
      <c r="AE2157" s="141"/>
    </row>
    <row r="2158" spans="28:31" x14ac:dyDescent="0.2">
      <c r="AB2158" s="141"/>
      <c r="AD2158" s="141"/>
      <c r="AE2158" s="141"/>
    </row>
    <row r="2159" spans="28:31" x14ac:dyDescent="0.2">
      <c r="AB2159" s="141"/>
      <c r="AD2159" s="141"/>
      <c r="AE2159" s="141"/>
    </row>
    <row r="2160" spans="28:31" x14ac:dyDescent="0.2">
      <c r="AB2160" s="141"/>
      <c r="AD2160" s="141"/>
      <c r="AE2160" s="141"/>
    </row>
    <row r="2161" spans="28:31" x14ac:dyDescent="0.2">
      <c r="AB2161" s="141"/>
      <c r="AD2161" s="141"/>
      <c r="AE2161" s="141"/>
    </row>
    <row r="2162" spans="28:31" x14ac:dyDescent="0.2">
      <c r="AB2162" s="141"/>
      <c r="AD2162" s="141"/>
      <c r="AE2162" s="141"/>
    </row>
    <row r="2163" spans="28:31" x14ac:dyDescent="0.2">
      <c r="AB2163" s="141"/>
      <c r="AD2163" s="141"/>
      <c r="AE2163" s="141"/>
    </row>
    <row r="2164" spans="28:31" x14ac:dyDescent="0.2">
      <c r="AB2164" s="141"/>
      <c r="AD2164" s="141"/>
      <c r="AE2164" s="141"/>
    </row>
    <row r="2165" spans="28:31" x14ac:dyDescent="0.2">
      <c r="AB2165" s="141"/>
      <c r="AD2165" s="141"/>
      <c r="AE2165" s="141"/>
    </row>
    <row r="2166" spans="28:31" x14ac:dyDescent="0.2">
      <c r="AB2166" s="141"/>
      <c r="AD2166" s="141"/>
      <c r="AE2166" s="141"/>
    </row>
    <row r="2167" spans="28:31" x14ac:dyDescent="0.2">
      <c r="AB2167" s="141"/>
      <c r="AD2167" s="141"/>
      <c r="AE2167" s="141"/>
    </row>
    <row r="2168" spans="28:31" x14ac:dyDescent="0.2">
      <c r="AB2168" s="141"/>
      <c r="AD2168" s="141"/>
      <c r="AE2168" s="141"/>
    </row>
    <row r="2169" spans="28:31" x14ac:dyDescent="0.2">
      <c r="AB2169" s="141"/>
      <c r="AD2169" s="141"/>
      <c r="AE2169" s="141"/>
    </row>
    <row r="2170" spans="28:31" x14ac:dyDescent="0.2">
      <c r="AB2170" s="141"/>
      <c r="AD2170" s="141"/>
      <c r="AE2170" s="141"/>
    </row>
    <row r="2171" spans="28:31" x14ac:dyDescent="0.2">
      <c r="AB2171" s="141"/>
      <c r="AD2171" s="141"/>
      <c r="AE2171" s="141"/>
    </row>
    <row r="2172" spans="28:31" x14ac:dyDescent="0.2">
      <c r="AB2172" s="141"/>
      <c r="AD2172" s="141"/>
      <c r="AE2172" s="141"/>
    </row>
    <row r="2173" spans="28:31" x14ac:dyDescent="0.2">
      <c r="AB2173" s="141"/>
      <c r="AD2173" s="141"/>
      <c r="AE2173" s="141"/>
    </row>
    <row r="2174" spans="28:31" x14ac:dyDescent="0.2">
      <c r="AB2174" s="141"/>
      <c r="AD2174" s="141"/>
      <c r="AE2174" s="141"/>
    </row>
    <row r="2175" spans="28:31" x14ac:dyDescent="0.2">
      <c r="AB2175" s="141"/>
      <c r="AD2175" s="141"/>
      <c r="AE2175" s="141"/>
    </row>
    <row r="2176" spans="28:31" x14ac:dyDescent="0.2">
      <c r="AB2176" s="141"/>
      <c r="AD2176" s="141"/>
      <c r="AE2176" s="141"/>
    </row>
    <row r="2177" spans="28:31" x14ac:dyDescent="0.2">
      <c r="AB2177" s="141"/>
      <c r="AD2177" s="141"/>
      <c r="AE2177" s="141"/>
    </row>
    <row r="2178" spans="28:31" x14ac:dyDescent="0.2">
      <c r="AB2178" s="141"/>
      <c r="AD2178" s="141"/>
      <c r="AE2178" s="141"/>
    </row>
    <row r="2179" spans="28:31" x14ac:dyDescent="0.2">
      <c r="AB2179" s="141"/>
      <c r="AD2179" s="141"/>
      <c r="AE2179" s="141"/>
    </row>
    <row r="2180" spans="28:31" x14ac:dyDescent="0.2">
      <c r="AB2180" s="141"/>
      <c r="AD2180" s="141"/>
      <c r="AE2180" s="141"/>
    </row>
    <row r="2181" spans="28:31" x14ac:dyDescent="0.2">
      <c r="AB2181" s="141"/>
      <c r="AD2181" s="141"/>
      <c r="AE2181" s="141"/>
    </row>
    <row r="2182" spans="28:31" x14ac:dyDescent="0.2">
      <c r="AB2182" s="141"/>
      <c r="AD2182" s="141"/>
      <c r="AE2182" s="141"/>
    </row>
    <row r="2183" spans="28:31" x14ac:dyDescent="0.2">
      <c r="AB2183" s="141"/>
      <c r="AD2183" s="141"/>
      <c r="AE2183" s="141"/>
    </row>
    <row r="2184" spans="28:31" x14ac:dyDescent="0.2">
      <c r="AB2184" s="141"/>
      <c r="AD2184" s="141"/>
      <c r="AE2184" s="141"/>
    </row>
    <row r="2185" spans="28:31" x14ac:dyDescent="0.2">
      <c r="AB2185" s="141"/>
      <c r="AD2185" s="141"/>
      <c r="AE2185" s="141"/>
    </row>
    <row r="2186" spans="28:31" x14ac:dyDescent="0.2">
      <c r="AB2186" s="141"/>
      <c r="AD2186" s="141"/>
      <c r="AE2186" s="141"/>
    </row>
    <row r="2187" spans="28:31" x14ac:dyDescent="0.2">
      <c r="AB2187" s="141"/>
      <c r="AD2187" s="141"/>
      <c r="AE2187" s="141"/>
    </row>
    <row r="2188" spans="28:31" x14ac:dyDescent="0.2">
      <c r="AB2188" s="141"/>
      <c r="AD2188" s="141"/>
      <c r="AE2188" s="141"/>
    </row>
    <row r="2189" spans="28:31" x14ac:dyDescent="0.2">
      <c r="AB2189" s="141"/>
      <c r="AD2189" s="141"/>
      <c r="AE2189" s="141"/>
    </row>
    <row r="2190" spans="28:31" x14ac:dyDescent="0.2">
      <c r="AB2190" s="141"/>
      <c r="AD2190" s="141"/>
      <c r="AE2190" s="141"/>
    </row>
    <row r="2191" spans="28:31" x14ac:dyDescent="0.2">
      <c r="AB2191" s="141"/>
      <c r="AD2191" s="141"/>
      <c r="AE2191" s="141"/>
    </row>
    <row r="2192" spans="28:31" x14ac:dyDescent="0.2">
      <c r="AB2192" s="141"/>
      <c r="AD2192" s="141"/>
      <c r="AE2192" s="141"/>
    </row>
    <row r="2193" spans="28:31" x14ac:dyDescent="0.2">
      <c r="AB2193" s="141"/>
      <c r="AD2193" s="141"/>
      <c r="AE2193" s="141"/>
    </row>
    <row r="2194" spans="28:31" x14ac:dyDescent="0.2">
      <c r="AB2194" s="141"/>
      <c r="AD2194" s="141"/>
      <c r="AE2194" s="141"/>
    </row>
    <row r="2195" spans="28:31" x14ac:dyDescent="0.2">
      <c r="AB2195" s="141"/>
      <c r="AD2195" s="141"/>
      <c r="AE2195" s="141"/>
    </row>
    <row r="2196" spans="28:31" x14ac:dyDescent="0.2">
      <c r="AB2196" s="141"/>
      <c r="AD2196" s="141"/>
      <c r="AE2196" s="141"/>
    </row>
    <row r="2197" spans="28:31" x14ac:dyDescent="0.2">
      <c r="AB2197" s="141"/>
      <c r="AD2197" s="141"/>
      <c r="AE2197" s="141"/>
    </row>
    <row r="2198" spans="28:31" x14ac:dyDescent="0.2">
      <c r="AB2198" s="141"/>
      <c r="AD2198" s="141"/>
      <c r="AE2198" s="141"/>
    </row>
    <row r="2199" spans="28:31" x14ac:dyDescent="0.2">
      <c r="AB2199" s="141"/>
      <c r="AD2199" s="141"/>
      <c r="AE2199" s="141"/>
    </row>
    <row r="2200" spans="28:31" x14ac:dyDescent="0.2">
      <c r="AB2200" s="141"/>
      <c r="AD2200" s="141"/>
      <c r="AE2200" s="141"/>
    </row>
    <row r="2201" spans="28:31" x14ac:dyDescent="0.2">
      <c r="AB2201" s="141"/>
      <c r="AD2201" s="141"/>
      <c r="AE2201" s="141"/>
    </row>
    <row r="2202" spans="28:31" x14ac:dyDescent="0.2">
      <c r="AB2202" s="141"/>
      <c r="AD2202" s="141"/>
      <c r="AE2202" s="141"/>
    </row>
    <row r="2203" spans="28:31" x14ac:dyDescent="0.2">
      <c r="AB2203" s="141"/>
      <c r="AD2203" s="141"/>
      <c r="AE2203" s="141"/>
    </row>
    <row r="2204" spans="28:31" x14ac:dyDescent="0.2">
      <c r="AB2204" s="141"/>
      <c r="AD2204" s="141"/>
      <c r="AE2204" s="141"/>
    </row>
    <row r="2205" spans="28:31" x14ac:dyDescent="0.2">
      <c r="AB2205" s="141"/>
      <c r="AD2205" s="141"/>
      <c r="AE2205" s="141"/>
    </row>
    <row r="2206" spans="28:31" x14ac:dyDescent="0.2">
      <c r="AB2206" s="141"/>
      <c r="AD2206" s="141"/>
      <c r="AE2206" s="141"/>
    </row>
    <row r="2207" spans="28:31" x14ac:dyDescent="0.2">
      <c r="AB2207" s="141"/>
      <c r="AD2207" s="141"/>
      <c r="AE2207" s="141"/>
    </row>
    <row r="2208" spans="28:31" x14ac:dyDescent="0.2">
      <c r="AB2208" s="141"/>
      <c r="AD2208" s="141"/>
      <c r="AE2208" s="141"/>
    </row>
    <row r="2209" spans="28:31" x14ac:dyDescent="0.2">
      <c r="AB2209" s="141"/>
      <c r="AD2209" s="141"/>
      <c r="AE2209" s="141"/>
    </row>
    <row r="2210" spans="28:31" x14ac:dyDescent="0.2">
      <c r="AB2210" s="141"/>
      <c r="AD2210" s="141"/>
      <c r="AE2210" s="141"/>
    </row>
    <row r="2211" spans="28:31" x14ac:dyDescent="0.2">
      <c r="AB2211" s="141"/>
      <c r="AD2211" s="141"/>
      <c r="AE2211" s="141"/>
    </row>
    <row r="2212" spans="28:31" x14ac:dyDescent="0.2">
      <c r="AB2212" s="141"/>
      <c r="AD2212" s="141"/>
      <c r="AE2212" s="141"/>
    </row>
    <row r="2213" spans="28:31" x14ac:dyDescent="0.2">
      <c r="AB2213" s="141"/>
      <c r="AD2213" s="141"/>
      <c r="AE2213" s="141"/>
    </row>
    <row r="2214" spans="28:31" x14ac:dyDescent="0.2">
      <c r="AB2214" s="141"/>
      <c r="AD2214" s="141"/>
      <c r="AE2214" s="141"/>
    </row>
    <row r="2215" spans="28:31" x14ac:dyDescent="0.2">
      <c r="AB2215" s="141"/>
      <c r="AD2215" s="141"/>
      <c r="AE2215" s="141"/>
    </row>
    <row r="2216" spans="28:31" x14ac:dyDescent="0.2">
      <c r="AB2216" s="141"/>
      <c r="AD2216" s="141"/>
      <c r="AE2216" s="141"/>
    </row>
    <row r="2217" spans="28:31" x14ac:dyDescent="0.2">
      <c r="AB2217" s="141"/>
      <c r="AD2217" s="141"/>
      <c r="AE2217" s="141"/>
    </row>
    <row r="2218" spans="28:31" x14ac:dyDescent="0.2">
      <c r="AB2218" s="141"/>
      <c r="AD2218" s="141"/>
      <c r="AE2218" s="141"/>
    </row>
    <row r="2219" spans="28:31" x14ac:dyDescent="0.2">
      <c r="AB2219" s="141"/>
      <c r="AD2219" s="141"/>
      <c r="AE2219" s="141"/>
    </row>
    <row r="2220" spans="28:31" x14ac:dyDescent="0.2">
      <c r="AB2220" s="141"/>
      <c r="AD2220" s="141"/>
      <c r="AE2220" s="141"/>
    </row>
    <row r="2221" spans="28:31" x14ac:dyDescent="0.2">
      <c r="AB2221" s="141"/>
      <c r="AD2221" s="141"/>
      <c r="AE2221" s="141"/>
    </row>
    <row r="2222" spans="28:31" x14ac:dyDescent="0.2">
      <c r="AB2222" s="141"/>
      <c r="AD2222" s="141"/>
      <c r="AE2222" s="141"/>
    </row>
    <row r="2223" spans="28:31" x14ac:dyDescent="0.2">
      <c r="AB2223" s="141"/>
      <c r="AD2223" s="141"/>
      <c r="AE2223" s="141"/>
    </row>
    <row r="2224" spans="28:31" x14ac:dyDescent="0.2">
      <c r="AB2224" s="141"/>
      <c r="AD2224" s="141"/>
      <c r="AE2224" s="141"/>
    </row>
    <row r="2225" spans="28:31" x14ac:dyDescent="0.2">
      <c r="AB2225" s="141"/>
      <c r="AD2225" s="141"/>
      <c r="AE2225" s="141"/>
    </row>
    <row r="2226" spans="28:31" x14ac:dyDescent="0.2">
      <c r="AB2226" s="141"/>
      <c r="AD2226" s="141"/>
      <c r="AE2226" s="141"/>
    </row>
    <row r="2227" spans="28:31" x14ac:dyDescent="0.2">
      <c r="AB2227" s="141"/>
      <c r="AD2227" s="141"/>
      <c r="AE2227" s="141"/>
    </row>
    <row r="2228" spans="28:31" x14ac:dyDescent="0.2">
      <c r="AB2228" s="141"/>
      <c r="AD2228" s="141"/>
      <c r="AE2228" s="141"/>
    </row>
    <row r="2229" spans="28:31" x14ac:dyDescent="0.2">
      <c r="AB2229" s="141"/>
      <c r="AD2229" s="141"/>
      <c r="AE2229" s="141"/>
    </row>
    <row r="2230" spans="28:31" x14ac:dyDescent="0.2">
      <c r="AB2230" s="141"/>
      <c r="AD2230" s="141"/>
      <c r="AE2230" s="141"/>
    </row>
    <row r="2231" spans="28:31" x14ac:dyDescent="0.2">
      <c r="AB2231" s="141"/>
      <c r="AD2231" s="141"/>
      <c r="AE2231" s="141"/>
    </row>
    <row r="2232" spans="28:31" x14ac:dyDescent="0.2">
      <c r="AB2232" s="141"/>
      <c r="AD2232" s="141"/>
      <c r="AE2232" s="141"/>
    </row>
    <row r="2233" spans="28:31" x14ac:dyDescent="0.2">
      <c r="AB2233" s="141"/>
      <c r="AD2233" s="141"/>
      <c r="AE2233" s="141"/>
    </row>
    <row r="2234" spans="28:31" x14ac:dyDescent="0.2">
      <c r="AB2234" s="141"/>
      <c r="AD2234" s="141"/>
      <c r="AE2234" s="141"/>
    </row>
    <row r="2235" spans="28:31" x14ac:dyDescent="0.2">
      <c r="AB2235" s="141"/>
      <c r="AD2235" s="141"/>
      <c r="AE2235" s="141"/>
    </row>
    <row r="2236" spans="28:31" x14ac:dyDescent="0.2">
      <c r="AB2236" s="141"/>
      <c r="AD2236" s="141"/>
      <c r="AE2236" s="141"/>
    </row>
    <row r="2237" spans="28:31" x14ac:dyDescent="0.2">
      <c r="AB2237" s="141"/>
      <c r="AD2237" s="141"/>
      <c r="AE2237" s="141"/>
    </row>
    <row r="2238" spans="28:31" x14ac:dyDescent="0.2">
      <c r="AB2238" s="141"/>
      <c r="AD2238" s="141"/>
      <c r="AE2238" s="141"/>
    </row>
    <row r="2239" spans="28:31" x14ac:dyDescent="0.2">
      <c r="AB2239" s="141"/>
      <c r="AD2239" s="141"/>
      <c r="AE2239" s="141"/>
    </row>
    <row r="2240" spans="28:31" x14ac:dyDescent="0.2">
      <c r="AB2240" s="141"/>
      <c r="AD2240" s="141"/>
      <c r="AE2240" s="141"/>
    </row>
    <row r="2241" spans="28:31" x14ac:dyDescent="0.2">
      <c r="AB2241" s="141"/>
      <c r="AD2241" s="141"/>
      <c r="AE2241" s="141"/>
    </row>
    <row r="2242" spans="28:31" x14ac:dyDescent="0.2">
      <c r="AB2242" s="141"/>
      <c r="AD2242" s="141"/>
      <c r="AE2242" s="141"/>
    </row>
    <row r="2243" spans="28:31" x14ac:dyDescent="0.2">
      <c r="AB2243" s="141"/>
      <c r="AD2243" s="141"/>
      <c r="AE2243" s="141"/>
    </row>
    <row r="2244" spans="28:31" x14ac:dyDescent="0.2">
      <c r="AB2244" s="141"/>
      <c r="AD2244" s="141"/>
      <c r="AE2244" s="141"/>
    </row>
    <row r="2245" spans="28:31" x14ac:dyDescent="0.2">
      <c r="AB2245" s="141"/>
      <c r="AD2245" s="141"/>
      <c r="AE2245" s="141"/>
    </row>
    <row r="2246" spans="28:31" x14ac:dyDescent="0.2">
      <c r="AB2246" s="141"/>
      <c r="AD2246" s="141"/>
      <c r="AE2246" s="141"/>
    </row>
    <row r="2247" spans="28:31" x14ac:dyDescent="0.2">
      <c r="AB2247" s="141"/>
      <c r="AD2247" s="141"/>
      <c r="AE2247" s="141"/>
    </row>
    <row r="2248" spans="28:31" x14ac:dyDescent="0.2">
      <c r="AB2248" s="141"/>
      <c r="AD2248" s="141"/>
      <c r="AE2248" s="141"/>
    </row>
    <row r="2249" spans="28:31" x14ac:dyDescent="0.2">
      <c r="AB2249" s="141"/>
      <c r="AD2249" s="141"/>
      <c r="AE2249" s="141"/>
    </row>
    <row r="2250" spans="28:31" x14ac:dyDescent="0.2">
      <c r="AB2250" s="141"/>
      <c r="AD2250" s="141"/>
      <c r="AE2250" s="141"/>
    </row>
    <row r="2251" spans="28:31" x14ac:dyDescent="0.2">
      <c r="AB2251" s="141"/>
      <c r="AD2251" s="141"/>
      <c r="AE2251" s="141"/>
    </row>
    <row r="2252" spans="28:31" x14ac:dyDescent="0.2">
      <c r="AB2252" s="141"/>
      <c r="AD2252" s="141"/>
      <c r="AE2252" s="141"/>
    </row>
    <row r="2253" spans="28:31" x14ac:dyDescent="0.2">
      <c r="AB2253" s="141"/>
      <c r="AD2253" s="141"/>
      <c r="AE2253" s="141"/>
    </row>
    <row r="2254" spans="28:31" x14ac:dyDescent="0.2">
      <c r="AB2254" s="141"/>
      <c r="AD2254" s="141"/>
      <c r="AE2254" s="141"/>
    </row>
    <row r="2255" spans="28:31" x14ac:dyDescent="0.2">
      <c r="AB2255" s="141"/>
      <c r="AD2255" s="141"/>
      <c r="AE2255" s="141"/>
    </row>
    <row r="2256" spans="28:31" x14ac:dyDescent="0.2">
      <c r="AB2256" s="141"/>
      <c r="AD2256" s="141"/>
      <c r="AE2256" s="141"/>
    </row>
    <row r="2257" spans="28:31" x14ac:dyDescent="0.2">
      <c r="AB2257" s="141"/>
      <c r="AD2257" s="141"/>
      <c r="AE2257" s="141"/>
    </row>
    <row r="2258" spans="28:31" x14ac:dyDescent="0.2">
      <c r="AB2258" s="141"/>
      <c r="AD2258" s="141"/>
      <c r="AE2258" s="141"/>
    </row>
    <row r="2259" spans="28:31" x14ac:dyDescent="0.2">
      <c r="AB2259" s="141"/>
      <c r="AD2259" s="141"/>
      <c r="AE2259" s="141"/>
    </row>
    <row r="2260" spans="28:31" x14ac:dyDescent="0.2">
      <c r="AB2260" s="141"/>
      <c r="AD2260" s="141"/>
      <c r="AE2260" s="141"/>
    </row>
    <row r="2261" spans="28:31" x14ac:dyDescent="0.2">
      <c r="AB2261" s="141"/>
      <c r="AD2261" s="141"/>
      <c r="AE2261" s="141"/>
    </row>
    <row r="2262" spans="28:31" x14ac:dyDescent="0.2">
      <c r="AB2262" s="141"/>
      <c r="AD2262" s="141"/>
      <c r="AE2262" s="141"/>
    </row>
    <row r="2263" spans="28:31" x14ac:dyDescent="0.2">
      <c r="AB2263" s="141"/>
      <c r="AD2263" s="141"/>
      <c r="AE2263" s="141"/>
    </row>
    <row r="2264" spans="28:31" x14ac:dyDescent="0.2">
      <c r="AB2264" s="141"/>
      <c r="AD2264" s="141"/>
      <c r="AE2264" s="141"/>
    </row>
    <row r="2265" spans="28:31" x14ac:dyDescent="0.2">
      <c r="AB2265" s="141"/>
      <c r="AD2265" s="141"/>
      <c r="AE2265" s="141"/>
    </row>
    <row r="2266" spans="28:31" x14ac:dyDescent="0.2">
      <c r="AB2266" s="141"/>
      <c r="AD2266" s="141"/>
      <c r="AE2266" s="141"/>
    </row>
    <row r="2267" spans="28:31" x14ac:dyDescent="0.2">
      <c r="AB2267" s="141"/>
      <c r="AD2267" s="141"/>
      <c r="AE2267" s="141"/>
    </row>
    <row r="2268" spans="28:31" x14ac:dyDescent="0.2">
      <c r="AB2268" s="141"/>
      <c r="AD2268" s="141"/>
      <c r="AE2268" s="141"/>
    </row>
    <row r="2269" spans="28:31" x14ac:dyDescent="0.2">
      <c r="AB2269" s="141"/>
      <c r="AD2269" s="141"/>
      <c r="AE2269" s="141"/>
    </row>
    <row r="2270" spans="28:31" x14ac:dyDescent="0.2">
      <c r="AB2270" s="141"/>
      <c r="AD2270" s="141"/>
      <c r="AE2270" s="141"/>
    </row>
    <row r="2271" spans="28:31" x14ac:dyDescent="0.2">
      <c r="AB2271" s="141"/>
      <c r="AD2271" s="141"/>
      <c r="AE2271" s="141"/>
    </row>
    <row r="2272" spans="28:31" x14ac:dyDescent="0.2">
      <c r="AB2272" s="141"/>
      <c r="AD2272" s="141"/>
      <c r="AE2272" s="141"/>
    </row>
    <row r="2273" spans="28:31" x14ac:dyDescent="0.2">
      <c r="AB2273" s="141"/>
      <c r="AD2273" s="141"/>
      <c r="AE2273" s="141"/>
    </row>
    <row r="2274" spans="28:31" x14ac:dyDescent="0.2">
      <c r="AB2274" s="141"/>
      <c r="AD2274" s="141"/>
      <c r="AE2274" s="141"/>
    </row>
    <row r="2275" spans="28:31" x14ac:dyDescent="0.2">
      <c r="AB2275" s="141"/>
      <c r="AD2275" s="141"/>
      <c r="AE2275" s="141"/>
    </row>
    <row r="2276" spans="28:31" x14ac:dyDescent="0.2">
      <c r="AB2276" s="141"/>
      <c r="AD2276" s="141"/>
      <c r="AE2276" s="141"/>
    </row>
    <row r="2277" spans="28:31" x14ac:dyDescent="0.2">
      <c r="AB2277" s="141"/>
      <c r="AD2277" s="141"/>
      <c r="AE2277" s="141"/>
    </row>
    <row r="2278" spans="28:31" x14ac:dyDescent="0.2">
      <c r="AB2278" s="141"/>
      <c r="AD2278" s="141"/>
      <c r="AE2278" s="141"/>
    </row>
    <row r="2279" spans="28:31" x14ac:dyDescent="0.2">
      <c r="AB2279" s="141"/>
      <c r="AD2279" s="141"/>
      <c r="AE2279" s="141"/>
    </row>
    <row r="2280" spans="28:31" x14ac:dyDescent="0.2">
      <c r="AB2280" s="141"/>
      <c r="AD2280" s="141"/>
      <c r="AE2280" s="141"/>
    </row>
    <row r="2281" spans="28:31" x14ac:dyDescent="0.2">
      <c r="AB2281" s="141"/>
      <c r="AD2281" s="141"/>
      <c r="AE2281" s="141"/>
    </row>
    <row r="2282" spans="28:31" x14ac:dyDescent="0.2">
      <c r="AB2282" s="141"/>
      <c r="AD2282" s="141"/>
      <c r="AE2282" s="141"/>
    </row>
    <row r="2283" spans="28:31" x14ac:dyDescent="0.2">
      <c r="AB2283" s="141"/>
      <c r="AD2283" s="141"/>
      <c r="AE2283" s="141"/>
    </row>
    <row r="2284" spans="28:31" x14ac:dyDescent="0.2">
      <c r="AB2284" s="141"/>
      <c r="AD2284" s="141"/>
      <c r="AE2284" s="141"/>
    </row>
    <row r="2285" spans="28:31" x14ac:dyDescent="0.2">
      <c r="AB2285" s="141"/>
      <c r="AD2285" s="141"/>
      <c r="AE2285" s="141"/>
    </row>
    <row r="2286" spans="28:31" x14ac:dyDescent="0.2">
      <c r="AB2286" s="141"/>
      <c r="AD2286" s="141"/>
      <c r="AE2286" s="141"/>
    </row>
    <row r="2287" spans="28:31" x14ac:dyDescent="0.2">
      <c r="AB2287" s="141"/>
      <c r="AD2287" s="141"/>
      <c r="AE2287" s="141"/>
    </row>
    <row r="2288" spans="28:31" x14ac:dyDescent="0.2">
      <c r="AB2288" s="141"/>
      <c r="AD2288" s="141"/>
      <c r="AE2288" s="141"/>
    </row>
    <row r="2289" spans="28:31" x14ac:dyDescent="0.2">
      <c r="AB2289" s="141"/>
      <c r="AD2289" s="141"/>
      <c r="AE2289" s="141"/>
    </row>
    <row r="2290" spans="28:31" x14ac:dyDescent="0.2">
      <c r="AB2290" s="141"/>
      <c r="AD2290" s="141"/>
      <c r="AE2290" s="141"/>
    </row>
    <row r="2291" spans="28:31" x14ac:dyDescent="0.2">
      <c r="AB2291" s="141"/>
      <c r="AD2291" s="141"/>
      <c r="AE2291" s="141"/>
    </row>
    <row r="2292" spans="28:31" x14ac:dyDescent="0.2">
      <c r="AB2292" s="141"/>
      <c r="AD2292" s="141"/>
      <c r="AE2292" s="141"/>
    </row>
    <row r="2293" spans="28:31" x14ac:dyDescent="0.2">
      <c r="AB2293" s="141"/>
      <c r="AD2293" s="141"/>
      <c r="AE2293" s="141"/>
    </row>
    <row r="2294" spans="28:31" x14ac:dyDescent="0.2">
      <c r="AB2294" s="141"/>
      <c r="AD2294" s="141"/>
      <c r="AE2294" s="141"/>
    </row>
    <row r="2295" spans="28:31" x14ac:dyDescent="0.2">
      <c r="AB2295" s="141"/>
      <c r="AD2295" s="141"/>
      <c r="AE2295" s="141"/>
    </row>
    <row r="2296" spans="28:31" x14ac:dyDescent="0.2">
      <c r="AB2296" s="141"/>
      <c r="AD2296" s="141"/>
      <c r="AE2296" s="141"/>
    </row>
    <row r="2297" spans="28:31" x14ac:dyDescent="0.2">
      <c r="AB2297" s="141"/>
      <c r="AD2297" s="141"/>
      <c r="AE2297" s="141"/>
    </row>
    <row r="2298" spans="28:31" x14ac:dyDescent="0.2">
      <c r="AB2298" s="141"/>
      <c r="AD2298" s="141"/>
      <c r="AE2298" s="141"/>
    </row>
    <row r="2299" spans="28:31" x14ac:dyDescent="0.2">
      <c r="AB2299" s="141"/>
      <c r="AD2299" s="141"/>
      <c r="AE2299" s="141"/>
    </row>
    <row r="2300" spans="28:31" x14ac:dyDescent="0.2">
      <c r="AB2300" s="141"/>
      <c r="AD2300" s="141"/>
      <c r="AE2300" s="141"/>
    </row>
    <row r="2301" spans="28:31" x14ac:dyDescent="0.2">
      <c r="AB2301" s="141"/>
      <c r="AD2301" s="141"/>
      <c r="AE2301" s="141"/>
    </row>
    <row r="2302" spans="28:31" x14ac:dyDescent="0.2">
      <c r="AB2302" s="141"/>
      <c r="AD2302" s="141"/>
      <c r="AE2302" s="141"/>
    </row>
    <row r="2303" spans="28:31" x14ac:dyDescent="0.2">
      <c r="AB2303" s="141"/>
      <c r="AD2303" s="141"/>
      <c r="AE2303" s="141"/>
    </row>
    <row r="2304" spans="28:31" x14ac:dyDescent="0.2">
      <c r="AB2304" s="141"/>
      <c r="AD2304" s="141"/>
      <c r="AE2304" s="141"/>
    </row>
    <row r="2305" spans="28:31" x14ac:dyDescent="0.2">
      <c r="AB2305" s="141"/>
      <c r="AD2305" s="141"/>
      <c r="AE2305" s="141"/>
    </row>
    <row r="2306" spans="28:31" x14ac:dyDescent="0.2">
      <c r="AB2306" s="141"/>
      <c r="AD2306" s="141"/>
      <c r="AE2306" s="141"/>
    </row>
    <row r="2307" spans="28:31" x14ac:dyDescent="0.2">
      <c r="AB2307" s="141"/>
      <c r="AD2307" s="141"/>
      <c r="AE2307" s="141"/>
    </row>
    <row r="2308" spans="28:31" x14ac:dyDescent="0.2">
      <c r="AB2308" s="141"/>
      <c r="AD2308" s="141"/>
      <c r="AE2308" s="141"/>
    </row>
    <row r="2309" spans="28:31" x14ac:dyDescent="0.2">
      <c r="AB2309" s="141"/>
      <c r="AD2309" s="141"/>
      <c r="AE2309" s="141"/>
    </row>
    <row r="2310" spans="28:31" x14ac:dyDescent="0.2">
      <c r="AB2310" s="141"/>
      <c r="AD2310" s="141"/>
      <c r="AE2310" s="141"/>
    </row>
    <row r="2311" spans="28:31" x14ac:dyDescent="0.2">
      <c r="AB2311" s="141"/>
      <c r="AD2311" s="141"/>
      <c r="AE2311" s="141"/>
    </row>
    <row r="2312" spans="28:31" x14ac:dyDescent="0.2">
      <c r="AB2312" s="141"/>
      <c r="AD2312" s="141"/>
      <c r="AE2312" s="141"/>
    </row>
    <row r="2313" spans="28:31" x14ac:dyDescent="0.2">
      <c r="AB2313" s="141"/>
      <c r="AD2313" s="141"/>
      <c r="AE2313" s="141"/>
    </row>
    <row r="2314" spans="28:31" x14ac:dyDescent="0.2">
      <c r="AB2314" s="141"/>
      <c r="AD2314" s="141"/>
      <c r="AE2314" s="141"/>
    </row>
    <row r="2315" spans="28:31" x14ac:dyDescent="0.2">
      <c r="AB2315" s="141"/>
      <c r="AD2315" s="141"/>
      <c r="AE2315" s="141"/>
    </row>
    <row r="2316" spans="28:31" x14ac:dyDescent="0.2">
      <c r="AB2316" s="141"/>
      <c r="AD2316" s="141"/>
      <c r="AE2316" s="141"/>
    </row>
    <row r="2317" spans="28:31" x14ac:dyDescent="0.2">
      <c r="AB2317" s="141"/>
      <c r="AD2317" s="141"/>
      <c r="AE2317" s="141"/>
    </row>
    <row r="2318" spans="28:31" x14ac:dyDescent="0.2">
      <c r="AB2318" s="141"/>
      <c r="AD2318" s="141"/>
      <c r="AE2318" s="141"/>
    </row>
    <row r="2319" spans="28:31" x14ac:dyDescent="0.2">
      <c r="AB2319" s="141"/>
      <c r="AD2319" s="141"/>
      <c r="AE2319" s="141"/>
    </row>
    <row r="2320" spans="28:31" x14ac:dyDescent="0.2">
      <c r="AB2320" s="141"/>
      <c r="AD2320" s="141"/>
      <c r="AE2320" s="141"/>
    </row>
    <row r="2321" spans="28:31" x14ac:dyDescent="0.2">
      <c r="AB2321" s="141"/>
      <c r="AD2321" s="141"/>
      <c r="AE2321" s="141"/>
    </row>
    <row r="2322" spans="28:31" x14ac:dyDescent="0.2">
      <c r="AB2322" s="141"/>
      <c r="AD2322" s="141"/>
      <c r="AE2322" s="141"/>
    </row>
    <row r="2323" spans="28:31" x14ac:dyDescent="0.2">
      <c r="AB2323" s="141"/>
      <c r="AD2323" s="141"/>
      <c r="AE2323" s="141"/>
    </row>
    <row r="2324" spans="28:31" x14ac:dyDescent="0.2">
      <c r="AB2324" s="141"/>
      <c r="AD2324" s="141"/>
      <c r="AE2324" s="141"/>
    </row>
    <row r="2325" spans="28:31" x14ac:dyDescent="0.2">
      <c r="AB2325" s="141"/>
      <c r="AD2325" s="141"/>
      <c r="AE2325" s="141"/>
    </row>
    <row r="2326" spans="28:31" x14ac:dyDescent="0.2">
      <c r="AB2326" s="141"/>
      <c r="AD2326" s="141"/>
      <c r="AE2326" s="141"/>
    </row>
    <row r="2327" spans="28:31" x14ac:dyDescent="0.2">
      <c r="AB2327" s="141"/>
      <c r="AD2327" s="141"/>
      <c r="AE2327" s="141"/>
    </row>
    <row r="2328" spans="28:31" x14ac:dyDescent="0.2">
      <c r="AB2328" s="141"/>
      <c r="AD2328" s="141"/>
      <c r="AE2328" s="141"/>
    </row>
    <row r="2329" spans="28:31" x14ac:dyDescent="0.2">
      <c r="AB2329" s="141"/>
      <c r="AD2329" s="141"/>
      <c r="AE2329" s="141"/>
    </row>
    <row r="2330" spans="28:31" x14ac:dyDescent="0.2">
      <c r="AB2330" s="141"/>
      <c r="AD2330" s="141"/>
      <c r="AE2330" s="141"/>
    </row>
    <row r="2331" spans="28:31" x14ac:dyDescent="0.2">
      <c r="AB2331" s="141"/>
      <c r="AD2331" s="141"/>
      <c r="AE2331" s="141"/>
    </row>
    <row r="2332" spans="28:31" x14ac:dyDescent="0.2">
      <c r="AB2332" s="141"/>
      <c r="AD2332" s="141"/>
      <c r="AE2332" s="141"/>
    </row>
    <row r="2333" spans="28:31" x14ac:dyDescent="0.2">
      <c r="AB2333" s="141"/>
      <c r="AD2333" s="141"/>
      <c r="AE2333" s="141"/>
    </row>
    <row r="2334" spans="28:31" x14ac:dyDescent="0.2">
      <c r="AB2334" s="141"/>
      <c r="AD2334" s="141"/>
      <c r="AE2334" s="141"/>
    </row>
    <row r="2335" spans="28:31" x14ac:dyDescent="0.2">
      <c r="AB2335" s="141"/>
      <c r="AD2335" s="141"/>
      <c r="AE2335" s="141"/>
    </row>
    <row r="2336" spans="28:31" x14ac:dyDescent="0.2">
      <c r="AB2336" s="141"/>
      <c r="AD2336" s="141"/>
      <c r="AE2336" s="141"/>
    </row>
    <row r="2337" spans="28:31" x14ac:dyDescent="0.2">
      <c r="AB2337" s="141"/>
      <c r="AD2337" s="141"/>
      <c r="AE2337" s="141"/>
    </row>
    <row r="2338" spans="28:31" x14ac:dyDescent="0.2">
      <c r="AB2338" s="141"/>
      <c r="AD2338" s="141"/>
      <c r="AE2338" s="141"/>
    </row>
    <row r="2339" spans="28:31" x14ac:dyDescent="0.2">
      <c r="AB2339" s="141"/>
      <c r="AD2339" s="141"/>
      <c r="AE2339" s="141"/>
    </row>
    <row r="2340" spans="28:31" x14ac:dyDescent="0.2">
      <c r="AB2340" s="141"/>
      <c r="AD2340" s="141"/>
      <c r="AE2340" s="141"/>
    </row>
    <row r="2341" spans="28:31" x14ac:dyDescent="0.2">
      <c r="AB2341" s="141"/>
      <c r="AD2341" s="141"/>
      <c r="AE2341" s="141"/>
    </row>
    <row r="2342" spans="28:31" x14ac:dyDescent="0.2">
      <c r="AB2342" s="141"/>
      <c r="AD2342" s="141"/>
      <c r="AE2342" s="141"/>
    </row>
    <row r="2343" spans="28:31" x14ac:dyDescent="0.2">
      <c r="AB2343" s="141"/>
      <c r="AD2343" s="141"/>
      <c r="AE2343" s="141"/>
    </row>
    <row r="2344" spans="28:31" x14ac:dyDescent="0.2">
      <c r="AB2344" s="141"/>
      <c r="AD2344" s="141"/>
      <c r="AE2344" s="141"/>
    </row>
    <row r="2345" spans="28:31" x14ac:dyDescent="0.2">
      <c r="AB2345" s="141"/>
      <c r="AD2345" s="141"/>
      <c r="AE2345" s="141"/>
    </row>
    <row r="2346" spans="28:31" x14ac:dyDescent="0.2">
      <c r="AB2346" s="141"/>
      <c r="AD2346" s="141"/>
      <c r="AE2346" s="141"/>
    </row>
    <row r="2347" spans="28:31" x14ac:dyDescent="0.2">
      <c r="AB2347" s="141"/>
      <c r="AD2347" s="141"/>
      <c r="AE2347" s="141"/>
    </row>
    <row r="2348" spans="28:31" x14ac:dyDescent="0.2">
      <c r="AB2348" s="141"/>
      <c r="AD2348" s="141"/>
      <c r="AE2348" s="141"/>
    </row>
    <row r="2349" spans="28:31" x14ac:dyDescent="0.2">
      <c r="AB2349" s="141"/>
      <c r="AD2349" s="141"/>
      <c r="AE2349" s="141"/>
    </row>
    <row r="2350" spans="28:31" x14ac:dyDescent="0.2">
      <c r="AB2350" s="141"/>
      <c r="AD2350" s="141"/>
      <c r="AE2350" s="141"/>
    </row>
    <row r="2351" spans="28:31" x14ac:dyDescent="0.2">
      <c r="AB2351" s="141"/>
      <c r="AD2351" s="141"/>
      <c r="AE2351" s="141"/>
    </row>
    <row r="2352" spans="28:31" x14ac:dyDescent="0.2">
      <c r="AB2352" s="141"/>
      <c r="AD2352" s="141"/>
      <c r="AE2352" s="141"/>
    </row>
    <row r="2353" spans="28:31" x14ac:dyDescent="0.2">
      <c r="AB2353" s="141"/>
      <c r="AD2353" s="141"/>
      <c r="AE2353" s="141"/>
    </row>
    <row r="2354" spans="28:31" x14ac:dyDescent="0.2">
      <c r="AB2354" s="141"/>
      <c r="AD2354" s="141"/>
      <c r="AE2354" s="141"/>
    </row>
    <row r="2355" spans="28:31" x14ac:dyDescent="0.2">
      <c r="AB2355" s="141"/>
      <c r="AD2355" s="141"/>
      <c r="AE2355" s="141"/>
    </row>
    <row r="2356" spans="28:31" x14ac:dyDescent="0.2">
      <c r="AB2356" s="141"/>
      <c r="AD2356" s="141"/>
      <c r="AE2356" s="141"/>
    </row>
    <row r="2357" spans="28:31" x14ac:dyDescent="0.2">
      <c r="AB2357" s="141"/>
      <c r="AD2357" s="141"/>
      <c r="AE2357" s="141"/>
    </row>
    <row r="2358" spans="28:31" x14ac:dyDescent="0.2">
      <c r="AB2358" s="141"/>
      <c r="AD2358" s="141"/>
      <c r="AE2358" s="141"/>
    </row>
    <row r="2359" spans="28:31" x14ac:dyDescent="0.2">
      <c r="AB2359" s="141"/>
      <c r="AD2359" s="141"/>
      <c r="AE2359" s="141"/>
    </row>
    <row r="2360" spans="28:31" x14ac:dyDescent="0.2">
      <c r="AB2360" s="141"/>
      <c r="AD2360" s="141"/>
      <c r="AE2360" s="141"/>
    </row>
    <row r="2361" spans="28:31" x14ac:dyDescent="0.2">
      <c r="AB2361" s="141"/>
      <c r="AD2361" s="141"/>
      <c r="AE2361" s="141"/>
    </row>
    <row r="2362" spans="28:31" x14ac:dyDescent="0.2">
      <c r="AB2362" s="141"/>
      <c r="AD2362" s="141"/>
      <c r="AE2362" s="141"/>
    </row>
    <row r="2363" spans="28:31" x14ac:dyDescent="0.2">
      <c r="AB2363" s="141"/>
      <c r="AD2363" s="141"/>
      <c r="AE2363" s="141"/>
    </row>
    <row r="2364" spans="28:31" x14ac:dyDescent="0.2">
      <c r="AB2364" s="141"/>
      <c r="AD2364" s="141"/>
      <c r="AE2364" s="141"/>
    </row>
    <row r="2365" spans="28:31" x14ac:dyDescent="0.2">
      <c r="AB2365" s="141"/>
      <c r="AD2365" s="141"/>
      <c r="AE2365" s="141"/>
    </row>
    <row r="2366" spans="28:31" x14ac:dyDescent="0.2">
      <c r="AB2366" s="141"/>
      <c r="AD2366" s="141"/>
      <c r="AE2366" s="141"/>
    </row>
    <row r="2367" spans="28:31" x14ac:dyDescent="0.2">
      <c r="AB2367" s="141"/>
      <c r="AD2367" s="141"/>
      <c r="AE2367" s="141"/>
    </row>
    <row r="2368" spans="28:31" x14ac:dyDescent="0.2">
      <c r="AB2368" s="141"/>
      <c r="AD2368" s="141"/>
      <c r="AE2368" s="141"/>
    </row>
    <row r="2369" spans="28:31" x14ac:dyDescent="0.2">
      <c r="AB2369" s="141"/>
      <c r="AD2369" s="141"/>
      <c r="AE2369" s="141"/>
    </row>
    <row r="2370" spans="28:31" x14ac:dyDescent="0.2">
      <c r="AB2370" s="141"/>
      <c r="AD2370" s="141"/>
      <c r="AE2370" s="141"/>
    </row>
    <row r="2371" spans="28:31" x14ac:dyDescent="0.2">
      <c r="AB2371" s="141"/>
      <c r="AD2371" s="141"/>
      <c r="AE2371" s="141"/>
    </row>
    <row r="2372" spans="28:31" x14ac:dyDescent="0.2">
      <c r="AB2372" s="141"/>
      <c r="AD2372" s="141"/>
      <c r="AE2372" s="141"/>
    </row>
    <row r="2373" spans="28:31" x14ac:dyDescent="0.2">
      <c r="AB2373" s="141"/>
      <c r="AD2373" s="141"/>
      <c r="AE2373" s="141"/>
    </row>
    <row r="2374" spans="28:31" x14ac:dyDescent="0.2">
      <c r="AB2374" s="141"/>
      <c r="AD2374" s="141"/>
      <c r="AE2374" s="141"/>
    </row>
    <row r="2375" spans="28:31" x14ac:dyDescent="0.2">
      <c r="AB2375" s="141"/>
      <c r="AD2375" s="141"/>
      <c r="AE2375" s="141"/>
    </row>
    <row r="2376" spans="28:31" x14ac:dyDescent="0.2">
      <c r="AB2376" s="141"/>
      <c r="AD2376" s="141"/>
      <c r="AE2376" s="141"/>
    </row>
    <row r="2377" spans="28:31" x14ac:dyDescent="0.2">
      <c r="AB2377" s="141"/>
      <c r="AD2377" s="141"/>
      <c r="AE2377" s="141"/>
    </row>
    <row r="2378" spans="28:31" x14ac:dyDescent="0.2">
      <c r="AB2378" s="141"/>
      <c r="AD2378" s="141"/>
      <c r="AE2378" s="141"/>
    </row>
    <row r="2379" spans="28:31" x14ac:dyDescent="0.2">
      <c r="AB2379" s="141"/>
      <c r="AD2379" s="141"/>
      <c r="AE2379" s="141"/>
    </row>
    <row r="2380" spans="28:31" x14ac:dyDescent="0.2">
      <c r="AB2380" s="141"/>
      <c r="AD2380" s="141"/>
      <c r="AE2380" s="141"/>
    </row>
    <row r="2381" spans="28:31" x14ac:dyDescent="0.2">
      <c r="AB2381" s="141"/>
      <c r="AD2381" s="141"/>
      <c r="AE2381" s="141"/>
    </row>
    <row r="2382" spans="28:31" x14ac:dyDescent="0.2">
      <c r="AB2382" s="141"/>
      <c r="AD2382" s="141"/>
      <c r="AE2382" s="141"/>
    </row>
    <row r="2383" spans="28:31" x14ac:dyDescent="0.2">
      <c r="AB2383" s="141"/>
      <c r="AD2383" s="141"/>
      <c r="AE2383" s="141"/>
    </row>
    <row r="2384" spans="28:31" x14ac:dyDescent="0.2">
      <c r="AB2384" s="141"/>
      <c r="AD2384" s="141"/>
      <c r="AE2384" s="141"/>
    </row>
    <row r="2385" spans="28:31" x14ac:dyDescent="0.2">
      <c r="AB2385" s="141"/>
      <c r="AD2385" s="141"/>
      <c r="AE2385" s="141"/>
    </row>
    <row r="2386" spans="28:31" x14ac:dyDescent="0.2">
      <c r="AB2386" s="141"/>
      <c r="AD2386" s="141"/>
      <c r="AE2386" s="141"/>
    </row>
    <row r="2387" spans="28:31" x14ac:dyDescent="0.2">
      <c r="AB2387" s="141"/>
      <c r="AD2387" s="141"/>
      <c r="AE2387" s="141"/>
    </row>
    <row r="2388" spans="28:31" x14ac:dyDescent="0.2">
      <c r="AB2388" s="141"/>
      <c r="AD2388" s="141"/>
      <c r="AE2388" s="141"/>
    </row>
    <row r="2389" spans="28:31" x14ac:dyDescent="0.2">
      <c r="AB2389" s="141"/>
      <c r="AD2389" s="141"/>
      <c r="AE2389" s="141"/>
    </row>
    <row r="2390" spans="28:31" x14ac:dyDescent="0.2">
      <c r="AB2390" s="141"/>
      <c r="AD2390" s="141"/>
      <c r="AE2390" s="141"/>
    </row>
    <row r="2391" spans="28:31" x14ac:dyDescent="0.2">
      <c r="AB2391" s="141"/>
      <c r="AD2391" s="141"/>
      <c r="AE2391" s="141"/>
    </row>
    <row r="2392" spans="28:31" x14ac:dyDescent="0.2">
      <c r="AB2392" s="141"/>
      <c r="AD2392" s="141"/>
      <c r="AE2392" s="141"/>
    </row>
    <row r="2393" spans="28:31" x14ac:dyDescent="0.2">
      <c r="AB2393" s="141"/>
      <c r="AD2393" s="141"/>
      <c r="AE2393" s="141"/>
    </row>
    <row r="2394" spans="28:31" x14ac:dyDescent="0.2">
      <c r="AB2394" s="141"/>
      <c r="AD2394" s="141"/>
      <c r="AE2394" s="141"/>
    </row>
    <row r="2395" spans="28:31" x14ac:dyDescent="0.2">
      <c r="AB2395" s="141"/>
      <c r="AD2395" s="141"/>
      <c r="AE2395" s="141"/>
    </row>
    <row r="2396" spans="28:31" x14ac:dyDescent="0.2">
      <c r="AB2396" s="141"/>
      <c r="AD2396" s="141"/>
      <c r="AE2396" s="141"/>
    </row>
    <row r="2397" spans="28:31" x14ac:dyDescent="0.2">
      <c r="AB2397" s="141"/>
      <c r="AD2397" s="141"/>
      <c r="AE2397" s="141"/>
    </row>
    <row r="2398" spans="28:31" x14ac:dyDescent="0.2">
      <c r="AB2398" s="141"/>
      <c r="AD2398" s="141"/>
      <c r="AE2398" s="141"/>
    </row>
    <row r="2399" spans="28:31" x14ac:dyDescent="0.2">
      <c r="AB2399" s="141"/>
      <c r="AD2399" s="141"/>
      <c r="AE2399" s="141"/>
    </row>
    <row r="2400" spans="28:31" x14ac:dyDescent="0.2">
      <c r="AB2400" s="141"/>
      <c r="AD2400" s="141"/>
      <c r="AE2400" s="141"/>
    </row>
    <row r="2401" spans="28:31" x14ac:dyDescent="0.2">
      <c r="AB2401" s="141"/>
      <c r="AD2401" s="141"/>
      <c r="AE2401" s="141"/>
    </row>
    <row r="2402" spans="28:31" x14ac:dyDescent="0.2">
      <c r="AB2402" s="141"/>
      <c r="AD2402" s="141"/>
      <c r="AE2402" s="141"/>
    </row>
    <row r="2403" spans="28:31" x14ac:dyDescent="0.2">
      <c r="AB2403" s="141"/>
      <c r="AD2403" s="141"/>
      <c r="AE2403" s="141"/>
    </row>
    <row r="2404" spans="28:31" x14ac:dyDescent="0.2">
      <c r="AB2404" s="141"/>
      <c r="AD2404" s="141"/>
      <c r="AE2404" s="141"/>
    </row>
    <row r="2405" spans="28:31" x14ac:dyDescent="0.2">
      <c r="AB2405" s="141"/>
      <c r="AD2405" s="141"/>
      <c r="AE2405" s="141"/>
    </row>
    <row r="2406" spans="28:31" x14ac:dyDescent="0.2">
      <c r="AB2406" s="141"/>
      <c r="AD2406" s="141"/>
      <c r="AE2406" s="141"/>
    </row>
    <row r="2407" spans="28:31" x14ac:dyDescent="0.2">
      <c r="AB2407" s="141"/>
      <c r="AD2407" s="141"/>
      <c r="AE2407" s="141"/>
    </row>
    <row r="2408" spans="28:31" x14ac:dyDescent="0.2">
      <c r="AB2408" s="141"/>
      <c r="AD2408" s="141"/>
      <c r="AE2408" s="141"/>
    </row>
    <row r="2409" spans="28:31" x14ac:dyDescent="0.2">
      <c r="AB2409" s="141"/>
      <c r="AD2409" s="141"/>
      <c r="AE2409" s="141"/>
    </row>
    <row r="2410" spans="28:31" x14ac:dyDescent="0.2">
      <c r="AB2410" s="141"/>
      <c r="AD2410" s="141"/>
      <c r="AE2410" s="141"/>
    </row>
    <row r="2411" spans="28:31" x14ac:dyDescent="0.2">
      <c r="AB2411" s="141"/>
      <c r="AD2411" s="141"/>
      <c r="AE2411" s="141"/>
    </row>
    <row r="2412" spans="28:31" x14ac:dyDescent="0.2">
      <c r="AB2412" s="141"/>
      <c r="AD2412" s="141"/>
      <c r="AE2412" s="141"/>
    </row>
    <row r="2413" spans="28:31" x14ac:dyDescent="0.2">
      <c r="AB2413" s="141"/>
      <c r="AD2413" s="141"/>
      <c r="AE2413" s="141"/>
    </row>
    <row r="2414" spans="28:31" x14ac:dyDescent="0.2">
      <c r="AB2414" s="141"/>
      <c r="AD2414" s="141"/>
      <c r="AE2414" s="141"/>
    </row>
    <row r="2415" spans="28:31" x14ac:dyDescent="0.2">
      <c r="AB2415" s="141"/>
      <c r="AD2415" s="141"/>
      <c r="AE2415" s="141"/>
    </row>
    <row r="2416" spans="28:31" x14ac:dyDescent="0.2">
      <c r="AB2416" s="141"/>
      <c r="AD2416" s="141"/>
      <c r="AE2416" s="141"/>
    </row>
    <row r="2417" spans="28:31" x14ac:dyDescent="0.2">
      <c r="AB2417" s="141"/>
      <c r="AD2417" s="141"/>
      <c r="AE2417" s="141"/>
    </row>
    <row r="2418" spans="28:31" x14ac:dyDescent="0.2">
      <c r="AB2418" s="141"/>
      <c r="AD2418" s="141"/>
      <c r="AE2418" s="141"/>
    </row>
    <row r="2419" spans="28:31" x14ac:dyDescent="0.2">
      <c r="AB2419" s="141"/>
      <c r="AD2419" s="141"/>
      <c r="AE2419" s="141"/>
    </row>
    <row r="2420" spans="28:31" x14ac:dyDescent="0.2">
      <c r="AB2420" s="141"/>
      <c r="AD2420" s="141"/>
      <c r="AE2420" s="141"/>
    </row>
    <row r="2421" spans="28:31" x14ac:dyDescent="0.2">
      <c r="AB2421" s="141"/>
      <c r="AD2421" s="141"/>
      <c r="AE2421" s="141"/>
    </row>
    <row r="2422" spans="28:31" x14ac:dyDescent="0.2">
      <c r="AB2422" s="141"/>
      <c r="AD2422" s="141"/>
      <c r="AE2422" s="141"/>
    </row>
    <row r="2423" spans="28:31" x14ac:dyDescent="0.2">
      <c r="AB2423" s="141"/>
      <c r="AD2423" s="141"/>
      <c r="AE2423" s="141"/>
    </row>
    <row r="2424" spans="28:31" x14ac:dyDescent="0.2">
      <c r="AB2424" s="141"/>
      <c r="AD2424" s="141"/>
      <c r="AE2424" s="141"/>
    </row>
    <row r="2425" spans="28:31" x14ac:dyDescent="0.2">
      <c r="AB2425" s="141"/>
      <c r="AD2425" s="141"/>
      <c r="AE2425" s="141"/>
    </row>
    <row r="2426" spans="28:31" x14ac:dyDescent="0.2">
      <c r="AB2426" s="141"/>
      <c r="AD2426" s="141"/>
      <c r="AE2426" s="141"/>
    </row>
    <row r="2427" spans="28:31" x14ac:dyDescent="0.2">
      <c r="AB2427" s="141"/>
      <c r="AD2427" s="141"/>
      <c r="AE2427" s="141"/>
    </row>
    <row r="2428" spans="28:31" x14ac:dyDescent="0.2">
      <c r="AB2428" s="141"/>
      <c r="AD2428" s="141"/>
      <c r="AE2428" s="141"/>
    </row>
    <row r="2429" spans="28:31" x14ac:dyDescent="0.2">
      <c r="AB2429" s="141"/>
      <c r="AD2429" s="141"/>
      <c r="AE2429" s="141"/>
    </row>
    <row r="2430" spans="28:31" x14ac:dyDescent="0.2">
      <c r="AB2430" s="141"/>
      <c r="AD2430" s="141"/>
      <c r="AE2430" s="141"/>
    </row>
    <row r="2431" spans="28:31" x14ac:dyDescent="0.2">
      <c r="AB2431" s="141"/>
      <c r="AD2431" s="141"/>
      <c r="AE2431" s="141"/>
    </row>
    <row r="2432" spans="28:31" x14ac:dyDescent="0.2">
      <c r="AB2432" s="141"/>
      <c r="AD2432" s="141"/>
      <c r="AE2432" s="141"/>
    </row>
    <row r="2433" spans="28:31" x14ac:dyDescent="0.2">
      <c r="AB2433" s="141"/>
      <c r="AD2433" s="141"/>
      <c r="AE2433" s="141"/>
    </row>
    <row r="2434" spans="28:31" x14ac:dyDescent="0.2">
      <c r="AB2434" s="141"/>
      <c r="AD2434" s="141"/>
      <c r="AE2434" s="141"/>
    </row>
    <row r="2435" spans="28:31" x14ac:dyDescent="0.2">
      <c r="AB2435" s="141"/>
      <c r="AD2435" s="141"/>
      <c r="AE2435" s="141"/>
    </row>
    <row r="2436" spans="28:31" x14ac:dyDescent="0.2">
      <c r="AB2436" s="141"/>
      <c r="AD2436" s="141"/>
      <c r="AE2436" s="141"/>
    </row>
    <row r="2437" spans="28:31" x14ac:dyDescent="0.2">
      <c r="AB2437" s="141"/>
      <c r="AD2437" s="141"/>
      <c r="AE2437" s="141"/>
    </row>
    <row r="2438" spans="28:31" x14ac:dyDescent="0.2">
      <c r="AB2438" s="141"/>
      <c r="AD2438" s="141"/>
      <c r="AE2438" s="141"/>
    </row>
    <row r="2439" spans="28:31" x14ac:dyDescent="0.2">
      <c r="AB2439" s="141"/>
      <c r="AD2439" s="141"/>
      <c r="AE2439" s="141"/>
    </row>
    <row r="2440" spans="28:31" x14ac:dyDescent="0.2">
      <c r="AB2440" s="141"/>
      <c r="AD2440" s="141"/>
      <c r="AE2440" s="141"/>
    </row>
    <row r="2441" spans="28:31" x14ac:dyDescent="0.2">
      <c r="AB2441" s="141"/>
      <c r="AD2441" s="141"/>
      <c r="AE2441" s="141"/>
    </row>
    <row r="2442" spans="28:31" x14ac:dyDescent="0.2">
      <c r="AB2442" s="141"/>
      <c r="AD2442" s="141"/>
      <c r="AE2442" s="141"/>
    </row>
    <row r="2443" spans="28:31" x14ac:dyDescent="0.2">
      <c r="AB2443" s="141"/>
      <c r="AD2443" s="141"/>
      <c r="AE2443" s="141"/>
    </row>
    <row r="2444" spans="28:31" x14ac:dyDescent="0.2">
      <c r="AB2444" s="141"/>
      <c r="AD2444" s="141"/>
      <c r="AE2444" s="141"/>
    </row>
    <row r="2445" spans="28:31" x14ac:dyDescent="0.2">
      <c r="AB2445" s="141"/>
      <c r="AD2445" s="141"/>
      <c r="AE2445" s="141"/>
    </row>
    <row r="2446" spans="28:31" x14ac:dyDescent="0.2">
      <c r="AB2446" s="141"/>
      <c r="AD2446" s="141"/>
      <c r="AE2446" s="141"/>
    </row>
    <row r="2447" spans="28:31" x14ac:dyDescent="0.2">
      <c r="AB2447" s="141"/>
      <c r="AD2447" s="141"/>
      <c r="AE2447" s="141"/>
    </row>
    <row r="2448" spans="28:31" x14ac:dyDescent="0.2">
      <c r="AB2448" s="141"/>
      <c r="AD2448" s="141"/>
      <c r="AE2448" s="141"/>
    </row>
    <row r="2449" spans="28:31" x14ac:dyDescent="0.2">
      <c r="AB2449" s="141"/>
      <c r="AD2449" s="141"/>
      <c r="AE2449" s="141"/>
    </row>
    <row r="2450" spans="28:31" x14ac:dyDescent="0.2">
      <c r="AB2450" s="141"/>
      <c r="AD2450" s="141"/>
      <c r="AE2450" s="141"/>
    </row>
    <row r="2451" spans="28:31" x14ac:dyDescent="0.2">
      <c r="AB2451" s="141"/>
      <c r="AD2451" s="141"/>
      <c r="AE2451" s="141"/>
    </row>
    <row r="2452" spans="28:31" x14ac:dyDescent="0.2">
      <c r="AB2452" s="141"/>
      <c r="AD2452" s="141"/>
      <c r="AE2452" s="141"/>
    </row>
    <row r="2453" spans="28:31" x14ac:dyDescent="0.2">
      <c r="AB2453" s="141"/>
      <c r="AD2453" s="141"/>
      <c r="AE2453" s="141"/>
    </row>
    <row r="2454" spans="28:31" x14ac:dyDescent="0.2">
      <c r="AB2454" s="141"/>
      <c r="AD2454" s="141"/>
      <c r="AE2454" s="141"/>
    </row>
    <row r="2455" spans="28:31" x14ac:dyDescent="0.2">
      <c r="AB2455" s="141"/>
      <c r="AD2455" s="141"/>
      <c r="AE2455" s="141"/>
    </row>
    <row r="2456" spans="28:31" x14ac:dyDescent="0.2">
      <c r="AB2456" s="141"/>
      <c r="AD2456" s="141"/>
      <c r="AE2456" s="141"/>
    </row>
    <row r="2457" spans="28:31" x14ac:dyDescent="0.2">
      <c r="AB2457" s="141"/>
      <c r="AD2457" s="141"/>
      <c r="AE2457" s="141"/>
    </row>
    <row r="2458" spans="28:31" x14ac:dyDescent="0.2">
      <c r="AB2458" s="141"/>
      <c r="AD2458" s="141"/>
      <c r="AE2458" s="141"/>
    </row>
    <row r="2459" spans="28:31" x14ac:dyDescent="0.2">
      <c r="AB2459" s="141"/>
      <c r="AD2459" s="141"/>
      <c r="AE2459" s="141"/>
    </row>
    <row r="2460" spans="28:31" x14ac:dyDescent="0.2">
      <c r="AB2460" s="141"/>
      <c r="AD2460" s="141"/>
      <c r="AE2460" s="141"/>
    </row>
    <row r="2461" spans="28:31" x14ac:dyDescent="0.2">
      <c r="AB2461" s="141"/>
      <c r="AD2461" s="141"/>
      <c r="AE2461" s="141"/>
    </row>
    <row r="2462" spans="28:31" x14ac:dyDescent="0.2">
      <c r="AB2462" s="141"/>
      <c r="AD2462" s="141"/>
      <c r="AE2462" s="141"/>
    </row>
    <row r="2463" spans="28:31" x14ac:dyDescent="0.2">
      <c r="AB2463" s="141"/>
      <c r="AD2463" s="141"/>
      <c r="AE2463" s="141"/>
    </row>
    <row r="2464" spans="28:31" x14ac:dyDescent="0.2">
      <c r="AB2464" s="141"/>
      <c r="AD2464" s="141"/>
      <c r="AE2464" s="141"/>
    </row>
    <row r="2465" spans="28:31" x14ac:dyDescent="0.2">
      <c r="AB2465" s="141"/>
      <c r="AD2465" s="141"/>
      <c r="AE2465" s="141"/>
    </row>
    <row r="2466" spans="28:31" x14ac:dyDescent="0.2">
      <c r="AB2466" s="141"/>
      <c r="AD2466" s="141"/>
      <c r="AE2466" s="141"/>
    </row>
    <row r="2467" spans="28:31" x14ac:dyDescent="0.2">
      <c r="AB2467" s="141"/>
      <c r="AD2467" s="141"/>
      <c r="AE2467" s="141"/>
    </row>
    <row r="2468" spans="28:31" x14ac:dyDescent="0.2">
      <c r="AB2468" s="141"/>
      <c r="AD2468" s="141"/>
      <c r="AE2468" s="141"/>
    </row>
    <row r="2469" spans="28:31" x14ac:dyDescent="0.2">
      <c r="AB2469" s="141"/>
      <c r="AD2469" s="141"/>
      <c r="AE2469" s="141"/>
    </row>
    <row r="2470" spans="28:31" x14ac:dyDescent="0.2">
      <c r="AB2470" s="141"/>
      <c r="AD2470" s="141"/>
      <c r="AE2470" s="141"/>
    </row>
    <row r="2471" spans="28:31" x14ac:dyDescent="0.2">
      <c r="AB2471" s="141"/>
      <c r="AD2471" s="141"/>
      <c r="AE2471" s="141"/>
    </row>
    <row r="2472" spans="28:31" x14ac:dyDescent="0.2">
      <c r="AB2472" s="141"/>
      <c r="AD2472" s="141"/>
      <c r="AE2472" s="141"/>
    </row>
    <row r="2473" spans="28:31" x14ac:dyDescent="0.2">
      <c r="AB2473" s="141"/>
      <c r="AD2473" s="141"/>
      <c r="AE2473" s="141"/>
    </row>
    <row r="2474" spans="28:31" x14ac:dyDescent="0.2">
      <c r="AB2474" s="141"/>
      <c r="AD2474" s="141"/>
      <c r="AE2474" s="141"/>
    </row>
    <row r="2475" spans="28:31" x14ac:dyDescent="0.2">
      <c r="AB2475" s="141"/>
      <c r="AD2475" s="141"/>
      <c r="AE2475" s="141"/>
    </row>
    <row r="2476" spans="28:31" x14ac:dyDescent="0.2">
      <c r="AB2476" s="141"/>
      <c r="AD2476" s="141"/>
      <c r="AE2476" s="141"/>
    </row>
    <row r="2477" spans="28:31" x14ac:dyDescent="0.2">
      <c r="AB2477" s="141"/>
      <c r="AD2477" s="141"/>
      <c r="AE2477" s="141"/>
    </row>
    <row r="2478" spans="28:31" x14ac:dyDescent="0.2">
      <c r="AB2478" s="141"/>
      <c r="AD2478" s="141"/>
      <c r="AE2478" s="141"/>
    </row>
    <row r="2479" spans="28:31" x14ac:dyDescent="0.2">
      <c r="AB2479" s="141"/>
      <c r="AD2479" s="141"/>
      <c r="AE2479" s="141"/>
    </row>
    <row r="2480" spans="28:31" x14ac:dyDescent="0.2">
      <c r="AB2480" s="141"/>
      <c r="AD2480" s="141"/>
      <c r="AE2480" s="141"/>
    </row>
    <row r="2481" spans="28:31" x14ac:dyDescent="0.2">
      <c r="AB2481" s="141"/>
      <c r="AD2481" s="141"/>
      <c r="AE2481" s="141"/>
    </row>
    <row r="2482" spans="28:31" x14ac:dyDescent="0.2">
      <c r="AB2482" s="141"/>
      <c r="AD2482" s="141"/>
      <c r="AE2482" s="141"/>
    </row>
    <row r="2483" spans="28:31" x14ac:dyDescent="0.2">
      <c r="AB2483" s="141"/>
      <c r="AD2483" s="141"/>
      <c r="AE2483" s="141"/>
    </row>
    <row r="2484" spans="28:31" x14ac:dyDescent="0.2">
      <c r="AB2484" s="141"/>
      <c r="AD2484" s="141"/>
      <c r="AE2484" s="141"/>
    </row>
    <row r="2485" spans="28:31" x14ac:dyDescent="0.2">
      <c r="AB2485" s="141"/>
      <c r="AD2485" s="141"/>
      <c r="AE2485" s="141"/>
    </row>
    <row r="2486" spans="28:31" x14ac:dyDescent="0.2">
      <c r="AB2486" s="141"/>
      <c r="AD2486" s="141"/>
      <c r="AE2486" s="141"/>
    </row>
    <row r="2487" spans="28:31" x14ac:dyDescent="0.2">
      <c r="AB2487" s="141"/>
      <c r="AD2487" s="141"/>
      <c r="AE2487" s="141"/>
    </row>
    <row r="2488" spans="28:31" x14ac:dyDescent="0.2">
      <c r="AB2488" s="141"/>
      <c r="AD2488" s="141"/>
      <c r="AE2488" s="141"/>
    </row>
    <row r="2489" spans="28:31" x14ac:dyDescent="0.2">
      <c r="AB2489" s="141"/>
      <c r="AD2489" s="141"/>
      <c r="AE2489" s="141"/>
    </row>
    <row r="2490" spans="28:31" x14ac:dyDescent="0.2">
      <c r="AB2490" s="141"/>
      <c r="AD2490" s="141"/>
      <c r="AE2490" s="141"/>
    </row>
    <row r="2491" spans="28:31" x14ac:dyDescent="0.2">
      <c r="AB2491" s="141"/>
      <c r="AD2491" s="141"/>
      <c r="AE2491" s="141"/>
    </row>
    <row r="2492" spans="28:31" x14ac:dyDescent="0.2">
      <c r="AB2492" s="141"/>
      <c r="AD2492" s="141"/>
      <c r="AE2492" s="141"/>
    </row>
    <row r="2493" spans="28:31" x14ac:dyDescent="0.2">
      <c r="AB2493" s="141"/>
      <c r="AD2493" s="141"/>
      <c r="AE2493" s="141"/>
    </row>
    <row r="2494" spans="28:31" x14ac:dyDescent="0.2">
      <c r="AB2494" s="141"/>
      <c r="AD2494" s="141"/>
      <c r="AE2494" s="141"/>
    </row>
    <row r="2495" spans="28:31" x14ac:dyDescent="0.2">
      <c r="AB2495" s="141"/>
      <c r="AD2495" s="141"/>
      <c r="AE2495" s="141"/>
    </row>
    <row r="2496" spans="28:31" x14ac:dyDescent="0.2">
      <c r="AB2496" s="141"/>
      <c r="AD2496" s="141"/>
      <c r="AE2496" s="141"/>
    </row>
    <row r="2497" spans="28:31" x14ac:dyDescent="0.2">
      <c r="AB2497" s="141"/>
      <c r="AD2497" s="141"/>
      <c r="AE2497" s="141"/>
    </row>
    <row r="2498" spans="28:31" x14ac:dyDescent="0.2">
      <c r="AB2498" s="141"/>
      <c r="AD2498" s="141"/>
      <c r="AE2498" s="141"/>
    </row>
    <row r="2499" spans="28:31" x14ac:dyDescent="0.2">
      <c r="AB2499" s="141"/>
      <c r="AD2499" s="141"/>
      <c r="AE2499" s="141"/>
    </row>
    <row r="2500" spans="28:31" x14ac:dyDescent="0.2">
      <c r="AB2500" s="141"/>
      <c r="AD2500" s="141"/>
      <c r="AE2500" s="141"/>
    </row>
    <row r="2501" spans="28:31" x14ac:dyDescent="0.2">
      <c r="AB2501" s="141"/>
      <c r="AD2501" s="141"/>
      <c r="AE2501" s="141"/>
    </row>
    <row r="2502" spans="28:31" x14ac:dyDescent="0.2">
      <c r="AB2502" s="141"/>
      <c r="AD2502" s="141"/>
      <c r="AE2502" s="141"/>
    </row>
    <row r="2503" spans="28:31" x14ac:dyDescent="0.2">
      <c r="AB2503" s="141"/>
      <c r="AD2503" s="141"/>
      <c r="AE2503" s="141"/>
    </row>
    <row r="2504" spans="28:31" x14ac:dyDescent="0.2">
      <c r="AB2504" s="141"/>
      <c r="AD2504" s="141"/>
      <c r="AE2504" s="141"/>
    </row>
    <row r="2505" spans="28:31" x14ac:dyDescent="0.2">
      <c r="AB2505" s="141"/>
      <c r="AD2505" s="141"/>
      <c r="AE2505" s="141"/>
    </row>
    <row r="2506" spans="28:31" x14ac:dyDescent="0.2">
      <c r="AB2506" s="141"/>
      <c r="AD2506" s="141"/>
      <c r="AE2506" s="141"/>
    </row>
    <row r="2507" spans="28:31" x14ac:dyDescent="0.2">
      <c r="AB2507" s="141"/>
      <c r="AD2507" s="141"/>
      <c r="AE2507" s="141"/>
    </row>
    <row r="2508" spans="28:31" x14ac:dyDescent="0.2">
      <c r="AB2508" s="141"/>
      <c r="AD2508" s="141"/>
      <c r="AE2508" s="141"/>
    </row>
    <row r="2509" spans="28:31" x14ac:dyDescent="0.2">
      <c r="AB2509" s="141"/>
      <c r="AD2509" s="141"/>
      <c r="AE2509" s="141"/>
    </row>
    <row r="2510" spans="28:31" x14ac:dyDescent="0.2">
      <c r="AB2510" s="141"/>
      <c r="AD2510" s="141"/>
      <c r="AE2510" s="141"/>
    </row>
    <row r="2511" spans="28:31" x14ac:dyDescent="0.2">
      <c r="AB2511" s="141"/>
      <c r="AD2511" s="141"/>
      <c r="AE2511" s="141"/>
    </row>
    <row r="2512" spans="28:31" x14ac:dyDescent="0.2">
      <c r="AB2512" s="141"/>
      <c r="AD2512" s="141"/>
      <c r="AE2512" s="141"/>
    </row>
    <row r="2513" spans="28:31" x14ac:dyDescent="0.2">
      <c r="AB2513" s="141"/>
      <c r="AD2513" s="141"/>
      <c r="AE2513" s="141"/>
    </row>
    <row r="2514" spans="28:31" x14ac:dyDescent="0.2">
      <c r="AB2514" s="141"/>
      <c r="AD2514" s="141"/>
      <c r="AE2514" s="141"/>
    </row>
    <row r="2515" spans="28:31" x14ac:dyDescent="0.2">
      <c r="AB2515" s="141"/>
      <c r="AD2515" s="141"/>
      <c r="AE2515" s="141"/>
    </row>
    <row r="2516" spans="28:31" x14ac:dyDescent="0.2">
      <c r="AB2516" s="141"/>
      <c r="AD2516" s="141"/>
      <c r="AE2516" s="141"/>
    </row>
    <row r="2517" spans="28:31" x14ac:dyDescent="0.2">
      <c r="AB2517" s="141"/>
      <c r="AD2517" s="141"/>
      <c r="AE2517" s="141"/>
    </row>
    <row r="2518" spans="28:31" x14ac:dyDescent="0.2">
      <c r="AB2518" s="141"/>
      <c r="AD2518" s="141"/>
      <c r="AE2518" s="141"/>
    </row>
    <row r="2519" spans="28:31" x14ac:dyDescent="0.2">
      <c r="AB2519" s="141"/>
      <c r="AD2519" s="141"/>
      <c r="AE2519" s="141"/>
    </row>
    <row r="2520" spans="28:31" x14ac:dyDescent="0.2">
      <c r="AB2520" s="141"/>
      <c r="AD2520" s="141"/>
      <c r="AE2520" s="141"/>
    </row>
    <row r="2521" spans="28:31" x14ac:dyDescent="0.2">
      <c r="AB2521" s="141"/>
      <c r="AD2521" s="141"/>
      <c r="AE2521" s="141"/>
    </row>
    <row r="2522" spans="28:31" x14ac:dyDescent="0.2">
      <c r="AB2522" s="141"/>
      <c r="AD2522" s="141"/>
      <c r="AE2522" s="141"/>
    </row>
    <row r="2523" spans="28:31" x14ac:dyDescent="0.2">
      <c r="AB2523" s="141"/>
      <c r="AD2523" s="141"/>
      <c r="AE2523" s="141"/>
    </row>
    <row r="2524" spans="28:31" x14ac:dyDescent="0.2">
      <c r="AB2524" s="141"/>
      <c r="AD2524" s="141"/>
      <c r="AE2524" s="141"/>
    </row>
    <row r="2525" spans="28:31" x14ac:dyDescent="0.2">
      <c r="AB2525" s="141"/>
      <c r="AD2525" s="141"/>
      <c r="AE2525" s="141"/>
    </row>
    <row r="2526" spans="28:31" x14ac:dyDescent="0.2">
      <c r="AB2526" s="141"/>
      <c r="AD2526" s="141"/>
      <c r="AE2526" s="141"/>
    </row>
    <row r="2527" spans="28:31" x14ac:dyDescent="0.2">
      <c r="AB2527" s="141"/>
      <c r="AD2527" s="141"/>
      <c r="AE2527" s="141"/>
    </row>
    <row r="2528" spans="28:31" x14ac:dyDescent="0.2">
      <c r="AB2528" s="141"/>
      <c r="AD2528" s="141"/>
      <c r="AE2528" s="141"/>
    </row>
    <row r="2529" spans="28:31" x14ac:dyDescent="0.2">
      <c r="AB2529" s="141"/>
      <c r="AD2529" s="141"/>
      <c r="AE2529" s="141"/>
    </row>
    <row r="2530" spans="28:31" x14ac:dyDescent="0.2">
      <c r="AB2530" s="141"/>
      <c r="AD2530" s="141"/>
      <c r="AE2530" s="141"/>
    </row>
    <row r="2531" spans="28:31" x14ac:dyDescent="0.2">
      <c r="AB2531" s="141"/>
      <c r="AD2531" s="141"/>
      <c r="AE2531" s="141"/>
    </row>
    <row r="2532" spans="28:31" x14ac:dyDescent="0.2">
      <c r="AB2532" s="141"/>
      <c r="AD2532" s="141"/>
      <c r="AE2532" s="141"/>
    </row>
    <row r="2533" spans="28:31" x14ac:dyDescent="0.2">
      <c r="AB2533" s="141"/>
      <c r="AD2533" s="141"/>
      <c r="AE2533" s="141"/>
    </row>
    <row r="2534" spans="28:31" x14ac:dyDescent="0.2">
      <c r="AB2534" s="141"/>
      <c r="AD2534" s="141"/>
      <c r="AE2534" s="141"/>
    </row>
    <row r="2535" spans="28:31" x14ac:dyDescent="0.2">
      <c r="AB2535" s="141"/>
      <c r="AD2535" s="141"/>
      <c r="AE2535" s="141"/>
    </row>
    <row r="2536" spans="28:31" x14ac:dyDescent="0.2">
      <c r="AB2536" s="141"/>
      <c r="AD2536" s="141"/>
      <c r="AE2536" s="141"/>
    </row>
    <row r="2537" spans="28:31" x14ac:dyDescent="0.2">
      <c r="AB2537" s="141"/>
      <c r="AD2537" s="141"/>
      <c r="AE2537" s="141"/>
    </row>
    <row r="2538" spans="28:31" x14ac:dyDescent="0.2">
      <c r="AB2538" s="141"/>
      <c r="AD2538" s="141"/>
      <c r="AE2538" s="141"/>
    </row>
    <row r="2539" spans="28:31" x14ac:dyDescent="0.2">
      <c r="AB2539" s="141"/>
      <c r="AD2539" s="141"/>
      <c r="AE2539" s="141"/>
    </row>
    <row r="2540" spans="28:31" x14ac:dyDescent="0.2">
      <c r="AB2540" s="141"/>
      <c r="AD2540" s="141"/>
      <c r="AE2540" s="141"/>
    </row>
    <row r="2541" spans="28:31" x14ac:dyDescent="0.2">
      <c r="AB2541" s="141"/>
      <c r="AD2541" s="141"/>
      <c r="AE2541" s="141"/>
    </row>
    <row r="2542" spans="28:31" x14ac:dyDescent="0.2">
      <c r="AB2542" s="141"/>
      <c r="AD2542" s="141"/>
      <c r="AE2542" s="141"/>
    </row>
    <row r="2543" spans="28:31" x14ac:dyDescent="0.2">
      <c r="AB2543" s="141"/>
      <c r="AD2543" s="141"/>
      <c r="AE2543" s="141"/>
    </row>
    <row r="2544" spans="28:31" x14ac:dyDescent="0.2">
      <c r="AB2544" s="141"/>
      <c r="AD2544" s="141"/>
      <c r="AE2544" s="141"/>
    </row>
    <row r="2545" spans="28:31" x14ac:dyDescent="0.2">
      <c r="AB2545" s="141"/>
      <c r="AD2545" s="141"/>
      <c r="AE2545" s="141"/>
    </row>
    <row r="2546" spans="28:31" x14ac:dyDescent="0.2">
      <c r="AB2546" s="141"/>
      <c r="AD2546" s="141"/>
      <c r="AE2546" s="141"/>
    </row>
    <row r="2547" spans="28:31" x14ac:dyDescent="0.2">
      <c r="AB2547" s="141"/>
      <c r="AD2547" s="141"/>
      <c r="AE2547" s="141"/>
    </row>
    <row r="2548" spans="28:31" x14ac:dyDescent="0.2">
      <c r="AB2548" s="141"/>
      <c r="AD2548" s="141"/>
      <c r="AE2548" s="141"/>
    </row>
    <row r="2549" spans="28:31" x14ac:dyDescent="0.2">
      <c r="AB2549" s="141"/>
      <c r="AD2549" s="141"/>
      <c r="AE2549" s="141"/>
    </row>
    <row r="2550" spans="28:31" x14ac:dyDescent="0.2">
      <c r="AB2550" s="141"/>
      <c r="AD2550" s="141"/>
      <c r="AE2550" s="141"/>
    </row>
    <row r="2551" spans="28:31" x14ac:dyDescent="0.2">
      <c r="AB2551" s="141"/>
      <c r="AD2551" s="141"/>
      <c r="AE2551" s="141"/>
    </row>
    <row r="2552" spans="28:31" x14ac:dyDescent="0.2">
      <c r="AB2552" s="141"/>
      <c r="AD2552" s="141"/>
      <c r="AE2552" s="141"/>
    </row>
    <row r="2553" spans="28:31" x14ac:dyDescent="0.2">
      <c r="AB2553" s="141"/>
      <c r="AD2553" s="141"/>
      <c r="AE2553" s="141"/>
    </row>
    <row r="2554" spans="28:31" x14ac:dyDescent="0.2">
      <c r="AB2554" s="141"/>
      <c r="AD2554" s="141"/>
      <c r="AE2554" s="141"/>
    </row>
    <row r="2555" spans="28:31" x14ac:dyDescent="0.2">
      <c r="AB2555" s="141"/>
      <c r="AD2555" s="141"/>
      <c r="AE2555" s="141"/>
    </row>
    <row r="2556" spans="28:31" x14ac:dyDescent="0.2">
      <c r="AB2556" s="141"/>
      <c r="AD2556" s="141"/>
      <c r="AE2556" s="141"/>
    </row>
    <row r="2557" spans="28:31" x14ac:dyDescent="0.2">
      <c r="AB2557" s="141"/>
      <c r="AD2557" s="141"/>
      <c r="AE2557" s="141"/>
    </row>
    <row r="2558" spans="28:31" x14ac:dyDescent="0.2">
      <c r="AB2558" s="141"/>
      <c r="AD2558" s="141"/>
      <c r="AE2558" s="141"/>
    </row>
    <row r="2559" spans="28:31" x14ac:dyDescent="0.2">
      <c r="AB2559" s="141"/>
      <c r="AD2559" s="141"/>
      <c r="AE2559" s="141"/>
    </row>
    <row r="2560" spans="28:31" x14ac:dyDescent="0.2">
      <c r="AB2560" s="141"/>
      <c r="AD2560" s="141"/>
      <c r="AE2560" s="141"/>
    </row>
    <row r="2561" spans="28:31" x14ac:dyDescent="0.2">
      <c r="AB2561" s="141"/>
      <c r="AD2561" s="141"/>
      <c r="AE2561" s="141"/>
    </row>
    <row r="2562" spans="28:31" x14ac:dyDescent="0.2">
      <c r="AB2562" s="141"/>
      <c r="AD2562" s="141"/>
      <c r="AE2562" s="141"/>
    </row>
    <row r="2563" spans="28:31" x14ac:dyDescent="0.2">
      <c r="AB2563" s="141"/>
      <c r="AD2563" s="141"/>
      <c r="AE2563" s="141"/>
    </row>
    <row r="2564" spans="28:31" x14ac:dyDescent="0.2">
      <c r="AB2564" s="141"/>
      <c r="AD2564" s="141"/>
      <c r="AE2564" s="141"/>
    </row>
    <row r="2565" spans="28:31" x14ac:dyDescent="0.2">
      <c r="AB2565" s="141"/>
      <c r="AD2565" s="141"/>
      <c r="AE2565" s="141"/>
    </row>
    <row r="2566" spans="28:31" x14ac:dyDescent="0.2">
      <c r="AB2566" s="141"/>
      <c r="AD2566" s="141"/>
      <c r="AE2566" s="141"/>
    </row>
    <row r="2567" spans="28:31" x14ac:dyDescent="0.2">
      <c r="AB2567" s="141"/>
      <c r="AD2567" s="141"/>
      <c r="AE2567" s="141"/>
    </row>
    <row r="2568" spans="28:31" x14ac:dyDescent="0.2">
      <c r="AB2568" s="141"/>
      <c r="AD2568" s="141"/>
      <c r="AE2568" s="141"/>
    </row>
    <row r="2569" spans="28:31" x14ac:dyDescent="0.2">
      <c r="AB2569" s="141"/>
      <c r="AD2569" s="141"/>
      <c r="AE2569" s="141"/>
    </row>
    <row r="2570" spans="28:31" x14ac:dyDescent="0.2">
      <c r="AB2570" s="141"/>
      <c r="AD2570" s="141"/>
      <c r="AE2570" s="141"/>
    </row>
    <row r="2571" spans="28:31" x14ac:dyDescent="0.2">
      <c r="AB2571" s="141"/>
      <c r="AD2571" s="141"/>
      <c r="AE2571" s="141"/>
    </row>
    <row r="2572" spans="28:31" x14ac:dyDescent="0.2">
      <c r="AB2572" s="141"/>
      <c r="AD2572" s="141"/>
      <c r="AE2572" s="141"/>
    </row>
    <row r="2573" spans="28:31" x14ac:dyDescent="0.2">
      <c r="AB2573" s="141"/>
      <c r="AD2573" s="141"/>
      <c r="AE2573" s="141"/>
    </row>
    <row r="2574" spans="28:31" x14ac:dyDescent="0.2">
      <c r="AB2574" s="141"/>
      <c r="AD2574" s="141"/>
      <c r="AE2574" s="141"/>
    </row>
    <row r="2575" spans="28:31" x14ac:dyDescent="0.2">
      <c r="AB2575" s="141"/>
      <c r="AD2575" s="141"/>
      <c r="AE2575" s="141"/>
    </row>
    <row r="2576" spans="28:31" x14ac:dyDescent="0.2">
      <c r="AB2576" s="141"/>
      <c r="AD2576" s="141"/>
      <c r="AE2576" s="141"/>
    </row>
    <row r="2577" spans="28:31" x14ac:dyDescent="0.2">
      <c r="AB2577" s="141"/>
      <c r="AD2577" s="141"/>
      <c r="AE2577" s="141"/>
    </row>
    <row r="2578" spans="28:31" x14ac:dyDescent="0.2">
      <c r="AB2578" s="141"/>
      <c r="AD2578" s="141"/>
      <c r="AE2578" s="141"/>
    </row>
    <row r="2579" spans="28:31" x14ac:dyDescent="0.2">
      <c r="AB2579" s="141"/>
      <c r="AD2579" s="141"/>
      <c r="AE2579" s="141"/>
    </row>
    <row r="2580" spans="28:31" x14ac:dyDescent="0.2">
      <c r="AB2580" s="141"/>
      <c r="AD2580" s="141"/>
      <c r="AE2580" s="141"/>
    </row>
    <row r="2581" spans="28:31" x14ac:dyDescent="0.2">
      <c r="AB2581" s="141"/>
      <c r="AD2581" s="141"/>
      <c r="AE2581" s="141"/>
    </row>
    <row r="2582" spans="28:31" x14ac:dyDescent="0.2">
      <c r="AB2582" s="141"/>
      <c r="AD2582" s="141"/>
      <c r="AE2582" s="141"/>
    </row>
    <row r="2583" spans="28:31" x14ac:dyDescent="0.2">
      <c r="AB2583" s="141"/>
      <c r="AD2583" s="141"/>
      <c r="AE2583" s="141"/>
    </row>
    <row r="2584" spans="28:31" x14ac:dyDescent="0.2">
      <c r="AB2584" s="141"/>
      <c r="AD2584" s="141"/>
      <c r="AE2584" s="141"/>
    </row>
    <row r="2585" spans="28:31" x14ac:dyDescent="0.2">
      <c r="AB2585" s="141"/>
      <c r="AD2585" s="141"/>
      <c r="AE2585" s="141"/>
    </row>
    <row r="2586" spans="28:31" x14ac:dyDescent="0.2">
      <c r="AB2586" s="141"/>
      <c r="AD2586" s="141"/>
      <c r="AE2586" s="141"/>
    </row>
    <row r="2587" spans="28:31" x14ac:dyDescent="0.2">
      <c r="AB2587" s="141"/>
      <c r="AD2587" s="141"/>
      <c r="AE2587" s="141"/>
    </row>
    <row r="2588" spans="28:31" x14ac:dyDescent="0.2">
      <c r="AB2588" s="141"/>
      <c r="AD2588" s="141"/>
      <c r="AE2588" s="141"/>
    </row>
    <row r="2589" spans="28:31" x14ac:dyDescent="0.2">
      <c r="AB2589" s="141"/>
      <c r="AD2589" s="141"/>
      <c r="AE2589" s="141"/>
    </row>
    <row r="2590" spans="28:31" x14ac:dyDescent="0.2">
      <c r="AB2590" s="141"/>
      <c r="AD2590" s="141"/>
      <c r="AE2590" s="141"/>
    </row>
    <row r="2591" spans="28:31" x14ac:dyDescent="0.2">
      <c r="AB2591" s="141"/>
      <c r="AD2591" s="141"/>
      <c r="AE2591" s="141"/>
    </row>
    <row r="2592" spans="28:31" x14ac:dyDescent="0.2">
      <c r="AB2592" s="141"/>
      <c r="AD2592" s="141"/>
      <c r="AE2592" s="141"/>
    </row>
    <row r="2593" spans="28:31" x14ac:dyDescent="0.2">
      <c r="AB2593" s="141"/>
      <c r="AD2593" s="141"/>
      <c r="AE2593" s="141"/>
    </row>
    <row r="2594" spans="28:31" x14ac:dyDescent="0.2">
      <c r="AB2594" s="141"/>
      <c r="AD2594" s="141"/>
      <c r="AE2594" s="141"/>
    </row>
    <row r="2595" spans="28:31" x14ac:dyDescent="0.2">
      <c r="AB2595" s="141"/>
      <c r="AD2595" s="141"/>
      <c r="AE2595" s="141"/>
    </row>
    <row r="2596" spans="28:31" x14ac:dyDescent="0.2">
      <c r="AB2596" s="141"/>
      <c r="AD2596" s="141"/>
      <c r="AE2596" s="141"/>
    </row>
    <row r="2597" spans="28:31" x14ac:dyDescent="0.2">
      <c r="AB2597" s="141"/>
      <c r="AD2597" s="141"/>
      <c r="AE2597" s="141"/>
    </row>
    <row r="2598" spans="28:31" x14ac:dyDescent="0.2">
      <c r="AB2598" s="141"/>
      <c r="AD2598" s="141"/>
      <c r="AE2598" s="141"/>
    </row>
    <row r="2599" spans="28:31" x14ac:dyDescent="0.2">
      <c r="AB2599" s="141"/>
      <c r="AD2599" s="141"/>
      <c r="AE2599" s="141"/>
    </row>
    <row r="2600" spans="28:31" x14ac:dyDescent="0.2">
      <c r="AB2600" s="141"/>
      <c r="AD2600" s="141"/>
      <c r="AE2600" s="141"/>
    </row>
    <row r="2601" spans="28:31" x14ac:dyDescent="0.2">
      <c r="AB2601" s="141"/>
      <c r="AD2601" s="141"/>
      <c r="AE2601" s="141"/>
    </row>
    <row r="2602" spans="28:31" x14ac:dyDescent="0.2">
      <c r="AB2602" s="141"/>
      <c r="AD2602" s="141"/>
      <c r="AE2602" s="141"/>
    </row>
    <row r="2603" spans="28:31" x14ac:dyDescent="0.2">
      <c r="AB2603" s="141"/>
      <c r="AD2603" s="141"/>
      <c r="AE2603" s="141"/>
    </row>
    <row r="2604" spans="28:31" x14ac:dyDescent="0.2">
      <c r="AB2604" s="141"/>
      <c r="AD2604" s="141"/>
      <c r="AE2604" s="141"/>
    </row>
    <row r="2605" spans="28:31" x14ac:dyDescent="0.2">
      <c r="AB2605" s="141"/>
      <c r="AD2605" s="141"/>
      <c r="AE2605" s="141"/>
    </row>
    <row r="2606" spans="28:31" x14ac:dyDescent="0.2">
      <c r="AB2606" s="141"/>
      <c r="AD2606" s="141"/>
      <c r="AE2606" s="141"/>
    </row>
    <row r="2607" spans="28:31" x14ac:dyDescent="0.2">
      <c r="AB2607" s="141"/>
      <c r="AD2607" s="141"/>
      <c r="AE2607" s="141"/>
    </row>
    <row r="2608" spans="28:31" x14ac:dyDescent="0.2">
      <c r="AB2608" s="141"/>
      <c r="AD2608" s="141"/>
      <c r="AE2608" s="141"/>
    </row>
    <row r="2609" spans="28:31" x14ac:dyDescent="0.2">
      <c r="AB2609" s="141"/>
      <c r="AD2609" s="141"/>
      <c r="AE2609" s="141"/>
    </row>
    <row r="2610" spans="28:31" x14ac:dyDescent="0.2">
      <c r="AB2610" s="141"/>
      <c r="AD2610" s="141"/>
      <c r="AE2610" s="141"/>
    </row>
    <row r="2611" spans="28:31" x14ac:dyDescent="0.2">
      <c r="AB2611" s="141"/>
      <c r="AD2611" s="141"/>
      <c r="AE2611" s="141"/>
    </row>
    <row r="2612" spans="28:31" x14ac:dyDescent="0.2">
      <c r="AB2612" s="141"/>
      <c r="AD2612" s="141"/>
      <c r="AE2612" s="141"/>
    </row>
    <row r="2613" spans="28:31" x14ac:dyDescent="0.2">
      <c r="AB2613" s="141"/>
      <c r="AD2613" s="141"/>
      <c r="AE2613" s="141"/>
    </row>
    <row r="2614" spans="28:31" x14ac:dyDescent="0.2">
      <c r="AB2614" s="141"/>
      <c r="AD2614" s="141"/>
      <c r="AE2614" s="141"/>
    </row>
    <row r="2615" spans="28:31" x14ac:dyDescent="0.2">
      <c r="AB2615" s="141"/>
      <c r="AD2615" s="141"/>
      <c r="AE2615" s="141"/>
    </row>
    <row r="2616" spans="28:31" x14ac:dyDescent="0.2">
      <c r="AB2616" s="141"/>
      <c r="AD2616" s="141"/>
      <c r="AE2616" s="141"/>
    </row>
    <row r="2617" spans="28:31" x14ac:dyDescent="0.2">
      <c r="AB2617" s="141"/>
      <c r="AD2617" s="141"/>
      <c r="AE2617" s="141"/>
    </row>
    <row r="2618" spans="28:31" x14ac:dyDescent="0.2">
      <c r="AB2618" s="141"/>
      <c r="AD2618" s="141"/>
      <c r="AE2618" s="141"/>
    </row>
    <row r="2619" spans="28:31" x14ac:dyDescent="0.2">
      <c r="AB2619" s="141"/>
      <c r="AD2619" s="141"/>
      <c r="AE2619" s="141"/>
    </row>
    <row r="2620" spans="28:31" x14ac:dyDescent="0.2">
      <c r="AB2620" s="141"/>
      <c r="AD2620" s="141"/>
      <c r="AE2620" s="141"/>
    </row>
    <row r="2621" spans="28:31" x14ac:dyDescent="0.2">
      <c r="AB2621" s="141"/>
      <c r="AD2621" s="141"/>
      <c r="AE2621" s="141"/>
    </row>
    <row r="2622" spans="28:31" x14ac:dyDescent="0.2">
      <c r="AB2622" s="141"/>
      <c r="AD2622" s="141"/>
      <c r="AE2622" s="141"/>
    </row>
    <row r="2623" spans="28:31" x14ac:dyDescent="0.2">
      <c r="AB2623" s="141"/>
      <c r="AD2623" s="141"/>
      <c r="AE2623" s="141"/>
    </row>
    <row r="2624" spans="28:31" x14ac:dyDescent="0.2">
      <c r="AB2624" s="141"/>
      <c r="AD2624" s="141"/>
      <c r="AE2624" s="141"/>
    </row>
    <row r="2625" spans="28:31" x14ac:dyDescent="0.2">
      <c r="AB2625" s="141"/>
      <c r="AD2625" s="141"/>
      <c r="AE2625" s="141"/>
    </row>
    <row r="2626" spans="28:31" x14ac:dyDescent="0.2">
      <c r="AB2626" s="141"/>
      <c r="AD2626" s="141"/>
      <c r="AE2626" s="141"/>
    </row>
    <row r="2627" spans="28:31" x14ac:dyDescent="0.2">
      <c r="AB2627" s="141"/>
      <c r="AD2627" s="141"/>
      <c r="AE2627" s="141"/>
    </row>
    <row r="2628" spans="28:31" x14ac:dyDescent="0.2">
      <c r="AB2628" s="141"/>
      <c r="AD2628" s="141"/>
      <c r="AE2628" s="141"/>
    </row>
    <row r="2629" spans="28:31" x14ac:dyDescent="0.2">
      <c r="AB2629" s="141"/>
      <c r="AD2629" s="141"/>
      <c r="AE2629" s="141"/>
    </row>
    <row r="2630" spans="28:31" x14ac:dyDescent="0.2">
      <c r="AB2630" s="141"/>
      <c r="AD2630" s="141"/>
      <c r="AE2630" s="141"/>
    </row>
    <row r="2631" spans="28:31" x14ac:dyDescent="0.2">
      <c r="AB2631" s="141"/>
      <c r="AD2631" s="141"/>
      <c r="AE2631" s="141"/>
    </row>
    <row r="2632" spans="28:31" x14ac:dyDescent="0.2">
      <c r="AB2632" s="141"/>
      <c r="AD2632" s="141"/>
      <c r="AE2632" s="141"/>
    </row>
    <row r="2633" spans="28:31" x14ac:dyDescent="0.2">
      <c r="AB2633" s="141"/>
      <c r="AD2633" s="141"/>
      <c r="AE2633" s="141"/>
    </row>
    <row r="2634" spans="28:31" x14ac:dyDescent="0.2">
      <c r="AB2634" s="141"/>
      <c r="AD2634" s="141"/>
      <c r="AE2634" s="141"/>
    </row>
    <row r="2635" spans="28:31" x14ac:dyDescent="0.2">
      <c r="AB2635" s="141"/>
      <c r="AD2635" s="141"/>
      <c r="AE2635" s="141"/>
    </row>
    <row r="2636" spans="28:31" x14ac:dyDescent="0.2">
      <c r="AB2636" s="141"/>
      <c r="AD2636" s="141"/>
      <c r="AE2636" s="141"/>
    </row>
    <row r="2637" spans="28:31" x14ac:dyDescent="0.2">
      <c r="AB2637" s="141"/>
      <c r="AD2637" s="141"/>
      <c r="AE2637" s="141"/>
    </row>
    <row r="2638" spans="28:31" x14ac:dyDescent="0.2">
      <c r="AB2638" s="141"/>
      <c r="AD2638" s="141"/>
      <c r="AE2638" s="141"/>
    </row>
    <row r="2639" spans="28:31" x14ac:dyDescent="0.2">
      <c r="AB2639" s="141"/>
      <c r="AD2639" s="141"/>
      <c r="AE2639" s="141"/>
    </row>
    <row r="2640" spans="28:31" x14ac:dyDescent="0.2">
      <c r="AB2640" s="141"/>
      <c r="AD2640" s="141"/>
      <c r="AE2640" s="141"/>
    </row>
    <row r="2641" spans="28:31" x14ac:dyDescent="0.2">
      <c r="AB2641" s="141"/>
      <c r="AD2641" s="141"/>
      <c r="AE2641" s="141"/>
    </row>
    <row r="2642" spans="28:31" x14ac:dyDescent="0.2">
      <c r="AB2642" s="141"/>
      <c r="AD2642" s="141"/>
      <c r="AE2642" s="141"/>
    </row>
    <row r="2643" spans="28:31" x14ac:dyDescent="0.2">
      <c r="AB2643" s="141"/>
      <c r="AD2643" s="141"/>
      <c r="AE2643" s="141"/>
    </row>
    <row r="2644" spans="28:31" x14ac:dyDescent="0.2">
      <c r="AB2644" s="141"/>
      <c r="AD2644" s="141"/>
      <c r="AE2644" s="141"/>
    </row>
    <row r="2645" spans="28:31" x14ac:dyDescent="0.2">
      <c r="AB2645" s="141"/>
      <c r="AD2645" s="141"/>
      <c r="AE2645" s="141"/>
    </row>
    <row r="2646" spans="28:31" x14ac:dyDescent="0.2">
      <c r="AB2646" s="141"/>
      <c r="AD2646" s="141"/>
      <c r="AE2646" s="141"/>
    </row>
    <row r="2647" spans="28:31" x14ac:dyDescent="0.2">
      <c r="AB2647" s="141"/>
      <c r="AD2647" s="141"/>
      <c r="AE2647" s="141"/>
    </row>
    <row r="2648" spans="28:31" x14ac:dyDescent="0.2">
      <c r="AB2648" s="141"/>
      <c r="AD2648" s="141"/>
      <c r="AE2648" s="141"/>
    </row>
    <row r="2649" spans="28:31" x14ac:dyDescent="0.2">
      <c r="AB2649" s="141"/>
      <c r="AD2649" s="141"/>
      <c r="AE2649" s="141"/>
    </row>
    <row r="2650" spans="28:31" x14ac:dyDescent="0.2">
      <c r="AB2650" s="141"/>
      <c r="AD2650" s="141"/>
      <c r="AE2650" s="141"/>
    </row>
    <row r="2651" spans="28:31" x14ac:dyDescent="0.2">
      <c r="AB2651" s="141"/>
      <c r="AD2651" s="141"/>
      <c r="AE2651" s="141"/>
    </row>
    <row r="2652" spans="28:31" x14ac:dyDescent="0.2">
      <c r="AB2652" s="141"/>
      <c r="AD2652" s="141"/>
      <c r="AE2652" s="141"/>
    </row>
    <row r="2653" spans="28:31" x14ac:dyDescent="0.2">
      <c r="AB2653" s="141"/>
      <c r="AD2653" s="141"/>
      <c r="AE2653" s="141"/>
    </row>
    <row r="2654" spans="28:31" x14ac:dyDescent="0.2">
      <c r="AB2654" s="141"/>
      <c r="AD2654" s="141"/>
      <c r="AE2654" s="141"/>
    </row>
    <row r="2655" spans="28:31" x14ac:dyDescent="0.2">
      <c r="AB2655" s="141"/>
      <c r="AD2655" s="141"/>
      <c r="AE2655" s="141"/>
    </row>
    <row r="2656" spans="28:31" x14ac:dyDescent="0.2">
      <c r="AB2656" s="141"/>
      <c r="AD2656" s="141"/>
      <c r="AE2656" s="141"/>
    </row>
    <row r="2657" spans="28:31" x14ac:dyDescent="0.2">
      <c r="AB2657" s="141"/>
      <c r="AD2657" s="141"/>
      <c r="AE2657" s="141"/>
    </row>
    <row r="2658" spans="28:31" x14ac:dyDescent="0.2">
      <c r="AB2658" s="141"/>
      <c r="AD2658" s="141"/>
      <c r="AE2658" s="141"/>
    </row>
    <row r="2659" spans="28:31" x14ac:dyDescent="0.2">
      <c r="AB2659" s="141"/>
      <c r="AD2659" s="141"/>
      <c r="AE2659" s="141"/>
    </row>
    <row r="2660" spans="28:31" x14ac:dyDescent="0.2">
      <c r="AB2660" s="141"/>
      <c r="AD2660" s="141"/>
      <c r="AE2660" s="141"/>
    </row>
    <row r="2661" spans="28:31" x14ac:dyDescent="0.2">
      <c r="AB2661" s="141"/>
      <c r="AD2661" s="141"/>
      <c r="AE2661" s="141"/>
    </row>
    <row r="2662" spans="28:31" x14ac:dyDescent="0.2">
      <c r="AB2662" s="141"/>
      <c r="AD2662" s="141"/>
      <c r="AE2662" s="141"/>
    </row>
    <row r="2663" spans="28:31" x14ac:dyDescent="0.2">
      <c r="AB2663" s="141"/>
      <c r="AD2663" s="141"/>
      <c r="AE2663" s="141"/>
    </row>
    <row r="2664" spans="28:31" x14ac:dyDescent="0.2">
      <c r="AB2664" s="141"/>
      <c r="AD2664" s="141"/>
      <c r="AE2664" s="141"/>
    </row>
    <row r="2665" spans="28:31" x14ac:dyDescent="0.2">
      <c r="AB2665" s="141"/>
      <c r="AD2665" s="141"/>
      <c r="AE2665" s="141"/>
    </row>
    <row r="2666" spans="28:31" x14ac:dyDescent="0.2">
      <c r="AB2666" s="141"/>
      <c r="AD2666" s="141"/>
      <c r="AE2666" s="141"/>
    </row>
    <row r="2667" spans="28:31" x14ac:dyDescent="0.2">
      <c r="AB2667" s="141"/>
      <c r="AD2667" s="141"/>
      <c r="AE2667" s="141"/>
    </row>
    <row r="2668" spans="28:31" x14ac:dyDescent="0.2">
      <c r="AB2668" s="141"/>
      <c r="AD2668" s="141"/>
      <c r="AE2668" s="141"/>
    </row>
    <row r="2669" spans="28:31" x14ac:dyDescent="0.2">
      <c r="AB2669" s="141"/>
      <c r="AD2669" s="141"/>
      <c r="AE2669" s="141"/>
    </row>
    <row r="2670" spans="28:31" x14ac:dyDescent="0.2">
      <c r="AB2670" s="141"/>
      <c r="AD2670" s="141"/>
      <c r="AE2670" s="141"/>
    </row>
    <row r="2671" spans="28:31" x14ac:dyDescent="0.2">
      <c r="AB2671" s="141"/>
      <c r="AD2671" s="141"/>
      <c r="AE2671" s="141"/>
    </row>
    <row r="2672" spans="28:31" x14ac:dyDescent="0.2">
      <c r="AB2672" s="141"/>
      <c r="AD2672" s="141"/>
      <c r="AE2672" s="141"/>
    </row>
    <row r="2673" spans="28:31" x14ac:dyDescent="0.2">
      <c r="AB2673" s="141"/>
      <c r="AD2673" s="141"/>
      <c r="AE2673" s="141"/>
    </row>
    <row r="2674" spans="28:31" x14ac:dyDescent="0.2">
      <c r="AB2674" s="141"/>
      <c r="AD2674" s="141"/>
      <c r="AE2674" s="141"/>
    </row>
    <row r="2675" spans="28:31" x14ac:dyDescent="0.2">
      <c r="AB2675" s="141"/>
      <c r="AD2675" s="141"/>
      <c r="AE2675" s="141"/>
    </row>
    <row r="2676" spans="28:31" x14ac:dyDescent="0.2">
      <c r="AB2676" s="141"/>
      <c r="AD2676" s="141"/>
      <c r="AE2676" s="141"/>
    </row>
    <row r="2677" spans="28:31" x14ac:dyDescent="0.2">
      <c r="AB2677" s="141"/>
      <c r="AD2677" s="141"/>
      <c r="AE2677" s="141"/>
    </row>
    <row r="2678" spans="28:31" x14ac:dyDescent="0.2">
      <c r="AB2678" s="141"/>
      <c r="AD2678" s="141"/>
      <c r="AE2678" s="141"/>
    </row>
    <row r="2679" spans="28:31" x14ac:dyDescent="0.2">
      <c r="AB2679" s="141"/>
      <c r="AD2679" s="141"/>
      <c r="AE2679" s="141"/>
    </row>
    <row r="2680" spans="28:31" x14ac:dyDescent="0.2">
      <c r="AB2680" s="141"/>
      <c r="AD2680" s="141"/>
      <c r="AE2680" s="141"/>
    </row>
    <row r="2681" spans="28:31" x14ac:dyDescent="0.2">
      <c r="AB2681" s="141"/>
      <c r="AD2681" s="141"/>
      <c r="AE2681" s="141"/>
    </row>
    <row r="2682" spans="28:31" x14ac:dyDescent="0.2">
      <c r="AB2682" s="141"/>
      <c r="AD2682" s="141"/>
      <c r="AE2682" s="141"/>
    </row>
    <row r="2683" spans="28:31" x14ac:dyDescent="0.2">
      <c r="AB2683" s="141"/>
      <c r="AD2683" s="141"/>
      <c r="AE2683" s="141"/>
    </row>
    <row r="2684" spans="28:31" x14ac:dyDescent="0.2">
      <c r="AB2684" s="141"/>
      <c r="AD2684" s="141"/>
      <c r="AE2684" s="141"/>
    </row>
    <row r="2685" spans="28:31" x14ac:dyDescent="0.2">
      <c r="AB2685" s="141"/>
      <c r="AD2685" s="141"/>
      <c r="AE2685" s="141"/>
    </row>
    <row r="2686" spans="28:31" x14ac:dyDescent="0.2">
      <c r="AB2686" s="141"/>
      <c r="AD2686" s="141"/>
      <c r="AE2686" s="141"/>
    </row>
    <row r="2687" spans="28:31" x14ac:dyDescent="0.2">
      <c r="AB2687" s="141"/>
      <c r="AD2687" s="141"/>
      <c r="AE2687" s="141"/>
    </row>
    <row r="2688" spans="28:31" x14ac:dyDescent="0.2">
      <c r="AB2688" s="141"/>
      <c r="AD2688" s="141"/>
      <c r="AE2688" s="141"/>
    </row>
    <row r="2689" spans="28:31" x14ac:dyDescent="0.2">
      <c r="AB2689" s="141"/>
      <c r="AD2689" s="141"/>
      <c r="AE2689" s="141"/>
    </row>
    <row r="2690" spans="28:31" x14ac:dyDescent="0.2">
      <c r="AB2690" s="141"/>
      <c r="AD2690" s="141"/>
      <c r="AE2690" s="141"/>
    </row>
    <row r="2691" spans="28:31" x14ac:dyDescent="0.2">
      <c r="AB2691" s="141"/>
      <c r="AD2691" s="141"/>
      <c r="AE2691" s="141"/>
    </row>
    <row r="2692" spans="28:31" x14ac:dyDescent="0.2">
      <c r="AB2692" s="141"/>
      <c r="AD2692" s="141"/>
      <c r="AE2692" s="141"/>
    </row>
    <row r="2693" spans="28:31" x14ac:dyDescent="0.2">
      <c r="AB2693" s="141"/>
      <c r="AD2693" s="141"/>
      <c r="AE2693" s="141"/>
    </row>
    <row r="2694" spans="28:31" x14ac:dyDescent="0.2">
      <c r="AB2694" s="141"/>
      <c r="AD2694" s="141"/>
      <c r="AE2694" s="141"/>
    </row>
    <row r="2695" spans="28:31" x14ac:dyDescent="0.2">
      <c r="AB2695" s="141"/>
      <c r="AD2695" s="141"/>
      <c r="AE2695" s="141"/>
    </row>
    <row r="2696" spans="28:31" x14ac:dyDescent="0.2">
      <c r="AB2696" s="141"/>
      <c r="AD2696" s="141"/>
      <c r="AE2696" s="141"/>
    </row>
    <row r="2697" spans="28:31" x14ac:dyDescent="0.2">
      <c r="AB2697" s="141"/>
      <c r="AD2697" s="141"/>
      <c r="AE2697" s="141"/>
    </row>
    <row r="2698" spans="28:31" x14ac:dyDescent="0.2">
      <c r="AB2698" s="141"/>
      <c r="AD2698" s="141"/>
      <c r="AE2698" s="141"/>
    </row>
    <row r="2699" spans="28:31" x14ac:dyDescent="0.2">
      <c r="AB2699" s="141"/>
      <c r="AD2699" s="141"/>
      <c r="AE2699" s="141"/>
    </row>
    <row r="2700" spans="28:31" x14ac:dyDescent="0.2">
      <c r="AB2700" s="141"/>
      <c r="AD2700" s="141"/>
      <c r="AE2700" s="141"/>
    </row>
    <row r="2701" spans="28:31" x14ac:dyDescent="0.2">
      <c r="AB2701" s="141"/>
      <c r="AD2701" s="141"/>
      <c r="AE2701" s="141"/>
    </row>
    <row r="2702" spans="28:31" x14ac:dyDescent="0.2">
      <c r="AB2702" s="141"/>
      <c r="AD2702" s="141"/>
      <c r="AE2702" s="141"/>
    </row>
    <row r="2703" spans="28:31" x14ac:dyDescent="0.2">
      <c r="AB2703" s="141"/>
      <c r="AD2703" s="141"/>
      <c r="AE2703" s="141"/>
    </row>
    <row r="2704" spans="28:31" x14ac:dyDescent="0.2">
      <c r="AB2704" s="141"/>
      <c r="AD2704" s="141"/>
      <c r="AE2704" s="141"/>
    </row>
    <row r="2705" spans="28:31" x14ac:dyDescent="0.2">
      <c r="AB2705" s="141"/>
      <c r="AD2705" s="141"/>
      <c r="AE2705" s="141"/>
    </row>
    <row r="2706" spans="28:31" x14ac:dyDescent="0.2">
      <c r="AB2706" s="141"/>
      <c r="AD2706" s="141"/>
      <c r="AE2706" s="141"/>
    </row>
    <row r="2707" spans="28:31" x14ac:dyDescent="0.2">
      <c r="AB2707" s="141"/>
      <c r="AD2707" s="141"/>
      <c r="AE2707" s="141"/>
    </row>
    <row r="2708" spans="28:31" x14ac:dyDescent="0.2">
      <c r="AB2708" s="141"/>
      <c r="AD2708" s="141"/>
      <c r="AE2708" s="141"/>
    </row>
    <row r="2709" spans="28:31" x14ac:dyDescent="0.2">
      <c r="AB2709" s="141"/>
      <c r="AD2709" s="141"/>
      <c r="AE2709" s="141"/>
    </row>
    <row r="2710" spans="28:31" x14ac:dyDescent="0.2">
      <c r="AB2710" s="141"/>
      <c r="AD2710" s="141"/>
      <c r="AE2710" s="141"/>
    </row>
    <row r="2711" spans="28:31" x14ac:dyDescent="0.2">
      <c r="AB2711" s="141"/>
      <c r="AD2711" s="141"/>
      <c r="AE2711" s="141"/>
    </row>
    <row r="2712" spans="28:31" x14ac:dyDescent="0.2">
      <c r="AB2712" s="141"/>
      <c r="AD2712" s="141"/>
      <c r="AE2712" s="141"/>
    </row>
    <row r="2713" spans="28:31" x14ac:dyDescent="0.2">
      <c r="AB2713" s="141"/>
      <c r="AD2713" s="141"/>
      <c r="AE2713" s="141"/>
    </row>
    <row r="2714" spans="28:31" x14ac:dyDescent="0.2">
      <c r="AB2714" s="141"/>
      <c r="AD2714" s="141"/>
      <c r="AE2714" s="141"/>
    </row>
    <row r="2715" spans="28:31" x14ac:dyDescent="0.2">
      <c r="AB2715" s="141"/>
      <c r="AD2715" s="141"/>
      <c r="AE2715" s="141"/>
    </row>
    <row r="2716" spans="28:31" x14ac:dyDescent="0.2">
      <c r="AB2716" s="141"/>
      <c r="AD2716" s="141"/>
      <c r="AE2716" s="141"/>
    </row>
    <row r="2717" spans="28:31" x14ac:dyDescent="0.2">
      <c r="AB2717" s="141"/>
      <c r="AD2717" s="141"/>
      <c r="AE2717" s="141"/>
    </row>
    <row r="2718" spans="28:31" x14ac:dyDescent="0.2">
      <c r="AB2718" s="141"/>
      <c r="AD2718" s="141"/>
      <c r="AE2718" s="141"/>
    </row>
    <row r="2719" spans="28:31" x14ac:dyDescent="0.2">
      <c r="AB2719" s="141"/>
      <c r="AD2719" s="141"/>
      <c r="AE2719" s="141"/>
    </row>
    <row r="2720" spans="28:31" x14ac:dyDescent="0.2">
      <c r="AB2720" s="141"/>
      <c r="AD2720" s="141"/>
      <c r="AE2720" s="141"/>
    </row>
    <row r="2721" spans="28:31" x14ac:dyDescent="0.2">
      <c r="AB2721" s="141"/>
      <c r="AD2721" s="141"/>
      <c r="AE2721" s="141"/>
    </row>
    <row r="2722" spans="28:31" x14ac:dyDescent="0.2">
      <c r="AB2722" s="141"/>
      <c r="AD2722" s="141"/>
      <c r="AE2722" s="141"/>
    </row>
    <row r="2723" spans="28:31" x14ac:dyDescent="0.2">
      <c r="AB2723" s="141"/>
      <c r="AD2723" s="141"/>
      <c r="AE2723" s="141"/>
    </row>
    <row r="2724" spans="28:31" x14ac:dyDescent="0.2">
      <c r="AB2724" s="141"/>
      <c r="AD2724" s="141"/>
      <c r="AE2724" s="141"/>
    </row>
    <row r="2725" spans="28:31" x14ac:dyDescent="0.2">
      <c r="AB2725" s="141"/>
      <c r="AD2725" s="141"/>
      <c r="AE2725" s="141"/>
    </row>
    <row r="2726" spans="28:31" x14ac:dyDescent="0.2">
      <c r="AB2726" s="141"/>
      <c r="AD2726" s="141"/>
      <c r="AE2726" s="141"/>
    </row>
    <row r="2727" spans="28:31" x14ac:dyDescent="0.2">
      <c r="AB2727" s="141"/>
      <c r="AD2727" s="141"/>
      <c r="AE2727" s="141"/>
    </row>
    <row r="2728" spans="28:31" x14ac:dyDescent="0.2">
      <c r="AB2728" s="141"/>
      <c r="AD2728" s="141"/>
      <c r="AE2728" s="141"/>
    </row>
    <row r="2729" spans="28:31" x14ac:dyDescent="0.2">
      <c r="AB2729" s="141"/>
      <c r="AD2729" s="141"/>
      <c r="AE2729" s="141"/>
    </row>
    <row r="2730" spans="28:31" x14ac:dyDescent="0.2">
      <c r="AB2730" s="141"/>
      <c r="AD2730" s="141"/>
      <c r="AE2730" s="141"/>
    </row>
    <row r="2731" spans="28:31" x14ac:dyDescent="0.2">
      <c r="AB2731" s="141"/>
      <c r="AD2731" s="141"/>
      <c r="AE2731" s="141"/>
    </row>
    <row r="2732" spans="28:31" x14ac:dyDescent="0.2">
      <c r="AB2732" s="141"/>
      <c r="AD2732" s="141"/>
      <c r="AE2732" s="141"/>
    </row>
    <row r="2733" spans="28:31" x14ac:dyDescent="0.2">
      <c r="AB2733" s="141"/>
      <c r="AD2733" s="141"/>
      <c r="AE2733" s="141"/>
    </row>
    <row r="2734" spans="28:31" x14ac:dyDescent="0.2">
      <c r="AB2734" s="141"/>
      <c r="AD2734" s="141"/>
      <c r="AE2734" s="141"/>
    </row>
    <row r="2735" spans="28:31" x14ac:dyDescent="0.2">
      <c r="AB2735" s="141"/>
      <c r="AD2735" s="141"/>
      <c r="AE2735" s="141"/>
    </row>
    <row r="2736" spans="28:31" x14ac:dyDescent="0.2">
      <c r="AB2736" s="141"/>
      <c r="AD2736" s="141"/>
      <c r="AE2736" s="141"/>
    </row>
    <row r="2737" spans="28:31" x14ac:dyDescent="0.2">
      <c r="AB2737" s="141"/>
      <c r="AD2737" s="141"/>
      <c r="AE2737" s="141"/>
    </row>
    <row r="2738" spans="28:31" x14ac:dyDescent="0.2">
      <c r="AB2738" s="141"/>
      <c r="AD2738" s="141"/>
      <c r="AE2738" s="141"/>
    </row>
    <row r="2739" spans="28:31" x14ac:dyDescent="0.2">
      <c r="AB2739" s="141"/>
      <c r="AD2739" s="141"/>
      <c r="AE2739" s="141"/>
    </row>
    <row r="2740" spans="28:31" x14ac:dyDescent="0.2">
      <c r="AB2740" s="141"/>
      <c r="AD2740" s="141"/>
      <c r="AE2740" s="141"/>
    </row>
    <row r="2741" spans="28:31" x14ac:dyDescent="0.2">
      <c r="AB2741" s="141"/>
      <c r="AD2741" s="141"/>
      <c r="AE2741" s="141"/>
    </row>
    <row r="2742" spans="28:31" x14ac:dyDescent="0.2">
      <c r="AB2742" s="141"/>
      <c r="AD2742" s="141"/>
      <c r="AE2742" s="141"/>
    </row>
    <row r="2743" spans="28:31" x14ac:dyDescent="0.2">
      <c r="AB2743" s="141"/>
      <c r="AD2743" s="141"/>
      <c r="AE2743" s="141"/>
    </row>
    <row r="2744" spans="28:31" x14ac:dyDescent="0.2">
      <c r="AB2744" s="141"/>
      <c r="AD2744" s="141"/>
      <c r="AE2744" s="141"/>
    </row>
    <row r="2745" spans="28:31" x14ac:dyDescent="0.2">
      <c r="AB2745" s="141"/>
      <c r="AD2745" s="141"/>
      <c r="AE2745" s="141"/>
    </row>
    <row r="2746" spans="28:31" x14ac:dyDescent="0.2">
      <c r="AB2746" s="141"/>
      <c r="AD2746" s="141"/>
      <c r="AE2746" s="141"/>
    </row>
    <row r="2747" spans="28:31" x14ac:dyDescent="0.2">
      <c r="AB2747" s="141"/>
      <c r="AD2747" s="141"/>
      <c r="AE2747" s="141"/>
    </row>
    <row r="2748" spans="28:31" x14ac:dyDescent="0.2">
      <c r="AB2748" s="141"/>
      <c r="AD2748" s="141"/>
      <c r="AE2748" s="141"/>
    </row>
    <row r="2749" spans="28:31" x14ac:dyDescent="0.2">
      <c r="AB2749" s="141"/>
      <c r="AD2749" s="141"/>
      <c r="AE2749" s="141"/>
    </row>
    <row r="2750" spans="28:31" x14ac:dyDescent="0.2">
      <c r="AB2750" s="141"/>
      <c r="AD2750" s="141"/>
      <c r="AE2750" s="141"/>
    </row>
    <row r="2751" spans="28:31" x14ac:dyDescent="0.2">
      <c r="AB2751" s="141"/>
      <c r="AD2751" s="141"/>
      <c r="AE2751" s="141"/>
    </row>
    <row r="2752" spans="28:31" x14ac:dyDescent="0.2">
      <c r="AB2752" s="141"/>
      <c r="AD2752" s="141"/>
      <c r="AE2752" s="141"/>
    </row>
    <row r="2753" spans="28:31" x14ac:dyDescent="0.2">
      <c r="AB2753" s="141"/>
      <c r="AD2753" s="141"/>
      <c r="AE2753" s="141"/>
    </row>
    <row r="2754" spans="28:31" x14ac:dyDescent="0.2">
      <c r="AB2754" s="141"/>
      <c r="AD2754" s="141"/>
      <c r="AE2754" s="141"/>
    </row>
    <row r="2755" spans="28:31" x14ac:dyDescent="0.2">
      <c r="AB2755" s="141"/>
      <c r="AD2755" s="141"/>
      <c r="AE2755" s="141"/>
    </row>
    <row r="2756" spans="28:31" x14ac:dyDescent="0.2">
      <c r="AB2756" s="141"/>
      <c r="AD2756" s="141"/>
      <c r="AE2756" s="141"/>
    </row>
    <row r="2757" spans="28:31" x14ac:dyDescent="0.2">
      <c r="AB2757" s="141"/>
      <c r="AD2757" s="141"/>
      <c r="AE2757" s="141"/>
    </row>
    <row r="2758" spans="28:31" x14ac:dyDescent="0.2">
      <c r="AB2758" s="141"/>
      <c r="AD2758" s="141"/>
      <c r="AE2758" s="141"/>
    </row>
    <row r="2759" spans="28:31" x14ac:dyDescent="0.2">
      <c r="AB2759" s="141"/>
      <c r="AD2759" s="141"/>
      <c r="AE2759" s="141"/>
    </row>
    <row r="2760" spans="28:31" x14ac:dyDescent="0.2">
      <c r="AB2760" s="141"/>
      <c r="AD2760" s="141"/>
      <c r="AE2760" s="141"/>
    </row>
    <row r="2761" spans="28:31" x14ac:dyDescent="0.2">
      <c r="AB2761" s="141"/>
      <c r="AD2761" s="141"/>
      <c r="AE2761" s="141"/>
    </row>
    <row r="2762" spans="28:31" x14ac:dyDescent="0.2">
      <c r="AB2762" s="141"/>
      <c r="AD2762" s="141"/>
      <c r="AE2762" s="141"/>
    </row>
    <row r="2763" spans="28:31" x14ac:dyDescent="0.2">
      <c r="AB2763" s="141"/>
      <c r="AD2763" s="141"/>
      <c r="AE2763" s="141"/>
    </row>
    <row r="2764" spans="28:31" x14ac:dyDescent="0.2">
      <c r="AB2764" s="141"/>
      <c r="AD2764" s="141"/>
      <c r="AE2764" s="141"/>
    </row>
    <row r="2765" spans="28:31" x14ac:dyDescent="0.2">
      <c r="AB2765" s="141"/>
      <c r="AD2765" s="141"/>
      <c r="AE2765" s="141"/>
    </row>
    <row r="2766" spans="28:31" x14ac:dyDescent="0.2">
      <c r="AB2766" s="141"/>
      <c r="AD2766" s="141"/>
      <c r="AE2766" s="141"/>
    </row>
    <row r="2767" spans="28:31" x14ac:dyDescent="0.2">
      <c r="AB2767" s="141"/>
      <c r="AD2767" s="141"/>
      <c r="AE2767" s="141"/>
    </row>
    <row r="2768" spans="28:31" x14ac:dyDescent="0.2">
      <c r="AB2768" s="141"/>
      <c r="AD2768" s="141"/>
      <c r="AE2768" s="141"/>
    </row>
    <row r="2769" spans="28:31" x14ac:dyDescent="0.2">
      <c r="AB2769" s="141"/>
      <c r="AD2769" s="141"/>
      <c r="AE2769" s="141"/>
    </row>
    <row r="2770" spans="28:31" x14ac:dyDescent="0.2">
      <c r="AB2770" s="141"/>
      <c r="AD2770" s="141"/>
      <c r="AE2770" s="141"/>
    </row>
    <row r="2771" spans="28:31" x14ac:dyDescent="0.2">
      <c r="AB2771" s="141"/>
      <c r="AD2771" s="141"/>
      <c r="AE2771" s="141"/>
    </row>
    <row r="2772" spans="28:31" x14ac:dyDescent="0.2">
      <c r="AB2772" s="141"/>
      <c r="AD2772" s="141"/>
      <c r="AE2772" s="141"/>
    </row>
    <row r="2773" spans="28:31" x14ac:dyDescent="0.2">
      <c r="AB2773" s="141"/>
      <c r="AD2773" s="141"/>
      <c r="AE2773" s="141"/>
    </row>
    <row r="2774" spans="28:31" x14ac:dyDescent="0.2">
      <c r="AB2774" s="141"/>
      <c r="AD2774" s="141"/>
      <c r="AE2774" s="141"/>
    </row>
    <row r="2775" spans="28:31" x14ac:dyDescent="0.2">
      <c r="AB2775" s="141"/>
      <c r="AD2775" s="141"/>
      <c r="AE2775" s="141"/>
    </row>
    <row r="2776" spans="28:31" x14ac:dyDescent="0.2">
      <c r="AB2776" s="141"/>
      <c r="AD2776" s="141"/>
      <c r="AE2776" s="141"/>
    </row>
    <row r="2777" spans="28:31" x14ac:dyDescent="0.2">
      <c r="AB2777" s="141"/>
      <c r="AD2777" s="141"/>
      <c r="AE2777" s="141"/>
    </row>
    <row r="2778" spans="28:31" x14ac:dyDescent="0.2">
      <c r="AB2778" s="141"/>
      <c r="AD2778" s="141"/>
      <c r="AE2778" s="141"/>
    </row>
    <row r="2779" spans="28:31" x14ac:dyDescent="0.2">
      <c r="AB2779" s="141"/>
      <c r="AD2779" s="141"/>
      <c r="AE2779" s="141"/>
    </row>
    <row r="2780" spans="28:31" x14ac:dyDescent="0.2">
      <c r="AB2780" s="141"/>
      <c r="AD2780" s="141"/>
      <c r="AE2780" s="141"/>
    </row>
    <row r="2781" spans="28:31" x14ac:dyDescent="0.2">
      <c r="AB2781" s="141"/>
      <c r="AD2781" s="141"/>
      <c r="AE2781" s="141"/>
    </row>
    <row r="2782" spans="28:31" x14ac:dyDescent="0.2">
      <c r="AB2782" s="141"/>
      <c r="AD2782" s="141"/>
      <c r="AE2782" s="141"/>
    </row>
    <row r="2783" spans="28:31" x14ac:dyDescent="0.2">
      <c r="AB2783" s="141"/>
      <c r="AD2783" s="141"/>
      <c r="AE2783" s="141"/>
    </row>
    <row r="2784" spans="28:31" x14ac:dyDescent="0.2">
      <c r="AB2784" s="141"/>
      <c r="AD2784" s="141"/>
      <c r="AE2784" s="141"/>
    </row>
    <row r="2785" spans="28:31" x14ac:dyDescent="0.2">
      <c r="AB2785" s="141"/>
      <c r="AD2785" s="141"/>
      <c r="AE2785" s="141"/>
    </row>
    <row r="2786" spans="28:31" x14ac:dyDescent="0.2">
      <c r="AB2786" s="141"/>
      <c r="AD2786" s="141"/>
      <c r="AE2786" s="141"/>
    </row>
    <row r="2787" spans="28:31" x14ac:dyDescent="0.2">
      <c r="AB2787" s="141"/>
      <c r="AD2787" s="141"/>
      <c r="AE2787" s="141"/>
    </row>
    <row r="2788" spans="28:31" x14ac:dyDescent="0.2">
      <c r="AB2788" s="141"/>
      <c r="AD2788" s="141"/>
      <c r="AE2788" s="141"/>
    </row>
    <row r="2789" spans="28:31" x14ac:dyDescent="0.2">
      <c r="AB2789" s="141"/>
      <c r="AD2789" s="141"/>
      <c r="AE2789" s="141"/>
    </row>
    <row r="2790" spans="28:31" x14ac:dyDescent="0.2">
      <c r="AB2790" s="141"/>
      <c r="AD2790" s="141"/>
      <c r="AE2790" s="141"/>
    </row>
    <row r="2791" spans="28:31" x14ac:dyDescent="0.2">
      <c r="AB2791" s="141"/>
      <c r="AD2791" s="141"/>
      <c r="AE2791" s="141"/>
    </row>
    <row r="2792" spans="28:31" x14ac:dyDescent="0.2">
      <c r="AB2792" s="141"/>
      <c r="AD2792" s="141"/>
      <c r="AE2792" s="141"/>
    </row>
    <row r="2793" spans="28:31" x14ac:dyDescent="0.2">
      <c r="AB2793" s="141"/>
      <c r="AD2793" s="141"/>
      <c r="AE2793" s="141"/>
    </row>
    <row r="2794" spans="28:31" x14ac:dyDescent="0.2">
      <c r="AB2794" s="141"/>
      <c r="AD2794" s="141"/>
      <c r="AE2794" s="141"/>
    </row>
    <row r="2795" spans="28:31" x14ac:dyDescent="0.2">
      <c r="AB2795" s="141"/>
      <c r="AD2795" s="141"/>
      <c r="AE2795" s="141"/>
    </row>
    <row r="2796" spans="28:31" x14ac:dyDescent="0.2">
      <c r="AB2796" s="141"/>
      <c r="AD2796" s="141"/>
      <c r="AE2796" s="141"/>
    </row>
    <row r="2797" spans="28:31" x14ac:dyDescent="0.2">
      <c r="AB2797" s="141"/>
      <c r="AD2797" s="141"/>
      <c r="AE2797" s="141"/>
    </row>
    <row r="2798" spans="28:31" x14ac:dyDescent="0.2">
      <c r="AB2798" s="141"/>
      <c r="AD2798" s="141"/>
      <c r="AE2798" s="141"/>
    </row>
    <row r="2799" spans="28:31" x14ac:dyDescent="0.2">
      <c r="AB2799" s="141"/>
      <c r="AD2799" s="141"/>
      <c r="AE2799" s="141"/>
    </row>
    <row r="2800" spans="28:31" x14ac:dyDescent="0.2">
      <c r="AB2800" s="141"/>
      <c r="AD2800" s="141"/>
      <c r="AE2800" s="141"/>
    </row>
    <row r="2801" spans="28:31" x14ac:dyDescent="0.2">
      <c r="AB2801" s="141"/>
      <c r="AD2801" s="141"/>
      <c r="AE2801" s="141"/>
    </row>
    <row r="2802" spans="28:31" x14ac:dyDescent="0.2">
      <c r="AB2802" s="141"/>
      <c r="AD2802" s="141"/>
      <c r="AE2802" s="141"/>
    </row>
    <row r="2803" spans="28:31" x14ac:dyDescent="0.2">
      <c r="AB2803" s="141"/>
      <c r="AD2803" s="141"/>
      <c r="AE2803" s="141"/>
    </row>
    <row r="2804" spans="28:31" x14ac:dyDescent="0.2">
      <c r="AB2804" s="141"/>
      <c r="AD2804" s="141"/>
      <c r="AE2804" s="141"/>
    </row>
    <row r="2805" spans="28:31" x14ac:dyDescent="0.2">
      <c r="AB2805" s="141"/>
      <c r="AD2805" s="141"/>
      <c r="AE2805" s="141"/>
    </row>
    <row r="2806" spans="28:31" x14ac:dyDescent="0.2">
      <c r="AB2806" s="141"/>
      <c r="AD2806" s="141"/>
      <c r="AE2806" s="141"/>
    </row>
    <row r="2807" spans="28:31" x14ac:dyDescent="0.2">
      <c r="AB2807" s="141"/>
      <c r="AD2807" s="141"/>
      <c r="AE2807" s="141"/>
    </row>
    <row r="2808" spans="28:31" x14ac:dyDescent="0.2">
      <c r="AB2808" s="141"/>
      <c r="AD2808" s="141"/>
      <c r="AE2808" s="141"/>
    </row>
    <row r="2809" spans="28:31" x14ac:dyDescent="0.2">
      <c r="AB2809" s="141"/>
      <c r="AD2809" s="141"/>
      <c r="AE2809" s="141"/>
    </row>
    <row r="2810" spans="28:31" x14ac:dyDescent="0.2">
      <c r="AB2810" s="141"/>
      <c r="AD2810" s="141"/>
      <c r="AE2810" s="141"/>
    </row>
    <row r="2811" spans="28:31" x14ac:dyDescent="0.2">
      <c r="AB2811" s="141"/>
      <c r="AD2811" s="141"/>
      <c r="AE2811" s="141"/>
    </row>
    <row r="2812" spans="28:31" x14ac:dyDescent="0.2">
      <c r="AB2812" s="141"/>
      <c r="AD2812" s="141"/>
      <c r="AE2812" s="141"/>
    </row>
    <row r="2813" spans="28:31" x14ac:dyDescent="0.2">
      <c r="AB2813" s="141"/>
      <c r="AD2813" s="141"/>
      <c r="AE2813" s="141"/>
    </row>
    <row r="2814" spans="28:31" x14ac:dyDescent="0.2">
      <c r="AB2814" s="141"/>
      <c r="AD2814" s="141"/>
      <c r="AE2814" s="141"/>
    </row>
    <row r="2815" spans="28:31" x14ac:dyDescent="0.2">
      <c r="AB2815" s="141"/>
      <c r="AD2815" s="141"/>
      <c r="AE2815" s="141"/>
    </row>
    <row r="2816" spans="28:31" x14ac:dyDescent="0.2">
      <c r="AB2816" s="141"/>
      <c r="AD2816" s="141"/>
      <c r="AE2816" s="141"/>
    </row>
    <row r="2817" spans="28:31" x14ac:dyDescent="0.2">
      <c r="AB2817" s="141"/>
      <c r="AD2817" s="141"/>
      <c r="AE2817" s="141"/>
    </row>
    <row r="2818" spans="28:31" x14ac:dyDescent="0.2">
      <c r="AB2818" s="141"/>
      <c r="AD2818" s="141"/>
      <c r="AE2818" s="141"/>
    </row>
    <row r="2819" spans="28:31" x14ac:dyDescent="0.2">
      <c r="AB2819" s="141"/>
      <c r="AD2819" s="141"/>
      <c r="AE2819" s="141"/>
    </row>
    <row r="2820" spans="28:31" x14ac:dyDescent="0.2">
      <c r="AB2820" s="141"/>
      <c r="AD2820" s="141"/>
      <c r="AE2820" s="141"/>
    </row>
    <row r="2821" spans="28:31" x14ac:dyDescent="0.2">
      <c r="AB2821" s="141"/>
      <c r="AD2821" s="141"/>
      <c r="AE2821" s="141"/>
    </row>
    <row r="2822" spans="28:31" x14ac:dyDescent="0.2">
      <c r="AB2822" s="141"/>
      <c r="AD2822" s="141"/>
      <c r="AE2822" s="141"/>
    </row>
    <row r="2823" spans="28:31" x14ac:dyDescent="0.2">
      <c r="AB2823" s="141"/>
      <c r="AD2823" s="141"/>
      <c r="AE2823" s="141"/>
    </row>
    <row r="2824" spans="28:31" x14ac:dyDescent="0.2">
      <c r="AB2824" s="141"/>
      <c r="AD2824" s="141"/>
      <c r="AE2824" s="141"/>
    </row>
    <row r="2825" spans="28:31" x14ac:dyDescent="0.2">
      <c r="AB2825" s="141"/>
      <c r="AD2825" s="141"/>
      <c r="AE2825" s="141"/>
    </row>
    <row r="2826" spans="28:31" x14ac:dyDescent="0.2">
      <c r="AB2826" s="141"/>
      <c r="AD2826" s="141"/>
      <c r="AE2826" s="141"/>
    </row>
    <row r="2827" spans="28:31" x14ac:dyDescent="0.2">
      <c r="AB2827" s="141"/>
      <c r="AD2827" s="141"/>
      <c r="AE2827" s="141"/>
    </row>
    <row r="2828" spans="28:31" x14ac:dyDescent="0.2">
      <c r="AB2828" s="141"/>
      <c r="AD2828" s="141"/>
      <c r="AE2828" s="141"/>
    </row>
    <row r="2829" spans="28:31" x14ac:dyDescent="0.2">
      <c r="AB2829" s="141"/>
      <c r="AD2829" s="141"/>
      <c r="AE2829" s="141"/>
    </row>
    <row r="2830" spans="28:31" x14ac:dyDescent="0.2">
      <c r="AB2830" s="141"/>
      <c r="AD2830" s="141"/>
      <c r="AE2830" s="141"/>
    </row>
    <row r="2831" spans="28:31" x14ac:dyDescent="0.2">
      <c r="AB2831" s="141"/>
      <c r="AD2831" s="141"/>
      <c r="AE2831" s="141"/>
    </row>
    <row r="2832" spans="28:31" x14ac:dyDescent="0.2">
      <c r="AB2832" s="141"/>
      <c r="AD2832" s="141"/>
      <c r="AE2832" s="141"/>
    </row>
    <row r="2833" spans="28:31" x14ac:dyDescent="0.2">
      <c r="AB2833" s="141"/>
      <c r="AD2833" s="141"/>
      <c r="AE2833" s="141"/>
    </row>
    <row r="2834" spans="28:31" x14ac:dyDescent="0.2">
      <c r="AB2834" s="141"/>
      <c r="AD2834" s="141"/>
      <c r="AE2834" s="141"/>
    </row>
    <row r="2835" spans="28:31" x14ac:dyDescent="0.2">
      <c r="AB2835" s="141"/>
      <c r="AD2835" s="141"/>
      <c r="AE2835" s="141"/>
    </row>
    <row r="2836" spans="28:31" x14ac:dyDescent="0.2">
      <c r="AB2836" s="141"/>
      <c r="AD2836" s="141"/>
      <c r="AE2836" s="141"/>
    </row>
    <row r="2837" spans="28:31" x14ac:dyDescent="0.2">
      <c r="AB2837" s="141"/>
      <c r="AD2837" s="141"/>
      <c r="AE2837" s="141"/>
    </row>
    <row r="2838" spans="28:31" x14ac:dyDescent="0.2">
      <c r="AB2838" s="141"/>
      <c r="AD2838" s="141"/>
      <c r="AE2838" s="141"/>
    </row>
    <row r="2839" spans="28:31" x14ac:dyDescent="0.2">
      <c r="AB2839" s="141"/>
      <c r="AD2839" s="141"/>
      <c r="AE2839" s="141"/>
    </row>
    <row r="2840" spans="28:31" x14ac:dyDescent="0.2">
      <c r="AB2840" s="141"/>
      <c r="AD2840" s="141"/>
      <c r="AE2840" s="141"/>
    </row>
    <row r="2841" spans="28:31" x14ac:dyDescent="0.2">
      <c r="AB2841" s="141"/>
      <c r="AD2841" s="141"/>
      <c r="AE2841" s="141"/>
    </row>
    <row r="2842" spans="28:31" x14ac:dyDescent="0.2">
      <c r="AB2842" s="141"/>
      <c r="AD2842" s="141"/>
      <c r="AE2842" s="141"/>
    </row>
    <row r="2843" spans="28:31" x14ac:dyDescent="0.2">
      <c r="AB2843" s="141"/>
      <c r="AD2843" s="141"/>
      <c r="AE2843" s="141"/>
    </row>
    <row r="2844" spans="28:31" x14ac:dyDescent="0.2">
      <c r="AB2844" s="141"/>
      <c r="AD2844" s="141"/>
      <c r="AE2844" s="141"/>
    </row>
    <row r="2845" spans="28:31" x14ac:dyDescent="0.2">
      <c r="AB2845" s="141"/>
      <c r="AD2845" s="141"/>
      <c r="AE2845" s="141"/>
    </row>
    <row r="2846" spans="28:31" x14ac:dyDescent="0.2">
      <c r="AB2846" s="141"/>
      <c r="AD2846" s="141"/>
      <c r="AE2846" s="141"/>
    </row>
    <row r="2847" spans="28:31" x14ac:dyDescent="0.2">
      <c r="AB2847" s="141"/>
      <c r="AD2847" s="141"/>
      <c r="AE2847" s="141"/>
    </row>
    <row r="2848" spans="28:31" x14ac:dyDescent="0.2">
      <c r="AB2848" s="141"/>
      <c r="AD2848" s="141"/>
      <c r="AE2848" s="141"/>
    </row>
    <row r="2849" spans="28:31" x14ac:dyDescent="0.2">
      <c r="AB2849" s="141"/>
      <c r="AD2849" s="141"/>
      <c r="AE2849" s="141"/>
    </row>
    <row r="2850" spans="28:31" x14ac:dyDescent="0.2">
      <c r="AB2850" s="141"/>
      <c r="AD2850" s="141"/>
      <c r="AE2850" s="141"/>
    </row>
    <row r="2851" spans="28:31" x14ac:dyDescent="0.2">
      <c r="AB2851" s="141"/>
      <c r="AD2851" s="141"/>
      <c r="AE2851" s="141"/>
    </row>
    <row r="2852" spans="28:31" x14ac:dyDescent="0.2">
      <c r="AB2852" s="141"/>
      <c r="AD2852" s="141"/>
      <c r="AE2852" s="141"/>
    </row>
    <row r="2853" spans="28:31" x14ac:dyDescent="0.2">
      <c r="AB2853" s="141"/>
      <c r="AD2853" s="141"/>
      <c r="AE2853" s="141"/>
    </row>
    <row r="2854" spans="28:31" x14ac:dyDescent="0.2">
      <c r="AB2854" s="141"/>
      <c r="AD2854" s="141"/>
      <c r="AE2854" s="141"/>
    </row>
    <row r="2855" spans="28:31" x14ac:dyDescent="0.2">
      <c r="AB2855" s="141"/>
      <c r="AD2855" s="141"/>
      <c r="AE2855" s="141"/>
    </row>
    <row r="2856" spans="28:31" x14ac:dyDescent="0.2">
      <c r="AB2856" s="141"/>
      <c r="AD2856" s="141"/>
      <c r="AE2856" s="141"/>
    </row>
    <row r="2857" spans="28:31" x14ac:dyDescent="0.2">
      <c r="AB2857" s="141"/>
      <c r="AD2857" s="141"/>
      <c r="AE2857" s="141"/>
    </row>
    <row r="2858" spans="28:31" x14ac:dyDescent="0.2">
      <c r="AB2858" s="141"/>
      <c r="AD2858" s="141"/>
      <c r="AE2858" s="141"/>
    </row>
    <row r="2859" spans="28:31" x14ac:dyDescent="0.2">
      <c r="AB2859" s="141"/>
      <c r="AD2859" s="141"/>
      <c r="AE2859" s="141"/>
    </row>
    <row r="2860" spans="28:31" x14ac:dyDescent="0.2">
      <c r="AB2860" s="141"/>
      <c r="AD2860" s="141"/>
      <c r="AE2860" s="141"/>
    </row>
    <row r="2861" spans="28:31" x14ac:dyDescent="0.2">
      <c r="AB2861" s="141"/>
      <c r="AD2861" s="141"/>
      <c r="AE2861" s="141"/>
    </row>
    <row r="2862" spans="28:31" x14ac:dyDescent="0.2">
      <c r="AB2862" s="141"/>
      <c r="AD2862" s="141"/>
      <c r="AE2862" s="141"/>
    </row>
    <row r="2863" spans="28:31" x14ac:dyDescent="0.2">
      <c r="AB2863" s="141"/>
      <c r="AD2863" s="141"/>
      <c r="AE2863" s="141"/>
    </row>
    <row r="2864" spans="28:31" x14ac:dyDescent="0.2">
      <c r="AB2864" s="141"/>
      <c r="AD2864" s="141"/>
      <c r="AE2864" s="141"/>
    </row>
    <row r="2865" spans="28:31" x14ac:dyDescent="0.2">
      <c r="AB2865" s="141"/>
      <c r="AD2865" s="141"/>
      <c r="AE2865" s="141"/>
    </row>
    <row r="2866" spans="28:31" x14ac:dyDescent="0.2">
      <c r="AB2866" s="141"/>
      <c r="AD2866" s="141"/>
      <c r="AE2866" s="141"/>
    </row>
    <row r="2867" spans="28:31" x14ac:dyDescent="0.2">
      <c r="AB2867" s="141"/>
      <c r="AD2867" s="141"/>
      <c r="AE2867" s="141"/>
    </row>
    <row r="2868" spans="28:31" x14ac:dyDescent="0.2">
      <c r="AB2868" s="141"/>
      <c r="AD2868" s="141"/>
      <c r="AE2868" s="141"/>
    </row>
    <row r="2869" spans="28:31" x14ac:dyDescent="0.2">
      <c r="AB2869" s="141"/>
      <c r="AD2869" s="141"/>
      <c r="AE2869" s="141"/>
    </row>
    <row r="2870" spans="28:31" x14ac:dyDescent="0.2">
      <c r="AB2870" s="141"/>
      <c r="AD2870" s="141"/>
      <c r="AE2870" s="141"/>
    </row>
    <row r="2871" spans="28:31" x14ac:dyDescent="0.2">
      <c r="AB2871" s="141"/>
      <c r="AD2871" s="141"/>
      <c r="AE2871" s="141"/>
    </row>
    <row r="2872" spans="28:31" x14ac:dyDescent="0.2">
      <c r="AB2872" s="141"/>
      <c r="AD2872" s="141"/>
      <c r="AE2872" s="141"/>
    </row>
    <row r="2873" spans="28:31" x14ac:dyDescent="0.2">
      <c r="AB2873" s="141"/>
      <c r="AD2873" s="141"/>
      <c r="AE2873" s="141"/>
    </row>
    <row r="2874" spans="28:31" x14ac:dyDescent="0.2">
      <c r="AB2874" s="141"/>
      <c r="AD2874" s="141"/>
      <c r="AE2874" s="141"/>
    </row>
    <row r="2875" spans="28:31" x14ac:dyDescent="0.2">
      <c r="AB2875" s="141"/>
      <c r="AD2875" s="141"/>
      <c r="AE2875" s="141"/>
    </row>
    <row r="2876" spans="28:31" x14ac:dyDescent="0.2">
      <c r="AB2876" s="141"/>
      <c r="AD2876" s="141"/>
      <c r="AE2876" s="141"/>
    </row>
    <row r="2877" spans="28:31" x14ac:dyDescent="0.2">
      <c r="AB2877" s="141"/>
      <c r="AD2877" s="141"/>
      <c r="AE2877" s="141"/>
    </row>
    <row r="2878" spans="28:31" x14ac:dyDescent="0.2">
      <c r="AB2878" s="141"/>
      <c r="AD2878" s="141"/>
      <c r="AE2878" s="141"/>
    </row>
    <row r="2879" spans="28:31" x14ac:dyDescent="0.2">
      <c r="AB2879" s="141"/>
      <c r="AD2879" s="141"/>
      <c r="AE2879" s="141"/>
    </row>
    <row r="2880" spans="28:31" x14ac:dyDescent="0.2">
      <c r="AB2880" s="141"/>
      <c r="AD2880" s="141"/>
      <c r="AE2880" s="141"/>
    </row>
    <row r="2881" spans="28:31" x14ac:dyDescent="0.2">
      <c r="AB2881" s="141"/>
      <c r="AD2881" s="141"/>
      <c r="AE2881" s="141"/>
    </row>
    <row r="2882" spans="28:31" x14ac:dyDescent="0.2">
      <c r="AB2882" s="141"/>
      <c r="AD2882" s="141"/>
      <c r="AE2882" s="141"/>
    </row>
    <row r="2883" spans="28:31" x14ac:dyDescent="0.2">
      <c r="AB2883" s="141"/>
      <c r="AD2883" s="141"/>
      <c r="AE2883" s="141"/>
    </row>
    <row r="2884" spans="28:31" x14ac:dyDescent="0.2">
      <c r="AB2884" s="141"/>
      <c r="AD2884" s="141"/>
      <c r="AE2884" s="141"/>
    </row>
    <row r="2885" spans="28:31" x14ac:dyDescent="0.2">
      <c r="AB2885" s="141"/>
      <c r="AD2885" s="141"/>
      <c r="AE2885" s="141"/>
    </row>
    <row r="2886" spans="28:31" x14ac:dyDescent="0.2">
      <c r="AB2886" s="141"/>
      <c r="AD2886" s="141"/>
      <c r="AE2886" s="141"/>
    </row>
    <row r="2887" spans="28:31" x14ac:dyDescent="0.2">
      <c r="AB2887" s="141"/>
      <c r="AD2887" s="141"/>
      <c r="AE2887" s="141"/>
    </row>
    <row r="2888" spans="28:31" x14ac:dyDescent="0.2">
      <c r="AB2888" s="141"/>
      <c r="AD2888" s="141"/>
      <c r="AE2888" s="141"/>
    </row>
    <row r="2889" spans="28:31" x14ac:dyDescent="0.2">
      <c r="AB2889" s="141"/>
      <c r="AD2889" s="141"/>
      <c r="AE2889" s="141"/>
    </row>
    <row r="2890" spans="28:31" x14ac:dyDescent="0.2">
      <c r="AB2890" s="141"/>
      <c r="AD2890" s="141"/>
      <c r="AE2890" s="141"/>
    </row>
    <row r="2891" spans="28:31" x14ac:dyDescent="0.2">
      <c r="AB2891" s="141"/>
      <c r="AD2891" s="141"/>
      <c r="AE2891" s="141"/>
    </row>
    <row r="2892" spans="28:31" x14ac:dyDescent="0.2">
      <c r="AB2892" s="141"/>
      <c r="AD2892" s="141"/>
      <c r="AE2892" s="141"/>
    </row>
    <row r="2893" spans="28:31" x14ac:dyDescent="0.2">
      <c r="AB2893" s="141"/>
      <c r="AD2893" s="141"/>
      <c r="AE2893" s="141"/>
    </row>
    <row r="2894" spans="28:31" x14ac:dyDescent="0.2">
      <c r="AB2894" s="141"/>
      <c r="AD2894" s="141"/>
      <c r="AE2894" s="141"/>
    </row>
    <row r="2895" spans="28:31" x14ac:dyDescent="0.2">
      <c r="AB2895" s="141"/>
      <c r="AD2895" s="141"/>
      <c r="AE2895" s="141"/>
    </row>
    <row r="2896" spans="28:31" x14ac:dyDescent="0.2">
      <c r="AB2896" s="141"/>
      <c r="AD2896" s="141"/>
      <c r="AE2896" s="141"/>
    </row>
    <row r="2897" spans="28:31" x14ac:dyDescent="0.2">
      <c r="AB2897" s="141"/>
      <c r="AD2897" s="141"/>
      <c r="AE2897" s="141"/>
    </row>
    <row r="2898" spans="28:31" x14ac:dyDescent="0.2">
      <c r="AB2898" s="141"/>
      <c r="AD2898" s="141"/>
      <c r="AE2898" s="141"/>
    </row>
    <row r="2899" spans="28:31" x14ac:dyDescent="0.2">
      <c r="AB2899" s="141"/>
      <c r="AD2899" s="141"/>
      <c r="AE2899" s="141"/>
    </row>
    <row r="2900" spans="28:31" x14ac:dyDescent="0.2">
      <c r="AB2900" s="141"/>
      <c r="AD2900" s="141"/>
      <c r="AE2900" s="141"/>
    </row>
    <row r="2901" spans="28:31" x14ac:dyDescent="0.2">
      <c r="AB2901" s="141"/>
      <c r="AD2901" s="141"/>
      <c r="AE2901" s="141"/>
    </row>
    <row r="2902" spans="28:31" x14ac:dyDescent="0.2">
      <c r="AB2902" s="141"/>
      <c r="AD2902" s="141"/>
      <c r="AE2902" s="141"/>
    </row>
    <row r="2903" spans="28:31" x14ac:dyDescent="0.2">
      <c r="AB2903" s="141"/>
      <c r="AD2903" s="141"/>
      <c r="AE2903" s="141"/>
    </row>
    <row r="2904" spans="28:31" x14ac:dyDescent="0.2">
      <c r="AB2904" s="141"/>
      <c r="AD2904" s="141"/>
      <c r="AE2904" s="141"/>
    </row>
    <row r="2905" spans="28:31" x14ac:dyDescent="0.2">
      <c r="AB2905" s="141"/>
      <c r="AD2905" s="141"/>
      <c r="AE2905" s="141"/>
    </row>
    <row r="2906" spans="28:31" x14ac:dyDescent="0.2">
      <c r="AB2906" s="141"/>
      <c r="AD2906" s="141"/>
      <c r="AE2906" s="141"/>
    </row>
    <row r="2907" spans="28:31" x14ac:dyDescent="0.2">
      <c r="AB2907" s="141"/>
      <c r="AD2907" s="141"/>
      <c r="AE2907" s="141"/>
    </row>
    <row r="2908" spans="28:31" x14ac:dyDescent="0.2">
      <c r="AB2908" s="141"/>
      <c r="AD2908" s="141"/>
      <c r="AE2908" s="141"/>
    </row>
    <row r="2909" spans="28:31" x14ac:dyDescent="0.2">
      <c r="AB2909" s="141"/>
      <c r="AD2909" s="141"/>
      <c r="AE2909" s="141"/>
    </row>
    <row r="2910" spans="28:31" x14ac:dyDescent="0.2">
      <c r="AB2910" s="141"/>
      <c r="AD2910" s="141"/>
      <c r="AE2910" s="141"/>
    </row>
    <row r="2911" spans="28:31" x14ac:dyDescent="0.2">
      <c r="AB2911" s="141"/>
      <c r="AD2911" s="141"/>
      <c r="AE2911" s="141"/>
    </row>
    <row r="2912" spans="28:31" x14ac:dyDescent="0.2">
      <c r="AB2912" s="141"/>
      <c r="AD2912" s="141"/>
      <c r="AE2912" s="141"/>
    </row>
    <row r="2913" spans="28:31" x14ac:dyDescent="0.2">
      <c r="AB2913" s="141"/>
      <c r="AD2913" s="141"/>
      <c r="AE2913" s="141"/>
    </row>
    <row r="2914" spans="28:31" x14ac:dyDescent="0.2">
      <c r="AB2914" s="141"/>
      <c r="AD2914" s="141"/>
      <c r="AE2914" s="141"/>
    </row>
    <row r="2915" spans="28:31" x14ac:dyDescent="0.2">
      <c r="AB2915" s="141"/>
      <c r="AD2915" s="141"/>
      <c r="AE2915" s="141"/>
    </row>
    <row r="2916" spans="28:31" x14ac:dyDescent="0.2">
      <c r="AB2916" s="141"/>
      <c r="AD2916" s="141"/>
      <c r="AE2916" s="141"/>
    </row>
    <row r="2917" spans="28:31" x14ac:dyDescent="0.2">
      <c r="AB2917" s="141"/>
      <c r="AD2917" s="141"/>
      <c r="AE2917" s="141"/>
    </row>
    <row r="2918" spans="28:31" x14ac:dyDescent="0.2">
      <c r="AB2918" s="141"/>
      <c r="AD2918" s="141"/>
      <c r="AE2918" s="141"/>
    </row>
    <row r="2919" spans="28:31" x14ac:dyDescent="0.2">
      <c r="AB2919" s="141"/>
      <c r="AD2919" s="141"/>
      <c r="AE2919" s="141"/>
    </row>
    <row r="2920" spans="28:31" x14ac:dyDescent="0.2">
      <c r="AB2920" s="141"/>
      <c r="AD2920" s="141"/>
      <c r="AE2920" s="141"/>
    </row>
    <row r="2921" spans="28:31" x14ac:dyDescent="0.2">
      <c r="AB2921" s="141"/>
      <c r="AD2921" s="141"/>
      <c r="AE2921" s="141"/>
    </row>
    <row r="2922" spans="28:31" x14ac:dyDescent="0.2">
      <c r="AB2922" s="141"/>
      <c r="AD2922" s="141"/>
      <c r="AE2922" s="141"/>
    </row>
    <row r="2923" spans="28:31" x14ac:dyDescent="0.2">
      <c r="AB2923" s="141"/>
      <c r="AD2923" s="141"/>
      <c r="AE2923" s="141"/>
    </row>
    <row r="2924" spans="28:31" x14ac:dyDescent="0.2">
      <c r="AB2924" s="141"/>
      <c r="AD2924" s="141"/>
      <c r="AE2924" s="141"/>
    </row>
    <row r="2925" spans="28:31" x14ac:dyDescent="0.2">
      <c r="AB2925" s="141"/>
      <c r="AD2925" s="141"/>
      <c r="AE2925" s="141"/>
    </row>
    <row r="2926" spans="28:31" x14ac:dyDescent="0.2">
      <c r="AB2926" s="141"/>
      <c r="AD2926" s="141"/>
      <c r="AE2926" s="141"/>
    </row>
    <row r="2927" spans="28:31" x14ac:dyDescent="0.2">
      <c r="AB2927" s="141"/>
      <c r="AD2927" s="141"/>
      <c r="AE2927" s="141"/>
    </row>
    <row r="2928" spans="28:31" x14ac:dyDescent="0.2">
      <c r="AB2928" s="141"/>
      <c r="AD2928" s="141"/>
      <c r="AE2928" s="141"/>
    </row>
    <row r="2929" spans="28:31" x14ac:dyDescent="0.2">
      <c r="AB2929" s="141"/>
      <c r="AD2929" s="141"/>
      <c r="AE2929" s="141"/>
    </row>
    <row r="2930" spans="28:31" x14ac:dyDescent="0.2">
      <c r="AB2930" s="141"/>
      <c r="AD2930" s="141"/>
      <c r="AE2930" s="141"/>
    </row>
    <row r="2931" spans="28:31" x14ac:dyDescent="0.2">
      <c r="AB2931" s="141"/>
      <c r="AD2931" s="141"/>
      <c r="AE2931" s="141"/>
    </row>
    <row r="2932" spans="28:31" x14ac:dyDescent="0.2">
      <c r="AB2932" s="141"/>
      <c r="AD2932" s="141"/>
      <c r="AE2932" s="141"/>
    </row>
    <row r="2933" spans="28:31" x14ac:dyDescent="0.2">
      <c r="AB2933" s="141"/>
      <c r="AD2933" s="141"/>
      <c r="AE2933" s="141"/>
    </row>
    <row r="2934" spans="28:31" x14ac:dyDescent="0.2">
      <c r="AB2934" s="141"/>
      <c r="AD2934" s="141"/>
      <c r="AE2934" s="141"/>
    </row>
    <row r="2935" spans="28:31" x14ac:dyDescent="0.2">
      <c r="AB2935" s="141"/>
      <c r="AD2935" s="141"/>
      <c r="AE2935" s="141"/>
    </row>
    <row r="2936" spans="28:31" x14ac:dyDescent="0.2">
      <c r="AB2936" s="141"/>
      <c r="AD2936" s="141"/>
      <c r="AE2936" s="141"/>
    </row>
    <row r="2937" spans="28:31" x14ac:dyDescent="0.2">
      <c r="AB2937" s="141"/>
      <c r="AD2937" s="141"/>
      <c r="AE2937" s="141"/>
    </row>
    <row r="2938" spans="28:31" x14ac:dyDescent="0.2">
      <c r="AB2938" s="141"/>
      <c r="AD2938" s="141"/>
      <c r="AE2938" s="141"/>
    </row>
    <row r="2939" spans="28:31" x14ac:dyDescent="0.2">
      <c r="AB2939" s="141"/>
      <c r="AD2939" s="141"/>
      <c r="AE2939" s="141"/>
    </row>
    <row r="2940" spans="28:31" x14ac:dyDescent="0.2">
      <c r="AB2940" s="141"/>
      <c r="AD2940" s="141"/>
      <c r="AE2940" s="141"/>
    </row>
    <row r="2941" spans="28:31" x14ac:dyDescent="0.2">
      <c r="AB2941" s="141"/>
      <c r="AD2941" s="141"/>
      <c r="AE2941" s="141"/>
    </row>
    <row r="2942" spans="28:31" x14ac:dyDescent="0.2">
      <c r="AB2942" s="141"/>
      <c r="AD2942" s="141"/>
      <c r="AE2942" s="141"/>
    </row>
    <row r="2943" spans="28:31" x14ac:dyDescent="0.2">
      <c r="AB2943" s="141"/>
      <c r="AD2943" s="141"/>
      <c r="AE2943" s="141"/>
    </row>
    <row r="2944" spans="28:31" x14ac:dyDescent="0.2">
      <c r="AB2944" s="141"/>
      <c r="AD2944" s="141"/>
      <c r="AE2944" s="141"/>
    </row>
    <row r="2945" spans="28:31" x14ac:dyDescent="0.2">
      <c r="AB2945" s="141"/>
      <c r="AD2945" s="141"/>
      <c r="AE2945" s="141"/>
    </row>
    <row r="2946" spans="28:31" x14ac:dyDescent="0.2">
      <c r="AB2946" s="141"/>
      <c r="AD2946" s="141"/>
      <c r="AE2946" s="141"/>
    </row>
    <row r="2947" spans="28:31" x14ac:dyDescent="0.2">
      <c r="AB2947" s="141"/>
      <c r="AD2947" s="141"/>
      <c r="AE2947" s="141"/>
    </row>
    <row r="2948" spans="28:31" x14ac:dyDescent="0.2">
      <c r="AB2948" s="141"/>
      <c r="AD2948" s="141"/>
      <c r="AE2948" s="141"/>
    </row>
    <row r="2949" spans="28:31" x14ac:dyDescent="0.2">
      <c r="AB2949" s="141"/>
      <c r="AD2949" s="141"/>
      <c r="AE2949" s="141"/>
    </row>
    <row r="2950" spans="28:31" x14ac:dyDescent="0.2">
      <c r="AB2950" s="141"/>
      <c r="AD2950" s="141"/>
      <c r="AE2950" s="141"/>
    </row>
    <row r="2951" spans="28:31" x14ac:dyDescent="0.2">
      <c r="AB2951" s="141"/>
      <c r="AD2951" s="141"/>
      <c r="AE2951" s="141"/>
    </row>
    <row r="2952" spans="28:31" x14ac:dyDescent="0.2">
      <c r="AB2952" s="141"/>
      <c r="AD2952" s="141"/>
      <c r="AE2952" s="141"/>
    </row>
    <row r="2953" spans="28:31" x14ac:dyDescent="0.2">
      <c r="AB2953" s="141"/>
      <c r="AD2953" s="141"/>
      <c r="AE2953" s="141"/>
    </row>
    <row r="2954" spans="28:31" x14ac:dyDescent="0.2">
      <c r="AB2954" s="141"/>
      <c r="AD2954" s="141"/>
      <c r="AE2954" s="141"/>
    </row>
    <row r="2955" spans="28:31" x14ac:dyDescent="0.2">
      <c r="AB2955" s="141"/>
      <c r="AD2955" s="141"/>
      <c r="AE2955" s="141"/>
    </row>
    <row r="2956" spans="28:31" x14ac:dyDescent="0.2">
      <c r="AB2956" s="141"/>
      <c r="AD2956" s="141"/>
      <c r="AE2956" s="141"/>
    </row>
    <row r="2957" spans="28:31" x14ac:dyDescent="0.2">
      <c r="AB2957" s="141"/>
      <c r="AD2957" s="141"/>
      <c r="AE2957" s="141"/>
    </row>
    <row r="2958" spans="28:31" x14ac:dyDescent="0.2">
      <c r="AB2958" s="141"/>
      <c r="AD2958" s="141"/>
      <c r="AE2958" s="141"/>
    </row>
    <row r="2959" spans="28:31" x14ac:dyDescent="0.2">
      <c r="AB2959" s="141"/>
      <c r="AD2959" s="141"/>
      <c r="AE2959" s="141"/>
    </row>
    <row r="2960" spans="28:31" x14ac:dyDescent="0.2">
      <c r="AB2960" s="141"/>
      <c r="AD2960" s="141"/>
      <c r="AE2960" s="141"/>
    </row>
    <row r="2961" spans="28:31" x14ac:dyDescent="0.2">
      <c r="AB2961" s="141"/>
      <c r="AD2961" s="141"/>
      <c r="AE2961" s="141"/>
    </row>
    <row r="2962" spans="28:31" x14ac:dyDescent="0.2">
      <c r="AB2962" s="141"/>
      <c r="AD2962" s="141"/>
      <c r="AE2962" s="141"/>
    </row>
    <row r="2963" spans="28:31" x14ac:dyDescent="0.2">
      <c r="AB2963" s="141"/>
      <c r="AD2963" s="141"/>
      <c r="AE2963" s="141"/>
    </row>
    <row r="2964" spans="28:31" x14ac:dyDescent="0.2">
      <c r="AB2964" s="141"/>
      <c r="AD2964" s="141"/>
      <c r="AE2964" s="141"/>
    </row>
    <row r="2965" spans="28:31" x14ac:dyDescent="0.2">
      <c r="AB2965" s="141"/>
      <c r="AD2965" s="141"/>
      <c r="AE2965" s="141"/>
    </row>
    <row r="2966" spans="28:31" x14ac:dyDescent="0.2">
      <c r="AB2966" s="141"/>
      <c r="AD2966" s="141"/>
      <c r="AE2966" s="141"/>
    </row>
    <row r="2967" spans="28:31" x14ac:dyDescent="0.2">
      <c r="AB2967" s="141"/>
      <c r="AD2967" s="141"/>
      <c r="AE2967" s="141"/>
    </row>
    <row r="2968" spans="28:31" x14ac:dyDescent="0.2">
      <c r="AB2968" s="141"/>
      <c r="AD2968" s="141"/>
      <c r="AE2968" s="141"/>
    </row>
    <row r="2969" spans="28:31" x14ac:dyDescent="0.2">
      <c r="AB2969" s="141"/>
      <c r="AD2969" s="141"/>
      <c r="AE2969" s="141"/>
    </row>
    <row r="2970" spans="28:31" x14ac:dyDescent="0.2">
      <c r="AB2970" s="141"/>
      <c r="AD2970" s="141"/>
      <c r="AE2970" s="141"/>
    </row>
    <row r="2971" spans="28:31" x14ac:dyDescent="0.2">
      <c r="AB2971" s="141"/>
      <c r="AD2971" s="141"/>
      <c r="AE2971" s="141"/>
    </row>
    <row r="2972" spans="28:31" x14ac:dyDescent="0.2">
      <c r="AB2972" s="141"/>
      <c r="AD2972" s="141"/>
      <c r="AE2972" s="141"/>
    </row>
    <row r="2973" spans="28:31" x14ac:dyDescent="0.2">
      <c r="AB2973" s="141"/>
      <c r="AD2973" s="141"/>
      <c r="AE2973" s="141"/>
    </row>
    <row r="2974" spans="28:31" x14ac:dyDescent="0.2">
      <c r="AB2974" s="141"/>
      <c r="AD2974" s="141"/>
      <c r="AE2974" s="141"/>
    </row>
    <row r="2975" spans="28:31" x14ac:dyDescent="0.2">
      <c r="AB2975" s="141"/>
      <c r="AD2975" s="141"/>
      <c r="AE2975" s="141"/>
    </row>
    <row r="2976" spans="28:31" x14ac:dyDescent="0.2">
      <c r="AB2976" s="141"/>
      <c r="AD2976" s="141"/>
      <c r="AE2976" s="141"/>
    </row>
    <row r="2977" spans="28:31" x14ac:dyDescent="0.2">
      <c r="AB2977" s="141"/>
      <c r="AD2977" s="141"/>
      <c r="AE2977" s="141"/>
    </row>
    <row r="2978" spans="28:31" x14ac:dyDescent="0.2">
      <c r="AB2978" s="141"/>
      <c r="AD2978" s="141"/>
      <c r="AE2978" s="141"/>
    </row>
    <row r="2979" spans="28:31" x14ac:dyDescent="0.2">
      <c r="AB2979" s="141"/>
      <c r="AD2979" s="141"/>
      <c r="AE2979" s="141"/>
    </row>
    <row r="2980" spans="28:31" x14ac:dyDescent="0.2">
      <c r="AB2980" s="141"/>
      <c r="AD2980" s="141"/>
      <c r="AE2980" s="141"/>
    </row>
    <row r="2981" spans="28:31" x14ac:dyDescent="0.2">
      <c r="AB2981" s="141"/>
      <c r="AD2981" s="141"/>
      <c r="AE2981" s="141"/>
    </row>
    <row r="2982" spans="28:31" x14ac:dyDescent="0.2">
      <c r="AB2982" s="141"/>
      <c r="AD2982" s="141"/>
      <c r="AE2982" s="141"/>
    </row>
    <row r="2983" spans="28:31" x14ac:dyDescent="0.2">
      <c r="AB2983" s="141"/>
      <c r="AD2983" s="141"/>
      <c r="AE2983" s="141"/>
    </row>
    <row r="2984" spans="28:31" x14ac:dyDescent="0.2">
      <c r="AB2984" s="141"/>
      <c r="AD2984" s="141"/>
      <c r="AE2984" s="141"/>
    </row>
    <row r="2985" spans="28:31" x14ac:dyDescent="0.2">
      <c r="AB2985" s="141"/>
      <c r="AD2985" s="141"/>
      <c r="AE2985" s="141"/>
    </row>
    <row r="2986" spans="28:31" x14ac:dyDescent="0.2">
      <c r="AB2986" s="141"/>
      <c r="AD2986" s="141"/>
      <c r="AE2986" s="141"/>
    </row>
    <row r="2987" spans="28:31" x14ac:dyDescent="0.2">
      <c r="AB2987" s="141"/>
      <c r="AD2987" s="141"/>
      <c r="AE2987" s="141"/>
    </row>
    <row r="2988" spans="28:31" x14ac:dyDescent="0.2">
      <c r="AB2988" s="141"/>
      <c r="AD2988" s="141"/>
      <c r="AE2988" s="141"/>
    </row>
    <row r="2989" spans="28:31" x14ac:dyDescent="0.2">
      <c r="AB2989" s="141"/>
      <c r="AD2989" s="141"/>
      <c r="AE2989" s="141"/>
    </row>
    <row r="2990" spans="28:31" x14ac:dyDescent="0.2">
      <c r="AB2990" s="141"/>
      <c r="AD2990" s="141"/>
      <c r="AE2990" s="141"/>
    </row>
    <row r="2991" spans="28:31" x14ac:dyDescent="0.2">
      <c r="AB2991" s="141"/>
      <c r="AD2991" s="141"/>
      <c r="AE2991" s="141"/>
    </row>
    <row r="2992" spans="28:31" x14ac:dyDescent="0.2">
      <c r="AB2992" s="141"/>
      <c r="AD2992" s="141"/>
      <c r="AE2992" s="141"/>
    </row>
    <row r="2993" spans="28:31" x14ac:dyDescent="0.2">
      <c r="AB2993" s="141"/>
      <c r="AD2993" s="141"/>
      <c r="AE2993" s="141"/>
    </row>
    <row r="2994" spans="28:31" x14ac:dyDescent="0.2">
      <c r="AB2994" s="141"/>
      <c r="AD2994" s="141"/>
      <c r="AE2994" s="141"/>
    </row>
    <row r="2995" spans="28:31" x14ac:dyDescent="0.2">
      <c r="AB2995" s="141"/>
      <c r="AD2995" s="141"/>
      <c r="AE2995" s="141"/>
    </row>
    <row r="2996" spans="28:31" x14ac:dyDescent="0.2">
      <c r="AB2996" s="141"/>
      <c r="AD2996" s="141"/>
      <c r="AE2996" s="141"/>
    </row>
    <row r="2997" spans="28:31" x14ac:dyDescent="0.2">
      <c r="AB2997" s="141"/>
      <c r="AD2997" s="141"/>
      <c r="AE2997" s="141"/>
    </row>
    <row r="2998" spans="28:31" x14ac:dyDescent="0.2">
      <c r="AB2998" s="141"/>
      <c r="AD2998" s="141"/>
      <c r="AE2998" s="141"/>
    </row>
    <row r="2999" spans="28:31" x14ac:dyDescent="0.2">
      <c r="AB2999" s="141"/>
      <c r="AD2999" s="141"/>
      <c r="AE2999" s="141"/>
    </row>
    <row r="3000" spans="28:31" x14ac:dyDescent="0.2">
      <c r="AB3000" s="141"/>
      <c r="AD3000" s="141"/>
      <c r="AE3000" s="141"/>
    </row>
    <row r="3001" spans="28:31" x14ac:dyDescent="0.2">
      <c r="AB3001" s="141"/>
      <c r="AD3001" s="141"/>
      <c r="AE3001" s="141"/>
    </row>
    <row r="3002" spans="28:31" x14ac:dyDescent="0.2">
      <c r="AB3002" s="141"/>
      <c r="AD3002" s="141"/>
      <c r="AE3002" s="141"/>
    </row>
    <row r="3003" spans="28:31" x14ac:dyDescent="0.2">
      <c r="AB3003" s="141"/>
      <c r="AD3003" s="141"/>
      <c r="AE3003" s="141"/>
    </row>
    <row r="3004" spans="28:31" x14ac:dyDescent="0.2">
      <c r="AB3004" s="141"/>
      <c r="AD3004" s="141"/>
      <c r="AE3004" s="141"/>
    </row>
    <row r="3005" spans="28:31" x14ac:dyDescent="0.2">
      <c r="AB3005" s="141"/>
      <c r="AD3005" s="141"/>
      <c r="AE3005" s="141"/>
    </row>
    <row r="3006" spans="28:31" x14ac:dyDescent="0.2">
      <c r="AB3006" s="141"/>
      <c r="AD3006" s="141"/>
      <c r="AE3006" s="141"/>
    </row>
    <row r="3007" spans="28:31" x14ac:dyDescent="0.2">
      <c r="AB3007" s="141"/>
      <c r="AD3007" s="141"/>
      <c r="AE3007" s="141"/>
    </row>
    <row r="3008" spans="28:31" x14ac:dyDescent="0.2">
      <c r="AB3008" s="141"/>
      <c r="AD3008" s="141"/>
      <c r="AE3008" s="141"/>
    </row>
    <row r="3009" spans="28:31" x14ac:dyDescent="0.2">
      <c r="AB3009" s="141"/>
      <c r="AD3009" s="141"/>
      <c r="AE3009" s="141"/>
    </row>
    <row r="3010" spans="28:31" x14ac:dyDescent="0.2">
      <c r="AB3010" s="141"/>
      <c r="AD3010" s="141"/>
      <c r="AE3010" s="141"/>
    </row>
    <row r="3011" spans="28:31" x14ac:dyDescent="0.2">
      <c r="AB3011" s="141"/>
      <c r="AD3011" s="141"/>
      <c r="AE3011" s="141"/>
    </row>
    <row r="3012" spans="28:31" x14ac:dyDescent="0.2">
      <c r="AB3012" s="141"/>
      <c r="AD3012" s="141"/>
      <c r="AE3012" s="141"/>
    </row>
    <row r="3013" spans="28:31" x14ac:dyDescent="0.2">
      <c r="AB3013" s="141"/>
      <c r="AD3013" s="141"/>
      <c r="AE3013" s="141"/>
    </row>
    <row r="3014" spans="28:31" x14ac:dyDescent="0.2">
      <c r="AB3014" s="141"/>
      <c r="AD3014" s="141"/>
      <c r="AE3014" s="141"/>
    </row>
    <row r="3015" spans="28:31" x14ac:dyDescent="0.2">
      <c r="AB3015" s="141"/>
      <c r="AD3015" s="141"/>
      <c r="AE3015" s="141"/>
    </row>
    <row r="3016" spans="28:31" x14ac:dyDescent="0.2">
      <c r="AB3016" s="141"/>
      <c r="AD3016" s="141"/>
      <c r="AE3016" s="141"/>
    </row>
    <row r="3017" spans="28:31" x14ac:dyDescent="0.2">
      <c r="AB3017" s="141"/>
      <c r="AD3017" s="141"/>
      <c r="AE3017" s="141"/>
    </row>
    <row r="3018" spans="28:31" x14ac:dyDescent="0.2">
      <c r="AB3018" s="141"/>
      <c r="AD3018" s="141"/>
      <c r="AE3018" s="141"/>
    </row>
    <row r="3019" spans="28:31" x14ac:dyDescent="0.2">
      <c r="AB3019" s="141"/>
      <c r="AD3019" s="141"/>
      <c r="AE3019" s="141"/>
    </row>
    <row r="3020" spans="28:31" x14ac:dyDescent="0.2">
      <c r="AB3020" s="141"/>
      <c r="AD3020" s="141"/>
      <c r="AE3020" s="141"/>
    </row>
    <row r="3021" spans="28:31" x14ac:dyDescent="0.2">
      <c r="AB3021" s="141"/>
      <c r="AD3021" s="141"/>
      <c r="AE3021" s="141"/>
    </row>
    <row r="3022" spans="28:31" x14ac:dyDescent="0.2">
      <c r="AB3022" s="141"/>
      <c r="AD3022" s="141"/>
      <c r="AE3022" s="141"/>
    </row>
    <row r="3023" spans="28:31" x14ac:dyDescent="0.2">
      <c r="AB3023" s="141"/>
      <c r="AD3023" s="141"/>
      <c r="AE3023" s="141"/>
    </row>
    <row r="3024" spans="28:31" x14ac:dyDescent="0.2">
      <c r="AB3024" s="141"/>
      <c r="AD3024" s="141"/>
      <c r="AE3024" s="141"/>
    </row>
    <row r="3025" spans="28:31" x14ac:dyDescent="0.2">
      <c r="AB3025" s="141"/>
      <c r="AD3025" s="141"/>
      <c r="AE3025" s="141"/>
    </row>
    <row r="3026" spans="28:31" x14ac:dyDescent="0.2">
      <c r="AB3026" s="141"/>
      <c r="AD3026" s="141"/>
      <c r="AE3026" s="141"/>
    </row>
    <row r="3027" spans="28:31" x14ac:dyDescent="0.2">
      <c r="AB3027" s="141"/>
      <c r="AD3027" s="141"/>
      <c r="AE3027" s="141"/>
    </row>
    <row r="3028" spans="28:31" x14ac:dyDescent="0.2">
      <c r="AB3028" s="141"/>
      <c r="AD3028" s="141"/>
      <c r="AE3028" s="141"/>
    </row>
    <row r="3029" spans="28:31" x14ac:dyDescent="0.2">
      <c r="AB3029" s="141"/>
      <c r="AD3029" s="141"/>
      <c r="AE3029" s="141"/>
    </row>
    <row r="3030" spans="28:31" x14ac:dyDescent="0.2">
      <c r="AB3030" s="141"/>
      <c r="AD3030" s="141"/>
      <c r="AE3030" s="141"/>
    </row>
    <row r="3031" spans="28:31" x14ac:dyDescent="0.2">
      <c r="AB3031" s="141"/>
      <c r="AD3031" s="141"/>
      <c r="AE3031" s="141"/>
    </row>
    <row r="3032" spans="28:31" x14ac:dyDescent="0.2">
      <c r="AB3032" s="141"/>
      <c r="AD3032" s="141"/>
      <c r="AE3032" s="141"/>
    </row>
    <row r="3033" spans="28:31" x14ac:dyDescent="0.2">
      <c r="AB3033" s="141"/>
      <c r="AD3033" s="141"/>
      <c r="AE3033" s="141"/>
    </row>
    <row r="3034" spans="28:31" x14ac:dyDescent="0.2">
      <c r="AB3034" s="141"/>
      <c r="AD3034" s="141"/>
      <c r="AE3034" s="141"/>
    </row>
    <row r="3035" spans="28:31" x14ac:dyDescent="0.2">
      <c r="AB3035" s="141"/>
      <c r="AD3035" s="141"/>
      <c r="AE3035" s="141"/>
    </row>
    <row r="3036" spans="28:31" x14ac:dyDescent="0.2">
      <c r="AB3036" s="141"/>
      <c r="AD3036" s="141"/>
      <c r="AE3036" s="141"/>
    </row>
    <row r="3037" spans="28:31" x14ac:dyDescent="0.2">
      <c r="AB3037" s="141"/>
      <c r="AD3037" s="141"/>
      <c r="AE3037" s="141"/>
    </row>
    <row r="3038" spans="28:31" x14ac:dyDescent="0.2">
      <c r="AB3038" s="141"/>
      <c r="AD3038" s="141"/>
      <c r="AE3038" s="141"/>
    </row>
    <row r="3039" spans="28:31" x14ac:dyDescent="0.2">
      <c r="AB3039" s="141"/>
      <c r="AD3039" s="141"/>
      <c r="AE3039" s="141"/>
    </row>
    <row r="3040" spans="28:31" x14ac:dyDescent="0.2">
      <c r="AB3040" s="141"/>
      <c r="AD3040" s="141"/>
      <c r="AE3040" s="141"/>
    </row>
    <row r="3041" spans="28:31" x14ac:dyDescent="0.2">
      <c r="AB3041" s="141"/>
      <c r="AD3041" s="141"/>
      <c r="AE3041" s="141"/>
    </row>
    <row r="3042" spans="28:31" x14ac:dyDescent="0.2">
      <c r="AB3042" s="141"/>
      <c r="AD3042" s="141"/>
      <c r="AE3042" s="141"/>
    </row>
    <row r="3043" spans="28:31" x14ac:dyDescent="0.2">
      <c r="AB3043" s="141"/>
      <c r="AD3043" s="141"/>
      <c r="AE3043" s="141"/>
    </row>
    <row r="3044" spans="28:31" x14ac:dyDescent="0.2">
      <c r="AB3044" s="141"/>
      <c r="AD3044" s="141"/>
      <c r="AE3044" s="141"/>
    </row>
    <row r="3045" spans="28:31" x14ac:dyDescent="0.2">
      <c r="AB3045" s="141"/>
      <c r="AD3045" s="141"/>
      <c r="AE3045" s="141"/>
    </row>
    <row r="3046" spans="28:31" x14ac:dyDescent="0.2">
      <c r="AB3046" s="141"/>
      <c r="AD3046" s="141"/>
      <c r="AE3046" s="141"/>
    </row>
    <row r="3047" spans="28:31" x14ac:dyDescent="0.2">
      <c r="AB3047" s="141"/>
      <c r="AD3047" s="141"/>
      <c r="AE3047" s="141"/>
    </row>
    <row r="3048" spans="28:31" x14ac:dyDescent="0.2">
      <c r="AB3048" s="141"/>
      <c r="AD3048" s="141"/>
      <c r="AE3048" s="141"/>
    </row>
    <row r="3049" spans="28:31" x14ac:dyDescent="0.2">
      <c r="AB3049" s="141"/>
      <c r="AD3049" s="141"/>
      <c r="AE3049" s="141"/>
    </row>
    <row r="3050" spans="28:31" x14ac:dyDescent="0.2">
      <c r="AB3050" s="141"/>
      <c r="AD3050" s="141"/>
      <c r="AE3050" s="141"/>
    </row>
    <row r="3051" spans="28:31" x14ac:dyDescent="0.2">
      <c r="AB3051" s="141"/>
      <c r="AD3051" s="141"/>
      <c r="AE3051" s="141"/>
    </row>
    <row r="3052" spans="28:31" x14ac:dyDescent="0.2">
      <c r="AB3052" s="141"/>
      <c r="AD3052" s="141"/>
      <c r="AE3052" s="141"/>
    </row>
    <row r="3053" spans="28:31" x14ac:dyDescent="0.2">
      <c r="AB3053" s="141"/>
      <c r="AD3053" s="141"/>
      <c r="AE3053" s="141"/>
    </row>
    <row r="3054" spans="28:31" x14ac:dyDescent="0.2">
      <c r="AB3054" s="141"/>
      <c r="AD3054" s="141"/>
      <c r="AE3054" s="141"/>
    </row>
    <row r="3055" spans="28:31" x14ac:dyDescent="0.2">
      <c r="AB3055" s="141"/>
      <c r="AD3055" s="141"/>
      <c r="AE3055" s="141"/>
    </row>
    <row r="3056" spans="28:31" x14ac:dyDescent="0.2">
      <c r="AB3056" s="141"/>
      <c r="AD3056" s="141"/>
      <c r="AE3056" s="141"/>
    </row>
    <row r="3057" spans="28:31" x14ac:dyDescent="0.2">
      <c r="AB3057" s="141"/>
      <c r="AD3057" s="141"/>
      <c r="AE3057" s="141"/>
    </row>
    <row r="3058" spans="28:31" x14ac:dyDescent="0.2">
      <c r="AB3058" s="141"/>
      <c r="AD3058" s="141"/>
      <c r="AE3058" s="141"/>
    </row>
    <row r="3059" spans="28:31" x14ac:dyDescent="0.2">
      <c r="AB3059" s="141"/>
      <c r="AD3059" s="141"/>
      <c r="AE3059" s="141"/>
    </row>
    <row r="3060" spans="28:31" x14ac:dyDescent="0.2">
      <c r="AB3060" s="141"/>
      <c r="AD3060" s="141"/>
      <c r="AE3060" s="141"/>
    </row>
    <row r="3061" spans="28:31" x14ac:dyDescent="0.2">
      <c r="AB3061" s="141"/>
      <c r="AD3061" s="141"/>
      <c r="AE3061" s="141"/>
    </row>
    <row r="3062" spans="28:31" x14ac:dyDescent="0.2">
      <c r="AB3062" s="141"/>
      <c r="AD3062" s="141"/>
      <c r="AE3062" s="141"/>
    </row>
    <row r="3063" spans="28:31" x14ac:dyDescent="0.2">
      <c r="AB3063" s="141"/>
      <c r="AD3063" s="141"/>
      <c r="AE3063" s="141"/>
    </row>
    <row r="3064" spans="28:31" x14ac:dyDescent="0.2">
      <c r="AB3064" s="141"/>
      <c r="AD3064" s="141"/>
      <c r="AE3064" s="141"/>
    </row>
    <row r="3065" spans="28:31" x14ac:dyDescent="0.2">
      <c r="AB3065" s="141"/>
      <c r="AD3065" s="141"/>
      <c r="AE3065" s="141"/>
    </row>
    <row r="3066" spans="28:31" x14ac:dyDescent="0.2">
      <c r="AB3066" s="141"/>
      <c r="AD3066" s="141"/>
      <c r="AE3066" s="141"/>
    </row>
    <row r="3067" spans="28:31" x14ac:dyDescent="0.2">
      <c r="AB3067" s="141"/>
      <c r="AD3067" s="141"/>
      <c r="AE3067" s="141"/>
    </row>
    <row r="3068" spans="28:31" x14ac:dyDescent="0.2">
      <c r="AB3068" s="141"/>
      <c r="AD3068" s="141"/>
      <c r="AE3068" s="141"/>
    </row>
    <row r="3069" spans="28:31" x14ac:dyDescent="0.2">
      <c r="AB3069" s="141"/>
      <c r="AD3069" s="141"/>
      <c r="AE3069" s="141"/>
    </row>
    <row r="3070" spans="28:31" x14ac:dyDescent="0.2">
      <c r="AB3070" s="141"/>
      <c r="AD3070" s="141"/>
      <c r="AE3070" s="141"/>
    </row>
    <row r="3071" spans="28:31" x14ac:dyDescent="0.2">
      <c r="AB3071" s="141"/>
      <c r="AD3071" s="141"/>
      <c r="AE3071" s="141"/>
    </row>
    <row r="3072" spans="28:31" x14ac:dyDescent="0.2">
      <c r="AB3072" s="141"/>
      <c r="AD3072" s="141"/>
      <c r="AE3072" s="141"/>
    </row>
    <row r="3073" spans="28:31" x14ac:dyDescent="0.2">
      <c r="AB3073" s="141"/>
      <c r="AD3073" s="141"/>
      <c r="AE3073" s="141"/>
    </row>
    <row r="3074" spans="28:31" x14ac:dyDescent="0.2">
      <c r="AB3074" s="141"/>
      <c r="AD3074" s="141"/>
      <c r="AE3074" s="141"/>
    </row>
    <row r="3075" spans="28:31" x14ac:dyDescent="0.2">
      <c r="AB3075" s="141"/>
      <c r="AD3075" s="141"/>
      <c r="AE3075" s="141"/>
    </row>
    <row r="3076" spans="28:31" x14ac:dyDescent="0.2">
      <c r="AB3076" s="141"/>
      <c r="AD3076" s="141"/>
      <c r="AE3076" s="141"/>
    </row>
    <row r="3077" spans="28:31" x14ac:dyDescent="0.2">
      <c r="AB3077" s="141"/>
      <c r="AD3077" s="141"/>
      <c r="AE3077" s="141"/>
    </row>
    <row r="3078" spans="28:31" x14ac:dyDescent="0.2">
      <c r="AB3078" s="141"/>
      <c r="AD3078" s="141"/>
      <c r="AE3078" s="141"/>
    </row>
    <row r="3079" spans="28:31" x14ac:dyDescent="0.2">
      <c r="AB3079" s="141"/>
      <c r="AD3079" s="141"/>
      <c r="AE3079" s="141"/>
    </row>
    <row r="3080" spans="28:31" x14ac:dyDescent="0.2">
      <c r="AB3080" s="141"/>
      <c r="AD3080" s="141"/>
      <c r="AE3080" s="141"/>
    </row>
    <row r="3081" spans="28:31" x14ac:dyDescent="0.2">
      <c r="AB3081" s="141"/>
      <c r="AD3081" s="141"/>
      <c r="AE3081" s="141"/>
    </row>
    <row r="3082" spans="28:31" x14ac:dyDescent="0.2">
      <c r="AB3082" s="141"/>
      <c r="AD3082" s="141"/>
      <c r="AE3082" s="141"/>
    </row>
    <row r="3083" spans="28:31" x14ac:dyDescent="0.2">
      <c r="AB3083" s="141"/>
      <c r="AD3083" s="141"/>
      <c r="AE3083" s="141"/>
    </row>
    <row r="3084" spans="28:31" x14ac:dyDescent="0.2">
      <c r="AB3084" s="141"/>
      <c r="AD3084" s="141"/>
      <c r="AE3084" s="141"/>
    </row>
    <row r="3085" spans="28:31" x14ac:dyDescent="0.2">
      <c r="AB3085" s="141"/>
      <c r="AD3085" s="141"/>
      <c r="AE3085" s="141"/>
    </row>
    <row r="3086" spans="28:31" x14ac:dyDescent="0.2">
      <c r="AB3086" s="141"/>
      <c r="AD3086" s="141"/>
      <c r="AE3086" s="141"/>
    </row>
    <row r="3087" spans="28:31" x14ac:dyDescent="0.2">
      <c r="AB3087" s="141"/>
      <c r="AD3087" s="141"/>
      <c r="AE3087" s="141"/>
    </row>
    <row r="3088" spans="28:31" x14ac:dyDescent="0.2">
      <c r="AB3088" s="141"/>
      <c r="AD3088" s="141"/>
      <c r="AE3088" s="141"/>
    </row>
    <row r="3089" spans="28:31" x14ac:dyDescent="0.2">
      <c r="AB3089" s="141"/>
      <c r="AD3089" s="141"/>
      <c r="AE3089" s="141"/>
    </row>
    <row r="3090" spans="28:31" x14ac:dyDescent="0.2">
      <c r="AB3090" s="141"/>
      <c r="AD3090" s="141"/>
      <c r="AE3090" s="141"/>
    </row>
    <row r="3091" spans="28:31" x14ac:dyDescent="0.2">
      <c r="AB3091" s="141"/>
      <c r="AD3091" s="141"/>
      <c r="AE3091" s="141"/>
    </row>
    <row r="3092" spans="28:31" x14ac:dyDescent="0.2">
      <c r="AB3092" s="141"/>
      <c r="AD3092" s="141"/>
      <c r="AE3092" s="141"/>
    </row>
    <row r="3093" spans="28:31" x14ac:dyDescent="0.2">
      <c r="AB3093" s="141"/>
      <c r="AD3093" s="141"/>
      <c r="AE3093" s="141"/>
    </row>
    <row r="3094" spans="28:31" x14ac:dyDescent="0.2">
      <c r="AB3094" s="141"/>
      <c r="AD3094" s="141"/>
      <c r="AE3094" s="141"/>
    </row>
    <row r="3095" spans="28:31" x14ac:dyDescent="0.2">
      <c r="AB3095" s="141"/>
      <c r="AD3095" s="141"/>
      <c r="AE3095" s="141"/>
    </row>
    <row r="3096" spans="28:31" x14ac:dyDescent="0.2">
      <c r="AB3096" s="141"/>
      <c r="AD3096" s="141"/>
      <c r="AE3096" s="141"/>
    </row>
    <row r="3097" spans="28:31" x14ac:dyDescent="0.2">
      <c r="AB3097" s="141"/>
      <c r="AD3097" s="141"/>
      <c r="AE3097" s="141"/>
    </row>
    <row r="3098" spans="28:31" x14ac:dyDescent="0.2">
      <c r="AB3098" s="141"/>
      <c r="AD3098" s="141"/>
      <c r="AE3098" s="141"/>
    </row>
    <row r="3099" spans="28:31" x14ac:dyDescent="0.2">
      <c r="AB3099" s="141"/>
      <c r="AD3099" s="141"/>
      <c r="AE3099" s="141"/>
    </row>
    <row r="3100" spans="28:31" x14ac:dyDescent="0.2">
      <c r="AB3100" s="141"/>
      <c r="AD3100" s="141"/>
      <c r="AE3100" s="141"/>
    </row>
    <row r="3101" spans="28:31" x14ac:dyDescent="0.2">
      <c r="AB3101" s="141"/>
      <c r="AD3101" s="141"/>
      <c r="AE3101" s="141"/>
    </row>
    <row r="3102" spans="28:31" x14ac:dyDescent="0.2">
      <c r="AB3102" s="141"/>
      <c r="AD3102" s="141"/>
      <c r="AE3102" s="141"/>
    </row>
    <row r="3103" spans="28:31" x14ac:dyDescent="0.2">
      <c r="AB3103" s="141"/>
      <c r="AD3103" s="141"/>
      <c r="AE3103" s="141"/>
    </row>
    <row r="3104" spans="28:31" x14ac:dyDescent="0.2">
      <c r="AB3104" s="141"/>
      <c r="AD3104" s="141"/>
      <c r="AE3104" s="141"/>
    </row>
    <row r="3105" spans="28:31" x14ac:dyDescent="0.2">
      <c r="AB3105" s="141"/>
      <c r="AD3105" s="141"/>
      <c r="AE3105" s="141"/>
    </row>
    <row r="3106" spans="28:31" x14ac:dyDescent="0.2">
      <c r="AB3106" s="141"/>
      <c r="AD3106" s="141"/>
      <c r="AE3106" s="141"/>
    </row>
    <row r="3107" spans="28:31" x14ac:dyDescent="0.2">
      <c r="AB3107" s="141"/>
      <c r="AD3107" s="141"/>
      <c r="AE3107" s="141"/>
    </row>
    <row r="3108" spans="28:31" x14ac:dyDescent="0.2">
      <c r="AB3108" s="141"/>
      <c r="AD3108" s="141"/>
      <c r="AE3108" s="141"/>
    </row>
    <row r="3109" spans="28:31" x14ac:dyDescent="0.2">
      <c r="AB3109" s="141"/>
      <c r="AD3109" s="141"/>
      <c r="AE3109" s="141"/>
    </row>
    <row r="3110" spans="28:31" x14ac:dyDescent="0.2">
      <c r="AB3110" s="141"/>
      <c r="AD3110" s="141"/>
      <c r="AE3110" s="141"/>
    </row>
    <row r="3111" spans="28:31" x14ac:dyDescent="0.2">
      <c r="AB3111" s="141"/>
      <c r="AD3111" s="141"/>
      <c r="AE3111" s="141"/>
    </row>
    <row r="3112" spans="28:31" x14ac:dyDescent="0.2">
      <c r="AB3112" s="141"/>
      <c r="AD3112" s="141"/>
      <c r="AE3112" s="141"/>
    </row>
    <row r="3113" spans="28:31" x14ac:dyDescent="0.2">
      <c r="AB3113" s="141"/>
      <c r="AD3113" s="141"/>
      <c r="AE3113" s="141"/>
    </row>
    <row r="3114" spans="28:31" x14ac:dyDescent="0.2">
      <c r="AB3114" s="141"/>
      <c r="AD3114" s="141"/>
      <c r="AE3114" s="141"/>
    </row>
    <row r="3115" spans="28:31" x14ac:dyDescent="0.2">
      <c r="AB3115" s="141"/>
      <c r="AD3115" s="141"/>
      <c r="AE3115" s="141"/>
    </row>
    <row r="3116" spans="28:31" x14ac:dyDescent="0.2">
      <c r="AB3116" s="141"/>
      <c r="AD3116" s="141"/>
      <c r="AE3116" s="141"/>
    </row>
    <row r="3117" spans="28:31" x14ac:dyDescent="0.2">
      <c r="AB3117" s="141"/>
      <c r="AD3117" s="141"/>
      <c r="AE3117" s="141"/>
    </row>
    <row r="3118" spans="28:31" x14ac:dyDescent="0.2">
      <c r="AB3118" s="141"/>
      <c r="AD3118" s="141"/>
      <c r="AE3118" s="141"/>
    </row>
    <row r="3119" spans="28:31" x14ac:dyDescent="0.2">
      <c r="AB3119" s="141"/>
      <c r="AD3119" s="141"/>
      <c r="AE3119" s="141"/>
    </row>
    <row r="3120" spans="28:31" x14ac:dyDescent="0.2">
      <c r="AB3120" s="141"/>
      <c r="AD3120" s="141"/>
      <c r="AE3120" s="141"/>
    </row>
    <row r="3121" spans="28:31" x14ac:dyDescent="0.2">
      <c r="AB3121" s="141"/>
      <c r="AD3121" s="141"/>
      <c r="AE3121" s="141"/>
    </row>
    <row r="3122" spans="28:31" x14ac:dyDescent="0.2">
      <c r="AB3122" s="141"/>
      <c r="AD3122" s="141"/>
      <c r="AE3122" s="141"/>
    </row>
    <row r="3123" spans="28:31" x14ac:dyDescent="0.2">
      <c r="AB3123" s="141"/>
      <c r="AD3123" s="141"/>
      <c r="AE3123" s="141"/>
    </row>
    <row r="3124" spans="28:31" x14ac:dyDescent="0.2">
      <c r="AB3124" s="141"/>
      <c r="AD3124" s="141"/>
      <c r="AE3124" s="141"/>
    </row>
    <row r="3125" spans="28:31" x14ac:dyDescent="0.2">
      <c r="AB3125" s="141"/>
      <c r="AD3125" s="141"/>
      <c r="AE3125" s="141"/>
    </row>
    <row r="3126" spans="28:31" x14ac:dyDescent="0.2">
      <c r="AB3126" s="141"/>
      <c r="AD3126" s="141"/>
      <c r="AE3126" s="141"/>
    </row>
    <row r="3127" spans="28:31" x14ac:dyDescent="0.2">
      <c r="AB3127" s="141"/>
      <c r="AD3127" s="141"/>
      <c r="AE3127" s="141"/>
    </row>
    <row r="3128" spans="28:31" x14ac:dyDescent="0.2">
      <c r="AB3128" s="141"/>
      <c r="AD3128" s="141"/>
      <c r="AE3128" s="141"/>
    </row>
    <row r="3129" spans="28:31" x14ac:dyDescent="0.2">
      <c r="AB3129" s="141"/>
      <c r="AD3129" s="141"/>
      <c r="AE3129" s="141"/>
    </row>
    <row r="3130" spans="28:31" x14ac:dyDescent="0.2">
      <c r="AB3130" s="141"/>
      <c r="AD3130" s="141"/>
      <c r="AE3130" s="141"/>
    </row>
    <row r="3131" spans="28:31" x14ac:dyDescent="0.2">
      <c r="AB3131" s="141"/>
      <c r="AD3131" s="141"/>
      <c r="AE3131" s="141"/>
    </row>
    <row r="3132" spans="28:31" x14ac:dyDescent="0.2">
      <c r="AB3132" s="141"/>
      <c r="AD3132" s="141"/>
      <c r="AE3132" s="141"/>
    </row>
    <row r="3133" spans="28:31" x14ac:dyDescent="0.2">
      <c r="AB3133" s="141"/>
      <c r="AD3133" s="141"/>
      <c r="AE3133" s="141"/>
    </row>
    <row r="3134" spans="28:31" x14ac:dyDescent="0.2">
      <c r="AB3134" s="141"/>
      <c r="AD3134" s="141"/>
      <c r="AE3134" s="141"/>
    </row>
    <row r="3135" spans="28:31" x14ac:dyDescent="0.2">
      <c r="AB3135" s="141"/>
      <c r="AD3135" s="141"/>
      <c r="AE3135" s="141"/>
    </row>
    <row r="3136" spans="28:31" x14ac:dyDescent="0.2">
      <c r="AB3136" s="141"/>
      <c r="AD3136" s="141"/>
      <c r="AE3136" s="141"/>
    </row>
    <row r="3137" spans="28:31" x14ac:dyDescent="0.2">
      <c r="AB3137" s="141"/>
      <c r="AD3137" s="141"/>
      <c r="AE3137" s="141"/>
    </row>
    <row r="3138" spans="28:31" x14ac:dyDescent="0.2">
      <c r="AB3138" s="141"/>
      <c r="AD3138" s="141"/>
      <c r="AE3138" s="141"/>
    </row>
    <row r="3139" spans="28:31" x14ac:dyDescent="0.2">
      <c r="AB3139" s="141"/>
      <c r="AD3139" s="141"/>
      <c r="AE3139" s="141"/>
    </row>
    <row r="3140" spans="28:31" x14ac:dyDescent="0.2">
      <c r="AB3140" s="141"/>
      <c r="AD3140" s="141"/>
      <c r="AE3140" s="141"/>
    </row>
    <row r="3141" spans="28:31" x14ac:dyDescent="0.2">
      <c r="AB3141" s="141"/>
      <c r="AD3141" s="141"/>
      <c r="AE3141" s="141"/>
    </row>
    <row r="3142" spans="28:31" x14ac:dyDescent="0.2">
      <c r="AB3142" s="141"/>
      <c r="AD3142" s="141"/>
      <c r="AE3142" s="141"/>
    </row>
    <row r="3143" spans="28:31" x14ac:dyDescent="0.2">
      <c r="AB3143" s="141"/>
      <c r="AD3143" s="141"/>
      <c r="AE3143" s="141"/>
    </row>
    <row r="3144" spans="28:31" x14ac:dyDescent="0.2">
      <c r="AB3144" s="141"/>
      <c r="AD3144" s="141"/>
      <c r="AE3144" s="141"/>
    </row>
    <row r="3145" spans="28:31" x14ac:dyDescent="0.2">
      <c r="AB3145" s="141"/>
      <c r="AD3145" s="141"/>
      <c r="AE3145" s="141"/>
    </row>
    <row r="3146" spans="28:31" x14ac:dyDescent="0.2">
      <c r="AB3146" s="141"/>
      <c r="AD3146" s="141"/>
      <c r="AE3146" s="141"/>
    </row>
    <row r="3147" spans="28:31" x14ac:dyDescent="0.2">
      <c r="AB3147" s="141"/>
      <c r="AD3147" s="141"/>
      <c r="AE3147" s="141"/>
    </row>
    <row r="3148" spans="28:31" x14ac:dyDescent="0.2">
      <c r="AB3148" s="141"/>
      <c r="AD3148" s="141"/>
      <c r="AE3148" s="141"/>
    </row>
    <row r="3149" spans="28:31" x14ac:dyDescent="0.2">
      <c r="AB3149" s="141"/>
      <c r="AD3149" s="141"/>
      <c r="AE3149" s="141"/>
    </row>
    <row r="3150" spans="28:31" x14ac:dyDescent="0.2">
      <c r="AB3150" s="141"/>
      <c r="AD3150" s="141"/>
      <c r="AE3150" s="141"/>
    </row>
    <row r="3151" spans="28:31" x14ac:dyDescent="0.2">
      <c r="AB3151" s="141"/>
      <c r="AD3151" s="141"/>
      <c r="AE3151" s="141"/>
    </row>
    <row r="3152" spans="28:31" x14ac:dyDescent="0.2">
      <c r="AB3152" s="141"/>
      <c r="AD3152" s="141"/>
      <c r="AE3152" s="141"/>
    </row>
    <row r="3153" spans="28:31" x14ac:dyDescent="0.2">
      <c r="AB3153" s="141"/>
      <c r="AD3153" s="141"/>
      <c r="AE3153" s="141"/>
    </row>
    <row r="3154" spans="28:31" x14ac:dyDescent="0.2">
      <c r="AB3154" s="141"/>
      <c r="AD3154" s="141"/>
      <c r="AE3154" s="141"/>
    </row>
    <row r="3155" spans="28:31" x14ac:dyDescent="0.2">
      <c r="AB3155" s="141"/>
      <c r="AD3155" s="141"/>
      <c r="AE3155" s="141"/>
    </row>
    <row r="3156" spans="28:31" x14ac:dyDescent="0.2">
      <c r="AB3156" s="141"/>
      <c r="AD3156" s="141"/>
      <c r="AE3156" s="141"/>
    </row>
    <row r="3157" spans="28:31" x14ac:dyDescent="0.2">
      <c r="AB3157" s="141"/>
      <c r="AD3157" s="141"/>
      <c r="AE3157" s="141"/>
    </row>
    <row r="3158" spans="28:31" x14ac:dyDescent="0.2">
      <c r="AB3158" s="141"/>
      <c r="AD3158" s="141"/>
      <c r="AE3158" s="141"/>
    </row>
    <row r="3159" spans="28:31" x14ac:dyDescent="0.2">
      <c r="AB3159" s="141"/>
      <c r="AD3159" s="141"/>
      <c r="AE3159" s="141"/>
    </row>
    <row r="3160" spans="28:31" x14ac:dyDescent="0.2">
      <c r="AB3160" s="141"/>
      <c r="AD3160" s="141"/>
      <c r="AE3160" s="141"/>
    </row>
    <row r="3161" spans="28:31" x14ac:dyDescent="0.2">
      <c r="AB3161" s="141"/>
      <c r="AD3161" s="141"/>
      <c r="AE3161" s="141"/>
    </row>
    <row r="3162" spans="28:31" x14ac:dyDescent="0.2">
      <c r="AB3162" s="141"/>
      <c r="AD3162" s="141"/>
      <c r="AE3162" s="141"/>
    </row>
    <row r="3163" spans="28:31" x14ac:dyDescent="0.2">
      <c r="AB3163" s="141"/>
      <c r="AD3163" s="141"/>
      <c r="AE3163" s="141"/>
    </row>
    <row r="3164" spans="28:31" x14ac:dyDescent="0.2">
      <c r="AB3164" s="141"/>
      <c r="AD3164" s="141"/>
      <c r="AE3164" s="141"/>
    </row>
    <row r="3165" spans="28:31" x14ac:dyDescent="0.2">
      <c r="AB3165" s="141"/>
      <c r="AD3165" s="141"/>
      <c r="AE3165" s="141"/>
    </row>
    <row r="3166" spans="28:31" x14ac:dyDescent="0.2">
      <c r="AB3166" s="141"/>
      <c r="AD3166" s="141"/>
      <c r="AE3166" s="141"/>
    </row>
    <row r="3167" spans="28:31" x14ac:dyDescent="0.2">
      <c r="AB3167" s="141"/>
      <c r="AD3167" s="141"/>
      <c r="AE3167" s="141"/>
    </row>
    <row r="3168" spans="28:31" x14ac:dyDescent="0.2">
      <c r="AB3168" s="141"/>
      <c r="AD3168" s="141"/>
      <c r="AE3168" s="141"/>
    </row>
    <row r="3169" spans="28:31" x14ac:dyDescent="0.2">
      <c r="AB3169" s="141"/>
      <c r="AD3169" s="141"/>
      <c r="AE3169" s="141"/>
    </row>
    <row r="3170" spans="28:31" x14ac:dyDescent="0.2">
      <c r="AB3170" s="141"/>
      <c r="AD3170" s="141"/>
      <c r="AE3170" s="141"/>
    </row>
    <row r="3171" spans="28:31" x14ac:dyDescent="0.2">
      <c r="AB3171" s="141"/>
      <c r="AD3171" s="141"/>
      <c r="AE3171" s="141"/>
    </row>
    <row r="3172" spans="28:31" x14ac:dyDescent="0.2">
      <c r="AB3172" s="141"/>
      <c r="AD3172" s="141"/>
      <c r="AE3172" s="141"/>
    </row>
    <row r="3173" spans="28:31" x14ac:dyDescent="0.2">
      <c r="AB3173" s="141"/>
      <c r="AD3173" s="141"/>
      <c r="AE3173" s="141"/>
    </row>
    <row r="3174" spans="28:31" x14ac:dyDescent="0.2">
      <c r="AB3174" s="141"/>
      <c r="AD3174" s="141"/>
      <c r="AE3174" s="141"/>
    </row>
    <row r="3175" spans="28:31" x14ac:dyDescent="0.2">
      <c r="AB3175" s="141"/>
      <c r="AD3175" s="141"/>
      <c r="AE3175" s="141"/>
    </row>
    <row r="3176" spans="28:31" x14ac:dyDescent="0.2">
      <c r="AB3176" s="141"/>
      <c r="AD3176" s="141"/>
      <c r="AE3176" s="141"/>
    </row>
    <row r="3177" spans="28:31" x14ac:dyDescent="0.2">
      <c r="AB3177" s="141"/>
      <c r="AD3177" s="141"/>
      <c r="AE3177" s="141"/>
    </row>
    <row r="3178" spans="28:31" x14ac:dyDescent="0.2">
      <c r="AB3178" s="141"/>
      <c r="AD3178" s="141"/>
      <c r="AE3178" s="141"/>
    </row>
    <row r="3179" spans="28:31" x14ac:dyDescent="0.2">
      <c r="AB3179" s="141"/>
      <c r="AD3179" s="141"/>
      <c r="AE3179" s="141"/>
    </row>
    <row r="3180" spans="28:31" x14ac:dyDescent="0.2">
      <c r="AB3180" s="141"/>
      <c r="AD3180" s="141"/>
      <c r="AE3180" s="141"/>
    </row>
    <row r="3181" spans="28:31" x14ac:dyDescent="0.2">
      <c r="AB3181" s="141"/>
      <c r="AD3181" s="141"/>
      <c r="AE3181" s="141"/>
    </row>
    <row r="3182" spans="28:31" x14ac:dyDescent="0.2">
      <c r="AB3182" s="141"/>
      <c r="AD3182" s="141"/>
      <c r="AE3182" s="141"/>
    </row>
    <row r="3183" spans="28:31" x14ac:dyDescent="0.2">
      <c r="AB3183" s="141"/>
      <c r="AD3183" s="141"/>
      <c r="AE3183" s="141"/>
    </row>
    <row r="3184" spans="28:31" x14ac:dyDescent="0.2">
      <c r="AB3184" s="141"/>
      <c r="AD3184" s="141"/>
      <c r="AE3184" s="141"/>
    </row>
    <row r="3185" spans="28:31" x14ac:dyDescent="0.2">
      <c r="AB3185" s="141"/>
      <c r="AD3185" s="141"/>
      <c r="AE3185" s="141"/>
    </row>
    <row r="3186" spans="28:31" x14ac:dyDescent="0.2">
      <c r="AB3186" s="141"/>
      <c r="AD3186" s="141"/>
      <c r="AE3186" s="141"/>
    </row>
    <row r="3187" spans="28:31" x14ac:dyDescent="0.2">
      <c r="AB3187" s="141"/>
      <c r="AD3187" s="141"/>
      <c r="AE3187" s="141"/>
    </row>
    <row r="3188" spans="28:31" x14ac:dyDescent="0.2">
      <c r="AB3188" s="141"/>
      <c r="AD3188" s="141"/>
      <c r="AE3188" s="141"/>
    </row>
    <row r="3189" spans="28:31" x14ac:dyDescent="0.2">
      <c r="AB3189" s="141"/>
      <c r="AD3189" s="141"/>
      <c r="AE3189" s="141"/>
    </row>
    <row r="3190" spans="28:31" x14ac:dyDescent="0.2">
      <c r="AB3190" s="141"/>
      <c r="AD3190" s="141"/>
      <c r="AE3190" s="141"/>
    </row>
    <row r="3191" spans="28:31" x14ac:dyDescent="0.2">
      <c r="AB3191" s="141"/>
      <c r="AD3191" s="141"/>
      <c r="AE3191" s="141"/>
    </row>
    <row r="3192" spans="28:31" x14ac:dyDescent="0.2">
      <c r="AB3192" s="141"/>
      <c r="AD3192" s="141"/>
      <c r="AE3192" s="141"/>
    </row>
    <row r="3193" spans="28:31" x14ac:dyDescent="0.2">
      <c r="AB3193" s="141"/>
      <c r="AD3193" s="141"/>
      <c r="AE3193" s="141"/>
    </row>
    <row r="3194" spans="28:31" x14ac:dyDescent="0.2">
      <c r="AB3194" s="141"/>
      <c r="AD3194" s="141"/>
      <c r="AE3194" s="141"/>
    </row>
    <row r="3195" spans="28:31" x14ac:dyDescent="0.2">
      <c r="AB3195" s="141"/>
      <c r="AD3195" s="141"/>
      <c r="AE3195" s="141"/>
    </row>
    <row r="3196" spans="28:31" x14ac:dyDescent="0.2">
      <c r="AB3196" s="141"/>
      <c r="AD3196" s="141"/>
      <c r="AE3196" s="141"/>
    </row>
    <row r="3197" spans="28:31" x14ac:dyDescent="0.2">
      <c r="AB3197" s="141"/>
      <c r="AD3197" s="141"/>
      <c r="AE3197" s="141"/>
    </row>
    <row r="3198" spans="28:31" x14ac:dyDescent="0.2">
      <c r="AB3198" s="141"/>
      <c r="AD3198" s="141"/>
      <c r="AE3198" s="141"/>
    </row>
    <row r="3199" spans="28:31" x14ac:dyDescent="0.2">
      <c r="AB3199" s="141"/>
      <c r="AD3199" s="141"/>
      <c r="AE3199" s="141"/>
    </row>
    <row r="3200" spans="28:31" x14ac:dyDescent="0.2">
      <c r="AB3200" s="141"/>
      <c r="AD3200" s="141"/>
      <c r="AE3200" s="141"/>
    </row>
    <row r="3201" spans="28:31" x14ac:dyDescent="0.2">
      <c r="AB3201" s="141"/>
      <c r="AD3201" s="141"/>
      <c r="AE3201" s="141"/>
    </row>
    <row r="3202" spans="28:31" x14ac:dyDescent="0.2">
      <c r="AB3202" s="141"/>
      <c r="AD3202" s="141"/>
      <c r="AE3202" s="141"/>
    </row>
    <row r="3203" spans="28:31" x14ac:dyDescent="0.2">
      <c r="AB3203" s="141"/>
      <c r="AD3203" s="141"/>
      <c r="AE3203" s="141"/>
    </row>
    <row r="3204" spans="28:31" x14ac:dyDescent="0.2">
      <c r="AB3204" s="141"/>
      <c r="AD3204" s="141"/>
      <c r="AE3204" s="141"/>
    </row>
    <row r="3205" spans="28:31" x14ac:dyDescent="0.2">
      <c r="AB3205" s="141"/>
      <c r="AD3205" s="141"/>
      <c r="AE3205" s="141"/>
    </row>
    <row r="3206" spans="28:31" x14ac:dyDescent="0.2">
      <c r="AB3206" s="141"/>
      <c r="AD3206" s="141"/>
      <c r="AE3206" s="141"/>
    </row>
    <row r="3207" spans="28:31" x14ac:dyDescent="0.2">
      <c r="AB3207" s="141"/>
      <c r="AD3207" s="141"/>
      <c r="AE3207" s="141"/>
    </row>
    <row r="3208" spans="28:31" x14ac:dyDescent="0.2">
      <c r="AB3208" s="141"/>
      <c r="AD3208" s="141"/>
      <c r="AE3208" s="141"/>
    </row>
    <row r="3209" spans="28:31" x14ac:dyDescent="0.2">
      <c r="AB3209" s="141"/>
      <c r="AD3209" s="141"/>
      <c r="AE3209" s="141"/>
    </row>
    <row r="3210" spans="28:31" x14ac:dyDescent="0.2">
      <c r="AB3210" s="141"/>
      <c r="AD3210" s="141"/>
      <c r="AE3210" s="141"/>
    </row>
    <row r="3211" spans="28:31" x14ac:dyDescent="0.2">
      <c r="AB3211" s="141"/>
      <c r="AD3211" s="141"/>
      <c r="AE3211" s="141"/>
    </row>
    <row r="3212" spans="28:31" x14ac:dyDescent="0.2">
      <c r="AB3212" s="141"/>
      <c r="AD3212" s="141"/>
      <c r="AE3212" s="141"/>
    </row>
    <row r="3213" spans="28:31" x14ac:dyDescent="0.2">
      <c r="AB3213" s="141"/>
      <c r="AD3213" s="141"/>
      <c r="AE3213" s="141"/>
    </row>
    <row r="3214" spans="28:31" x14ac:dyDescent="0.2">
      <c r="AB3214" s="141"/>
      <c r="AD3214" s="141"/>
      <c r="AE3214" s="141"/>
    </row>
    <row r="3215" spans="28:31" x14ac:dyDescent="0.2">
      <c r="AB3215" s="141"/>
      <c r="AD3215" s="141"/>
      <c r="AE3215" s="141"/>
    </row>
    <row r="3216" spans="28:31" x14ac:dyDescent="0.2">
      <c r="AB3216" s="141"/>
      <c r="AD3216" s="141"/>
      <c r="AE3216" s="141"/>
    </row>
    <row r="3217" spans="28:31" x14ac:dyDescent="0.2">
      <c r="AB3217" s="141"/>
      <c r="AD3217" s="141"/>
      <c r="AE3217" s="141"/>
    </row>
    <row r="3218" spans="28:31" x14ac:dyDescent="0.2">
      <c r="AB3218" s="141"/>
      <c r="AD3218" s="141"/>
      <c r="AE3218" s="141"/>
    </row>
    <row r="3219" spans="28:31" x14ac:dyDescent="0.2">
      <c r="AB3219" s="141"/>
      <c r="AD3219" s="141"/>
      <c r="AE3219" s="141"/>
    </row>
    <row r="3220" spans="28:31" x14ac:dyDescent="0.2">
      <c r="AB3220" s="141"/>
      <c r="AD3220" s="141"/>
      <c r="AE3220" s="141"/>
    </row>
    <row r="3221" spans="28:31" x14ac:dyDescent="0.2">
      <c r="AB3221" s="141"/>
      <c r="AD3221" s="141"/>
      <c r="AE3221" s="141"/>
    </row>
    <row r="3222" spans="28:31" x14ac:dyDescent="0.2">
      <c r="AB3222" s="141"/>
      <c r="AD3222" s="141"/>
      <c r="AE3222" s="141"/>
    </row>
    <row r="3223" spans="28:31" x14ac:dyDescent="0.2">
      <c r="AB3223" s="141"/>
      <c r="AD3223" s="141"/>
      <c r="AE3223" s="141"/>
    </row>
    <row r="3224" spans="28:31" x14ac:dyDescent="0.2">
      <c r="AB3224" s="141"/>
      <c r="AD3224" s="141"/>
      <c r="AE3224" s="141"/>
    </row>
    <row r="3225" spans="28:31" x14ac:dyDescent="0.2">
      <c r="AB3225" s="141"/>
      <c r="AD3225" s="141"/>
      <c r="AE3225" s="141"/>
    </row>
    <row r="3226" spans="28:31" x14ac:dyDescent="0.2">
      <c r="AB3226" s="141"/>
      <c r="AD3226" s="141"/>
      <c r="AE3226" s="141"/>
    </row>
    <row r="3227" spans="28:31" x14ac:dyDescent="0.2">
      <c r="AB3227" s="141"/>
      <c r="AD3227" s="141"/>
      <c r="AE3227" s="141"/>
    </row>
    <row r="3228" spans="28:31" x14ac:dyDescent="0.2">
      <c r="AB3228" s="141"/>
      <c r="AD3228" s="141"/>
      <c r="AE3228" s="141"/>
    </row>
    <row r="3229" spans="28:31" x14ac:dyDescent="0.2">
      <c r="AB3229" s="141"/>
      <c r="AD3229" s="141"/>
      <c r="AE3229" s="141"/>
    </row>
    <row r="3230" spans="28:31" x14ac:dyDescent="0.2">
      <c r="AB3230" s="141"/>
      <c r="AD3230" s="141"/>
      <c r="AE3230" s="141"/>
    </row>
    <row r="3231" spans="28:31" x14ac:dyDescent="0.2">
      <c r="AB3231" s="141"/>
      <c r="AD3231" s="141"/>
      <c r="AE3231" s="141"/>
    </row>
    <row r="3232" spans="28:31" x14ac:dyDescent="0.2">
      <c r="AB3232" s="141"/>
      <c r="AD3232" s="141"/>
      <c r="AE3232" s="141"/>
    </row>
    <row r="3233" spans="28:31" x14ac:dyDescent="0.2">
      <c r="AB3233" s="141"/>
      <c r="AD3233" s="141"/>
      <c r="AE3233" s="141"/>
    </row>
    <row r="3234" spans="28:31" x14ac:dyDescent="0.2">
      <c r="AB3234" s="141"/>
      <c r="AD3234" s="141"/>
      <c r="AE3234" s="141"/>
    </row>
    <row r="3235" spans="28:31" x14ac:dyDescent="0.2">
      <c r="AB3235" s="141"/>
      <c r="AD3235" s="141"/>
      <c r="AE3235" s="141"/>
    </row>
    <row r="3236" spans="28:31" x14ac:dyDescent="0.2">
      <c r="AB3236" s="141"/>
      <c r="AD3236" s="141"/>
      <c r="AE3236" s="141"/>
    </row>
    <row r="3237" spans="28:31" x14ac:dyDescent="0.2">
      <c r="AB3237" s="141"/>
      <c r="AD3237" s="141"/>
      <c r="AE3237" s="141"/>
    </row>
    <row r="3238" spans="28:31" x14ac:dyDescent="0.2">
      <c r="AB3238" s="141"/>
      <c r="AD3238" s="141"/>
      <c r="AE3238" s="141"/>
    </row>
    <row r="3239" spans="28:31" x14ac:dyDescent="0.2">
      <c r="AB3239" s="141"/>
      <c r="AD3239" s="141"/>
      <c r="AE3239" s="141"/>
    </row>
    <row r="3240" spans="28:31" x14ac:dyDescent="0.2">
      <c r="AB3240" s="141"/>
      <c r="AD3240" s="141"/>
      <c r="AE3240" s="141"/>
    </row>
    <row r="3241" spans="28:31" x14ac:dyDescent="0.2">
      <c r="AB3241" s="141"/>
      <c r="AD3241" s="141"/>
      <c r="AE3241" s="141"/>
    </row>
    <row r="3242" spans="28:31" x14ac:dyDescent="0.2">
      <c r="AB3242" s="141"/>
      <c r="AD3242" s="141"/>
      <c r="AE3242" s="141"/>
    </row>
    <row r="3243" spans="28:31" x14ac:dyDescent="0.2">
      <c r="AB3243" s="141"/>
      <c r="AD3243" s="141"/>
      <c r="AE3243" s="141"/>
    </row>
    <row r="3244" spans="28:31" x14ac:dyDescent="0.2">
      <c r="AB3244" s="141"/>
      <c r="AD3244" s="141"/>
      <c r="AE3244" s="141"/>
    </row>
    <row r="3245" spans="28:31" x14ac:dyDescent="0.2">
      <c r="AB3245" s="141"/>
      <c r="AD3245" s="141"/>
      <c r="AE3245" s="141"/>
    </row>
    <row r="3246" spans="28:31" x14ac:dyDescent="0.2">
      <c r="AB3246" s="141"/>
      <c r="AD3246" s="141"/>
      <c r="AE3246" s="141"/>
    </row>
    <row r="3247" spans="28:31" x14ac:dyDescent="0.2">
      <c r="AB3247" s="141"/>
      <c r="AD3247" s="141"/>
      <c r="AE3247" s="141"/>
    </row>
    <row r="3248" spans="28:31" x14ac:dyDescent="0.2">
      <c r="AB3248" s="141"/>
      <c r="AD3248" s="141"/>
      <c r="AE3248" s="141"/>
    </row>
    <row r="3249" spans="28:31" x14ac:dyDescent="0.2">
      <c r="AB3249" s="141"/>
      <c r="AD3249" s="141"/>
      <c r="AE3249" s="141"/>
    </row>
    <row r="3250" spans="28:31" x14ac:dyDescent="0.2">
      <c r="AB3250" s="141"/>
      <c r="AD3250" s="141"/>
      <c r="AE3250" s="141"/>
    </row>
    <row r="3251" spans="28:31" x14ac:dyDescent="0.2">
      <c r="AB3251" s="141"/>
      <c r="AD3251" s="141"/>
      <c r="AE3251" s="141"/>
    </row>
    <row r="3252" spans="28:31" x14ac:dyDescent="0.2">
      <c r="AB3252" s="141"/>
      <c r="AD3252" s="141"/>
      <c r="AE3252" s="141"/>
    </row>
    <row r="3253" spans="28:31" x14ac:dyDescent="0.2">
      <c r="AB3253" s="141"/>
      <c r="AD3253" s="141"/>
      <c r="AE3253" s="141"/>
    </row>
    <row r="3254" spans="28:31" x14ac:dyDescent="0.2">
      <c r="AB3254" s="141"/>
      <c r="AD3254" s="141"/>
      <c r="AE3254" s="141"/>
    </row>
    <row r="3255" spans="28:31" x14ac:dyDescent="0.2">
      <c r="AB3255" s="141"/>
      <c r="AD3255" s="141"/>
      <c r="AE3255" s="141"/>
    </row>
    <row r="3256" spans="28:31" x14ac:dyDescent="0.2">
      <c r="AB3256" s="141"/>
      <c r="AD3256" s="141"/>
      <c r="AE3256" s="141"/>
    </row>
    <row r="3257" spans="28:31" x14ac:dyDescent="0.2">
      <c r="AB3257" s="141"/>
      <c r="AD3257" s="141"/>
      <c r="AE3257" s="141"/>
    </row>
    <row r="3258" spans="28:31" x14ac:dyDescent="0.2">
      <c r="AB3258" s="141"/>
      <c r="AD3258" s="141"/>
      <c r="AE3258" s="141"/>
    </row>
    <row r="3259" spans="28:31" x14ac:dyDescent="0.2">
      <c r="AB3259" s="141"/>
      <c r="AD3259" s="141"/>
      <c r="AE3259" s="141"/>
    </row>
    <row r="3260" spans="28:31" x14ac:dyDescent="0.2">
      <c r="AB3260" s="141"/>
      <c r="AD3260" s="141"/>
      <c r="AE3260" s="141"/>
    </row>
    <row r="3261" spans="28:31" x14ac:dyDescent="0.2">
      <c r="AB3261" s="141"/>
      <c r="AD3261" s="141"/>
      <c r="AE3261" s="141"/>
    </row>
    <row r="3262" spans="28:31" x14ac:dyDescent="0.2">
      <c r="AB3262" s="141"/>
      <c r="AD3262" s="141"/>
      <c r="AE3262" s="141"/>
    </row>
    <row r="3263" spans="28:31" x14ac:dyDescent="0.2">
      <c r="AB3263" s="141"/>
      <c r="AD3263" s="141"/>
      <c r="AE3263" s="141"/>
    </row>
    <row r="3264" spans="28:31" x14ac:dyDescent="0.2">
      <c r="AB3264" s="141"/>
      <c r="AD3264" s="141"/>
      <c r="AE3264" s="141"/>
    </row>
    <row r="3265" spans="28:31" x14ac:dyDescent="0.2">
      <c r="AB3265" s="141"/>
      <c r="AD3265" s="141"/>
      <c r="AE3265" s="141"/>
    </row>
    <row r="3266" spans="28:31" x14ac:dyDescent="0.2">
      <c r="AB3266" s="141"/>
      <c r="AD3266" s="141"/>
      <c r="AE3266" s="141"/>
    </row>
    <row r="3267" spans="28:31" x14ac:dyDescent="0.2">
      <c r="AB3267" s="141"/>
      <c r="AD3267" s="141"/>
      <c r="AE3267" s="141"/>
    </row>
    <row r="3268" spans="28:31" x14ac:dyDescent="0.2">
      <c r="AB3268" s="141"/>
      <c r="AD3268" s="141"/>
      <c r="AE3268" s="141"/>
    </row>
    <row r="3269" spans="28:31" x14ac:dyDescent="0.2">
      <c r="AB3269" s="141"/>
      <c r="AD3269" s="141"/>
      <c r="AE3269" s="141"/>
    </row>
    <row r="3270" spans="28:31" x14ac:dyDescent="0.2">
      <c r="AB3270" s="141"/>
      <c r="AD3270" s="141"/>
      <c r="AE3270" s="141"/>
    </row>
    <row r="3271" spans="28:31" x14ac:dyDescent="0.2">
      <c r="AB3271" s="141"/>
      <c r="AD3271" s="141"/>
      <c r="AE3271" s="141"/>
    </row>
    <row r="3272" spans="28:31" x14ac:dyDescent="0.2">
      <c r="AB3272" s="141"/>
      <c r="AD3272" s="141"/>
      <c r="AE3272" s="141"/>
    </row>
    <row r="3273" spans="28:31" x14ac:dyDescent="0.2">
      <c r="AB3273" s="141"/>
      <c r="AD3273" s="141"/>
      <c r="AE3273" s="141"/>
    </row>
    <row r="3274" spans="28:31" x14ac:dyDescent="0.2">
      <c r="AB3274" s="141"/>
      <c r="AD3274" s="141"/>
      <c r="AE3274" s="141"/>
    </row>
    <row r="3275" spans="28:31" x14ac:dyDescent="0.2">
      <c r="AB3275" s="141"/>
      <c r="AD3275" s="141"/>
      <c r="AE3275" s="141"/>
    </row>
    <row r="3276" spans="28:31" x14ac:dyDescent="0.2">
      <c r="AB3276" s="141"/>
      <c r="AD3276" s="141"/>
      <c r="AE3276" s="141"/>
    </row>
    <row r="3277" spans="28:31" x14ac:dyDescent="0.2">
      <c r="AB3277" s="141"/>
      <c r="AD3277" s="141"/>
      <c r="AE3277" s="141"/>
    </row>
    <row r="3278" spans="28:31" x14ac:dyDescent="0.2">
      <c r="AB3278" s="141"/>
      <c r="AD3278" s="141"/>
      <c r="AE3278" s="141"/>
    </row>
    <row r="3279" spans="28:31" x14ac:dyDescent="0.2">
      <c r="AB3279" s="141"/>
      <c r="AD3279" s="141"/>
      <c r="AE3279" s="141"/>
    </row>
    <row r="3280" spans="28:31" x14ac:dyDescent="0.2">
      <c r="AB3280" s="141"/>
      <c r="AD3280" s="141"/>
      <c r="AE3280" s="141"/>
    </row>
    <row r="3281" spans="28:31" x14ac:dyDescent="0.2">
      <c r="AB3281" s="141"/>
      <c r="AD3281" s="141"/>
      <c r="AE3281" s="141"/>
    </row>
    <row r="3282" spans="28:31" x14ac:dyDescent="0.2">
      <c r="AB3282" s="141"/>
      <c r="AD3282" s="141"/>
      <c r="AE3282" s="141"/>
    </row>
    <row r="3283" spans="28:31" x14ac:dyDescent="0.2">
      <c r="AB3283" s="141"/>
      <c r="AD3283" s="141"/>
      <c r="AE3283" s="141"/>
    </row>
    <row r="3284" spans="28:31" x14ac:dyDescent="0.2">
      <c r="AB3284" s="141"/>
      <c r="AD3284" s="141"/>
      <c r="AE3284" s="141"/>
    </row>
    <row r="3285" spans="28:31" x14ac:dyDescent="0.2">
      <c r="AB3285" s="141"/>
      <c r="AD3285" s="141"/>
      <c r="AE3285" s="141"/>
    </row>
    <row r="3286" spans="28:31" x14ac:dyDescent="0.2">
      <c r="AB3286" s="141"/>
      <c r="AD3286" s="141"/>
      <c r="AE3286" s="141"/>
    </row>
    <row r="3287" spans="28:31" x14ac:dyDescent="0.2">
      <c r="AB3287" s="141"/>
      <c r="AD3287" s="141"/>
      <c r="AE3287" s="141"/>
    </row>
    <row r="3288" spans="28:31" x14ac:dyDescent="0.2">
      <c r="AB3288" s="141"/>
      <c r="AD3288" s="141"/>
      <c r="AE3288" s="141"/>
    </row>
    <row r="3289" spans="28:31" x14ac:dyDescent="0.2">
      <c r="AB3289" s="141"/>
      <c r="AD3289" s="141"/>
      <c r="AE3289" s="141"/>
    </row>
    <row r="3290" spans="28:31" x14ac:dyDescent="0.2">
      <c r="AB3290" s="141"/>
      <c r="AD3290" s="141"/>
      <c r="AE3290" s="141"/>
    </row>
    <row r="3291" spans="28:31" x14ac:dyDescent="0.2">
      <c r="AB3291" s="141"/>
      <c r="AD3291" s="141"/>
      <c r="AE3291" s="141"/>
    </row>
    <row r="3292" spans="28:31" x14ac:dyDescent="0.2">
      <c r="AB3292" s="141"/>
      <c r="AD3292" s="141"/>
      <c r="AE3292" s="141"/>
    </row>
    <row r="3293" spans="28:31" x14ac:dyDescent="0.2">
      <c r="AB3293" s="141"/>
      <c r="AD3293" s="141"/>
      <c r="AE3293" s="141"/>
    </row>
    <row r="3294" spans="28:31" x14ac:dyDescent="0.2">
      <c r="AB3294" s="141"/>
      <c r="AD3294" s="141"/>
      <c r="AE3294" s="141"/>
    </row>
    <row r="3295" spans="28:31" x14ac:dyDescent="0.2">
      <c r="AB3295" s="141"/>
      <c r="AD3295" s="141"/>
      <c r="AE3295" s="141"/>
    </row>
    <row r="3296" spans="28:31" x14ac:dyDescent="0.2">
      <c r="AB3296" s="141"/>
      <c r="AD3296" s="141"/>
      <c r="AE3296" s="141"/>
    </row>
    <row r="3297" spans="28:31" x14ac:dyDescent="0.2">
      <c r="AB3297" s="141"/>
      <c r="AD3297" s="141"/>
      <c r="AE3297" s="141"/>
    </row>
    <row r="3298" spans="28:31" x14ac:dyDescent="0.2">
      <c r="AB3298" s="141"/>
      <c r="AD3298" s="141"/>
      <c r="AE3298" s="141"/>
    </row>
    <row r="3299" spans="28:31" x14ac:dyDescent="0.2">
      <c r="AB3299" s="141"/>
      <c r="AD3299" s="141"/>
      <c r="AE3299" s="141"/>
    </row>
    <row r="3300" spans="28:31" x14ac:dyDescent="0.2">
      <c r="AB3300" s="141"/>
      <c r="AD3300" s="141"/>
      <c r="AE3300" s="141"/>
    </row>
    <row r="3301" spans="28:31" x14ac:dyDescent="0.2">
      <c r="AB3301" s="141"/>
      <c r="AD3301" s="141"/>
      <c r="AE3301" s="141"/>
    </row>
    <row r="3302" spans="28:31" x14ac:dyDescent="0.2">
      <c r="AB3302" s="141"/>
      <c r="AD3302" s="141"/>
      <c r="AE3302" s="141"/>
    </row>
    <row r="3303" spans="28:31" x14ac:dyDescent="0.2">
      <c r="AB3303" s="141"/>
      <c r="AD3303" s="141"/>
      <c r="AE3303" s="141"/>
    </row>
    <row r="3304" spans="28:31" x14ac:dyDescent="0.2">
      <c r="AB3304" s="141"/>
      <c r="AD3304" s="141"/>
      <c r="AE3304" s="141"/>
    </row>
    <row r="3305" spans="28:31" x14ac:dyDescent="0.2">
      <c r="AB3305" s="141"/>
      <c r="AD3305" s="141"/>
      <c r="AE3305" s="141"/>
    </row>
    <row r="3306" spans="28:31" x14ac:dyDescent="0.2">
      <c r="AB3306" s="141"/>
      <c r="AD3306" s="141"/>
      <c r="AE3306" s="141"/>
    </row>
    <row r="3307" spans="28:31" x14ac:dyDescent="0.2">
      <c r="AB3307" s="141"/>
      <c r="AD3307" s="141"/>
      <c r="AE3307" s="141"/>
    </row>
    <row r="3308" spans="28:31" x14ac:dyDescent="0.2">
      <c r="AB3308" s="141"/>
      <c r="AD3308" s="141"/>
      <c r="AE3308" s="141"/>
    </row>
    <row r="3309" spans="28:31" x14ac:dyDescent="0.2">
      <c r="AB3309" s="141"/>
      <c r="AD3309" s="141"/>
      <c r="AE3309" s="141"/>
    </row>
    <row r="3310" spans="28:31" x14ac:dyDescent="0.2">
      <c r="AB3310" s="141"/>
      <c r="AD3310" s="141"/>
      <c r="AE3310" s="141"/>
    </row>
    <row r="3311" spans="28:31" x14ac:dyDescent="0.2">
      <c r="AB3311" s="141"/>
      <c r="AD3311" s="141"/>
      <c r="AE3311" s="141"/>
    </row>
    <row r="3312" spans="28:31" x14ac:dyDescent="0.2">
      <c r="AB3312" s="141"/>
      <c r="AD3312" s="141"/>
      <c r="AE3312" s="141"/>
    </row>
    <row r="3313" spans="28:31" x14ac:dyDescent="0.2">
      <c r="AB3313" s="141"/>
      <c r="AD3313" s="141"/>
      <c r="AE3313" s="141"/>
    </row>
    <row r="3314" spans="28:31" x14ac:dyDescent="0.2">
      <c r="AB3314" s="141"/>
      <c r="AD3314" s="141"/>
      <c r="AE3314" s="141"/>
    </row>
    <row r="3315" spans="28:31" x14ac:dyDescent="0.2">
      <c r="AB3315" s="141"/>
      <c r="AD3315" s="141"/>
      <c r="AE3315" s="141"/>
    </row>
    <row r="3316" spans="28:31" x14ac:dyDescent="0.2">
      <c r="AB3316" s="141"/>
      <c r="AD3316" s="141"/>
      <c r="AE3316" s="141"/>
    </row>
    <row r="3317" spans="28:31" x14ac:dyDescent="0.2">
      <c r="AB3317" s="141"/>
      <c r="AD3317" s="141"/>
      <c r="AE3317" s="141"/>
    </row>
    <row r="3318" spans="28:31" x14ac:dyDescent="0.2">
      <c r="AB3318" s="141"/>
      <c r="AD3318" s="141"/>
      <c r="AE3318" s="141"/>
    </row>
    <row r="3319" spans="28:31" x14ac:dyDescent="0.2">
      <c r="AB3319" s="141"/>
      <c r="AD3319" s="141"/>
      <c r="AE3319" s="141"/>
    </row>
    <row r="3320" spans="28:31" x14ac:dyDescent="0.2">
      <c r="AB3320" s="141"/>
      <c r="AD3320" s="141"/>
      <c r="AE3320" s="141"/>
    </row>
    <row r="3321" spans="28:31" x14ac:dyDescent="0.2">
      <c r="AB3321" s="141"/>
      <c r="AD3321" s="141"/>
      <c r="AE3321" s="141"/>
    </row>
    <row r="3322" spans="28:31" x14ac:dyDescent="0.2">
      <c r="AB3322" s="141"/>
      <c r="AD3322" s="141"/>
      <c r="AE3322" s="141"/>
    </row>
    <row r="3323" spans="28:31" x14ac:dyDescent="0.2">
      <c r="AB3323" s="141"/>
      <c r="AD3323" s="141"/>
      <c r="AE3323" s="141"/>
    </row>
    <row r="3324" spans="28:31" x14ac:dyDescent="0.2">
      <c r="AB3324" s="141"/>
      <c r="AD3324" s="141"/>
      <c r="AE3324" s="141"/>
    </row>
    <row r="3325" spans="28:31" x14ac:dyDescent="0.2">
      <c r="AB3325" s="141"/>
      <c r="AD3325" s="141"/>
      <c r="AE3325" s="141"/>
    </row>
    <row r="3326" spans="28:31" x14ac:dyDescent="0.2">
      <c r="AB3326" s="141"/>
      <c r="AD3326" s="141"/>
      <c r="AE3326" s="141"/>
    </row>
    <row r="3327" spans="28:31" x14ac:dyDescent="0.2">
      <c r="AB3327" s="141"/>
      <c r="AD3327" s="141"/>
      <c r="AE3327" s="141"/>
    </row>
    <row r="3328" spans="28:31" x14ac:dyDescent="0.2">
      <c r="AB3328" s="141"/>
      <c r="AD3328" s="141"/>
      <c r="AE3328" s="141"/>
    </row>
    <row r="3329" spans="28:31" x14ac:dyDescent="0.2">
      <c r="AB3329" s="141"/>
      <c r="AD3329" s="141"/>
      <c r="AE3329" s="141"/>
    </row>
    <row r="3330" spans="28:31" x14ac:dyDescent="0.2">
      <c r="AB3330" s="141"/>
      <c r="AD3330" s="141"/>
      <c r="AE3330" s="141"/>
    </row>
    <row r="3331" spans="28:31" x14ac:dyDescent="0.2">
      <c r="AB3331" s="141"/>
      <c r="AD3331" s="141"/>
      <c r="AE3331" s="141"/>
    </row>
    <row r="3332" spans="28:31" x14ac:dyDescent="0.2">
      <c r="AB3332" s="141"/>
      <c r="AD3332" s="141"/>
      <c r="AE3332" s="141"/>
    </row>
    <row r="3333" spans="28:31" x14ac:dyDescent="0.2">
      <c r="AB3333" s="141"/>
      <c r="AD3333" s="141"/>
      <c r="AE3333" s="141"/>
    </row>
    <row r="3334" spans="28:31" x14ac:dyDescent="0.2">
      <c r="AB3334" s="141"/>
      <c r="AD3334" s="141"/>
      <c r="AE3334" s="141"/>
    </row>
    <row r="3335" spans="28:31" x14ac:dyDescent="0.2">
      <c r="AB3335" s="141"/>
      <c r="AD3335" s="141"/>
      <c r="AE3335" s="141"/>
    </row>
    <row r="3336" spans="28:31" x14ac:dyDescent="0.2">
      <c r="AB3336" s="141"/>
      <c r="AD3336" s="141"/>
      <c r="AE3336" s="141"/>
    </row>
    <row r="3337" spans="28:31" x14ac:dyDescent="0.2">
      <c r="AB3337" s="141"/>
      <c r="AD3337" s="141"/>
      <c r="AE3337" s="141"/>
    </row>
    <row r="3338" spans="28:31" x14ac:dyDescent="0.2">
      <c r="AB3338" s="141"/>
      <c r="AD3338" s="141"/>
      <c r="AE3338" s="141"/>
    </row>
    <row r="3339" spans="28:31" x14ac:dyDescent="0.2">
      <c r="AB3339" s="141"/>
      <c r="AD3339" s="141"/>
      <c r="AE3339" s="141"/>
    </row>
    <row r="3340" spans="28:31" x14ac:dyDescent="0.2">
      <c r="AB3340" s="141"/>
      <c r="AD3340" s="141"/>
      <c r="AE3340" s="141"/>
    </row>
    <row r="3341" spans="28:31" x14ac:dyDescent="0.2">
      <c r="AB3341" s="141"/>
      <c r="AD3341" s="141"/>
      <c r="AE3341" s="141"/>
    </row>
    <row r="3342" spans="28:31" x14ac:dyDescent="0.2">
      <c r="AB3342" s="141"/>
      <c r="AD3342" s="141"/>
      <c r="AE3342" s="141"/>
    </row>
    <row r="3343" spans="28:31" x14ac:dyDescent="0.2">
      <c r="AB3343" s="141"/>
      <c r="AD3343" s="141"/>
      <c r="AE3343" s="141"/>
    </row>
    <row r="3344" spans="28:31" x14ac:dyDescent="0.2">
      <c r="AB3344" s="141"/>
      <c r="AD3344" s="141"/>
      <c r="AE3344" s="141"/>
    </row>
    <row r="3345" spans="28:31" x14ac:dyDescent="0.2">
      <c r="AB3345" s="141"/>
      <c r="AD3345" s="141"/>
      <c r="AE3345" s="141"/>
    </row>
    <row r="3346" spans="28:31" x14ac:dyDescent="0.2">
      <c r="AB3346" s="141"/>
      <c r="AD3346" s="141"/>
      <c r="AE3346" s="141"/>
    </row>
    <row r="3347" spans="28:31" x14ac:dyDescent="0.2">
      <c r="AB3347" s="141"/>
      <c r="AD3347" s="141"/>
      <c r="AE3347" s="141"/>
    </row>
    <row r="3348" spans="28:31" x14ac:dyDescent="0.2">
      <c r="AB3348" s="141"/>
      <c r="AD3348" s="141"/>
      <c r="AE3348" s="141"/>
    </row>
    <row r="3349" spans="28:31" x14ac:dyDescent="0.2">
      <c r="AB3349" s="141"/>
      <c r="AD3349" s="141"/>
      <c r="AE3349" s="141"/>
    </row>
    <row r="3350" spans="28:31" x14ac:dyDescent="0.2">
      <c r="AB3350" s="141"/>
      <c r="AD3350" s="141"/>
      <c r="AE3350" s="141"/>
    </row>
    <row r="3351" spans="28:31" x14ac:dyDescent="0.2">
      <c r="AB3351" s="141"/>
      <c r="AD3351" s="141"/>
      <c r="AE3351" s="141"/>
    </row>
    <row r="3352" spans="28:31" x14ac:dyDescent="0.2">
      <c r="AB3352" s="141"/>
      <c r="AD3352" s="141"/>
      <c r="AE3352" s="141"/>
    </row>
    <row r="3353" spans="28:31" x14ac:dyDescent="0.2">
      <c r="AB3353" s="141"/>
      <c r="AD3353" s="141"/>
      <c r="AE3353" s="141"/>
    </row>
    <row r="3354" spans="28:31" x14ac:dyDescent="0.2">
      <c r="AB3354" s="141"/>
      <c r="AD3354" s="141"/>
      <c r="AE3354" s="141"/>
    </row>
    <row r="3355" spans="28:31" x14ac:dyDescent="0.2">
      <c r="AB3355" s="141"/>
      <c r="AD3355" s="141"/>
      <c r="AE3355" s="141"/>
    </row>
    <row r="3356" spans="28:31" x14ac:dyDescent="0.2">
      <c r="AB3356" s="141"/>
      <c r="AD3356" s="141"/>
      <c r="AE3356" s="141"/>
    </row>
    <row r="3357" spans="28:31" x14ac:dyDescent="0.2">
      <c r="AB3357" s="141"/>
      <c r="AD3357" s="141"/>
      <c r="AE3357" s="141"/>
    </row>
    <row r="3358" spans="28:31" x14ac:dyDescent="0.2">
      <c r="AB3358" s="141"/>
      <c r="AD3358" s="141"/>
      <c r="AE3358" s="141"/>
    </row>
    <row r="3359" spans="28:31" x14ac:dyDescent="0.2">
      <c r="AB3359" s="141"/>
      <c r="AD3359" s="141"/>
      <c r="AE3359" s="141"/>
    </row>
    <row r="3360" spans="28:31" x14ac:dyDescent="0.2">
      <c r="AB3360" s="141"/>
      <c r="AD3360" s="141"/>
      <c r="AE3360" s="141"/>
    </row>
    <row r="3361" spans="28:31" x14ac:dyDescent="0.2">
      <c r="AB3361" s="141"/>
      <c r="AD3361" s="141"/>
      <c r="AE3361" s="141"/>
    </row>
    <row r="3362" spans="28:31" x14ac:dyDescent="0.2">
      <c r="AB3362" s="141"/>
      <c r="AD3362" s="141"/>
      <c r="AE3362" s="141"/>
    </row>
    <row r="3363" spans="28:31" x14ac:dyDescent="0.2">
      <c r="AB3363" s="141"/>
      <c r="AD3363" s="141"/>
      <c r="AE3363" s="141"/>
    </row>
    <row r="3364" spans="28:31" x14ac:dyDescent="0.2">
      <c r="AB3364" s="141"/>
      <c r="AD3364" s="141"/>
      <c r="AE3364" s="141"/>
    </row>
    <row r="3365" spans="28:31" x14ac:dyDescent="0.2">
      <c r="AB3365" s="141"/>
      <c r="AD3365" s="141"/>
      <c r="AE3365" s="141"/>
    </row>
    <row r="3366" spans="28:31" x14ac:dyDescent="0.2">
      <c r="AB3366" s="141"/>
      <c r="AD3366" s="141"/>
      <c r="AE3366" s="141"/>
    </row>
    <row r="3367" spans="28:31" x14ac:dyDescent="0.2">
      <c r="AB3367" s="141"/>
      <c r="AD3367" s="141"/>
      <c r="AE3367" s="141"/>
    </row>
    <row r="3368" spans="28:31" x14ac:dyDescent="0.2">
      <c r="AB3368" s="141"/>
      <c r="AD3368" s="141"/>
      <c r="AE3368" s="141"/>
    </row>
    <row r="3369" spans="28:31" x14ac:dyDescent="0.2">
      <c r="AB3369" s="141"/>
      <c r="AD3369" s="141"/>
      <c r="AE3369" s="141"/>
    </row>
    <row r="3370" spans="28:31" x14ac:dyDescent="0.2">
      <c r="AB3370" s="141"/>
      <c r="AD3370" s="141"/>
      <c r="AE3370" s="141"/>
    </row>
    <row r="3371" spans="28:31" x14ac:dyDescent="0.2">
      <c r="AB3371" s="141"/>
      <c r="AD3371" s="141"/>
      <c r="AE3371" s="141"/>
    </row>
    <row r="3372" spans="28:31" x14ac:dyDescent="0.2">
      <c r="AB3372" s="141"/>
      <c r="AD3372" s="141"/>
      <c r="AE3372" s="141"/>
    </row>
    <row r="3373" spans="28:31" x14ac:dyDescent="0.2">
      <c r="AB3373" s="141"/>
      <c r="AD3373" s="141"/>
      <c r="AE3373" s="141"/>
    </row>
    <row r="3374" spans="28:31" x14ac:dyDescent="0.2">
      <c r="AB3374" s="141"/>
      <c r="AD3374" s="141"/>
      <c r="AE3374" s="141"/>
    </row>
    <row r="3375" spans="28:31" x14ac:dyDescent="0.2">
      <c r="AB3375" s="141"/>
      <c r="AD3375" s="141"/>
      <c r="AE3375" s="141"/>
    </row>
    <row r="3376" spans="28:31" x14ac:dyDescent="0.2">
      <c r="AB3376" s="141"/>
      <c r="AD3376" s="141"/>
      <c r="AE3376" s="141"/>
    </row>
    <row r="3377" spans="28:31" x14ac:dyDescent="0.2">
      <c r="AB3377" s="141"/>
      <c r="AD3377" s="141"/>
      <c r="AE3377" s="141"/>
    </row>
    <row r="3378" spans="28:31" x14ac:dyDescent="0.2">
      <c r="AB3378" s="141"/>
      <c r="AD3378" s="141"/>
      <c r="AE3378" s="141"/>
    </row>
    <row r="3379" spans="28:31" x14ac:dyDescent="0.2">
      <c r="AB3379" s="141"/>
      <c r="AD3379" s="141"/>
      <c r="AE3379" s="141"/>
    </row>
    <row r="3380" spans="28:31" x14ac:dyDescent="0.2">
      <c r="AB3380" s="141"/>
      <c r="AD3380" s="141"/>
      <c r="AE3380" s="141"/>
    </row>
    <row r="3381" spans="28:31" x14ac:dyDescent="0.2">
      <c r="AB3381" s="141"/>
      <c r="AD3381" s="141"/>
      <c r="AE3381" s="141"/>
    </row>
    <row r="3382" spans="28:31" x14ac:dyDescent="0.2">
      <c r="AB3382" s="141"/>
      <c r="AD3382" s="141"/>
      <c r="AE3382" s="141"/>
    </row>
    <row r="3383" spans="28:31" x14ac:dyDescent="0.2">
      <c r="AB3383" s="141"/>
      <c r="AD3383" s="141"/>
      <c r="AE3383" s="141"/>
    </row>
    <row r="3384" spans="28:31" x14ac:dyDescent="0.2">
      <c r="AB3384" s="141"/>
      <c r="AD3384" s="141"/>
      <c r="AE3384" s="141"/>
    </row>
    <row r="3385" spans="28:31" x14ac:dyDescent="0.2">
      <c r="AB3385" s="141"/>
      <c r="AD3385" s="141"/>
      <c r="AE3385" s="141"/>
    </row>
    <row r="3386" spans="28:31" x14ac:dyDescent="0.2">
      <c r="AB3386" s="141"/>
      <c r="AD3386" s="141"/>
      <c r="AE3386" s="141"/>
    </row>
    <row r="3387" spans="28:31" x14ac:dyDescent="0.2">
      <c r="AB3387" s="141"/>
      <c r="AD3387" s="141"/>
      <c r="AE3387" s="141"/>
    </row>
    <row r="3388" spans="28:31" x14ac:dyDescent="0.2">
      <c r="AB3388" s="141"/>
      <c r="AD3388" s="141"/>
      <c r="AE3388" s="141"/>
    </row>
    <row r="3389" spans="28:31" x14ac:dyDescent="0.2">
      <c r="AB3389" s="141"/>
      <c r="AD3389" s="141"/>
      <c r="AE3389" s="141"/>
    </row>
    <row r="3390" spans="28:31" x14ac:dyDescent="0.2">
      <c r="AB3390" s="141"/>
      <c r="AD3390" s="141"/>
      <c r="AE3390" s="141"/>
    </row>
    <row r="3391" spans="28:31" x14ac:dyDescent="0.2">
      <c r="AB3391" s="141"/>
      <c r="AD3391" s="141"/>
      <c r="AE3391" s="141"/>
    </row>
    <row r="3392" spans="28:31" x14ac:dyDescent="0.2">
      <c r="AB3392" s="141"/>
      <c r="AD3392" s="141"/>
      <c r="AE3392" s="141"/>
    </row>
    <row r="3393" spans="28:31" x14ac:dyDescent="0.2">
      <c r="AB3393" s="141"/>
      <c r="AD3393" s="141"/>
      <c r="AE3393" s="141"/>
    </row>
    <row r="3394" spans="28:31" x14ac:dyDescent="0.2">
      <c r="AB3394" s="141"/>
      <c r="AD3394" s="141"/>
      <c r="AE3394" s="141"/>
    </row>
    <row r="3395" spans="28:31" x14ac:dyDescent="0.2">
      <c r="AB3395" s="141"/>
      <c r="AD3395" s="141"/>
      <c r="AE3395" s="141"/>
    </row>
    <row r="3396" spans="28:31" x14ac:dyDescent="0.2">
      <c r="AB3396" s="141"/>
      <c r="AD3396" s="141"/>
      <c r="AE3396" s="141"/>
    </row>
    <row r="3397" spans="28:31" x14ac:dyDescent="0.2">
      <c r="AB3397" s="141"/>
      <c r="AD3397" s="141"/>
      <c r="AE3397" s="141"/>
    </row>
    <row r="3398" spans="28:31" x14ac:dyDescent="0.2">
      <c r="AB3398" s="141"/>
      <c r="AD3398" s="141"/>
      <c r="AE3398" s="141"/>
    </row>
    <row r="3399" spans="28:31" x14ac:dyDescent="0.2">
      <c r="AB3399" s="141"/>
      <c r="AD3399" s="141"/>
      <c r="AE3399" s="141"/>
    </row>
    <row r="3400" spans="28:31" x14ac:dyDescent="0.2">
      <c r="AB3400" s="141"/>
      <c r="AD3400" s="141"/>
      <c r="AE3400" s="141"/>
    </row>
    <row r="3401" spans="28:31" x14ac:dyDescent="0.2">
      <c r="AB3401" s="141"/>
      <c r="AD3401" s="141"/>
      <c r="AE3401" s="141"/>
    </row>
    <row r="3402" spans="28:31" x14ac:dyDescent="0.2">
      <c r="AB3402" s="141"/>
      <c r="AD3402" s="141"/>
      <c r="AE3402" s="141"/>
    </row>
    <row r="3403" spans="28:31" x14ac:dyDescent="0.2">
      <c r="AB3403" s="141"/>
      <c r="AD3403" s="141"/>
      <c r="AE3403" s="141"/>
    </row>
    <row r="3404" spans="28:31" x14ac:dyDescent="0.2">
      <c r="AB3404" s="141"/>
      <c r="AD3404" s="141"/>
      <c r="AE3404" s="141"/>
    </row>
    <row r="3405" spans="28:31" x14ac:dyDescent="0.2">
      <c r="AB3405" s="141"/>
      <c r="AD3405" s="141"/>
      <c r="AE3405" s="141"/>
    </row>
    <row r="3406" spans="28:31" x14ac:dyDescent="0.2">
      <c r="AB3406" s="141"/>
      <c r="AD3406" s="141"/>
      <c r="AE3406" s="141"/>
    </row>
    <row r="3407" spans="28:31" x14ac:dyDescent="0.2">
      <c r="AB3407" s="141"/>
      <c r="AD3407" s="141"/>
      <c r="AE3407" s="141"/>
    </row>
    <row r="3408" spans="28:31" x14ac:dyDescent="0.2">
      <c r="AB3408" s="141"/>
      <c r="AD3408" s="141"/>
      <c r="AE3408" s="141"/>
    </row>
    <row r="3409" spans="28:31" x14ac:dyDescent="0.2">
      <c r="AB3409" s="141"/>
      <c r="AD3409" s="141"/>
      <c r="AE3409" s="141"/>
    </row>
    <row r="3410" spans="28:31" x14ac:dyDescent="0.2">
      <c r="AB3410" s="141"/>
      <c r="AD3410" s="141"/>
      <c r="AE3410" s="141"/>
    </row>
    <row r="3411" spans="28:31" x14ac:dyDescent="0.2">
      <c r="AB3411" s="141"/>
      <c r="AD3411" s="141"/>
      <c r="AE3411" s="141"/>
    </row>
    <row r="3412" spans="28:31" x14ac:dyDescent="0.2">
      <c r="AB3412" s="141"/>
      <c r="AD3412" s="141"/>
      <c r="AE3412" s="141"/>
    </row>
    <row r="3413" spans="28:31" x14ac:dyDescent="0.2">
      <c r="AB3413" s="141"/>
      <c r="AD3413" s="141"/>
      <c r="AE3413" s="141"/>
    </row>
    <row r="3414" spans="28:31" x14ac:dyDescent="0.2">
      <c r="AB3414" s="141"/>
      <c r="AD3414" s="141"/>
      <c r="AE3414" s="141"/>
    </row>
    <row r="3415" spans="28:31" x14ac:dyDescent="0.2">
      <c r="AB3415" s="141"/>
      <c r="AD3415" s="141"/>
      <c r="AE3415" s="141"/>
    </row>
    <row r="3416" spans="28:31" x14ac:dyDescent="0.2">
      <c r="AB3416" s="141"/>
      <c r="AD3416" s="141"/>
      <c r="AE3416" s="141"/>
    </row>
    <row r="3417" spans="28:31" x14ac:dyDescent="0.2">
      <c r="AB3417" s="141"/>
      <c r="AD3417" s="141"/>
      <c r="AE3417" s="141"/>
    </row>
    <row r="3418" spans="28:31" x14ac:dyDescent="0.2">
      <c r="AB3418" s="141"/>
      <c r="AD3418" s="141"/>
      <c r="AE3418" s="141"/>
    </row>
    <row r="3419" spans="28:31" x14ac:dyDescent="0.2">
      <c r="AB3419" s="141"/>
      <c r="AD3419" s="141"/>
      <c r="AE3419" s="141"/>
    </row>
    <row r="3420" spans="28:31" x14ac:dyDescent="0.2">
      <c r="AB3420" s="141"/>
      <c r="AD3420" s="141"/>
      <c r="AE3420" s="141"/>
    </row>
    <row r="3421" spans="28:31" x14ac:dyDescent="0.2">
      <c r="AB3421" s="141"/>
      <c r="AD3421" s="141"/>
      <c r="AE3421" s="141"/>
    </row>
    <row r="3422" spans="28:31" x14ac:dyDescent="0.2">
      <c r="AB3422" s="141"/>
      <c r="AD3422" s="141"/>
      <c r="AE3422" s="141"/>
    </row>
    <row r="3423" spans="28:31" x14ac:dyDescent="0.2">
      <c r="AB3423" s="141"/>
      <c r="AD3423" s="141"/>
      <c r="AE3423" s="141"/>
    </row>
    <row r="3424" spans="28:31" x14ac:dyDescent="0.2">
      <c r="AB3424" s="141"/>
      <c r="AD3424" s="141"/>
      <c r="AE3424" s="141"/>
    </row>
    <row r="3425" spans="28:31" x14ac:dyDescent="0.2">
      <c r="AB3425" s="141"/>
      <c r="AD3425" s="141"/>
      <c r="AE3425" s="141"/>
    </row>
    <row r="3426" spans="28:31" x14ac:dyDescent="0.2">
      <c r="AB3426" s="141"/>
      <c r="AD3426" s="141"/>
      <c r="AE3426" s="141"/>
    </row>
    <row r="3427" spans="28:31" x14ac:dyDescent="0.2">
      <c r="AB3427" s="141"/>
      <c r="AD3427" s="141"/>
      <c r="AE3427" s="141"/>
    </row>
    <row r="3428" spans="28:31" x14ac:dyDescent="0.2">
      <c r="AB3428" s="141"/>
      <c r="AD3428" s="141"/>
      <c r="AE3428" s="141"/>
    </row>
    <row r="3429" spans="28:31" x14ac:dyDescent="0.2">
      <c r="AB3429" s="141"/>
      <c r="AD3429" s="141"/>
      <c r="AE3429" s="141"/>
    </row>
    <row r="3430" spans="28:31" x14ac:dyDescent="0.2">
      <c r="AB3430" s="141"/>
      <c r="AD3430" s="141"/>
      <c r="AE3430" s="141"/>
    </row>
    <row r="3431" spans="28:31" x14ac:dyDescent="0.2">
      <c r="AB3431" s="141"/>
      <c r="AD3431" s="141"/>
      <c r="AE3431" s="141"/>
    </row>
    <row r="3432" spans="28:31" x14ac:dyDescent="0.2">
      <c r="AB3432" s="141"/>
      <c r="AD3432" s="141"/>
      <c r="AE3432" s="141"/>
    </row>
    <row r="3433" spans="28:31" x14ac:dyDescent="0.2">
      <c r="AB3433" s="141"/>
      <c r="AD3433" s="141"/>
      <c r="AE3433" s="141"/>
    </row>
    <row r="3434" spans="28:31" x14ac:dyDescent="0.2">
      <c r="AB3434" s="141"/>
      <c r="AD3434" s="141"/>
      <c r="AE3434" s="141"/>
    </row>
    <row r="3435" spans="28:31" x14ac:dyDescent="0.2">
      <c r="AB3435" s="141"/>
      <c r="AD3435" s="141"/>
      <c r="AE3435" s="141"/>
    </row>
    <row r="3436" spans="28:31" x14ac:dyDescent="0.2">
      <c r="AB3436" s="141"/>
      <c r="AD3436" s="141"/>
      <c r="AE3436" s="141"/>
    </row>
    <row r="3437" spans="28:31" x14ac:dyDescent="0.2">
      <c r="AB3437" s="141"/>
      <c r="AD3437" s="141"/>
      <c r="AE3437" s="141"/>
    </row>
    <row r="3438" spans="28:31" x14ac:dyDescent="0.2">
      <c r="AB3438" s="141"/>
      <c r="AD3438" s="141"/>
      <c r="AE3438" s="141"/>
    </row>
    <row r="3439" spans="28:31" x14ac:dyDescent="0.2">
      <c r="AB3439" s="141"/>
      <c r="AD3439" s="141"/>
      <c r="AE3439" s="141"/>
    </row>
    <row r="3440" spans="28:31" x14ac:dyDescent="0.2">
      <c r="AB3440" s="141"/>
      <c r="AD3440" s="141"/>
      <c r="AE3440" s="141"/>
    </row>
    <row r="3441" spans="28:31" x14ac:dyDescent="0.2">
      <c r="AB3441" s="141"/>
      <c r="AD3441" s="141"/>
      <c r="AE3441" s="141"/>
    </row>
    <row r="3442" spans="28:31" x14ac:dyDescent="0.2">
      <c r="AB3442" s="141"/>
      <c r="AD3442" s="141"/>
      <c r="AE3442" s="141"/>
    </row>
    <row r="3443" spans="28:31" x14ac:dyDescent="0.2">
      <c r="AB3443" s="141"/>
      <c r="AD3443" s="141"/>
      <c r="AE3443" s="141"/>
    </row>
    <row r="3444" spans="28:31" x14ac:dyDescent="0.2">
      <c r="AB3444" s="141"/>
      <c r="AD3444" s="141"/>
      <c r="AE3444" s="141"/>
    </row>
    <row r="3445" spans="28:31" x14ac:dyDescent="0.2">
      <c r="AB3445" s="141"/>
      <c r="AD3445" s="141"/>
      <c r="AE3445" s="141"/>
    </row>
    <row r="3446" spans="28:31" x14ac:dyDescent="0.2">
      <c r="AB3446" s="141"/>
      <c r="AD3446" s="141"/>
      <c r="AE3446" s="141"/>
    </row>
    <row r="3447" spans="28:31" x14ac:dyDescent="0.2">
      <c r="AB3447" s="141"/>
      <c r="AD3447" s="141"/>
      <c r="AE3447" s="141"/>
    </row>
    <row r="3448" spans="28:31" x14ac:dyDescent="0.2">
      <c r="AB3448" s="141"/>
      <c r="AD3448" s="141"/>
      <c r="AE3448" s="141"/>
    </row>
    <row r="3449" spans="28:31" x14ac:dyDescent="0.2">
      <c r="AB3449" s="141"/>
      <c r="AD3449" s="141"/>
      <c r="AE3449" s="141"/>
    </row>
    <row r="3450" spans="28:31" x14ac:dyDescent="0.2">
      <c r="AB3450" s="141"/>
      <c r="AD3450" s="141"/>
      <c r="AE3450" s="141"/>
    </row>
    <row r="3451" spans="28:31" x14ac:dyDescent="0.2">
      <c r="AB3451" s="141"/>
      <c r="AD3451" s="141"/>
      <c r="AE3451" s="141"/>
    </row>
    <row r="3452" spans="28:31" x14ac:dyDescent="0.2">
      <c r="AB3452" s="141"/>
      <c r="AD3452" s="141"/>
      <c r="AE3452" s="141"/>
    </row>
    <row r="3453" spans="28:31" x14ac:dyDescent="0.2">
      <c r="AB3453" s="141"/>
      <c r="AD3453" s="141"/>
      <c r="AE3453" s="141"/>
    </row>
    <row r="3454" spans="28:31" x14ac:dyDescent="0.2">
      <c r="AB3454" s="141"/>
      <c r="AD3454" s="141"/>
      <c r="AE3454" s="141"/>
    </row>
    <row r="3455" spans="28:31" x14ac:dyDescent="0.2">
      <c r="AB3455" s="141"/>
      <c r="AD3455" s="141"/>
      <c r="AE3455" s="141"/>
    </row>
    <row r="3456" spans="28:31" x14ac:dyDescent="0.2">
      <c r="AB3456" s="141"/>
      <c r="AD3456" s="141"/>
      <c r="AE3456" s="141"/>
    </row>
    <row r="3457" spans="28:31" x14ac:dyDescent="0.2">
      <c r="AB3457" s="141"/>
      <c r="AD3457" s="141"/>
      <c r="AE3457" s="141"/>
    </row>
    <row r="3458" spans="28:31" x14ac:dyDescent="0.2">
      <c r="AB3458" s="141"/>
      <c r="AD3458" s="141"/>
      <c r="AE3458" s="141"/>
    </row>
    <row r="3459" spans="28:31" x14ac:dyDescent="0.2">
      <c r="AB3459" s="141"/>
      <c r="AD3459" s="141"/>
      <c r="AE3459" s="141"/>
    </row>
    <row r="3460" spans="28:31" x14ac:dyDescent="0.2">
      <c r="AB3460" s="141"/>
      <c r="AD3460" s="141"/>
      <c r="AE3460" s="141"/>
    </row>
    <row r="3461" spans="28:31" x14ac:dyDescent="0.2">
      <c r="AB3461" s="141"/>
      <c r="AD3461" s="141"/>
      <c r="AE3461" s="141"/>
    </row>
    <row r="3462" spans="28:31" x14ac:dyDescent="0.2">
      <c r="AB3462" s="141"/>
      <c r="AD3462" s="141"/>
      <c r="AE3462" s="141"/>
    </row>
    <row r="3463" spans="28:31" x14ac:dyDescent="0.2">
      <c r="AB3463" s="141"/>
      <c r="AD3463" s="141"/>
      <c r="AE3463" s="141"/>
    </row>
    <row r="3464" spans="28:31" x14ac:dyDescent="0.2">
      <c r="AB3464" s="141"/>
      <c r="AD3464" s="141"/>
      <c r="AE3464" s="141"/>
    </row>
    <row r="3465" spans="28:31" x14ac:dyDescent="0.2">
      <c r="AB3465" s="141"/>
      <c r="AD3465" s="141"/>
      <c r="AE3465" s="141"/>
    </row>
    <row r="3466" spans="28:31" x14ac:dyDescent="0.2">
      <c r="AB3466" s="141"/>
      <c r="AD3466" s="141"/>
      <c r="AE3466" s="141"/>
    </row>
    <row r="3467" spans="28:31" x14ac:dyDescent="0.2">
      <c r="AB3467" s="141"/>
      <c r="AD3467" s="141"/>
      <c r="AE3467" s="141"/>
    </row>
    <row r="3468" spans="28:31" x14ac:dyDescent="0.2">
      <c r="AB3468" s="141"/>
      <c r="AD3468" s="141"/>
      <c r="AE3468" s="141"/>
    </row>
    <row r="3469" spans="28:31" x14ac:dyDescent="0.2">
      <c r="AB3469" s="141"/>
      <c r="AD3469" s="141"/>
      <c r="AE3469" s="141"/>
    </row>
    <row r="3470" spans="28:31" x14ac:dyDescent="0.2">
      <c r="AB3470" s="141"/>
      <c r="AD3470" s="141"/>
      <c r="AE3470" s="141"/>
    </row>
    <row r="3471" spans="28:31" x14ac:dyDescent="0.2">
      <c r="AB3471" s="141"/>
      <c r="AD3471" s="141"/>
      <c r="AE3471" s="141"/>
    </row>
    <row r="3472" spans="28:31" x14ac:dyDescent="0.2">
      <c r="AB3472" s="141"/>
      <c r="AD3472" s="141"/>
      <c r="AE3472" s="141"/>
    </row>
    <row r="3473" spans="28:31" x14ac:dyDescent="0.2">
      <c r="AB3473" s="141"/>
      <c r="AD3473" s="141"/>
      <c r="AE3473" s="141"/>
    </row>
    <row r="3474" spans="28:31" x14ac:dyDescent="0.2">
      <c r="AB3474" s="141"/>
      <c r="AD3474" s="141"/>
      <c r="AE3474" s="141"/>
    </row>
    <row r="3475" spans="28:31" x14ac:dyDescent="0.2">
      <c r="AB3475" s="141"/>
      <c r="AD3475" s="141"/>
      <c r="AE3475" s="141"/>
    </row>
    <row r="3476" spans="28:31" x14ac:dyDescent="0.2">
      <c r="AB3476" s="141"/>
      <c r="AD3476" s="141"/>
      <c r="AE3476" s="141"/>
    </row>
    <row r="3477" spans="28:31" x14ac:dyDescent="0.2">
      <c r="AB3477" s="141"/>
      <c r="AD3477" s="141"/>
      <c r="AE3477" s="141"/>
    </row>
    <row r="3478" spans="28:31" x14ac:dyDescent="0.2">
      <c r="AB3478" s="141"/>
      <c r="AD3478" s="141"/>
      <c r="AE3478" s="141"/>
    </row>
    <row r="3479" spans="28:31" x14ac:dyDescent="0.2">
      <c r="AB3479" s="141"/>
      <c r="AD3479" s="141"/>
      <c r="AE3479" s="141"/>
    </row>
    <row r="3480" spans="28:31" x14ac:dyDescent="0.2">
      <c r="AB3480" s="141"/>
      <c r="AD3480" s="141"/>
      <c r="AE3480" s="141"/>
    </row>
    <row r="3481" spans="28:31" x14ac:dyDescent="0.2">
      <c r="AB3481" s="141"/>
      <c r="AD3481" s="141"/>
      <c r="AE3481" s="141"/>
    </row>
    <row r="3482" spans="28:31" x14ac:dyDescent="0.2">
      <c r="AB3482" s="141"/>
      <c r="AD3482" s="141"/>
      <c r="AE3482" s="141"/>
    </row>
    <row r="3483" spans="28:31" x14ac:dyDescent="0.2">
      <c r="AB3483" s="141"/>
      <c r="AD3483" s="141"/>
      <c r="AE3483" s="141"/>
    </row>
    <row r="3484" spans="28:31" x14ac:dyDescent="0.2">
      <c r="AB3484" s="141"/>
      <c r="AD3484" s="141"/>
      <c r="AE3484" s="141"/>
    </row>
    <row r="3485" spans="28:31" x14ac:dyDescent="0.2">
      <c r="AB3485" s="141"/>
      <c r="AD3485" s="141"/>
      <c r="AE3485" s="141"/>
    </row>
    <row r="3486" spans="28:31" x14ac:dyDescent="0.2">
      <c r="AB3486" s="141"/>
      <c r="AD3486" s="141"/>
      <c r="AE3486" s="141"/>
    </row>
    <row r="3487" spans="28:31" x14ac:dyDescent="0.2">
      <c r="AB3487" s="141"/>
      <c r="AD3487" s="141"/>
      <c r="AE3487" s="141"/>
    </row>
    <row r="3488" spans="28:31" x14ac:dyDescent="0.2">
      <c r="AB3488" s="141"/>
      <c r="AD3488" s="141"/>
      <c r="AE3488" s="141"/>
    </row>
    <row r="3489" spans="28:31" x14ac:dyDescent="0.2">
      <c r="AB3489" s="141"/>
      <c r="AD3489" s="141"/>
      <c r="AE3489" s="141"/>
    </row>
    <row r="3490" spans="28:31" x14ac:dyDescent="0.2">
      <c r="AB3490" s="141"/>
      <c r="AD3490" s="141"/>
      <c r="AE3490" s="141"/>
    </row>
    <row r="3491" spans="28:31" x14ac:dyDescent="0.2">
      <c r="AB3491" s="141"/>
      <c r="AD3491" s="141"/>
      <c r="AE3491" s="141"/>
    </row>
    <row r="3492" spans="28:31" x14ac:dyDescent="0.2">
      <c r="AB3492" s="141"/>
      <c r="AD3492" s="141"/>
      <c r="AE3492" s="141"/>
    </row>
    <row r="3493" spans="28:31" x14ac:dyDescent="0.2">
      <c r="AB3493" s="141"/>
      <c r="AD3493" s="141"/>
      <c r="AE3493" s="141"/>
    </row>
    <row r="3494" spans="28:31" x14ac:dyDescent="0.2">
      <c r="AB3494" s="141"/>
      <c r="AD3494" s="141"/>
      <c r="AE3494" s="141"/>
    </row>
    <row r="3495" spans="28:31" x14ac:dyDescent="0.2">
      <c r="AB3495" s="141"/>
      <c r="AD3495" s="141"/>
      <c r="AE3495" s="141"/>
    </row>
    <row r="3496" spans="28:31" x14ac:dyDescent="0.2">
      <c r="AB3496" s="141"/>
      <c r="AD3496" s="141"/>
      <c r="AE3496" s="141"/>
    </row>
    <row r="3497" spans="28:31" x14ac:dyDescent="0.2">
      <c r="AB3497" s="141"/>
      <c r="AD3497" s="141"/>
      <c r="AE3497" s="141"/>
    </row>
    <row r="3498" spans="28:31" x14ac:dyDescent="0.2">
      <c r="AB3498" s="141"/>
      <c r="AD3498" s="141"/>
      <c r="AE3498" s="141"/>
    </row>
    <row r="3499" spans="28:31" x14ac:dyDescent="0.2">
      <c r="AB3499" s="141"/>
      <c r="AD3499" s="141"/>
      <c r="AE3499" s="141"/>
    </row>
    <row r="3500" spans="28:31" x14ac:dyDescent="0.2">
      <c r="AB3500" s="141"/>
      <c r="AD3500" s="141"/>
      <c r="AE3500" s="141"/>
    </row>
    <row r="3501" spans="28:31" x14ac:dyDescent="0.2">
      <c r="AB3501" s="141"/>
      <c r="AD3501" s="141"/>
      <c r="AE3501" s="141"/>
    </row>
    <row r="3502" spans="28:31" x14ac:dyDescent="0.2">
      <c r="AB3502" s="141"/>
      <c r="AD3502" s="141"/>
      <c r="AE3502" s="141"/>
    </row>
    <row r="3503" spans="28:31" x14ac:dyDescent="0.2">
      <c r="AB3503" s="141"/>
      <c r="AD3503" s="141"/>
      <c r="AE3503" s="141"/>
    </row>
    <row r="3504" spans="28:31" x14ac:dyDescent="0.2">
      <c r="AB3504" s="141"/>
      <c r="AD3504" s="141"/>
      <c r="AE3504" s="141"/>
    </row>
    <row r="3505" spans="28:31" x14ac:dyDescent="0.2">
      <c r="AB3505" s="141"/>
      <c r="AD3505" s="141"/>
      <c r="AE3505" s="141"/>
    </row>
    <row r="3506" spans="28:31" x14ac:dyDescent="0.2">
      <c r="AB3506" s="141"/>
      <c r="AD3506" s="141"/>
      <c r="AE3506" s="141"/>
    </row>
    <row r="3507" spans="28:31" x14ac:dyDescent="0.2">
      <c r="AB3507" s="141"/>
      <c r="AD3507" s="141"/>
      <c r="AE3507" s="141"/>
    </row>
    <row r="3508" spans="28:31" x14ac:dyDescent="0.2">
      <c r="AB3508" s="141"/>
      <c r="AD3508" s="141"/>
      <c r="AE3508" s="141"/>
    </row>
    <row r="3509" spans="28:31" x14ac:dyDescent="0.2">
      <c r="AB3509" s="141"/>
      <c r="AD3509" s="141"/>
      <c r="AE3509" s="141"/>
    </row>
    <row r="3510" spans="28:31" x14ac:dyDescent="0.2">
      <c r="AB3510" s="141"/>
      <c r="AD3510" s="141"/>
      <c r="AE3510" s="141"/>
    </row>
    <row r="3511" spans="28:31" x14ac:dyDescent="0.2">
      <c r="AB3511" s="141"/>
      <c r="AD3511" s="141"/>
      <c r="AE3511" s="141"/>
    </row>
    <row r="3512" spans="28:31" x14ac:dyDescent="0.2">
      <c r="AB3512" s="141"/>
      <c r="AD3512" s="141"/>
      <c r="AE3512" s="141"/>
    </row>
    <row r="3513" spans="28:31" x14ac:dyDescent="0.2">
      <c r="AB3513" s="141"/>
      <c r="AD3513" s="141"/>
      <c r="AE3513" s="141"/>
    </row>
    <row r="3514" spans="28:31" x14ac:dyDescent="0.2">
      <c r="AB3514" s="141"/>
      <c r="AD3514" s="141"/>
      <c r="AE3514" s="141"/>
    </row>
    <row r="3515" spans="28:31" x14ac:dyDescent="0.2">
      <c r="AB3515" s="141"/>
      <c r="AD3515" s="141"/>
      <c r="AE3515" s="141"/>
    </row>
    <row r="3516" spans="28:31" x14ac:dyDescent="0.2">
      <c r="AB3516" s="141"/>
      <c r="AD3516" s="141"/>
      <c r="AE3516" s="141"/>
    </row>
    <row r="3517" spans="28:31" x14ac:dyDescent="0.2">
      <c r="AB3517" s="141"/>
      <c r="AD3517" s="141"/>
      <c r="AE3517" s="141"/>
    </row>
    <row r="3518" spans="28:31" x14ac:dyDescent="0.2">
      <c r="AB3518" s="141"/>
      <c r="AD3518" s="141"/>
      <c r="AE3518" s="141"/>
    </row>
    <row r="3519" spans="28:31" x14ac:dyDescent="0.2">
      <c r="AB3519" s="141"/>
      <c r="AD3519" s="141"/>
      <c r="AE3519" s="141"/>
    </row>
    <row r="3520" spans="28:31" x14ac:dyDescent="0.2">
      <c r="AB3520" s="141"/>
      <c r="AD3520" s="141"/>
      <c r="AE3520" s="141"/>
    </row>
    <row r="3521" spans="28:31" x14ac:dyDescent="0.2">
      <c r="AB3521" s="141"/>
      <c r="AD3521" s="141"/>
      <c r="AE3521" s="141"/>
    </row>
    <row r="3522" spans="28:31" x14ac:dyDescent="0.2">
      <c r="AB3522" s="141"/>
      <c r="AD3522" s="141"/>
      <c r="AE3522" s="141"/>
    </row>
    <row r="3523" spans="28:31" x14ac:dyDescent="0.2">
      <c r="AB3523" s="141"/>
      <c r="AD3523" s="141"/>
      <c r="AE3523" s="141"/>
    </row>
    <row r="3524" spans="28:31" x14ac:dyDescent="0.2">
      <c r="AB3524" s="141"/>
      <c r="AD3524" s="141"/>
      <c r="AE3524" s="141"/>
    </row>
    <row r="3525" spans="28:31" x14ac:dyDescent="0.2">
      <c r="AB3525" s="141"/>
      <c r="AD3525" s="141"/>
      <c r="AE3525" s="141"/>
    </row>
    <row r="3526" spans="28:31" x14ac:dyDescent="0.2">
      <c r="AB3526" s="141"/>
      <c r="AD3526" s="141"/>
      <c r="AE3526" s="141"/>
    </row>
    <row r="3527" spans="28:31" x14ac:dyDescent="0.2">
      <c r="AB3527" s="141"/>
      <c r="AD3527" s="141"/>
      <c r="AE3527" s="141"/>
    </row>
    <row r="3528" spans="28:31" x14ac:dyDescent="0.2">
      <c r="AB3528" s="141"/>
      <c r="AD3528" s="141"/>
      <c r="AE3528" s="141"/>
    </row>
    <row r="3529" spans="28:31" x14ac:dyDescent="0.2">
      <c r="AB3529" s="141"/>
      <c r="AD3529" s="141"/>
      <c r="AE3529" s="141"/>
    </row>
    <row r="3530" spans="28:31" x14ac:dyDescent="0.2">
      <c r="AB3530" s="141"/>
      <c r="AD3530" s="141"/>
      <c r="AE3530" s="141"/>
    </row>
    <row r="3531" spans="28:31" x14ac:dyDescent="0.2">
      <c r="AB3531" s="141"/>
      <c r="AD3531" s="141"/>
      <c r="AE3531" s="141"/>
    </row>
    <row r="3532" spans="28:31" x14ac:dyDescent="0.2">
      <c r="AB3532" s="141"/>
      <c r="AD3532" s="141"/>
      <c r="AE3532" s="141"/>
    </row>
    <row r="3533" spans="28:31" x14ac:dyDescent="0.2">
      <c r="AB3533" s="141"/>
      <c r="AD3533" s="141"/>
      <c r="AE3533" s="141"/>
    </row>
    <row r="3534" spans="28:31" x14ac:dyDescent="0.2">
      <c r="AB3534" s="141"/>
      <c r="AD3534" s="141"/>
      <c r="AE3534" s="141"/>
    </row>
    <row r="3535" spans="28:31" x14ac:dyDescent="0.2">
      <c r="AB3535" s="141"/>
      <c r="AD3535" s="141"/>
      <c r="AE3535" s="141"/>
    </row>
    <row r="3536" spans="28:31" x14ac:dyDescent="0.2">
      <c r="AB3536" s="141"/>
      <c r="AD3536" s="141"/>
      <c r="AE3536" s="141"/>
    </row>
  </sheetData>
  <dataValidations count="2">
    <dataValidation type="list" allowBlank="1" showInputMessage="1" showErrorMessage="1" sqref="N4 N13:N19">
      <formula1>"true,false"</formula1>
    </dataValidation>
    <dataValidation type="list" allowBlank="1" showInputMessage="1" showErrorMessage="1" sqref="H1">
      <formula1>"linear,MonotonicCubicNaturalSpline, CubicNaturalSpline"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BE147"/>
  <sheetViews>
    <sheetView topLeftCell="C1" workbookViewId="0"/>
  </sheetViews>
  <sheetFormatPr defaultColWidth="9.5" defaultRowHeight="11.25" outlineLevelCol="1" x14ac:dyDescent="0.2"/>
  <cols>
    <col min="1" max="1" width="7" style="115" hidden="1" customWidth="1" outlineLevel="1"/>
    <col min="2" max="2" width="3.5" style="115" hidden="1" customWidth="1" outlineLevel="1"/>
    <col min="3" max="3" width="2.33203125" style="115" bestFit="1" customWidth="1" collapsed="1"/>
    <col min="4" max="4" width="3.5" style="115" bestFit="1" customWidth="1"/>
    <col min="5" max="5" width="16.5" style="115" bestFit="1" customWidth="1"/>
    <col min="6" max="7" width="22.83203125" style="115" customWidth="1"/>
    <col min="8" max="9" width="14.1640625" style="115" hidden="1" customWidth="1" outlineLevel="1"/>
    <col min="10" max="10" width="8.1640625" style="115" customWidth="1" collapsed="1"/>
    <col min="11" max="11" width="10.5" style="115" customWidth="1"/>
    <col min="12" max="12" width="10.5" style="115" bestFit="1" customWidth="1"/>
    <col min="13" max="14" width="14.1640625" style="115" bestFit="1" customWidth="1"/>
    <col min="15" max="15" width="13.6640625" style="115" customWidth="1"/>
    <col min="16" max="20" width="14.83203125" style="115" customWidth="1"/>
    <col min="21" max="21" width="16.1640625" style="115" customWidth="1"/>
    <col min="22" max="22" width="10.83203125" style="115" customWidth="1"/>
    <col min="23" max="23" width="19" style="115" bestFit="1" customWidth="1"/>
    <col min="24" max="27" width="14.83203125" style="115" customWidth="1"/>
    <col min="28" max="33" width="17.1640625" style="115" customWidth="1"/>
    <col min="34" max="34" width="5.6640625" style="115" customWidth="1"/>
    <col min="35" max="35" width="2.83203125" style="115" customWidth="1"/>
    <col min="36" max="36" width="6.83203125" style="115" customWidth="1"/>
    <col min="37" max="37" width="7" style="115" bestFit="1" customWidth="1"/>
    <col min="38" max="38" width="10.5" style="115" bestFit="1" customWidth="1"/>
    <col min="39" max="39" width="2.33203125" style="115" bestFit="1" customWidth="1"/>
    <col min="40" max="40" width="10.5" style="115" bestFit="1" customWidth="1"/>
    <col min="41" max="41" width="6.83203125" style="115" customWidth="1"/>
    <col min="42" max="42" width="10.5" style="115" bestFit="1" customWidth="1"/>
    <col min="43" max="43" width="10.6640625" style="115" hidden="1" customWidth="1" outlineLevel="1"/>
    <col min="44" max="44" width="9.33203125" style="115" hidden="1" customWidth="1" outlineLevel="1"/>
    <col min="45" max="45" width="8.1640625" style="115" hidden="1" customWidth="1" outlineLevel="1"/>
    <col min="46" max="46" width="2.83203125" style="115" customWidth="1" collapsed="1"/>
    <col min="47" max="47" width="2.83203125" style="115" customWidth="1"/>
    <col min="48" max="48" width="20.33203125" style="115" bestFit="1" customWidth="1"/>
    <col min="49" max="49" width="8.1640625" style="115" bestFit="1" customWidth="1"/>
    <col min="50" max="57" width="14.83203125" style="115" customWidth="1"/>
    <col min="58" max="16384" width="9.5" style="115"/>
  </cols>
  <sheetData>
    <row r="1" spans="1:57" x14ac:dyDescent="0.2">
      <c r="E1" s="372" t="s">
        <v>143</v>
      </c>
      <c r="F1" s="373"/>
      <c r="G1" s="373"/>
      <c r="H1" s="373"/>
      <c r="I1" s="373"/>
      <c r="J1" s="373"/>
      <c r="K1" s="373"/>
      <c r="L1" s="373"/>
      <c r="M1" s="373"/>
      <c r="N1" s="373"/>
      <c r="O1" s="373"/>
      <c r="P1" s="373"/>
      <c r="Q1" s="373"/>
      <c r="R1" s="373"/>
      <c r="S1" s="373"/>
      <c r="T1" s="373" t="str">
        <f>"with 0X"&amp;SUBSTITUTE($F$22,"M","")</f>
        <v>with 0X3</v>
      </c>
      <c r="U1" s="374"/>
      <c r="V1" s="373" t="str">
        <f>"without 0X"&amp;SUBSTITUTE($F$22,"M","")</f>
        <v>without 0X3</v>
      </c>
      <c r="W1" s="374"/>
      <c r="AR1" s="426"/>
      <c r="AS1" s="426"/>
      <c r="AX1" s="385" t="s">
        <v>143</v>
      </c>
      <c r="AY1" s="379"/>
      <c r="AZ1" s="379"/>
      <c r="BA1" s="378"/>
      <c r="BB1" s="385" t="s">
        <v>144</v>
      </c>
      <c r="BC1" s="379"/>
      <c r="BD1" s="379"/>
      <c r="BE1" s="378"/>
    </row>
    <row r="2" spans="1:57" ht="21.75" customHeight="1" x14ac:dyDescent="0.2">
      <c r="E2" s="142" t="s">
        <v>85</v>
      </c>
      <c r="F2" s="142" t="s">
        <v>70</v>
      </c>
      <c r="G2" s="142" t="s">
        <v>71</v>
      </c>
      <c r="H2" s="142" t="s">
        <v>123</v>
      </c>
      <c r="I2" s="142" t="s">
        <v>124</v>
      </c>
      <c r="J2" s="142" t="s">
        <v>122</v>
      </c>
      <c r="K2" s="142" t="s">
        <v>125</v>
      </c>
      <c r="L2" s="142" t="str">
        <f>"F "&amp;$F$22</f>
        <v>F 3M</v>
      </c>
      <c r="M2" s="142" t="str">
        <f>"B "&amp;$F$22</f>
        <v>B 3M</v>
      </c>
      <c r="N2" s="142" t="s">
        <v>126</v>
      </c>
      <c r="O2" s="142" t="s">
        <v>130</v>
      </c>
      <c r="P2" s="142" t="s">
        <v>131</v>
      </c>
      <c r="Q2" s="142" t="s">
        <v>92</v>
      </c>
      <c r="R2" s="143" t="s">
        <v>93</v>
      </c>
      <c r="S2" s="142" t="s">
        <v>94</v>
      </c>
      <c r="T2" s="142" t="s">
        <v>83</v>
      </c>
      <c r="U2" s="142" t="s">
        <v>84</v>
      </c>
      <c r="V2" s="142" t="s">
        <v>83</v>
      </c>
      <c r="W2" s="142" t="s">
        <v>84</v>
      </c>
      <c r="AI2" s="337" t="s">
        <v>83</v>
      </c>
      <c r="AJ2" s="338"/>
      <c r="AK2" s="338"/>
      <c r="AL2" s="338"/>
      <c r="AM2" s="338"/>
      <c r="AN2" s="338"/>
      <c r="AO2" s="338"/>
      <c r="AP2" s="338"/>
      <c r="AQ2" s="338"/>
      <c r="AR2" s="384"/>
      <c r="AS2" s="384"/>
      <c r="AT2" s="353"/>
      <c r="AX2" s="372" t="s">
        <v>83</v>
      </c>
      <c r="AY2" s="374"/>
      <c r="AZ2" s="373" t="s">
        <v>84</v>
      </c>
      <c r="BA2" s="374"/>
      <c r="BB2" s="372" t="s">
        <v>83</v>
      </c>
      <c r="BC2" s="374"/>
      <c r="BD2" s="373" t="s">
        <v>84</v>
      </c>
      <c r="BE2" s="374"/>
    </row>
    <row r="3" spans="1:57" ht="12" customHeight="1" x14ac:dyDescent="0.2">
      <c r="C3" s="445">
        <v>0</v>
      </c>
      <c r="D3" s="457">
        <f>C3+SUBSTITUTE($F$22,"M","")</f>
        <v>3</v>
      </c>
      <c r="E3" s="458" t="str">
        <f>"Delta("&amp;C3&amp;"M,"&amp;D3&amp;"M)"</f>
        <v>Delta(0M,3M)</v>
      </c>
      <c r="F3" s="153">
        <f>SettlementDate</f>
        <v>42160</v>
      </c>
      <c r="G3" s="153">
        <f>_xll.qlInterestRateIndexMaturity($F$23,F3)</f>
        <v>42254</v>
      </c>
      <c r="H3" s="185">
        <f>_xll.qlYieldTSDiscount(Discounting,F3,,AllTriggers)</f>
        <v>1.0000066667000043</v>
      </c>
      <c r="I3" s="185">
        <f>_xll.qlYieldTSDiscount(Discounting,G3,,AllTriggers)</f>
        <v>1.0003339478197761</v>
      </c>
      <c r="J3" s="186">
        <f>_xll.qlDayCounterYearFraction(DayCounter,F3,G3,,,Trigger)</f>
        <v>0.26111111111111113</v>
      </c>
      <c r="K3" s="187">
        <f t="shared" ref="K3:K9" si="0">(H3/I3-1)/J3</f>
        <v>-1.2529986182886782E-3</v>
      </c>
      <c r="L3" s="187">
        <f>M3+K3</f>
        <v>-8.4048589569928663E-5</v>
      </c>
      <c r="M3" s="187">
        <f>_xll.qlInterpolationInterpolate(B3Minterpolation,F3,TRUE,AllTriggers)</f>
        <v>1.1689500287187496E-3</v>
      </c>
      <c r="N3" s="154">
        <f>LN((1+(M3+K3)*J3)/(1+K3*J3))</f>
        <v>3.0527913240464713E-4</v>
      </c>
      <c r="O3" s="155">
        <f>_xll.qlDayCounterYearFraction(DayCounter,SettlementDate,F3,,,Trigger)</f>
        <v>0</v>
      </c>
      <c r="P3" s="155">
        <f>_xll.qlDayCounterYearFraction(DayCounter,SettlementDate,G3,,,Trigger)</f>
        <v>0.26111111111111113</v>
      </c>
      <c r="Q3" s="155">
        <f>P3-O3</f>
        <v>0.26111111111111113</v>
      </c>
      <c r="R3" s="155">
        <f>(P3^2-O3^2)/2</f>
        <v>3.4089506172839512E-2</v>
      </c>
      <c r="S3" s="155">
        <f>(P3^3-O3^3)/3</f>
        <v>5.9340992226794712E-3</v>
      </c>
      <c r="T3" s="459" t="b">
        <f>IF(ABS(_xll.qlIMMNextDate(F3,A7)-F3&lt;7),FALSE,TRUE)</f>
        <v>1</v>
      </c>
      <c r="U3" s="459" t="b">
        <f>IF(ABS(_xll.qlIMMNextDate(F3,A7)-F3&lt;7),FALSE,TRUE)</f>
        <v>1</v>
      </c>
      <c r="V3" s="459" t="b">
        <v>0</v>
      </c>
      <c r="W3" s="459" t="b">
        <v>0</v>
      </c>
      <c r="AI3" s="339" t="s">
        <v>141</v>
      </c>
      <c r="AJ3" s="117"/>
      <c r="AK3" s="117"/>
      <c r="AL3" s="117"/>
      <c r="AM3" s="117"/>
      <c r="AN3" s="365" t="s">
        <v>91</v>
      </c>
      <c r="AO3" s="136"/>
      <c r="AP3" s="118"/>
      <c r="AQ3" s="117"/>
      <c r="AR3" s="117"/>
      <c r="AS3" s="117"/>
      <c r="AT3" s="352"/>
      <c r="AU3" s="426"/>
      <c r="AV3" s="142" t="s">
        <v>70</v>
      </c>
      <c r="AW3" s="142" t="s">
        <v>122</v>
      </c>
      <c r="AX3" s="142" t="str">
        <f>"with 0X"&amp;SUBSTITUTE($F$22,"M","")</f>
        <v>with 0X3</v>
      </c>
      <c r="AY3" s="142" t="str">
        <f>"without 0X"&amp;SUBSTITUTE($F$22,"M","")</f>
        <v>without 0X3</v>
      </c>
      <c r="AZ3" s="142" t="str">
        <f>"with 0X"&amp;SUBSTITUTE($F$22,"M","")</f>
        <v>with 0X3</v>
      </c>
      <c r="BA3" s="142" t="str">
        <f>"without 0X"&amp;SUBSTITUTE($F$22,"M","")</f>
        <v>without 0X3</v>
      </c>
      <c r="BB3" s="142" t="str">
        <f>"with 0X"&amp;SUBSTITUTE($F$22,"M","")</f>
        <v>with 0X3</v>
      </c>
      <c r="BC3" s="142" t="str">
        <f>"without 0X"&amp;SUBSTITUTE($F$22,"M","")</f>
        <v>without 0X3</v>
      </c>
      <c r="BD3" s="142" t="str">
        <f>"with 0X"&amp;SUBSTITUTE($F$22,"M","")</f>
        <v>with 0X3</v>
      </c>
      <c r="BE3" s="142" t="str">
        <f>"without 0X"&amp;SUBSTITUTE($F$22,"M","")</f>
        <v>without 0X3</v>
      </c>
    </row>
    <row r="4" spans="1:57" ht="12" customHeight="1" x14ac:dyDescent="0.2">
      <c r="A4" s="115" t="b">
        <v>0</v>
      </c>
      <c r="B4" s="115" t="str">
        <f>_xll.qlIMMNextCode(SettlementDate,A4)</f>
        <v>M5</v>
      </c>
      <c r="C4" s="117">
        <v>1</v>
      </c>
      <c r="D4" s="478">
        <f>C4+SUBSTITUTE($F$22,"M","")</f>
        <v>4</v>
      </c>
      <c r="E4" s="460" t="str">
        <f>IF(_xll.qlIMMIsIMMdate(F4,A4),"Delta("&amp;B4&amp;")","Delta("&amp;C4&amp;"M,"&amp;D4&amp;"M)")</f>
        <v>Delta(M5)</v>
      </c>
      <c r="F4" s="391">
        <f>IF(_xll.qlCalendarAdvance(Calendar,SettlementDate,C4&amp;"M","mf")&gt;_xll.qlIMMdate(B4,SettlementDate),_xll.qlIMMdate(B4,SettlementDate),_xll.qlCalendarAdvance(Calendar,SettlementDate,C4&amp;"M","mf"))</f>
        <v>42172</v>
      </c>
      <c r="G4" s="391">
        <f>_xll.qlInterestRateIndexMaturity($F$23,F4)</f>
        <v>42264</v>
      </c>
      <c r="H4" s="461">
        <f>_xll.qlYieldTSDiscount(Discounting,F4,,AllTriggers)</f>
        <v>1.0000461685747972</v>
      </c>
      <c r="I4" s="461">
        <f>_xll.qlYieldTSDiscount(Discounting,G4,,AllTriggers)</f>
        <v>1.0003698987130774</v>
      </c>
      <c r="J4" s="462">
        <f>_xll.qlDayCounterYearFraction(DayCounter,F4,G4,,,Trigger)</f>
        <v>0.25555555555555554</v>
      </c>
      <c r="K4" s="463">
        <f t="shared" si="0"/>
        <v>-1.2663017029431204E-3</v>
      </c>
      <c r="L4" s="463">
        <f t="shared" ref="L4:L9" si="1">M4+K4</f>
        <v>-7.4999999999825206E-5</v>
      </c>
      <c r="M4" s="463">
        <f>_xll.qlInterpolationInterpolate(B3Minterpolation,F4,TRUE,AllTriggers)</f>
        <v>1.1913017029432952E-3</v>
      </c>
      <c r="N4" s="464">
        <f>LN((1+(M4+K4)*J4)/(1+K4*J4))</f>
        <v>3.0449595800331909E-4</v>
      </c>
      <c r="O4" s="394">
        <f>_xll.qlDayCounterYearFraction(DayCounter,SettlementDate,F4,,,Trigger)</f>
        <v>3.3333333333333333E-2</v>
      </c>
      <c r="P4" s="394">
        <f>_xll.qlDayCounterYearFraction(DayCounter,SettlementDate,G4,,,Trigger)</f>
        <v>0.28888888888888886</v>
      </c>
      <c r="Q4" s="394">
        <f>P4-O4</f>
        <v>0.25555555555555554</v>
      </c>
      <c r="R4" s="394">
        <f>(P4^2-O4^2)/2</f>
        <v>4.1172839506172836E-2</v>
      </c>
      <c r="S4" s="394">
        <f>(P4^3-O4^3)/3</f>
        <v>8.024234110653861E-3</v>
      </c>
      <c r="T4" s="465" t="b">
        <v>0</v>
      </c>
      <c r="U4" s="465" t="b">
        <v>0</v>
      </c>
      <c r="V4" s="465" t="b">
        <v>0</v>
      </c>
      <c r="W4" s="465" t="b">
        <v>0</v>
      </c>
      <c r="AI4" s="339"/>
      <c r="AJ4" s="383"/>
      <c r="AK4" s="127">
        <f t="array" ref="AK4:AK5">_xll.ohFilter(R3:R9,T3:T9)</f>
        <v>3.4089506172839512E-2</v>
      </c>
      <c r="AL4" s="128">
        <f t="array" ref="AL4:AL5">_xll.ohFilter(Q3:Q9,T3:T9)</f>
        <v>0.26111111111111113</v>
      </c>
      <c r="AM4" s="550" t="s">
        <v>37</v>
      </c>
      <c r="AN4" s="129">
        <f t="array" ref="AN4:AN5">MMULT(AQ4:AR5,AP4:AP5)</f>
        <v>7.9095283475574298E-4</v>
      </c>
      <c r="AO4" s="550" t="s">
        <v>38</v>
      </c>
      <c r="AP4" s="199">
        <f t="array" ref="AP4:AP5">_xll.ohFilter(N3:N9,T3:T9)</f>
        <v>3.0527913240464713E-4</v>
      </c>
      <c r="AQ4" s="127">
        <f t="array" ref="AQ4:AR5">MINVERSE(AK4:AL5)</f>
        <v>-22.978723404255316</v>
      </c>
      <c r="AR4" s="128">
        <v>23.478260869565219</v>
      </c>
      <c r="AS4" s="117"/>
      <c r="AT4" s="352"/>
      <c r="AU4" s="128"/>
      <c r="AV4" s="164">
        <f>SettlementDate</f>
        <v>42160</v>
      </c>
      <c r="AW4" s="155">
        <f>_xll.qlDayCounterYearFraction(DayCounter,SettlementDate,AV4,,,Trigger)</f>
        <v>0</v>
      </c>
      <c r="AX4" s="167">
        <f t="shared" ref="AX4:AX67" si="2">M$24+M$23*$AW4+M$22*$AW4^2</f>
        <v>1.0658908373431259E-3</v>
      </c>
      <c r="AY4" s="180">
        <f t="shared" ref="AY4:AY67" si="3">O$24+O$23*$AW4+O$22*$AW4^2</f>
        <v>9.7274203555974825E-4</v>
      </c>
      <c r="AZ4" s="180">
        <f t="shared" ref="AZ4:AZ67" si="4">N$24+N$23*$AW4+N$22*$AW4^2</f>
        <v>1.115756717737712E-3</v>
      </c>
      <c r="BA4" s="180">
        <f t="shared" ref="BA4:BB34" si="5">P$24+P$23*$AW4+P$22*$AW4^2</f>
        <v>3.9477929470492501E-4</v>
      </c>
      <c r="BB4" s="180">
        <f t="shared" si="5"/>
        <v>1.2436902222940699E-3</v>
      </c>
      <c r="BC4" s="180">
        <f t="shared" ref="BC4:BC67" si="6">S$24+S$23*$AW4+S$22*$AW4^2</f>
        <v>1.2654357550731655E-3</v>
      </c>
      <c r="BD4" s="180">
        <f t="shared" ref="BD4:BD67" si="7">R$24+R$23*$AW4+R$22*$AW4^2</f>
        <v>1.2415457889911143E-3</v>
      </c>
      <c r="BE4" s="180">
        <f t="shared" ref="BE4:BE67" si="8">T$24+T$23*$AW4+T$22*$AW4^2</f>
        <v>1.2594069834604899E-3</v>
      </c>
    </row>
    <row r="5" spans="1:57" ht="12" customHeight="1" x14ac:dyDescent="0.2">
      <c r="A5" s="115" t="b">
        <v>0</v>
      </c>
      <c r="B5" s="115" t="str">
        <f>_xll.qlIMMNextCode(F4,A5)</f>
        <v>N5</v>
      </c>
      <c r="C5" s="117">
        <v>1</v>
      </c>
      <c r="D5" s="479">
        <f>C5+SUBSTITUTE($F$22,"M","")</f>
        <v>4</v>
      </c>
      <c r="E5" s="152" t="str">
        <f>IF(_xll.qlIMMIsIMMdate(F5,A5),"Delta("&amp;B5&amp;")","Delta("&amp;C5&amp;"M,"&amp;D5&amp;"M)")</f>
        <v>Delta(1M,4M)</v>
      </c>
      <c r="F5" s="153">
        <f>IF(_xll.qlCalendarAdvance(Calendar,SettlementDate,C5&amp;"M","mf")&gt;_xll.qlIMMdate(B5,SettlementDate),_xll.qlIMMdate(B5,SettlementDate),_xll.qlCalendarAdvance(Calendar,SettlementDate,C5&amp;"M","mf"))</f>
        <v>42191</v>
      </c>
      <c r="G5" s="153">
        <f>_xll.qlInterestRateIndexMaturity($F$23,F5)</f>
        <v>42283</v>
      </c>
      <c r="H5" s="185">
        <f>_xll.qlYieldTSDiscount(Discounting,F5,,AllTriggers)</f>
        <v>1.0001090930777232</v>
      </c>
      <c r="I5" s="185">
        <f>_xll.qlYieldTSDiscount(Discounting,G5,,AllTriggers)</f>
        <v>1.000436874915595</v>
      </c>
      <c r="J5" s="186">
        <f>_xll.qlDayCounterYearFraction(DayCounter,F5,G5,,,Trigger)</f>
        <v>0.25555555555555554</v>
      </c>
      <c r="K5" s="187">
        <f t="shared" si="0"/>
        <v>-1.2820644811645002E-3</v>
      </c>
      <c r="L5" s="187">
        <f t="shared" si="1"/>
        <v>-5.4694278786054018E-5</v>
      </c>
      <c r="M5" s="187">
        <f>_xll.qlInterpolationInterpolate(B3Minterpolation,F5,TRUE,AllTriggers)</f>
        <v>1.2273702023784462E-3</v>
      </c>
      <c r="N5" s="154">
        <f>LN((1+(M5+K5)*J5)/(1+K5*J5))</f>
        <v>3.1371486154172906E-4</v>
      </c>
      <c r="O5" s="155">
        <f>_xll.qlDayCounterYearFraction(DayCounter,SettlementDate,F5,,,Trigger)</f>
        <v>8.611111111111111E-2</v>
      </c>
      <c r="P5" s="155">
        <f>_xll.qlDayCounterYearFraction(DayCounter,SettlementDate,G5,,,Trigger)</f>
        <v>0.34166666666666667</v>
      </c>
      <c r="Q5" s="155">
        <f>P5-O5</f>
        <v>0.25555555555555554</v>
      </c>
      <c r="R5" s="155">
        <f>(P5^2-O5^2)/2</f>
        <v>5.466049382716049E-2</v>
      </c>
      <c r="S5" s="155">
        <f>(P5^3-O5^3)/3</f>
        <v>1.3082104481024237E-2</v>
      </c>
      <c r="T5" s="370" t="b">
        <v>0</v>
      </c>
      <c r="U5" s="370" t="b">
        <v>0</v>
      </c>
      <c r="V5" s="370" t="b">
        <v>0</v>
      </c>
      <c r="W5" s="370" t="b">
        <v>0</v>
      </c>
      <c r="AI5" s="339"/>
      <c r="AJ5" s="117"/>
      <c r="AK5" s="127">
        <v>7.5956790123456783E-2</v>
      </c>
      <c r="AL5" s="128">
        <v>0.25555555555555554</v>
      </c>
      <c r="AM5" s="550"/>
      <c r="AN5" s="129">
        <v>1.0658908373431259E-3</v>
      </c>
      <c r="AO5" s="550"/>
      <c r="AP5" s="199">
        <v>3.3247256356589404E-4</v>
      </c>
      <c r="AQ5" s="127">
        <v>6.8297872340425521</v>
      </c>
      <c r="AR5" s="128">
        <v>-3.0652173913043481</v>
      </c>
      <c r="AS5" s="117"/>
      <c r="AT5" s="352"/>
      <c r="AU5" s="128"/>
      <c r="AV5" s="169">
        <f>_xll.qlCalendarAdvance(Calendar,AV4,"1d","mf",,Trigger)</f>
        <v>42163</v>
      </c>
      <c r="AW5" s="155">
        <f>_xll.qlDayCounterYearFraction(DayCounter,SettlementDate,AV5,,,Trigger)</f>
        <v>8.3333333333333332E-3</v>
      </c>
      <c r="AX5" s="167">
        <f t="shared" si="2"/>
        <v>1.0724821109660905E-3</v>
      </c>
      <c r="AY5" s="167">
        <f t="shared" si="3"/>
        <v>9.8194495783084481E-4</v>
      </c>
      <c r="AZ5" s="167">
        <f t="shared" si="4"/>
        <v>1.1170738746878997E-3</v>
      </c>
      <c r="BA5" s="167">
        <f t="shared" si="5"/>
        <v>4.3585082283663509E-4</v>
      </c>
      <c r="BB5" s="167">
        <f t="shared" si="5"/>
        <v>1.2456020778560137E-3</v>
      </c>
      <c r="BC5" s="167">
        <f t="shared" si="6"/>
        <v>1.2678459430137598E-3</v>
      </c>
      <c r="BD5" s="167">
        <f t="shared" si="7"/>
        <v>1.2434580585035419E-3</v>
      </c>
      <c r="BE5" s="167">
        <f t="shared" si="8"/>
        <v>1.2617640969616389E-3</v>
      </c>
    </row>
    <row r="6" spans="1:57" ht="12" customHeight="1" x14ac:dyDescent="0.2">
      <c r="A6" s="115" t="b">
        <v>0</v>
      </c>
      <c r="B6" s="115" t="str">
        <f>_xll.qlIMMNextCode(F5,A6)</f>
        <v>N5</v>
      </c>
      <c r="C6" s="445">
        <v>2</v>
      </c>
      <c r="D6" s="480">
        <f>C6+SUBSTITUTE($F$22,"M","")</f>
        <v>5</v>
      </c>
      <c r="E6" s="152" t="str">
        <f>IF(_xll.qlIMMIsIMMdate(F6,A6),"Delta("&amp;B6&amp;")","Delta("&amp;C6&amp;"M,"&amp;D6&amp;"M)")</f>
        <v>Delta(N5)</v>
      </c>
      <c r="F6" s="153">
        <f>IF(_xll.qlCalendarAdvance(Calendar,SettlementDate,C6&amp;"M","mf")&gt;_xll.qlIMMdate(B6,SettlementDate),_xll.qlIMMdate(B6,SettlementDate),_xll.qlCalendarAdvance(Calendar,SettlementDate,C6&amp;"M","mf"))</f>
        <v>42200</v>
      </c>
      <c r="G6" s="153">
        <f>_xll.qlInterestRateIndexMaturity($F$23,F6)</f>
        <v>42292</v>
      </c>
      <c r="H6" s="185">
        <f>_xll.qlYieldTSDiscount(Discounting,F6,,AllTriggers)</f>
        <v>1.0001416634364066</v>
      </c>
      <c r="I6" s="185">
        <f>_xll.qlYieldTSDiscount(Discounting,G6,,AllTriggers)</f>
        <v>1.0004690759568255</v>
      </c>
      <c r="J6" s="186">
        <f>_xll.qlDayCounterYearFraction(DayCounter,F6,G6,,,Trigger)</f>
        <v>0.25555555555555554</v>
      </c>
      <c r="K6" s="187">
        <f t="shared" si="0"/>
        <v>-1.280578739028658E-3</v>
      </c>
      <c r="L6" s="187">
        <f t="shared" si="1"/>
        <v>-3.417478938514437E-5</v>
      </c>
      <c r="M6" s="187">
        <f>_xll.qlInterpolationInterpolate(B3Minterpolation,F6,TRUE,AllTriggers)</f>
        <v>1.2464039496435137E-3</v>
      </c>
      <c r="N6" s="154">
        <f t="shared" ref="N6:N9" si="9">LN((1+(M6+K6)*J6)/(1+K6*J6))</f>
        <v>3.1857897657610115E-4</v>
      </c>
      <c r="O6" s="155">
        <f>_xll.qlDayCounterYearFraction(DayCounter,SettlementDate,F6,,,Trigger)</f>
        <v>0.1111111111111111</v>
      </c>
      <c r="P6" s="155">
        <f>_xll.qlDayCounterYearFraction(DayCounter,SettlementDate,G6,,,Trigger)</f>
        <v>0.36666666666666664</v>
      </c>
      <c r="Q6" s="155">
        <f>P6-O6</f>
        <v>0.25555555555555554</v>
      </c>
      <c r="R6" s="155">
        <f>(P6^2-O6^2)/2</f>
        <v>6.1049382716049372E-2</v>
      </c>
      <c r="S6" s="155">
        <f>(P6^3-O6^3)/3</f>
        <v>1.5974851394604476E-2</v>
      </c>
      <c r="T6" s="370" t="b">
        <v>0</v>
      </c>
      <c r="U6" s="370" t="b">
        <v>0</v>
      </c>
      <c r="V6" s="370" t="b">
        <v>0</v>
      </c>
      <c r="W6" s="370" t="b">
        <v>0</v>
      </c>
      <c r="AI6" s="339"/>
      <c r="AJ6" s="117"/>
      <c r="AK6" s="117"/>
      <c r="AL6" s="117"/>
      <c r="AM6" s="117"/>
      <c r="AN6" s="364"/>
      <c r="AO6" s="136"/>
      <c r="AP6" s="118"/>
      <c r="AQ6" s="117"/>
      <c r="AR6" s="117"/>
      <c r="AS6" s="117"/>
      <c r="AT6" s="352"/>
      <c r="AU6" s="128"/>
      <c r="AV6" s="169">
        <f>_xll.qlCalendarAdvance(Calendar,AV5,"1d","mf",,Trigger)</f>
        <v>42164</v>
      </c>
      <c r="AW6" s="155">
        <f>_xll.qlDayCounterYearFraction(DayCounter,SettlementDate,AV6,,,Trigger)</f>
        <v>1.1111111111111112E-2</v>
      </c>
      <c r="AX6" s="167">
        <f t="shared" si="2"/>
        <v>1.0746792021737452E-3</v>
      </c>
      <c r="AY6" s="167">
        <f t="shared" si="3"/>
        <v>9.8501259858787714E-4</v>
      </c>
      <c r="AZ6" s="167">
        <f t="shared" si="4"/>
        <v>1.1175596574657897E-3</v>
      </c>
      <c r="BA6" s="167">
        <f t="shared" si="5"/>
        <v>4.4935248121617919E-4</v>
      </c>
      <c r="BB6" s="167">
        <f t="shared" si="5"/>
        <v>1.2462393630433284E-3</v>
      </c>
      <c r="BC6" s="167">
        <f t="shared" si="6"/>
        <v>1.2686493389939579E-3</v>
      </c>
      <c r="BD6" s="167">
        <f t="shared" si="7"/>
        <v>1.2440971176099944E-3</v>
      </c>
      <c r="BE6" s="167">
        <f t="shared" si="8"/>
        <v>1.2625520177581334E-3</v>
      </c>
    </row>
    <row r="7" spans="1:57" ht="12" customHeight="1" x14ac:dyDescent="0.2">
      <c r="A7" s="115" t="b">
        <f>'Delta 3M'!A11</f>
        <v>0</v>
      </c>
      <c r="B7" s="115" t="str">
        <f>_xll.qlIMMNextCode(F6,A7)</f>
        <v>Q5</v>
      </c>
      <c r="C7" s="117">
        <v>2</v>
      </c>
      <c r="D7" s="198">
        <f t="shared" ref="D7:D9" si="10">C7+SUBSTITUTE($F$22,"M","")</f>
        <v>5</v>
      </c>
      <c r="E7" s="152" t="str">
        <f>IF(_xll.qlIMMIsIMMdate(F7,A7),"Delta("&amp;B7&amp;")","Delta("&amp;C7&amp;"M,"&amp;D7&amp;"M)")</f>
        <v>Delta(2M,5M)</v>
      </c>
      <c r="F7" s="153">
        <f>IF(_xll.qlCalendarAdvance(Calendar,SettlementDate,C7&amp;"M","mf")&gt;_xll.qlIMMdate(B7,SettlementDate),_xll.qlIMMdate(B7,SettlementDate),_xll.qlCalendarAdvance(Calendar,SettlementDate,C7&amp;"M","mf"))</f>
        <v>42221</v>
      </c>
      <c r="G7" s="153">
        <f>_xll.qlInterestRateIndexMaturity($F$23,F7)</f>
        <v>42313</v>
      </c>
      <c r="H7" s="185">
        <f>_xll.qlYieldTSDiscount(Discounting,F7,,AllTriggers)</f>
        <v>1.0002130018004083</v>
      </c>
      <c r="I7" s="185">
        <f>_xll.qlYieldTSDiscount(Discounting,G7,,AllTriggers)</f>
        <v>1.0005430435247975</v>
      </c>
      <c r="J7" s="186">
        <f>_xll.qlDayCounterYearFraction(DayCounter,F7,G7,,,Trigger)</f>
        <v>0.25555555555555554</v>
      </c>
      <c r="K7" s="187">
        <f t="shared" si="0"/>
        <v>-1.2907666746902783E-3</v>
      </c>
      <c r="L7" s="187">
        <f t="shared" si="1"/>
        <v>1.0000000000000026E-5</v>
      </c>
      <c r="M7" s="187">
        <f>_xll.qlInterpolationInterpolate(B3Minterpolation,F7,TRUE,AllTriggers)</f>
        <v>1.3007666746902783E-3</v>
      </c>
      <c r="N7" s="154">
        <f t="shared" si="9"/>
        <v>3.3247256356589404E-4</v>
      </c>
      <c r="O7" s="155">
        <f>_xll.qlDayCounterYearFraction(DayCounter,SettlementDate,F7,,,Trigger)</f>
        <v>0.16944444444444445</v>
      </c>
      <c r="P7" s="155">
        <f>_xll.qlDayCounterYearFraction(DayCounter,SettlementDate,G7,,,Trigger)</f>
        <v>0.42499999999999999</v>
      </c>
      <c r="Q7" s="155">
        <f t="shared" ref="Q7:Q9" si="11">P7-O7</f>
        <v>0.25555555555555554</v>
      </c>
      <c r="R7" s="155">
        <f t="shared" ref="R7:R9" si="12">(P7^2-O7^2)/2</f>
        <v>7.5956790123456783E-2</v>
      </c>
      <c r="S7" s="155">
        <f t="shared" ref="S7:S9" si="13">(P7^3-O7^3)/3</f>
        <v>2.3966878143575673E-2</v>
      </c>
      <c r="T7" s="370" t="b">
        <v>1</v>
      </c>
      <c r="U7" s="370" t="b">
        <v>1</v>
      </c>
      <c r="V7" s="370" t="b">
        <v>1</v>
      </c>
      <c r="W7" s="370" t="b">
        <v>1</v>
      </c>
      <c r="AI7" s="339" t="s">
        <v>142</v>
      </c>
      <c r="AJ7" s="117"/>
      <c r="AK7" s="117"/>
      <c r="AL7" s="117"/>
      <c r="AM7" s="117"/>
      <c r="AN7" s="365" t="s">
        <v>91</v>
      </c>
      <c r="AO7" s="136"/>
      <c r="AP7" s="118"/>
      <c r="AQ7" s="117"/>
      <c r="AR7" s="117"/>
      <c r="AS7" s="117"/>
      <c r="AT7" s="352"/>
      <c r="AV7" s="169">
        <f>_xll.qlCalendarAdvance(Calendar,AV6,"1d","mf",,Trigger)</f>
        <v>42165</v>
      </c>
      <c r="AW7" s="155">
        <f>_xll.qlDayCounterYearFraction(DayCounter,SettlementDate,AV7,,,Trigger)</f>
        <v>1.3888888888888888E-2</v>
      </c>
      <c r="AX7" s="167">
        <f t="shared" si="2"/>
        <v>1.0768762933814002E-3</v>
      </c>
      <c r="AY7" s="167">
        <f t="shared" si="3"/>
        <v>9.8808023934490925E-4</v>
      </c>
      <c r="AZ7" s="167">
        <f t="shared" si="4"/>
        <v>1.1180688054742605E-3</v>
      </c>
      <c r="BA7" s="167">
        <f t="shared" si="5"/>
        <v>4.6275971409687709E-4</v>
      </c>
      <c r="BB7" s="167">
        <f t="shared" si="5"/>
        <v>1.2468766482306431E-3</v>
      </c>
      <c r="BC7" s="167">
        <f t="shared" si="6"/>
        <v>1.2694527349741559E-3</v>
      </c>
      <c r="BD7" s="167">
        <f t="shared" si="7"/>
        <v>1.2447369946842692E-3</v>
      </c>
      <c r="BE7" s="167">
        <f t="shared" si="8"/>
        <v>1.2633410467026835E-3</v>
      </c>
    </row>
    <row r="8" spans="1:57" ht="12" customHeight="1" x14ac:dyDescent="0.2">
      <c r="A8" s="115" t="b">
        <f>'Delta 3M'!A12</f>
        <v>0</v>
      </c>
      <c r="B8" s="115" t="str">
        <f>_xll.qlIMMNextCode(F7,A8)</f>
        <v>Q5</v>
      </c>
      <c r="C8" s="117">
        <v>3</v>
      </c>
      <c r="D8" s="198">
        <f t="shared" si="10"/>
        <v>6</v>
      </c>
      <c r="E8" s="152" t="str">
        <f>IF(_xll.qlIMMIsIMMdate(F8,A8),"Delta("&amp;B8&amp;")","Delta("&amp;C8&amp;"M,"&amp;D8&amp;"M)")</f>
        <v>Delta(Q5)</v>
      </c>
      <c r="F8" s="153">
        <f>IF(_xll.qlCalendarAdvance(Calendar,SettlementDate,C8&amp;"M","mf")&gt;_xll.qlIMMdate(B8,SettlementDate),_xll.qlIMMdate(B8,SettlementDate),_xll.qlCalendarAdvance(Calendar,SettlementDate,C8&amp;"M","mf"))</f>
        <v>42235</v>
      </c>
      <c r="G8" s="153">
        <f>_xll.qlInterestRateIndexMaturity($F$23,F8)</f>
        <v>42327</v>
      </c>
      <c r="H8" s="185">
        <f>_xll.qlYieldTSDiscount(Discounting,F8,,AllTriggers)</f>
        <v>1.0002643104468452</v>
      </c>
      <c r="I8" s="185">
        <f>_xll.qlYieldTSDiscount(Discounting,G8,,AllTriggers)</f>
        <v>1.0005947654856313</v>
      </c>
      <c r="J8" s="186">
        <f>_xll.qlDayCounterYearFraction(DayCounter,F8,G8,,,Trigger)</f>
        <v>0.25555555555555554</v>
      </c>
      <c r="K8" s="187">
        <f t="shared" si="0"/>
        <v>-1.29231630924313E-3</v>
      </c>
      <c r="L8" s="187">
        <f t="shared" si="1"/>
        <v>5.1397149169213991E-5</v>
      </c>
      <c r="M8" s="187">
        <f>_xll.qlInterpolationInterpolate(B3Minterpolation,F8,TRUE,AllTriggers)</f>
        <v>1.343713458412344E-3</v>
      </c>
      <c r="N8" s="154">
        <f t="shared" si="9"/>
        <v>3.4344790049660928E-4</v>
      </c>
      <c r="O8" s="155">
        <f>_xll.qlDayCounterYearFraction(DayCounter,SettlementDate,F8,,,Trigger)</f>
        <v>0.20833333333333334</v>
      </c>
      <c r="P8" s="155">
        <f>_xll.qlDayCounterYearFraction(DayCounter,SettlementDate,G8,,,Trigger)</f>
        <v>0.46388888888888891</v>
      </c>
      <c r="Q8" s="155">
        <f t="shared" si="11"/>
        <v>0.25555555555555554</v>
      </c>
      <c r="R8" s="155">
        <f t="shared" si="12"/>
        <v>8.5895061728395061E-2</v>
      </c>
      <c r="S8" s="155">
        <f t="shared" si="13"/>
        <v>3.0261116826703249E-2</v>
      </c>
      <c r="T8" s="370" t="b">
        <v>1</v>
      </c>
      <c r="U8" s="370" t="b">
        <v>1</v>
      </c>
      <c r="V8" s="370" t="b">
        <v>1</v>
      </c>
      <c r="W8" s="370" t="b">
        <v>1</v>
      </c>
      <c r="AI8" s="339"/>
      <c r="AJ8" s="134"/>
      <c r="AK8" s="127">
        <f t="array" ref="AK8:AK9">_xll.ohFilter(R3:R9,V3:V9)</f>
        <v>7.5956790123456783E-2</v>
      </c>
      <c r="AL8" s="128">
        <f t="array" ref="AL8:AL9">_xll.ohFilter(Q3:Q9,V3:V9)</f>
        <v>0.25555555555555554</v>
      </c>
      <c r="AM8" s="550" t="s">
        <v>37</v>
      </c>
      <c r="AN8" s="129">
        <f t="array" ref="AN8:AN9">MMULT(AQ8:AR9,AP8:AP9)</f>
        <v>1.1043506725315969E-3</v>
      </c>
      <c r="AO8" s="550" t="s">
        <v>38</v>
      </c>
      <c r="AP8" s="199">
        <f t="array" ref="AP8:AP9">_xll.ohFilter(N3:N9,V3:V9)</f>
        <v>3.3247256356589404E-4</v>
      </c>
      <c r="AQ8" s="127">
        <f t="array" ref="AQ8:AR9">MINVERSE(AK8:AL9)</f>
        <v>-100.62111801242231</v>
      </c>
      <c r="AR8" s="128">
        <v>100.62111801242231</v>
      </c>
      <c r="AS8" s="117"/>
      <c r="AT8" s="352"/>
      <c r="AV8" s="169">
        <f>_xll.qlCalendarAdvance(Calendar,AV7,"1d","mf",,Trigger)</f>
        <v>42166</v>
      </c>
      <c r="AW8" s="155">
        <f>_xll.qlDayCounterYearFraction(DayCounter,SettlementDate,AV8,,,Trigger)</f>
        <v>1.6666666666666666E-2</v>
      </c>
      <c r="AX8" s="167">
        <f t="shared" si="2"/>
        <v>1.0790733845890549E-3</v>
      </c>
      <c r="AY8" s="167">
        <f t="shared" si="3"/>
        <v>9.9114788010194158E-4</v>
      </c>
      <c r="AZ8" s="167">
        <f t="shared" si="4"/>
        <v>1.1186013187133115E-3</v>
      </c>
      <c r="BA8" s="167">
        <f t="shared" si="5"/>
        <v>4.7607252147872871E-4</v>
      </c>
      <c r="BB8" s="167">
        <f t="shared" si="5"/>
        <v>1.2475139334179577E-3</v>
      </c>
      <c r="BC8" s="167">
        <f t="shared" si="6"/>
        <v>1.2702561309543541E-3</v>
      </c>
      <c r="BD8" s="167">
        <f t="shared" si="7"/>
        <v>1.2453776897263656E-3</v>
      </c>
      <c r="BE8" s="167">
        <f t="shared" si="8"/>
        <v>1.264131183795289E-3</v>
      </c>
    </row>
    <row r="9" spans="1:57" ht="12" customHeight="1" x14ac:dyDescent="0.2">
      <c r="A9" s="115" t="b">
        <v>0</v>
      </c>
      <c r="B9" s="115" t="str">
        <f>_xll.qlIMMNextCode(F8,A9)</f>
        <v>U5</v>
      </c>
      <c r="C9" s="117">
        <v>3</v>
      </c>
      <c r="D9" s="198">
        <f t="shared" si="10"/>
        <v>6</v>
      </c>
      <c r="E9" s="157" t="str">
        <f>IF(_xll.qlIMMIsIMMdate(F9,A9),"Delta("&amp;B9&amp;")","Delta("&amp;C9&amp;"M,"&amp;D9&amp;"M)")</f>
        <v>Delta(3M,6M)</v>
      </c>
      <c r="F9" s="158">
        <f>IF(_xll.qlCalendarAdvance(Calendar,SettlementDate,C9&amp;"M","mf")&gt;_xll.qlIMMdate(B9,SettlementDate),_xll.qlIMMdate(B9,SettlementDate),_xll.qlCalendarAdvance(Calendar,SettlementDate,C9&amp;"M","mf"))</f>
        <v>42254</v>
      </c>
      <c r="G9" s="158">
        <f>_xll.qlInterestRateIndexMaturity($F$23,F9)</f>
        <v>42345</v>
      </c>
      <c r="H9" s="188">
        <f>_xll.qlYieldTSDiscount(Discounting,F9,,AllTriggers)</f>
        <v>1.0003339478197761</v>
      </c>
      <c r="I9" s="188">
        <f>_xll.qlYieldTSDiscount(Discounting,G9,,AllTriggers)</f>
        <v>1.0006564659042034</v>
      </c>
      <c r="J9" s="189">
        <f>_xll.qlDayCounterYearFraction(DayCounter,F9,G9,,,Trigger)</f>
        <v>0.25277777777777777</v>
      </c>
      <c r="K9" s="190">
        <f t="shared" si="0"/>
        <v>-1.2750586860603048E-3</v>
      </c>
      <c r="L9" s="190">
        <f t="shared" si="1"/>
        <v>9.7748247519865647E-5</v>
      </c>
      <c r="M9" s="190">
        <f>_xll.qlInterpolationInterpolate(B3Minterpolation,F9,TRUE,AllTriggers)</f>
        <v>1.3728069335801705E-3</v>
      </c>
      <c r="N9" s="159">
        <f t="shared" si="9"/>
        <v>3.4706673263984608E-4</v>
      </c>
      <c r="O9" s="160">
        <f>_xll.qlDayCounterYearFraction(DayCounter,SettlementDate,F9,,,Trigger)</f>
        <v>0.26111111111111113</v>
      </c>
      <c r="P9" s="160">
        <f>_xll.qlDayCounterYearFraction(DayCounter,SettlementDate,G9,,,Trigger)</f>
        <v>0.51388888888888884</v>
      </c>
      <c r="Q9" s="160">
        <f t="shared" si="11"/>
        <v>0.25277777777777771</v>
      </c>
      <c r="R9" s="160">
        <f t="shared" si="12"/>
        <v>9.7951388888888852E-2</v>
      </c>
      <c r="S9" s="160">
        <f t="shared" si="13"/>
        <v>3.9302133344764498E-2</v>
      </c>
      <c r="T9" s="418" t="b">
        <v>1</v>
      </c>
      <c r="U9" s="418" t="b">
        <v>1</v>
      </c>
      <c r="V9" s="418" t="b">
        <v>1</v>
      </c>
      <c r="W9" s="418" t="b">
        <v>1</v>
      </c>
      <c r="AI9" s="339"/>
      <c r="AJ9" s="134"/>
      <c r="AK9" s="127">
        <v>8.5895061728395061E-2</v>
      </c>
      <c r="AL9" s="128">
        <v>0.25555555555555554</v>
      </c>
      <c r="AM9" s="550"/>
      <c r="AN9" s="129">
        <v>9.7274203555974825E-4</v>
      </c>
      <c r="AO9" s="550"/>
      <c r="AP9" s="199">
        <v>3.4344790049660928E-4</v>
      </c>
      <c r="AQ9" s="127">
        <v>33.819875776397502</v>
      </c>
      <c r="AR9" s="128">
        <v>-29.906832298136631</v>
      </c>
      <c r="AS9" s="117"/>
      <c r="AT9" s="352"/>
      <c r="AV9" s="169">
        <f>_xll.qlCalendarAdvance(Calendar,AV8,"1d","mf",,Trigger)</f>
        <v>42167</v>
      </c>
      <c r="AW9" s="155">
        <f>_xll.qlDayCounterYearFraction(DayCounter,SettlementDate,AV9,,,Trigger)</f>
        <v>1.9444444444444445E-2</v>
      </c>
      <c r="AX9" s="167">
        <f t="shared" si="2"/>
        <v>1.0812704757967098E-3</v>
      </c>
      <c r="AY9" s="167">
        <f t="shared" si="3"/>
        <v>9.9421552085897369E-4</v>
      </c>
      <c r="AZ9" s="167">
        <f t="shared" si="4"/>
        <v>1.1191571971829431E-3</v>
      </c>
      <c r="BA9" s="167">
        <f t="shared" si="5"/>
        <v>4.8929090336173402E-4</v>
      </c>
      <c r="BB9" s="167">
        <f t="shared" si="5"/>
        <v>1.2481512186052724E-3</v>
      </c>
      <c r="BC9" s="167">
        <f t="shared" si="6"/>
        <v>1.2710595269345521E-3</v>
      </c>
      <c r="BD9" s="167">
        <f t="shared" si="7"/>
        <v>1.246019202736284E-3</v>
      </c>
      <c r="BE9" s="167">
        <f t="shared" si="8"/>
        <v>1.2649224290359504E-3</v>
      </c>
    </row>
    <row r="10" spans="1:57" ht="12" customHeight="1" x14ac:dyDescent="0.2">
      <c r="C10" s="117"/>
      <c r="D10" s="198"/>
      <c r="E10" s="118"/>
      <c r="F10" s="119"/>
      <c r="G10" s="119"/>
      <c r="H10" s="380"/>
      <c r="I10" s="380"/>
      <c r="J10" s="381"/>
      <c r="K10" s="120"/>
      <c r="L10" s="382"/>
      <c r="M10" s="121"/>
      <c r="N10" s="121"/>
      <c r="O10" s="121"/>
      <c r="P10" s="121"/>
      <c r="Q10" s="121"/>
      <c r="R10" s="122"/>
      <c r="S10" s="122"/>
      <c r="T10" s="122"/>
      <c r="U10" s="122"/>
      <c r="V10" s="140"/>
      <c r="AI10" s="340"/>
      <c r="AJ10" s="341"/>
      <c r="AK10" s="341"/>
      <c r="AL10" s="341"/>
      <c r="AM10" s="341"/>
      <c r="AN10" s="367"/>
      <c r="AO10" s="368"/>
      <c r="AP10" s="369"/>
      <c r="AQ10" s="341"/>
      <c r="AR10" s="341"/>
      <c r="AS10" s="341"/>
      <c r="AT10" s="354"/>
      <c r="AV10" s="169">
        <f>_xll.qlCalendarAdvance(Calendar,AV9,"1d","mf",,Trigger)</f>
        <v>42170</v>
      </c>
      <c r="AW10" s="155">
        <f>_xll.qlDayCounterYearFraction(DayCounter,SettlementDate,AV10,,,Trigger)</f>
        <v>2.7777777777777776E-2</v>
      </c>
      <c r="AX10" s="167">
        <f t="shared" si="2"/>
        <v>1.0878617494196744E-3</v>
      </c>
      <c r="AY10" s="167">
        <f t="shared" si="3"/>
        <v>1.0034184431300705E-3</v>
      </c>
      <c r="AZ10" s="167">
        <f t="shared" si="4"/>
        <v>1.1209650239753207E-3</v>
      </c>
      <c r="BA10" s="167">
        <f t="shared" si="5"/>
        <v>5.2837949601767262E-4</v>
      </c>
      <c r="BB10" s="167">
        <f t="shared" si="5"/>
        <v>1.2500630741672162E-3</v>
      </c>
      <c r="BC10" s="167">
        <f t="shared" si="6"/>
        <v>1.2734697148751464E-3</v>
      </c>
      <c r="BD10" s="167">
        <f t="shared" si="7"/>
        <v>1.2479486495729703E-3</v>
      </c>
      <c r="BE10" s="167">
        <f t="shared" si="8"/>
        <v>1.2673028136462687E-3</v>
      </c>
    </row>
    <row r="11" spans="1:57" ht="12" customHeight="1" x14ac:dyDescent="0.2">
      <c r="C11" s="117"/>
      <c r="D11" s="198"/>
      <c r="E11" s="117"/>
      <c r="F11" s="117"/>
      <c r="G11" s="117"/>
      <c r="H11" s="117"/>
      <c r="I11" s="117"/>
      <c r="J11" s="117"/>
      <c r="K11" s="117"/>
      <c r="N11" s="117"/>
      <c r="O11" s="117"/>
      <c r="P11" s="117"/>
      <c r="R11" s="372" t="str">
        <f>"with 0X"&amp;SUBSTITUTE($F$22,"M","")</f>
        <v>with 0X3</v>
      </c>
      <c r="S11" s="373"/>
      <c r="T11" s="373"/>
      <c r="U11" s="373"/>
      <c r="V11" s="373"/>
      <c r="W11" s="373"/>
      <c r="X11" s="373"/>
      <c r="Y11" s="374"/>
      <c r="Z11" s="373" t="str">
        <f>"without 0X"&amp;SUBSTITUTE($F$22,"M","")</f>
        <v>without 0X3</v>
      </c>
      <c r="AA11" s="373"/>
      <c r="AB11" s="373"/>
      <c r="AC11" s="372"/>
      <c r="AD11" s="373"/>
      <c r="AE11" s="373"/>
      <c r="AF11" s="373"/>
      <c r="AG11" s="374"/>
      <c r="AI11" s="117"/>
      <c r="AV11" s="169">
        <f>_xll.qlCalendarAdvance(Calendar,AV10,"1d","mf",,Trigger)</f>
        <v>42171</v>
      </c>
      <c r="AW11" s="155">
        <f>_xll.qlDayCounterYearFraction(DayCounter,SettlementDate,AV11,,,Trigger)</f>
        <v>3.0555555555555555E-2</v>
      </c>
      <c r="AX11" s="167">
        <f t="shared" si="2"/>
        <v>1.0900588406273291E-3</v>
      </c>
      <c r="AY11" s="167">
        <f t="shared" si="3"/>
        <v>1.0064860838871026E-3</v>
      </c>
      <c r="AZ11" s="167">
        <f t="shared" si="4"/>
        <v>1.1216143633672741E-3</v>
      </c>
      <c r="BA11" s="167">
        <f t="shared" si="5"/>
        <v>5.4122017590529296E-4</v>
      </c>
      <c r="BB11" s="167">
        <f t="shared" si="5"/>
        <v>1.2507003593545309E-3</v>
      </c>
      <c r="BC11" s="167">
        <f t="shared" si="6"/>
        <v>1.2742731108553445E-3</v>
      </c>
      <c r="BD11" s="167">
        <f t="shared" si="7"/>
        <v>1.2485934344541761E-3</v>
      </c>
      <c r="BE11" s="167">
        <f t="shared" si="8"/>
        <v>1.2680984914791528E-3</v>
      </c>
    </row>
    <row r="12" spans="1:57" ht="12" customHeight="1" x14ac:dyDescent="0.2">
      <c r="D12" s="117"/>
      <c r="E12" s="372" t="s">
        <v>144</v>
      </c>
      <c r="F12" s="373"/>
      <c r="G12" s="373"/>
      <c r="H12" s="373"/>
      <c r="I12" s="373"/>
      <c r="J12" s="373"/>
      <c r="K12" s="373"/>
      <c r="L12" s="373"/>
      <c r="M12" s="373"/>
      <c r="N12" s="373"/>
      <c r="O12" s="379"/>
      <c r="P12" s="379"/>
      <c r="Q12" s="379"/>
      <c r="R12" s="372" t="s">
        <v>83</v>
      </c>
      <c r="S12" s="373"/>
      <c r="T12" s="373"/>
      <c r="U12" s="374"/>
      <c r="V12" s="372" t="s">
        <v>84</v>
      </c>
      <c r="W12" s="373"/>
      <c r="X12" s="373"/>
      <c r="Y12" s="374"/>
      <c r="Z12" s="372" t="s">
        <v>83</v>
      </c>
      <c r="AA12" s="373"/>
      <c r="AB12" s="373"/>
      <c r="AC12" s="374"/>
      <c r="AD12" s="372" t="s">
        <v>84</v>
      </c>
      <c r="AE12" s="373"/>
      <c r="AF12" s="373"/>
      <c r="AG12" s="374"/>
      <c r="AI12" s="337" t="s">
        <v>84</v>
      </c>
      <c r="AJ12" s="338"/>
      <c r="AK12" s="338"/>
      <c r="AL12" s="338"/>
      <c r="AM12" s="338"/>
      <c r="AN12" s="338"/>
      <c r="AO12" s="338"/>
      <c r="AP12" s="338"/>
      <c r="AQ12" s="338"/>
      <c r="AR12" s="338"/>
      <c r="AS12" s="338"/>
      <c r="AT12" s="353"/>
      <c r="AV12" s="169">
        <f>_xll.qlCalendarAdvance(Calendar,AV11,"1d","mf",,Trigger)</f>
        <v>42172</v>
      </c>
      <c r="AW12" s="155">
        <f>_xll.qlDayCounterYearFraction(DayCounter,SettlementDate,AV12,,,Trigger)</f>
        <v>3.3333333333333333E-2</v>
      </c>
      <c r="AX12" s="167">
        <f t="shared" si="2"/>
        <v>1.0922559318349841E-3</v>
      </c>
      <c r="AY12" s="167">
        <f t="shared" si="3"/>
        <v>1.0095537246441349E-3</v>
      </c>
      <c r="AZ12" s="167">
        <f t="shared" si="4"/>
        <v>1.122287067989808E-3</v>
      </c>
      <c r="BA12" s="167">
        <f t="shared" si="5"/>
        <v>5.5396643029406701E-4</v>
      </c>
      <c r="BB12" s="167">
        <f t="shared" si="5"/>
        <v>1.2513376445418456E-3</v>
      </c>
      <c r="BC12" s="167">
        <f t="shared" si="6"/>
        <v>1.2750765068355425E-3</v>
      </c>
      <c r="BD12" s="167">
        <f t="shared" si="7"/>
        <v>1.2492390373032034E-3</v>
      </c>
      <c r="BE12" s="167">
        <f t="shared" si="8"/>
        <v>1.2688952774600926E-3</v>
      </c>
    </row>
    <row r="13" spans="1:57" ht="22.5" customHeight="1" x14ac:dyDescent="0.2">
      <c r="E13" s="142" t="s">
        <v>85</v>
      </c>
      <c r="F13" s="142" t="s">
        <v>70</v>
      </c>
      <c r="G13" s="142" t="s">
        <v>71</v>
      </c>
      <c r="H13" s="142" t="s">
        <v>123</v>
      </c>
      <c r="I13" s="142" t="s">
        <v>124</v>
      </c>
      <c r="J13" s="142" t="s">
        <v>122</v>
      </c>
      <c r="K13" s="142" t="s">
        <v>125</v>
      </c>
      <c r="L13" s="142" t="str">
        <f>"F "&amp;$F$22</f>
        <v>F 3M</v>
      </c>
      <c r="M13" s="142" t="str">
        <f>"B "&amp;$F$22</f>
        <v>B 3M</v>
      </c>
      <c r="N13" s="142" t="s">
        <v>145</v>
      </c>
      <c r="O13" s="142" t="s">
        <v>130</v>
      </c>
      <c r="P13" s="142" t="s">
        <v>131</v>
      </c>
      <c r="Q13" s="142" t="s">
        <v>146</v>
      </c>
      <c r="R13" s="142" t="s">
        <v>126</v>
      </c>
      <c r="S13" s="142" t="s">
        <v>81</v>
      </c>
      <c r="T13" s="142" t="s">
        <v>150</v>
      </c>
      <c r="U13" s="142" t="s">
        <v>128</v>
      </c>
      <c r="V13" s="355" t="s">
        <v>126</v>
      </c>
      <c r="W13" s="142" t="s">
        <v>81</v>
      </c>
      <c r="X13" s="142" t="s">
        <v>150</v>
      </c>
      <c r="Y13" s="142" t="s">
        <v>128</v>
      </c>
      <c r="Z13" s="355" t="s">
        <v>126</v>
      </c>
      <c r="AA13" s="142" t="s">
        <v>81</v>
      </c>
      <c r="AB13" s="142" t="s">
        <v>150</v>
      </c>
      <c r="AC13" s="142" t="s">
        <v>128</v>
      </c>
      <c r="AD13" s="355" t="s">
        <v>126</v>
      </c>
      <c r="AE13" s="142" t="s">
        <v>81</v>
      </c>
      <c r="AF13" s="142" t="s">
        <v>150</v>
      </c>
      <c r="AG13" s="142" t="s">
        <v>128</v>
      </c>
      <c r="AI13" s="339" t="s">
        <v>141</v>
      </c>
      <c r="AJ13" s="117"/>
      <c r="AK13" s="117"/>
      <c r="AL13" s="117"/>
      <c r="AM13" s="117"/>
      <c r="AN13" s="366" t="s">
        <v>90</v>
      </c>
      <c r="AO13" s="117"/>
      <c r="AP13" s="117"/>
      <c r="AQ13" s="117"/>
      <c r="AR13" s="117"/>
      <c r="AS13" s="117"/>
      <c r="AT13" s="352"/>
      <c r="AV13" s="169">
        <f>_xll.qlCalendarAdvance(Calendar,AV12,"1d","mf",,Trigger)</f>
        <v>42173</v>
      </c>
      <c r="AW13" s="155">
        <f>_xll.qlDayCounterYearFraction(DayCounter,SettlementDate,AV13,,,Trigger)</f>
        <v>3.6111111111111108E-2</v>
      </c>
      <c r="AX13" s="167">
        <f t="shared" si="2"/>
        <v>1.094453023042639E-3</v>
      </c>
      <c r="AY13" s="167">
        <f t="shared" si="3"/>
        <v>1.012621365401167E-3</v>
      </c>
      <c r="AZ13" s="167">
        <f t="shared" si="4"/>
        <v>1.1229831378429225E-3</v>
      </c>
      <c r="BA13" s="167">
        <f t="shared" si="5"/>
        <v>5.6661825918399476E-4</v>
      </c>
      <c r="BB13" s="167">
        <f t="shared" si="5"/>
        <v>1.2519749297291603E-3</v>
      </c>
      <c r="BC13" s="167">
        <f t="shared" si="6"/>
        <v>1.2758799028157407E-3</v>
      </c>
      <c r="BD13" s="167">
        <f t="shared" si="7"/>
        <v>1.2498854581200528E-3</v>
      </c>
      <c r="BE13" s="167">
        <f t="shared" si="8"/>
        <v>1.2696931715890881E-3</v>
      </c>
    </row>
    <row r="14" spans="1:57" ht="12" customHeight="1" x14ac:dyDescent="0.2">
      <c r="C14" s="115">
        <f t="shared" ref="C14:N14" si="14">C3</f>
        <v>0</v>
      </c>
      <c r="D14" s="198">
        <f t="shared" si="14"/>
        <v>3</v>
      </c>
      <c r="E14" s="152" t="str">
        <f t="shared" si="14"/>
        <v>Delta(0M,3M)</v>
      </c>
      <c r="F14" s="153">
        <f t="shared" si="14"/>
        <v>42160</v>
      </c>
      <c r="G14" s="153">
        <f t="shared" si="14"/>
        <v>42254</v>
      </c>
      <c r="H14" s="185">
        <f t="shared" si="14"/>
        <v>1.0000066667000043</v>
      </c>
      <c r="I14" s="185">
        <f t="shared" si="14"/>
        <v>1.0003339478197761</v>
      </c>
      <c r="J14" s="186">
        <f t="shared" si="14"/>
        <v>0.26111111111111113</v>
      </c>
      <c r="K14" s="187">
        <f t="shared" si="14"/>
        <v>-1.2529986182886782E-3</v>
      </c>
      <c r="L14" s="187">
        <f t="shared" si="14"/>
        <v>-8.4048589569928663E-5</v>
      </c>
      <c r="M14" s="187">
        <f t="shared" si="14"/>
        <v>1.1689500287187496E-3</v>
      </c>
      <c r="N14" s="375">
        <f t="shared" si="14"/>
        <v>3.0527913240464713E-4</v>
      </c>
      <c r="O14" s="155">
        <f>_xll.qlDayCounterYearFraction(DayCounter,SettlementDate,F14,,,Trigger)</f>
        <v>0</v>
      </c>
      <c r="P14" s="155">
        <f>_xll.qlDayCounterYearFraction(DayCounter,SettlementDate,G14,,,Trigger)</f>
        <v>0.26111111111111113</v>
      </c>
      <c r="Q14" s="250">
        <f t="shared" ref="Q14:Q20" si="15">IF(($G$14-SettlementDate)-($F14-SettlementDate)&lt;0,0,($G$14-SettlementDate)-($F14-SettlementDate))</f>
        <v>94</v>
      </c>
      <c r="R14" s="251">
        <f t="shared" ref="R14:R20" si="16">$AL$28*($P14-$O14)+1/2*$AL$27*($P14^2-$O14^2)+1/3*$AL$26*($P14^3-$O14^3)</f>
        <v>3.3256224125888516E-4</v>
      </c>
      <c r="S14" s="327">
        <f>$N14-R14</f>
        <v>-2.7283108854238031E-5</v>
      </c>
      <c r="T14" s="327">
        <f>S14*$Q14/SUM(_xll.ohFilter($Q$14:$Q$20,U$14:U$20))</f>
        <v>-7.4336586443431161E-6</v>
      </c>
      <c r="U14" s="459" t="b">
        <f>IF(ABS(_xll.qlIMMNextDate(F14,A18)-F14&lt;7),FALSE,TRUE)</f>
        <v>1</v>
      </c>
      <c r="V14" s="288">
        <f t="shared" ref="V14:V20" si="17">$AL$36*($P14-$O14)+1/2*$AL$35*($P14^2-$O14^2)+1/3*$AL$34*($P14^3-$O14^3)</f>
        <v>3.3230347469981574E-4</v>
      </c>
      <c r="W14" s="327">
        <f>$N14-V14</f>
        <v>-2.7024342295168613E-5</v>
      </c>
      <c r="X14" s="327">
        <f>W14*$Q14/SUM(_xll.ohFilter($Q$14:$Q$20,Y$14:Y$20))</f>
        <v>-7.3631541325966654E-6</v>
      </c>
      <c r="Y14" s="459" t="b">
        <f>IF(ABS(_xll.qlIMMNextDate(F14,A18)-F14&lt;7),FALSE,TRUE)</f>
        <v>1</v>
      </c>
      <c r="Z14" s="288">
        <f t="shared" ref="Z14:Z20" si="18">$AP$28*($P14-$O14)+1/2*$AP$27*($P14^2-$O14^2)+1/3*$AP$26*($P14^3-$O14^3)</f>
        <v>3.4027879004831308E-4</v>
      </c>
      <c r="AA14" s="327">
        <f>$N14-Z14</f>
        <v>-3.4999657643665946E-5</v>
      </c>
      <c r="AB14" s="327">
        <f>AA14*$Q14/SUM(_xll.ohFilter($Q$14:$Q$20,AC$14:AC$20))</f>
        <v>-1.3107441507986449E-5</v>
      </c>
      <c r="AC14" s="459" t="b">
        <v>0</v>
      </c>
      <c r="AD14" s="155">
        <f t="shared" ref="AD14:AD20" si="19">$AP$36*($P14-$O14)+1/2*$AP$35*($P14^2-$O14^2)+1/3*$AP$34*($P14^3-$O14^3)</f>
        <v>3.3889321362479428E-4</v>
      </c>
      <c r="AE14" s="327">
        <f>$N14-AD14</f>
        <v>-3.3614081220147151E-5</v>
      </c>
      <c r="AF14" s="327">
        <f>AE14*$Q14/SUM(_xll.ohFilter($Q$14:$Q$20,AG$14:AG$20))</f>
        <v>-2.0385313772218273E-5</v>
      </c>
      <c r="AG14" s="459" t="b">
        <v>0</v>
      </c>
      <c r="AI14" s="339"/>
      <c r="AJ14" s="127">
        <f t="array" ref="AJ14:AJ16">_xll.ohFilter(S3:S9,U3:U9)</f>
        <v>5.9340992226794712E-3</v>
      </c>
      <c r="AK14" s="133">
        <f t="array" ref="AK14:AK16">_xll.ohFilter(R3:R9,U3:U9)</f>
        <v>3.4089506172839512E-2</v>
      </c>
      <c r="AL14" s="128">
        <f t="array" ref="AL14:AL16">_xll.ohFilter(Q3:Q9,U3:U9)</f>
        <v>0.26111111111111113</v>
      </c>
      <c r="AM14" s="550" t="s">
        <v>37</v>
      </c>
      <c r="AN14" s="129">
        <f t="array" ref="AN14:AN16">MMULT(AQ14:AS16,AP14:AP16)</f>
        <v>1.5140669416145169E-3</v>
      </c>
      <c r="AO14" s="550" t="s">
        <v>38</v>
      </c>
      <c r="AP14" s="199">
        <f t="array" ref="AP14:AP16">_xll.ohFilter(N3:N9,U3:U9)</f>
        <v>3.0527913240464713E-4</v>
      </c>
      <c r="AQ14" s="127">
        <f t="array" ref="AQ14:AS16">MINVERSE(AJ14:AL16)</f>
        <v>111.01329132899029</v>
      </c>
      <c r="AR14" s="133">
        <v>-599.54072553140975</v>
      </c>
      <c r="AS14" s="128">
        <v>486.11410178222405</v>
      </c>
      <c r="AT14" s="352"/>
      <c r="AV14" s="169">
        <f>_xll.qlCalendarAdvance(Calendar,AV13,"1d","mf",,Trigger)</f>
        <v>42174</v>
      </c>
      <c r="AW14" s="155">
        <f>_xll.qlDayCounterYearFraction(DayCounter,SettlementDate,AV14,,,Trigger)</f>
        <v>3.888888888888889E-2</v>
      </c>
      <c r="AX14" s="167">
        <f t="shared" si="2"/>
        <v>1.0966501142502937E-3</v>
      </c>
      <c r="AY14" s="167">
        <f t="shared" si="3"/>
        <v>1.0156890061581993E-3</v>
      </c>
      <c r="AZ14" s="167">
        <f t="shared" si="4"/>
        <v>1.1237025729266173E-3</v>
      </c>
      <c r="BA14" s="167">
        <f t="shared" si="5"/>
        <v>5.7917566257507632E-4</v>
      </c>
      <c r="BB14" s="167">
        <f t="shared" si="5"/>
        <v>1.2526122149164748E-3</v>
      </c>
      <c r="BC14" s="167">
        <f t="shared" si="6"/>
        <v>1.2766832987959388E-3</v>
      </c>
      <c r="BD14" s="167">
        <f t="shared" si="7"/>
        <v>1.250532696904724E-3</v>
      </c>
      <c r="BE14" s="167">
        <f t="shared" si="8"/>
        <v>1.2704921738661392E-3</v>
      </c>
    </row>
    <row r="15" spans="1:57" ht="12" customHeight="1" x14ac:dyDescent="0.2">
      <c r="A15" s="115" t="b">
        <f t="shared" ref="A15:N15" si="20">A4</f>
        <v>0</v>
      </c>
      <c r="B15" s="115" t="str">
        <f t="shared" si="20"/>
        <v>M5</v>
      </c>
      <c r="C15" s="470">
        <f t="shared" si="20"/>
        <v>1</v>
      </c>
      <c r="D15" s="471">
        <f t="shared" si="20"/>
        <v>4</v>
      </c>
      <c r="E15" s="460" t="str">
        <f t="shared" si="20"/>
        <v>Delta(M5)</v>
      </c>
      <c r="F15" s="391">
        <f t="shared" si="20"/>
        <v>42172</v>
      </c>
      <c r="G15" s="391">
        <f t="shared" si="20"/>
        <v>42264</v>
      </c>
      <c r="H15" s="461">
        <f t="shared" si="20"/>
        <v>1.0000461685747972</v>
      </c>
      <c r="I15" s="461">
        <f t="shared" si="20"/>
        <v>1.0003698987130774</v>
      </c>
      <c r="J15" s="462">
        <f t="shared" si="20"/>
        <v>0.25555555555555554</v>
      </c>
      <c r="K15" s="463">
        <f t="shared" si="20"/>
        <v>-1.2663017029431204E-3</v>
      </c>
      <c r="L15" s="463">
        <f t="shared" si="20"/>
        <v>-7.4999999999825206E-5</v>
      </c>
      <c r="M15" s="463">
        <f t="shared" si="20"/>
        <v>1.1913017029432952E-3</v>
      </c>
      <c r="N15" s="472">
        <f t="shared" si="20"/>
        <v>3.0449595800331909E-4</v>
      </c>
      <c r="O15" s="394">
        <f>_xll.qlDayCounterYearFraction(DayCounter,SettlementDate,F15,,,Trigger)</f>
        <v>3.3333333333333333E-2</v>
      </c>
      <c r="P15" s="394">
        <f>_xll.qlDayCounterYearFraction(DayCounter,SettlementDate,G15,,,Trigger)</f>
        <v>0.28888888888888886</v>
      </c>
      <c r="Q15" s="473">
        <f t="shared" si="15"/>
        <v>82</v>
      </c>
      <c r="R15" s="474">
        <f t="shared" si="16"/>
        <v>3.2727792836268149E-4</v>
      </c>
      <c r="S15" s="475">
        <f t="shared" ref="S15:S20" si="21">$N15-R15</f>
        <v>-2.2781970359362399E-5</v>
      </c>
      <c r="T15" s="475">
        <f>S15*$Q15/SUM(_xll.ohFilter($Q$14:$Q$20,U$14:U$20))</f>
        <v>-5.4148451288919329E-6</v>
      </c>
      <c r="U15" s="465" t="b">
        <v>1</v>
      </c>
      <c r="V15" s="476">
        <f t="shared" si="17"/>
        <v>3.2713908462064659E-4</v>
      </c>
      <c r="W15" s="475">
        <f t="shared" ref="W15:W20" si="22">$N15-V15</f>
        <v>-2.2643126617327496E-5</v>
      </c>
      <c r="X15" s="475">
        <f>W15*$Q15/SUM(_xll.ohFilter($Q$14:$Q$20,Y$14:Y$20))</f>
        <v>-5.3818445873068249E-6</v>
      </c>
      <c r="Y15" s="465" t="b">
        <v>1</v>
      </c>
      <c r="Z15" s="476">
        <f t="shared" si="18"/>
        <v>3.3529725115852277E-4</v>
      </c>
      <c r="AA15" s="475">
        <f t="shared" ref="AA15:AA20" si="23">$N15-Z15</f>
        <v>-3.0801293155203677E-5</v>
      </c>
      <c r="AB15" s="475">
        <f>AA15*$Q15/SUM(_xll.ohFilter($Q$14:$Q$20,AC$14:AC$20))</f>
        <v>-1.0062573859468929E-5</v>
      </c>
      <c r="AC15" s="465" t="b">
        <v>1</v>
      </c>
      <c r="AD15" s="394">
        <f t="shared" si="19"/>
        <v>3.3404590436429986E-4</v>
      </c>
      <c r="AE15" s="475">
        <f t="shared" ref="AE15:AE20" si="24">$N15-AD15</f>
        <v>-2.9549946360980762E-5</v>
      </c>
      <c r="AF15" s="475">
        <f>AE15*$Q15/SUM(_xll.ohFilter($Q$14:$Q$20,AG$14:AG$20))</f>
        <v>-1.5632874849034984E-5</v>
      </c>
      <c r="AG15" s="465" t="b">
        <v>1</v>
      </c>
      <c r="AI15" s="339"/>
      <c r="AJ15" s="127">
        <v>2.3966878143575673E-2</v>
      </c>
      <c r="AK15" s="133">
        <v>7.5956790123456783E-2</v>
      </c>
      <c r="AL15" s="128">
        <v>0.25555555555555554</v>
      </c>
      <c r="AM15" s="550"/>
      <c r="AN15" s="129">
        <v>1.4544160950906437E-4</v>
      </c>
      <c r="AO15" s="550"/>
      <c r="AP15" s="199">
        <v>3.3247256356589404E-4</v>
      </c>
      <c r="AQ15" s="127">
        <v>-70.308417841693824</v>
      </c>
      <c r="AR15" s="133">
        <v>279.08800815747048</v>
      </c>
      <c r="AS15" s="128">
        <v>-207.25114644965288</v>
      </c>
      <c r="AT15" s="352"/>
      <c r="AV15" s="169">
        <f>_xll.qlCalendarAdvance(Calendar,AV14,"1d","mf",,Trigger)</f>
        <v>42177</v>
      </c>
      <c r="AW15" s="155">
        <f>_xll.qlDayCounterYearFraction(DayCounter,SettlementDate,AV15,,,Trigger)</f>
        <v>4.7222222222222221E-2</v>
      </c>
      <c r="AX15" s="167">
        <f t="shared" si="2"/>
        <v>1.1032413878732583E-3</v>
      </c>
      <c r="AY15" s="167">
        <f t="shared" si="3"/>
        <v>1.0248919284292959E-3</v>
      </c>
      <c r="AZ15" s="167">
        <f t="shared" si="4"/>
        <v>1.1260010695611847E-3</v>
      </c>
      <c r="BA15" s="167">
        <f t="shared" si="5"/>
        <v>6.1628131975524322E-4</v>
      </c>
      <c r="BB15" s="167">
        <f t="shared" si="5"/>
        <v>1.2545240704784188E-3</v>
      </c>
      <c r="BC15" s="167">
        <f t="shared" si="6"/>
        <v>1.279093486736533E-3</v>
      </c>
      <c r="BD15" s="167">
        <f t="shared" si="7"/>
        <v>1.252479321065669E-3</v>
      </c>
      <c r="BE15" s="167">
        <f t="shared" si="8"/>
        <v>1.2728958295856268E-3</v>
      </c>
    </row>
    <row r="16" spans="1:57" ht="12" customHeight="1" x14ac:dyDescent="0.2">
      <c r="A16" s="115" t="b">
        <f t="shared" ref="A16:N16" si="25">A5</f>
        <v>0</v>
      </c>
      <c r="B16" s="115" t="str">
        <f t="shared" si="25"/>
        <v>N5</v>
      </c>
      <c r="C16" s="117">
        <f t="shared" si="25"/>
        <v>1</v>
      </c>
      <c r="D16" s="198">
        <f t="shared" si="25"/>
        <v>4</v>
      </c>
      <c r="E16" s="152" t="str">
        <f t="shared" si="25"/>
        <v>Delta(1M,4M)</v>
      </c>
      <c r="F16" s="153">
        <f t="shared" si="25"/>
        <v>42191</v>
      </c>
      <c r="G16" s="153">
        <f t="shared" si="25"/>
        <v>42283</v>
      </c>
      <c r="H16" s="185">
        <f t="shared" si="25"/>
        <v>1.0001090930777232</v>
      </c>
      <c r="I16" s="185">
        <f t="shared" si="25"/>
        <v>1.000436874915595</v>
      </c>
      <c r="J16" s="186">
        <f t="shared" si="25"/>
        <v>0.25555555555555554</v>
      </c>
      <c r="K16" s="187">
        <f t="shared" si="25"/>
        <v>-1.2820644811645002E-3</v>
      </c>
      <c r="L16" s="187">
        <f t="shared" si="25"/>
        <v>-5.4694278786054018E-5</v>
      </c>
      <c r="M16" s="187">
        <f t="shared" si="25"/>
        <v>1.2273702023784462E-3</v>
      </c>
      <c r="N16" s="375">
        <f t="shared" si="25"/>
        <v>3.1371486154172906E-4</v>
      </c>
      <c r="O16" s="155">
        <f>_xll.qlDayCounterYearFraction(DayCounter,SettlementDate,F16,,,Trigger)</f>
        <v>8.611111111111111E-2</v>
      </c>
      <c r="P16" s="155">
        <f>_xll.qlDayCounterYearFraction(DayCounter,SettlementDate,G16,,,Trigger)</f>
        <v>0.34166666666666667</v>
      </c>
      <c r="Q16" s="250">
        <f t="shared" si="15"/>
        <v>63</v>
      </c>
      <c r="R16" s="251">
        <f t="shared" si="16"/>
        <v>3.3037230199442036E-4</v>
      </c>
      <c r="S16" s="327">
        <f t="shared" si="21"/>
        <v>-1.6657440452691301E-5</v>
      </c>
      <c r="T16" s="327">
        <f>S16*$Q16/SUM(_xll.ohFilter($Q$14:$Q$20,U$14:U$20))</f>
        <v>-3.0417934739697161E-6</v>
      </c>
      <c r="U16" s="370" t="b">
        <v>1</v>
      </c>
      <c r="V16" s="288">
        <f t="shared" si="17"/>
        <v>3.304962596602151E-4</v>
      </c>
      <c r="W16" s="327">
        <f t="shared" si="22"/>
        <v>-1.6781398118486041E-5</v>
      </c>
      <c r="X16" s="327">
        <f>W16*$Q16/SUM(_xll.ohFilter($Q$14:$Q$20,Y$14:Y$20))</f>
        <v>-3.0644292216365811E-6</v>
      </c>
      <c r="Y16" s="370" t="b">
        <v>1</v>
      </c>
      <c r="Z16" s="288">
        <f t="shared" si="18"/>
        <v>3.3919818497348458E-4</v>
      </c>
      <c r="AA16" s="327">
        <f t="shared" si="23"/>
        <v>-2.5483323431755526E-5</v>
      </c>
      <c r="AB16" s="327">
        <f>AA16*$Q16/SUM(_xll.ohFilter($Q$14:$Q$20,AC$14:AC$20))</f>
        <v>-6.3962126541856495E-6</v>
      </c>
      <c r="AC16" s="370" t="b">
        <v>1</v>
      </c>
      <c r="AD16" s="155">
        <f t="shared" si="19"/>
        <v>3.3821606072973549E-4</v>
      </c>
      <c r="AE16" s="327">
        <f t="shared" si="24"/>
        <v>-2.4501199188006436E-5</v>
      </c>
      <c r="AF16" s="327">
        <f>AE16*$Q16/SUM(_xll.ohFilter($Q$14:$Q$20,AG$14:AG$20))</f>
        <v>-9.9585519280284221E-6</v>
      </c>
      <c r="AG16" s="370" t="b">
        <v>0</v>
      </c>
      <c r="AI16" s="339"/>
      <c r="AJ16" s="127">
        <v>3.0261116826703249E-2</v>
      </c>
      <c r="AK16" s="133">
        <v>8.5895061728395061E-2</v>
      </c>
      <c r="AL16" s="128">
        <v>0.25555555555555554</v>
      </c>
      <c r="AM16" s="550"/>
      <c r="AN16" s="129">
        <v>1.115756717737712E-3</v>
      </c>
      <c r="AO16" s="550"/>
      <c r="AP16" s="199">
        <v>3.4344790049660928E-4</v>
      </c>
      <c r="AQ16" s="127">
        <v>10.486016265579128</v>
      </c>
      <c r="AR16" s="133">
        <v>-22.811125111310869</v>
      </c>
      <c r="AS16" s="128">
        <v>16.010195448653931</v>
      </c>
      <c r="AT16" s="352"/>
      <c r="AV16" s="169">
        <f>_xll.qlCalendarAdvance(Calendar,AV15,"1d","mf",,Trigger)</f>
        <v>42178</v>
      </c>
      <c r="AW16" s="155">
        <f>_xll.qlDayCounterYearFraction(DayCounter,SettlementDate,AV16,,,Trigger)</f>
        <v>0.05</v>
      </c>
      <c r="AX16" s="167">
        <f t="shared" si="2"/>
        <v>1.105438479080913E-3</v>
      </c>
      <c r="AY16" s="167">
        <f t="shared" si="3"/>
        <v>1.027959569186328E-3</v>
      </c>
      <c r="AZ16" s="167">
        <f t="shared" si="4"/>
        <v>1.1268139655672014E-3</v>
      </c>
      <c r="BA16" s="167">
        <f t="shared" si="5"/>
        <v>6.284610211509397E-4</v>
      </c>
      <c r="BB16" s="167">
        <f t="shared" si="5"/>
        <v>1.2551613556657335E-3</v>
      </c>
      <c r="BC16" s="167">
        <f t="shared" si="6"/>
        <v>1.2798968827167311E-3</v>
      </c>
      <c r="BD16" s="167">
        <f t="shared" si="7"/>
        <v>1.2531298317216275E-3</v>
      </c>
      <c r="BE16" s="167">
        <f t="shared" si="8"/>
        <v>1.2736992644549004E-3</v>
      </c>
    </row>
    <row r="17" spans="1:57" ht="12" customHeight="1" x14ac:dyDescent="0.2">
      <c r="A17" s="115" t="b">
        <f t="shared" ref="A17:N17" si="26">A6</f>
        <v>0</v>
      </c>
      <c r="B17" s="115" t="str">
        <f t="shared" si="26"/>
        <v>N5</v>
      </c>
      <c r="C17" s="445">
        <f t="shared" si="26"/>
        <v>2</v>
      </c>
      <c r="D17" s="457">
        <f t="shared" si="26"/>
        <v>5</v>
      </c>
      <c r="E17" s="152" t="str">
        <f t="shared" si="26"/>
        <v>Delta(N5)</v>
      </c>
      <c r="F17" s="153">
        <f t="shared" si="26"/>
        <v>42200</v>
      </c>
      <c r="G17" s="153">
        <f t="shared" si="26"/>
        <v>42292</v>
      </c>
      <c r="H17" s="185">
        <f t="shared" si="26"/>
        <v>1.0001416634364066</v>
      </c>
      <c r="I17" s="185">
        <f t="shared" si="26"/>
        <v>1.0004690759568255</v>
      </c>
      <c r="J17" s="186">
        <f t="shared" si="26"/>
        <v>0.25555555555555554</v>
      </c>
      <c r="K17" s="187">
        <f t="shared" si="26"/>
        <v>-1.280578739028658E-3</v>
      </c>
      <c r="L17" s="187">
        <f t="shared" si="26"/>
        <v>-3.417478938514437E-5</v>
      </c>
      <c r="M17" s="187">
        <f t="shared" si="26"/>
        <v>1.2464039496435137E-3</v>
      </c>
      <c r="N17" s="375">
        <f t="shared" si="26"/>
        <v>3.1857897657610115E-4</v>
      </c>
      <c r="O17" s="155">
        <f>_xll.qlDayCounterYearFraction(DayCounter,SettlementDate,F17,,,Trigger)</f>
        <v>0.1111111111111111</v>
      </c>
      <c r="P17" s="155">
        <f>_xll.qlDayCounterYearFraction(DayCounter,SettlementDate,G17,,,Trigger)</f>
        <v>0.36666666666666664</v>
      </c>
      <c r="Q17" s="250">
        <f t="shared" si="15"/>
        <v>54</v>
      </c>
      <c r="R17" s="251">
        <f t="shared" si="16"/>
        <v>3.3183805792524407E-4</v>
      </c>
      <c r="S17" s="327">
        <f t="shared" si="21"/>
        <v>-1.325908134914292E-5</v>
      </c>
      <c r="T17" s="327">
        <f>S17*$Q17/SUM(_xll.ohFilter($Q$14:$Q$20,U$14:U$20))</f>
        <v>-2.0753344720397614E-6</v>
      </c>
      <c r="U17" s="370" t="b">
        <v>1</v>
      </c>
      <c r="V17" s="288">
        <f t="shared" si="17"/>
        <v>3.3211283903229505E-4</v>
      </c>
      <c r="W17" s="327">
        <f t="shared" si="22"/>
        <v>-1.3533862456193899E-5</v>
      </c>
      <c r="X17" s="327">
        <f>W17*$Q17/SUM(_xll.ohFilter($Q$14:$Q$20,Y$14:Y$20))</f>
        <v>-2.1183436887955666E-6</v>
      </c>
      <c r="Y17" s="370" t="b">
        <v>1</v>
      </c>
      <c r="Z17" s="288">
        <f t="shared" si="18"/>
        <v>3.410459957279402E-4</v>
      </c>
      <c r="AA17" s="327">
        <f t="shared" si="23"/>
        <v>-2.246701915183905E-5</v>
      </c>
      <c r="AB17" s="327">
        <f>AA17*$Q17/SUM(_xll.ohFilter($Q$14:$Q$20,AC$14:AC$20))</f>
        <v>-4.8335419689215483E-6</v>
      </c>
      <c r="AC17" s="370" t="b">
        <v>1</v>
      </c>
      <c r="AD17" s="155">
        <f t="shared" si="19"/>
        <v>3.4022708032286096E-4</v>
      </c>
      <c r="AE17" s="327">
        <f t="shared" si="24"/>
        <v>-2.1648103746759806E-5</v>
      </c>
      <c r="AF17" s="327">
        <f>AE17*$Q17/SUM(_xll.ohFilter($Q$14:$Q$20,AG$14:AG$20))</f>
        <v>-7.5419200150001898E-6</v>
      </c>
      <c r="AG17" s="370" t="b">
        <v>1</v>
      </c>
      <c r="AI17" s="339"/>
      <c r="AJ17" s="117"/>
      <c r="AK17" s="117"/>
      <c r="AL17" s="117"/>
      <c r="AM17" s="117"/>
      <c r="AN17" s="364"/>
      <c r="AO17" s="136"/>
      <c r="AP17" s="118"/>
      <c r="AQ17" s="117"/>
      <c r="AR17" s="117"/>
      <c r="AS17" s="117"/>
      <c r="AT17" s="352"/>
      <c r="AV17" s="169">
        <f>_xll.qlCalendarAdvance(Calendar,AV16,"1d","mf",,Trigger)</f>
        <v>42179</v>
      </c>
      <c r="AW17" s="155">
        <f>_xll.qlDayCounterYearFraction(DayCounter,SettlementDate,AV17,,,Trigger)</f>
        <v>5.2777777777777778E-2</v>
      </c>
      <c r="AX17" s="167">
        <f t="shared" si="2"/>
        <v>1.1076355702885679E-3</v>
      </c>
      <c r="AY17" s="167">
        <f t="shared" si="3"/>
        <v>1.0310272099433603E-3</v>
      </c>
      <c r="AZ17" s="167">
        <f t="shared" si="4"/>
        <v>1.1276502268037988E-3</v>
      </c>
      <c r="BA17" s="167">
        <f t="shared" si="5"/>
        <v>6.4054629704778999E-4</v>
      </c>
      <c r="BB17" s="167">
        <f t="shared" si="5"/>
        <v>1.255798640853048E-3</v>
      </c>
      <c r="BC17" s="167">
        <f t="shared" si="6"/>
        <v>1.2807002786969291E-3</v>
      </c>
      <c r="BD17" s="167">
        <f t="shared" si="7"/>
        <v>1.2537811603454078E-3</v>
      </c>
      <c r="BE17" s="167">
        <f t="shared" si="8"/>
        <v>1.2745038074722301E-3</v>
      </c>
    </row>
    <row r="18" spans="1:57" ht="12" customHeight="1" x14ac:dyDescent="0.2">
      <c r="A18" s="115" t="b">
        <f t="shared" ref="A18:N18" si="27">A7</f>
        <v>0</v>
      </c>
      <c r="B18" s="115" t="str">
        <f t="shared" si="27"/>
        <v>Q5</v>
      </c>
      <c r="C18" s="117">
        <f t="shared" si="27"/>
        <v>2</v>
      </c>
      <c r="D18" s="198">
        <f t="shared" si="27"/>
        <v>5</v>
      </c>
      <c r="E18" s="152" t="str">
        <f t="shared" si="27"/>
        <v>Delta(2M,5M)</v>
      </c>
      <c r="F18" s="153">
        <f t="shared" si="27"/>
        <v>42221</v>
      </c>
      <c r="G18" s="153">
        <f t="shared" si="27"/>
        <v>42313</v>
      </c>
      <c r="H18" s="185">
        <f t="shared" si="27"/>
        <v>1.0002130018004083</v>
      </c>
      <c r="I18" s="185">
        <f t="shared" si="27"/>
        <v>1.0005430435247975</v>
      </c>
      <c r="J18" s="186">
        <f t="shared" si="27"/>
        <v>0.25555555555555554</v>
      </c>
      <c r="K18" s="187">
        <f t="shared" si="27"/>
        <v>-1.2907666746902783E-3</v>
      </c>
      <c r="L18" s="187">
        <f t="shared" si="27"/>
        <v>1.0000000000000026E-5</v>
      </c>
      <c r="M18" s="187">
        <f t="shared" si="27"/>
        <v>1.3007666746902783E-3</v>
      </c>
      <c r="N18" s="375">
        <f t="shared" si="27"/>
        <v>3.3247256356589404E-4</v>
      </c>
      <c r="O18" s="155">
        <f>_xll.qlDayCounterYearFraction(DayCounter,SettlementDate,F18,,,Trigger)</f>
        <v>0.16944444444444445</v>
      </c>
      <c r="P18" s="155">
        <f>_xll.qlDayCounterYearFraction(DayCounter,SettlementDate,G18,,,Trigger)</f>
        <v>0.42499999999999999</v>
      </c>
      <c r="Q18" s="250">
        <f t="shared" si="15"/>
        <v>33</v>
      </c>
      <c r="R18" s="251">
        <f t="shared" si="16"/>
        <v>3.3525815509716597E-4</v>
      </c>
      <c r="S18" s="327">
        <f t="shared" si="21"/>
        <v>-2.7855915312719306E-6</v>
      </c>
      <c r="T18" s="327">
        <f>S18*$Q18/SUM(_xll.ohFilter($Q$14:$Q$20,U$14:U$20))</f>
        <v>-2.664478855999238E-7</v>
      </c>
      <c r="U18" s="370" t="b">
        <v>1</v>
      </c>
      <c r="V18" s="288">
        <f t="shared" si="17"/>
        <v>3.3595070397680654E-4</v>
      </c>
      <c r="W18" s="327">
        <f t="shared" si="22"/>
        <v>-3.4781404109125074E-6</v>
      </c>
      <c r="X18" s="327">
        <f>W18*$Q18/SUM(_xll.ohFilter($Q$14:$Q$20,Y$14:Y$20))</f>
        <v>-3.3269169147858769E-7</v>
      </c>
      <c r="Y18" s="370" t="b">
        <v>1</v>
      </c>
      <c r="Z18" s="288">
        <f t="shared" si="18"/>
        <v>3.4535755415500326E-4</v>
      </c>
      <c r="AA18" s="327">
        <f t="shared" si="23"/>
        <v>-1.2884990589109228E-5</v>
      </c>
      <c r="AB18" s="327">
        <f>AA18*$Q18/SUM(_xll.ohFilter($Q$14:$Q$20,AC$14:AC$20))</f>
        <v>-1.694042587412767E-6</v>
      </c>
      <c r="AC18" s="370" t="b">
        <v>1</v>
      </c>
      <c r="AD18" s="155">
        <f t="shared" si="19"/>
        <v>3.4500866529196909E-4</v>
      </c>
      <c r="AE18" s="327">
        <f t="shared" si="24"/>
        <v>-1.2536101726075049E-5</v>
      </c>
      <c r="AF18" s="327">
        <f>AE18*$Q18/SUM(_xll.ohFilter($Q$14:$Q$20,AG$14:AG$20))</f>
        <v>-2.6689764965192042E-6</v>
      </c>
      <c r="AG18" s="370" t="b">
        <v>0</v>
      </c>
      <c r="AI18" s="339" t="s">
        <v>142</v>
      </c>
      <c r="AJ18" s="117"/>
      <c r="AK18" s="117"/>
      <c r="AL18" s="117"/>
      <c r="AM18" s="117"/>
      <c r="AN18" s="366" t="s">
        <v>90</v>
      </c>
      <c r="AO18" s="117"/>
      <c r="AP18" s="117"/>
      <c r="AQ18" s="117"/>
      <c r="AR18" s="117"/>
      <c r="AS18" s="117"/>
      <c r="AT18" s="352"/>
      <c r="AV18" s="169">
        <f>_xll.qlCalendarAdvance(Calendar,AV17,"1d","mf",,Trigger)</f>
        <v>42180</v>
      </c>
      <c r="AW18" s="155">
        <f>_xll.qlDayCounterYearFraction(DayCounter,SettlementDate,AV18,,,Trigger)</f>
        <v>5.5555555555555552E-2</v>
      </c>
      <c r="AX18" s="167">
        <f t="shared" si="2"/>
        <v>1.1098326614962229E-3</v>
      </c>
      <c r="AY18" s="167">
        <f t="shared" si="3"/>
        <v>1.0340948507003925E-3</v>
      </c>
      <c r="AZ18" s="167">
        <f t="shared" si="4"/>
        <v>1.1285098532709764E-3</v>
      </c>
      <c r="BA18" s="167">
        <f t="shared" si="5"/>
        <v>6.5253714744579387E-4</v>
      </c>
      <c r="BB18" s="167">
        <f t="shared" si="5"/>
        <v>1.2564359260403626E-3</v>
      </c>
      <c r="BC18" s="167">
        <f t="shared" si="6"/>
        <v>1.2815036746771273E-3</v>
      </c>
      <c r="BD18" s="167">
        <f t="shared" si="7"/>
        <v>1.2544333069370102E-3</v>
      </c>
      <c r="BE18" s="167">
        <f t="shared" si="8"/>
        <v>1.2753094586376152E-3</v>
      </c>
    </row>
    <row r="19" spans="1:57" ht="12" customHeight="1" x14ac:dyDescent="0.2">
      <c r="A19" s="115" t="b">
        <f t="shared" ref="A19:N19" si="28">A8</f>
        <v>0</v>
      </c>
      <c r="B19" s="115" t="str">
        <f t="shared" si="28"/>
        <v>Q5</v>
      </c>
      <c r="C19" s="117">
        <f t="shared" si="28"/>
        <v>3</v>
      </c>
      <c r="D19" s="198">
        <f t="shared" si="28"/>
        <v>6</v>
      </c>
      <c r="E19" s="152" t="str">
        <f t="shared" si="28"/>
        <v>Delta(Q5)</v>
      </c>
      <c r="F19" s="153">
        <f t="shared" si="28"/>
        <v>42235</v>
      </c>
      <c r="G19" s="153">
        <f t="shared" si="28"/>
        <v>42327</v>
      </c>
      <c r="H19" s="185">
        <f t="shared" si="28"/>
        <v>1.0002643104468452</v>
      </c>
      <c r="I19" s="185">
        <f t="shared" si="28"/>
        <v>1.0005947654856313</v>
      </c>
      <c r="J19" s="186">
        <f t="shared" si="28"/>
        <v>0.25555555555555554</v>
      </c>
      <c r="K19" s="187">
        <f t="shared" si="28"/>
        <v>-1.29231630924313E-3</v>
      </c>
      <c r="L19" s="187">
        <f t="shared" si="28"/>
        <v>5.1397149169213991E-5</v>
      </c>
      <c r="M19" s="187">
        <f t="shared" si="28"/>
        <v>1.343713458412344E-3</v>
      </c>
      <c r="N19" s="375">
        <f t="shared" si="28"/>
        <v>3.4344790049660928E-4</v>
      </c>
      <c r="O19" s="155">
        <f>_xll.qlDayCounterYearFraction(DayCounter,SettlementDate,F19,,,Trigger)</f>
        <v>0.20833333333333334</v>
      </c>
      <c r="P19" s="155">
        <f>_xll.qlDayCounterYearFraction(DayCounter,SettlementDate,G19,,,Trigger)</f>
        <v>0.46388888888888891</v>
      </c>
      <c r="Q19" s="250">
        <f t="shared" si="15"/>
        <v>19</v>
      </c>
      <c r="R19" s="251">
        <f t="shared" si="16"/>
        <v>3.3753821987844723E-4</v>
      </c>
      <c r="S19" s="327">
        <f t="shared" si="21"/>
        <v>5.9096806181620502E-6</v>
      </c>
      <c r="T19" s="327">
        <f>S19*$Q19/SUM(_xll.ohFilter($Q$14:$Q$20,U$14:U$20))</f>
        <v>3.2546067172486655E-7</v>
      </c>
      <c r="U19" s="370" t="b">
        <v>1</v>
      </c>
      <c r="V19" s="288">
        <f t="shared" si="17"/>
        <v>3.3856049448065961E-4</v>
      </c>
      <c r="W19" s="327">
        <f t="shared" si="22"/>
        <v>4.8874060159496708E-6</v>
      </c>
      <c r="X19" s="327">
        <f>W19*$Q19/SUM(_xll.ohFilter($Q$14:$Q$20,Y$14:Y$20))</f>
        <v>2.6916149073346014E-7</v>
      </c>
      <c r="Y19" s="370" t="b">
        <v>1</v>
      </c>
      <c r="Z19" s="288">
        <f t="shared" si="18"/>
        <v>3.4823192643971195E-4</v>
      </c>
      <c r="AA19" s="327">
        <f t="shared" si="23"/>
        <v>-4.784025943102674E-6</v>
      </c>
      <c r="AB19" s="327">
        <f>AA19*$Q19/SUM(_xll.ohFilter($Q$14:$Q$20,AC$14:AC$20))</f>
        <v>-3.621374219878518E-7</v>
      </c>
      <c r="AC19" s="370" t="b">
        <v>1</v>
      </c>
      <c r="AD19" s="155">
        <f t="shared" si="19"/>
        <v>3.4826577098574936E-4</v>
      </c>
      <c r="AE19" s="327">
        <f t="shared" si="24"/>
        <v>-4.8178704891400849E-6</v>
      </c>
      <c r="AF19" s="327">
        <f>AE19*$Q19/SUM(_xll.ohFilter($Q$14:$Q$20,AG$14:AG$20))</f>
        <v>-5.9057767286233302E-7</v>
      </c>
      <c r="AG19" s="370" t="b">
        <v>1</v>
      </c>
      <c r="AI19" s="339"/>
      <c r="AJ19" s="127">
        <f t="array" ref="AJ19:AJ21">_xll.ohFilter(S3:S9,W3:W9)</f>
        <v>2.3966878143575673E-2</v>
      </c>
      <c r="AK19" s="133">
        <f t="array" ref="AK19:AK21">_xll.ohFilter(R3:R9,W3:W9)</f>
        <v>7.5956790123456783E-2</v>
      </c>
      <c r="AL19" s="128">
        <f t="array" ref="AL19:AL21">_xll.ohFilter(Q3:Q9,W3:W9)</f>
        <v>0.25555555555555554</v>
      </c>
      <c r="AM19" s="550" t="s">
        <v>37</v>
      </c>
      <c r="AN19" s="129">
        <f t="array" ref="AN19:AN21">MMULT(AQ19:AS21,AP19:AP21)</f>
        <v>-6.1187723252378312E-3</v>
      </c>
      <c r="AO19" s="550" t="s">
        <v>38</v>
      </c>
      <c r="AP19" s="199">
        <f t="array" ref="AP19:AP21">_xll.ohFilter(N3:N9,W3:W9)</f>
        <v>3.3247256356589404E-4</v>
      </c>
      <c r="AQ19" s="127">
        <f t="array" ref="AQ19:AS21">MINVERSE(AJ19:AL21)</f>
        <v>1143.5778941343601</v>
      </c>
      <c r="AR19" s="133">
        <v>-2008.9881923982023</v>
      </c>
      <c r="AS19" s="128">
        <v>874.92030154146619</v>
      </c>
      <c r="AT19" s="352"/>
      <c r="AV19" s="169">
        <f>_xll.qlCalendarAdvance(Calendar,AV18,"1d","mf",,Trigger)</f>
        <v>42181</v>
      </c>
      <c r="AW19" s="155">
        <f>_xll.qlDayCounterYearFraction(DayCounter,SettlementDate,AV19,,,Trigger)</f>
        <v>5.8333333333333334E-2</v>
      </c>
      <c r="AX19" s="167">
        <f t="shared" si="2"/>
        <v>1.1120297527038776E-3</v>
      </c>
      <c r="AY19" s="167">
        <f t="shared" si="3"/>
        <v>1.0371624914574248E-3</v>
      </c>
      <c r="AZ19" s="167">
        <f t="shared" si="4"/>
        <v>1.1293928449687344E-3</v>
      </c>
      <c r="BA19" s="167">
        <f t="shared" si="5"/>
        <v>6.6443357234495157E-4</v>
      </c>
      <c r="BB19" s="167">
        <f t="shared" si="5"/>
        <v>1.2570732112276773E-3</v>
      </c>
      <c r="BC19" s="167">
        <f t="shared" si="6"/>
        <v>1.2823070706573254E-3</v>
      </c>
      <c r="BD19" s="167">
        <f t="shared" si="7"/>
        <v>1.2550862714964344E-3</v>
      </c>
      <c r="BE19" s="167">
        <f t="shared" si="8"/>
        <v>1.2761162179510562E-3</v>
      </c>
    </row>
    <row r="20" spans="1:57" ht="12" customHeight="1" x14ac:dyDescent="0.2">
      <c r="A20" s="115" t="b">
        <f t="shared" ref="A20:N20" si="29">A9</f>
        <v>0</v>
      </c>
      <c r="B20" s="115" t="str">
        <f t="shared" si="29"/>
        <v>U5</v>
      </c>
      <c r="C20" s="117">
        <f t="shared" si="29"/>
        <v>3</v>
      </c>
      <c r="D20" s="198">
        <f t="shared" si="29"/>
        <v>6</v>
      </c>
      <c r="E20" s="157" t="str">
        <f t="shared" si="29"/>
        <v>Delta(3M,6M)</v>
      </c>
      <c r="F20" s="158">
        <f t="shared" si="29"/>
        <v>42254</v>
      </c>
      <c r="G20" s="158">
        <f t="shared" si="29"/>
        <v>42345</v>
      </c>
      <c r="H20" s="188">
        <f t="shared" si="29"/>
        <v>1.0003339478197761</v>
      </c>
      <c r="I20" s="188">
        <f t="shared" si="29"/>
        <v>1.0006564659042034</v>
      </c>
      <c r="J20" s="189">
        <f t="shared" si="29"/>
        <v>0.25277777777777777</v>
      </c>
      <c r="K20" s="190">
        <f t="shared" si="29"/>
        <v>-1.2750586860603048E-3</v>
      </c>
      <c r="L20" s="190">
        <f t="shared" si="29"/>
        <v>9.7748247519865647E-5</v>
      </c>
      <c r="M20" s="190">
        <f t="shared" si="29"/>
        <v>1.3728069335801705E-3</v>
      </c>
      <c r="N20" s="376">
        <f t="shared" si="29"/>
        <v>3.4706673263984608E-4</v>
      </c>
      <c r="O20" s="160">
        <f>_xll.qlDayCounterYearFraction(DayCounter,SettlementDate,F20,,,Trigger)</f>
        <v>0.26111111111111113</v>
      </c>
      <c r="P20" s="160">
        <f>_xll.qlDayCounterYearFraction(DayCounter,SettlementDate,G20,,,Trigger)</f>
        <v>0.51388888888888884</v>
      </c>
      <c r="Q20" s="252">
        <f t="shared" si="15"/>
        <v>0</v>
      </c>
      <c r="R20" s="287">
        <f t="shared" si="16"/>
        <v>3.3684951955312791E-4</v>
      </c>
      <c r="S20" s="328">
        <f t="shared" si="21"/>
        <v>1.0217213086718166E-5</v>
      </c>
      <c r="T20" s="328">
        <f>S20*$Q20/SUM(_xll.ohFilter($Q$14:$Q$20,U$14:U$20))</f>
        <v>0</v>
      </c>
      <c r="U20" s="418" t="b">
        <v>1</v>
      </c>
      <c r="V20" s="289">
        <f t="shared" si="17"/>
        <v>3.3835223737600583E-4</v>
      </c>
      <c r="W20" s="328">
        <f t="shared" si="22"/>
        <v>8.7144952638402453E-6</v>
      </c>
      <c r="X20" s="328">
        <f>W20*$Q20/SUM(_xll.ohFilter($Q$14:$Q$20,Y$14:Y$20))</f>
        <v>0</v>
      </c>
      <c r="Y20" s="418" t="b">
        <v>1</v>
      </c>
      <c r="Z20" s="289">
        <f t="shared" si="18"/>
        <v>3.4820378883967397E-4</v>
      </c>
      <c r="AA20" s="328">
        <f t="shared" si="23"/>
        <v>-1.137056199827899E-6</v>
      </c>
      <c r="AB20" s="328">
        <f>AA20*$Q20/SUM(_xll.ohFilter($Q$14:$Q$20,AC$14:AC$20))</f>
        <v>0</v>
      </c>
      <c r="AC20" s="418" t="b">
        <v>1</v>
      </c>
      <c r="AD20" s="160">
        <f t="shared" si="19"/>
        <v>3.4881959679121003E-4</v>
      </c>
      <c r="AE20" s="328">
        <f t="shared" si="24"/>
        <v>-1.7528641513639572E-6</v>
      </c>
      <c r="AF20" s="328">
        <f>AE20*$Q20/SUM(_xll.ohFilter($Q$14:$Q$20,AG$14:AG$20))</f>
        <v>0</v>
      </c>
      <c r="AG20" s="418" t="b">
        <v>0</v>
      </c>
      <c r="AI20" s="339"/>
      <c r="AJ20" s="127">
        <v>3.0261116826703249E-2</v>
      </c>
      <c r="AK20" s="133">
        <v>8.5895061728395061E-2</v>
      </c>
      <c r="AL20" s="128">
        <v>0.25555555555555554</v>
      </c>
      <c r="AM20" s="550"/>
      <c r="AN20" s="129">
        <v>4.9795731451821867E-3</v>
      </c>
      <c r="AO20" s="550"/>
      <c r="AP20" s="199">
        <v>3.4344790049660928E-4</v>
      </c>
      <c r="AQ20" s="127">
        <v>-824.88711763085041</v>
      </c>
      <c r="AR20" s="133">
        <v>1372.9803065312838</v>
      </c>
      <c r="AS20" s="128">
        <v>-554.11619097626203</v>
      </c>
      <c r="AT20" s="352"/>
      <c r="AV20" s="169">
        <f>_xll.qlCalendarAdvance(Calendar,AV19,"1d","mf",,Trigger)</f>
        <v>42184</v>
      </c>
      <c r="AW20" s="155">
        <f>_xll.qlDayCounterYearFraction(DayCounter,SettlementDate,AV20,,,Trigger)</f>
        <v>6.6666666666666666E-2</v>
      </c>
      <c r="AX20" s="167">
        <f t="shared" si="2"/>
        <v>1.1186210263268422E-3</v>
      </c>
      <c r="AY20" s="167">
        <f t="shared" si="3"/>
        <v>1.0463654137285213E-3</v>
      </c>
      <c r="AZ20" s="167">
        <f t="shared" si="4"/>
        <v>1.1321820114454919E-3</v>
      </c>
      <c r="BA20" s="167">
        <f t="shared" si="5"/>
        <v>6.995562940493471E-4</v>
      </c>
      <c r="BB20" s="167">
        <f t="shared" si="5"/>
        <v>1.2589850667896214E-3</v>
      </c>
      <c r="BC20" s="167">
        <f t="shared" si="6"/>
        <v>1.2847172585979197E-3</v>
      </c>
      <c r="BD20" s="167">
        <f t="shared" si="7"/>
        <v>1.2570500729816379E-3</v>
      </c>
      <c r="BE20" s="167">
        <f t="shared" si="8"/>
        <v>1.2785431447797128E-3</v>
      </c>
    </row>
    <row r="21" spans="1:57" ht="12" customHeight="1" x14ac:dyDescent="0.2">
      <c r="D21" s="118"/>
      <c r="E21" s="342"/>
      <c r="F21" s="343"/>
      <c r="H21" s="343"/>
      <c r="I21" s="343"/>
      <c r="J21" s="343"/>
      <c r="K21" s="343"/>
      <c r="L21" s="344"/>
      <c r="M21" s="345"/>
      <c r="N21" s="345"/>
      <c r="O21" s="345"/>
      <c r="Q21" s="345"/>
      <c r="R21" s="346"/>
      <c r="V21" s="140"/>
      <c r="AI21" s="339"/>
      <c r="AJ21" s="127">
        <v>3.9302133344764498E-2</v>
      </c>
      <c r="AK21" s="133">
        <v>9.7951388888888852E-2</v>
      </c>
      <c r="AL21" s="128">
        <v>0.25277777777777771</v>
      </c>
      <c r="AM21" s="550"/>
      <c r="AN21" s="129">
        <v>3.9477929470492501E-4</v>
      </c>
      <c r="AO21" s="550"/>
      <c r="AP21" s="199">
        <v>3.4706673263984608E-4</v>
      </c>
      <c r="AQ21" s="127">
        <v>141.83916117270505</v>
      </c>
      <c r="AR21" s="133">
        <v>-219.67044177813656</v>
      </c>
      <c r="AS21" s="128">
        <v>82.642613359337332</v>
      </c>
      <c r="AT21" s="352"/>
      <c r="AV21" s="169">
        <f>_xll.qlCalendarAdvance(Calendar,AV20,"1d","mf",,Trigger)</f>
        <v>42185</v>
      </c>
      <c r="AW21" s="155">
        <f>_xll.qlDayCounterYearFraction(DayCounter,SettlementDate,AV21,,,Trigger)</f>
        <v>6.9444444444444448E-2</v>
      </c>
      <c r="AX21" s="167">
        <f t="shared" si="2"/>
        <v>1.1208181175344969E-3</v>
      </c>
      <c r="AY21" s="167">
        <f t="shared" si="3"/>
        <v>1.0494330544855537E-3</v>
      </c>
      <c r="AZ21" s="167">
        <f t="shared" si="4"/>
        <v>1.133158464065572E-3</v>
      </c>
      <c r="BA21" s="167">
        <f t="shared" si="5"/>
        <v>7.1107501695311971E-4</v>
      </c>
      <c r="BB21" s="167">
        <f t="shared" si="5"/>
        <v>1.2596223519769358E-3</v>
      </c>
      <c r="BC21" s="167">
        <f t="shared" si="6"/>
        <v>1.2855206545781177E-3</v>
      </c>
      <c r="BD21" s="167">
        <f t="shared" si="7"/>
        <v>1.2577063094123494E-3</v>
      </c>
      <c r="BE21" s="167">
        <f t="shared" si="8"/>
        <v>1.2793543366853765E-3</v>
      </c>
    </row>
    <row r="22" spans="1:57" ht="12" customHeight="1" x14ac:dyDescent="0.2">
      <c r="E22" s="142" t="s">
        <v>137</v>
      </c>
      <c r="F22" s="177" t="s">
        <v>41</v>
      </c>
      <c r="L22" s="399" t="s">
        <v>139</v>
      </c>
      <c r="M22" s="332">
        <v>0</v>
      </c>
      <c r="N22" s="333">
        <f>AN14</f>
        <v>1.5140669416145169E-3</v>
      </c>
      <c r="O22" s="332">
        <v>0</v>
      </c>
      <c r="P22" s="333">
        <f>AN19</f>
        <v>-6.1187723252378312E-3</v>
      </c>
      <c r="Q22" s="332">
        <v>0</v>
      </c>
      <c r="R22" s="333">
        <f>AL34</f>
        <v>5.3004314855372585E-5</v>
      </c>
      <c r="S22" s="332">
        <v>0</v>
      </c>
      <c r="T22" s="333">
        <f>AP34</f>
        <v>7.1807994007859583E-5</v>
      </c>
      <c r="AI22" s="340"/>
      <c r="AJ22" s="341"/>
      <c r="AK22" s="341"/>
      <c r="AL22" s="341"/>
      <c r="AM22" s="341"/>
      <c r="AN22" s="341"/>
      <c r="AO22" s="341"/>
      <c r="AP22" s="341"/>
      <c r="AQ22" s="341"/>
      <c r="AR22" s="341"/>
      <c r="AS22" s="341"/>
      <c r="AT22" s="354"/>
      <c r="AV22" s="169">
        <f>_xll.qlCalendarAdvance(Calendar,AV21,"1d","mf",,Trigger)</f>
        <v>42186</v>
      </c>
      <c r="AW22" s="155">
        <f>_xll.qlDayCounterYearFraction(DayCounter,SettlementDate,AV22,,,Trigger)</f>
        <v>7.2222222222222215E-2</v>
      </c>
      <c r="AX22" s="167">
        <f t="shared" si="2"/>
        <v>1.1230152087421518E-3</v>
      </c>
      <c r="AY22" s="167">
        <f t="shared" si="3"/>
        <v>1.0525006952425858E-3</v>
      </c>
      <c r="AZ22" s="167">
        <f t="shared" si="4"/>
        <v>1.1341582819162325E-3</v>
      </c>
      <c r="BA22" s="167">
        <f t="shared" si="5"/>
        <v>7.2249931435804614E-4</v>
      </c>
      <c r="BB22" s="167">
        <f t="shared" si="5"/>
        <v>1.2602596371642505E-3</v>
      </c>
      <c r="BC22" s="167">
        <f t="shared" si="6"/>
        <v>1.2863240505583157E-3</v>
      </c>
      <c r="BD22" s="167">
        <f t="shared" si="7"/>
        <v>1.2583633638108824E-3</v>
      </c>
      <c r="BE22" s="167">
        <f t="shared" si="8"/>
        <v>1.2801666367390956E-3</v>
      </c>
    </row>
    <row r="23" spans="1:57" ht="12" customHeight="1" x14ac:dyDescent="0.2">
      <c r="E23" s="142" t="s">
        <v>100</v>
      </c>
      <c r="F23" s="177" t="str">
        <f>PROPER(Currency)&amp;IborType&amp;$F$22</f>
        <v>Euribor3M</v>
      </c>
      <c r="L23" s="399" t="s">
        <v>140</v>
      </c>
      <c r="M23" s="333">
        <f>AN4</f>
        <v>7.9095283475574298E-4</v>
      </c>
      <c r="N23" s="333">
        <f>AN15</f>
        <v>1.4544160950906437E-4</v>
      </c>
      <c r="O23" s="333">
        <f>AN8</f>
        <v>1.1043506725315969E-3</v>
      </c>
      <c r="P23" s="333">
        <f>AN20</f>
        <v>4.9795731451821867E-3</v>
      </c>
      <c r="Q23" s="333">
        <f>AL27</f>
        <v>2.2942266743327121E-4</v>
      </c>
      <c r="R23" s="333">
        <f>AL35</f>
        <v>2.2903063886749338E-4</v>
      </c>
      <c r="S23" s="333">
        <f>AP27</f>
        <v>2.892225528713108E-4</v>
      </c>
      <c r="T23" s="333">
        <f>AP35</f>
        <v>2.822552201878188E-4</v>
      </c>
      <c r="AI23" s="338"/>
      <c r="AJ23" s="338"/>
      <c r="AK23" s="338"/>
      <c r="AL23" s="338"/>
      <c r="AM23" s="338"/>
      <c r="AN23" s="338"/>
      <c r="AO23" s="338"/>
      <c r="AP23" s="338"/>
      <c r="AQ23" s="338"/>
      <c r="AR23" s="338"/>
      <c r="AS23" s="338"/>
      <c r="AV23" s="169">
        <f>_xll.qlCalendarAdvance(Calendar,AV22,"1d","mf",,Trigger)</f>
        <v>42187</v>
      </c>
      <c r="AW23" s="155">
        <f>_xll.qlDayCounterYearFraction(DayCounter,SettlementDate,AV23,,,Trigger)</f>
        <v>7.4999999999999997E-2</v>
      </c>
      <c r="AX23" s="167">
        <f t="shared" si="2"/>
        <v>1.1252122999498067E-3</v>
      </c>
      <c r="AY23" s="167">
        <f t="shared" si="3"/>
        <v>1.0555683359996181E-3</v>
      </c>
      <c r="AZ23" s="167">
        <f t="shared" si="4"/>
        <v>1.1351814649974735E-3</v>
      </c>
      <c r="BA23" s="167">
        <f t="shared" si="5"/>
        <v>7.3382918626412627E-4</v>
      </c>
      <c r="BB23" s="167">
        <f t="shared" si="5"/>
        <v>1.2608969223515652E-3</v>
      </c>
      <c r="BC23" s="167">
        <f t="shared" si="6"/>
        <v>1.287127446538514E-3</v>
      </c>
      <c r="BD23" s="167">
        <f t="shared" si="7"/>
        <v>1.2590212361772378E-3</v>
      </c>
      <c r="BE23" s="167">
        <f t="shared" si="8"/>
        <v>1.2809800449408706E-3</v>
      </c>
    </row>
    <row r="24" spans="1:57" ht="12" customHeight="1" thickBot="1" x14ac:dyDescent="0.25">
      <c r="L24" s="399" t="s">
        <v>35</v>
      </c>
      <c r="M24" s="416">
        <f>AN5</f>
        <v>1.0658908373431259E-3</v>
      </c>
      <c r="N24" s="416">
        <f>AN16</f>
        <v>1.115756717737712E-3</v>
      </c>
      <c r="O24" s="416">
        <f>AN9</f>
        <v>9.7274203555974825E-4</v>
      </c>
      <c r="P24" s="416">
        <f>AN21</f>
        <v>3.9477929470492501E-4</v>
      </c>
      <c r="Q24" s="416">
        <f>AL28</f>
        <v>1.2436902222940699E-3</v>
      </c>
      <c r="R24" s="416">
        <f>AL36</f>
        <v>1.2415457889911143E-3</v>
      </c>
      <c r="S24" s="416">
        <f>AP28</f>
        <v>1.2654357550731655E-3</v>
      </c>
      <c r="T24" s="416">
        <f>AP36</f>
        <v>1.2594069834604899E-3</v>
      </c>
      <c r="AI24" s="337" t="s">
        <v>154</v>
      </c>
      <c r="AJ24" s="338"/>
      <c r="AK24" s="338"/>
      <c r="AL24" s="338"/>
      <c r="AM24" s="338"/>
      <c r="AN24" s="338"/>
      <c r="AO24" s="338" t="s">
        <v>155</v>
      </c>
      <c r="AP24" s="338"/>
      <c r="AQ24" s="338"/>
      <c r="AR24" s="338"/>
      <c r="AS24" s="338"/>
      <c r="AT24" s="353"/>
      <c r="AV24" s="169">
        <f>_xll.qlCalendarAdvance(Calendar,AV23,"1d","mf",,Trigger)</f>
        <v>42188</v>
      </c>
      <c r="AW24" s="155">
        <f>_xll.qlDayCounterYearFraction(DayCounter,SettlementDate,AV24,,,Trigger)</f>
        <v>7.7777777777777779E-2</v>
      </c>
      <c r="AX24" s="167">
        <f t="shared" si="2"/>
        <v>1.1274093911574615E-3</v>
      </c>
      <c r="AY24" s="167">
        <f t="shared" si="3"/>
        <v>1.0586359767566502E-3</v>
      </c>
      <c r="AZ24" s="167">
        <f t="shared" si="4"/>
        <v>1.136228013309295E-3</v>
      </c>
      <c r="BA24" s="167">
        <f t="shared" si="5"/>
        <v>7.4506463267136011E-4</v>
      </c>
      <c r="BB24" s="167">
        <f t="shared" si="5"/>
        <v>1.2615342075388799E-3</v>
      </c>
      <c r="BC24" s="167">
        <f t="shared" si="6"/>
        <v>1.287930842518712E-3</v>
      </c>
      <c r="BD24" s="167">
        <f t="shared" si="7"/>
        <v>1.2596799265114148E-3</v>
      </c>
      <c r="BE24" s="167">
        <f t="shared" si="8"/>
        <v>1.2817945612907011E-3</v>
      </c>
    </row>
    <row r="25" spans="1:57" ht="12" customHeight="1" x14ac:dyDescent="0.2">
      <c r="M25" s="413" t="s">
        <v>143</v>
      </c>
      <c r="N25" s="414"/>
      <c r="O25" s="414"/>
      <c r="P25" s="415"/>
      <c r="Q25" s="413" t="s">
        <v>144</v>
      </c>
      <c r="R25" s="414"/>
      <c r="S25" s="414"/>
      <c r="T25" s="415"/>
      <c r="W25" s="142" t="s">
        <v>102</v>
      </c>
      <c r="AI25" s="339"/>
      <c r="AJ25" s="117"/>
      <c r="AK25" s="377" t="s">
        <v>83</v>
      </c>
      <c r="AL25" s="378"/>
      <c r="AM25" s="117"/>
      <c r="AN25" s="117"/>
      <c r="AO25" s="377" t="s">
        <v>83</v>
      </c>
      <c r="AP25" s="378"/>
      <c r="AQ25" s="117"/>
      <c r="AR25" s="117"/>
      <c r="AS25" s="117"/>
      <c r="AT25" s="352"/>
      <c r="AV25" s="169">
        <f>_xll.qlCalendarAdvance(Calendar,AV24,"1d","mf",,Trigger)</f>
        <v>42191</v>
      </c>
      <c r="AW25" s="155">
        <f>_xll.qlDayCounterYearFraction(DayCounter,SettlementDate,AV25,,,Trigger)</f>
        <v>8.611111111111111E-2</v>
      </c>
      <c r="AX25" s="167">
        <f t="shared" si="2"/>
        <v>1.134000664780426E-3</v>
      </c>
      <c r="AY25" s="167">
        <f t="shared" si="3"/>
        <v>1.0678388990277468E-3</v>
      </c>
      <c r="AZ25" s="167">
        <f t="shared" si="4"/>
        <v>1.1395078496282422E-3</v>
      </c>
      <c r="BA25" s="167">
        <f t="shared" si="5"/>
        <v>7.7820441889998404E-4</v>
      </c>
      <c r="BB25" s="167">
        <f t="shared" si="5"/>
        <v>1.2634460631008237E-3</v>
      </c>
      <c r="BC25" s="167">
        <f t="shared" si="6"/>
        <v>1.2903410304593063E-3</v>
      </c>
      <c r="BD25" s="167">
        <f t="shared" si="7"/>
        <v>1.261660905320877E-3</v>
      </c>
      <c r="BE25" s="167">
        <f t="shared" si="8"/>
        <v>1.284244759228527E-3</v>
      </c>
    </row>
    <row r="26" spans="1:57" ht="12" customHeight="1" x14ac:dyDescent="0.2">
      <c r="M26" s="400" t="str">
        <f>"with 0X"&amp;SUBSTITUTE($F$22,"M","")</f>
        <v>with 0X3</v>
      </c>
      <c r="N26" s="363"/>
      <c r="O26" s="362" t="str">
        <f>"without 0X"&amp;SUBSTITUTE($F$22,"M","")</f>
        <v>without 0X3</v>
      </c>
      <c r="P26" s="401"/>
      <c r="Q26" s="400" t="str">
        <f>"with 0X"&amp;SUBSTITUTE($F$22,"M","")</f>
        <v>with 0X3</v>
      </c>
      <c r="R26" s="363"/>
      <c r="S26" s="362" t="str">
        <f>"without 0X"&amp;SUBSTITUTE($F$22,"M","")</f>
        <v>without 0X3</v>
      </c>
      <c r="T26" s="401"/>
      <c r="W26" s="179" t="s">
        <v>144</v>
      </c>
      <c r="AI26" s="339"/>
      <c r="AJ26" s="117"/>
      <c r="AK26" s="326" t="s">
        <v>139</v>
      </c>
      <c r="AL26" s="332">
        <v>0</v>
      </c>
      <c r="AM26" s="117"/>
      <c r="AN26" s="117"/>
      <c r="AO26" s="326" t="s">
        <v>139</v>
      </c>
      <c r="AP26" s="332">
        <v>0</v>
      </c>
      <c r="AQ26" s="117"/>
      <c r="AR26" s="117"/>
      <c r="AS26" s="117"/>
      <c r="AT26" s="352"/>
      <c r="AV26" s="169">
        <f>_xll.qlCalendarAdvance(Calendar,AV25,"1d","mf",,Trigger)</f>
        <v>42192</v>
      </c>
      <c r="AW26" s="155">
        <f>_xll.qlDayCounterYearFraction(DayCounter,SettlementDate,AV26,,,Trigger)</f>
        <v>8.8888888888888892E-2</v>
      </c>
      <c r="AX26" s="167">
        <f t="shared" si="2"/>
        <v>1.136197755988081E-3</v>
      </c>
      <c r="AY26" s="167">
        <f t="shared" si="3"/>
        <v>1.0709065397847791E-3</v>
      </c>
      <c r="AZ26" s="167">
        <f t="shared" si="4"/>
        <v>1.1406478588623853E-3</v>
      </c>
      <c r="BA26" s="167">
        <f t="shared" si="5"/>
        <v>7.890621633118329E-4</v>
      </c>
      <c r="BB26" s="167">
        <f t="shared" si="5"/>
        <v>1.2640833482881384E-3</v>
      </c>
      <c r="BC26" s="167">
        <f t="shared" si="6"/>
        <v>1.2911444264395043E-3</v>
      </c>
      <c r="BD26" s="167">
        <f t="shared" si="7"/>
        <v>1.2623228675263415E-3</v>
      </c>
      <c r="BE26" s="167">
        <f t="shared" si="8"/>
        <v>1.2850637081705805E-3</v>
      </c>
    </row>
    <row r="27" spans="1:57" ht="12" customHeight="1" x14ac:dyDescent="0.2">
      <c r="E27" s="142" t="s">
        <v>95</v>
      </c>
      <c r="F27" s="142" t="s">
        <v>70</v>
      </c>
      <c r="G27" s="142" t="s">
        <v>71</v>
      </c>
      <c r="H27" s="143" t="s">
        <v>123</v>
      </c>
      <c r="I27" s="143" t="s">
        <v>124</v>
      </c>
      <c r="J27" s="143" t="s">
        <v>130</v>
      </c>
      <c r="K27" s="143" t="s">
        <v>131</v>
      </c>
      <c r="L27" s="143" t="s">
        <v>125</v>
      </c>
      <c r="M27" s="402" t="s">
        <v>83</v>
      </c>
      <c r="N27" s="145" t="s">
        <v>84</v>
      </c>
      <c r="O27" s="145" t="s">
        <v>83</v>
      </c>
      <c r="P27" s="403" t="s">
        <v>84</v>
      </c>
      <c r="Q27" s="402" t="s">
        <v>83</v>
      </c>
      <c r="R27" s="145" t="s">
        <v>84</v>
      </c>
      <c r="S27" s="145" t="s">
        <v>83</v>
      </c>
      <c r="T27" s="403" t="s">
        <v>84</v>
      </c>
      <c r="W27" s="179" t="s">
        <v>149</v>
      </c>
      <c r="AI27" s="339"/>
      <c r="AJ27" s="117"/>
      <c r="AK27" s="326" t="s">
        <v>140</v>
      </c>
      <c r="AL27" s="333">
        <v>2.2942266743327121E-4</v>
      </c>
      <c r="AM27" s="117"/>
      <c r="AN27" s="117"/>
      <c r="AO27" s="326" t="s">
        <v>140</v>
      </c>
      <c r="AP27" s="333">
        <v>2.892225528713108E-4</v>
      </c>
      <c r="AQ27" s="117"/>
      <c r="AR27" s="117"/>
      <c r="AS27" s="117"/>
      <c r="AT27" s="352"/>
      <c r="AV27" s="169">
        <f>_xll.qlCalendarAdvance(Calendar,AV26,"1d","mf",,Trigger)</f>
        <v>42193</v>
      </c>
      <c r="AW27" s="155">
        <f>_xll.qlDayCounterYearFraction(DayCounter,SettlementDate,AV27,,,Trigger)</f>
        <v>9.166666666666666E-2</v>
      </c>
      <c r="AX27" s="167">
        <f t="shared" si="2"/>
        <v>1.1383948471957357E-3</v>
      </c>
      <c r="AY27" s="167">
        <f t="shared" si="3"/>
        <v>1.0739741805418112E-3</v>
      </c>
      <c r="AZ27" s="167">
        <f t="shared" si="4"/>
        <v>1.1418112333271093E-3</v>
      </c>
      <c r="BA27" s="167">
        <f t="shared" si="5"/>
        <v>7.9982548222483536E-4</v>
      </c>
      <c r="BB27" s="167">
        <f t="shared" si="5"/>
        <v>1.2647206334754531E-3</v>
      </c>
      <c r="BC27" s="167">
        <f t="shared" si="6"/>
        <v>1.2919478224197023E-3</v>
      </c>
      <c r="BD27" s="167">
        <f t="shared" si="7"/>
        <v>1.2629856476996278E-3</v>
      </c>
      <c r="BE27" s="167">
        <f t="shared" si="8"/>
        <v>1.2858837652606895E-3</v>
      </c>
    </row>
    <row r="28" spans="1:57" ht="12" customHeight="1" x14ac:dyDescent="0.2">
      <c r="D28" s="115">
        <v>0</v>
      </c>
      <c r="E28" s="162" t="s">
        <v>43</v>
      </c>
      <c r="F28" s="163">
        <f>_xll.qlCalendarAdvance(Calendar,SettlementDate,D28&amp;"M","mf",TRUE,Trigger)</f>
        <v>42160</v>
      </c>
      <c r="G28" s="164">
        <f>_xll.qlCalendarAdvance(Calendar,SettlementDate,E28,"Following",,Trigger)</f>
        <v>42163</v>
      </c>
      <c r="H28" s="192">
        <f>_xll.qlYieldTSDiscount(Discounting,F28,,AllTriggers)</f>
        <v>1.0000066667000043</v>
      </c>
      <c r="I28" s="192">
        <f>_xll.qlYieldTSDiscount(Discounting,G28,,AllTriggers)</f>
        <v>1.0000167502701822</v>
      </c>
      <c r="J28" s="165">
        <f>_xll.qlDayCounterYearFraction(DayCounter,SettlementDate,F28,,,Trigger)</f>
        <v>0</v>
      </c>
      <c r="K28" s="165">
        <f>_xll.qlDayCounterYearFraction(DayCounter,SettlementDate,G28,,,Trigger)</f>
        <v>8.3333333333333332E-3</v>
      </c>
      <c r="L28" s="200">
        <f>(H28/I28-1)/(K28-J28)</f>
        <v>-1.2100081533938933E-3</v>
      </c>
      <c r="M28" s="404">
        <f t="shared" ref="M28:T40" si="30">((1+($K28-$J28)*$L28)*EXP(M$24*($K28-$J28)+0.5*M$23*($K28^2-$J28^2)+1/3*M$22*($K28^3-$J28^3))-1)/($K28-$J28)</f>
        <v>-1.4082769714374166E-4</v>
      </c>
      <c r="N28" s="389">
        <f t="shared" si="30"/>
        <v>-9.3616445129285353E-5</v>
      </c>
      <c r="O28" s="389">
        <f t="shared" si="30"/>
        <v>-2.326705316679778E-4</v>
      </c>
      <c r="P28" s="405">
        <f t="shared" si="30"/>
        <v>-7.9462574508415429E-4</v>
      </c>
      <c r="Q28" s="404">
        <f t="shared" si="30"/>
        <v>3.4631901160153689E-5</v>
      </c>
      <c r="R28" s="389">
        <f t="shared" si="30"/>
        <v>3.2487060721564376E-5</v>
      </c>
      <c r="S28" s="389">
        <f t="shared" si="30"/>
        <v>5.662660846894596E-5</v>
      </c>
      <c r="T28" s="405">
        <f t="shared" si="30"/>
        <v>5.0570465814914201E-5</v>
      </c>
      <c r="W28" s="389">
        <f>IF($W$26="Exact Fit",IF($W$27="Linear (0X6)",M28,IF($W$27="Linear (NO 0X6)",O28,IF($W$27="Quadratic (0X6)",N28,P28))),IF($W$27="Linear (0X6)",Q28,IF($W$27="Linear (NO 0X6)",S28,IF($W$27="Quadratic (0X6)",R28,T28))))</f>
        <v>5.0570465814914201E-5</v>
      </c>
      <c r="AI28" s="339"/>
      <c r="AJ28" s="117"/>
      <c r="AK28" s="326" t="s">
        <v>35</v>
      </c>
      <c r="AL28" s="333">
        <v>1.2436902222940699E-3</v>
      </c>
      <c r="AM28" s="117"/>
      <c r="AN28" s="117"/>
      <c r="AO28" s="326" t="s">
        <v>35</v>
      </c>
      <c r="AP28" s="333">
        <v>1.2654357550731655E-3</v>
      </c>
      <c r="AQ28" s="117"/>
      <c r="AR28" s="117"/>
      <c r="AS28" s="117"/>
      <c r="AT28" s="352"/>
      <c r="AV28" s="169">
        <f>_xll.qlCalendarAdvance(Calendar,AV27,"1d","mf",,Trigger)</f>
        <v>42194</v>
      </c>
      <c r="AW28" s="155">
        <f>_xll.qlDayCounterYearFraction(DayCounter,SettlementDate,AV28,,,Trigger)</f>
        <v>9.4444444444444442E-2</v>
      </c>
      <c r="AX28" s="167">
        <f t="shared" si="2"/>
        <v>1.1405919384033906E-3</v>
      </c>
      <c r="AY28" s="167">
        <f t="shared" si="3"/>
        <v>1.0770418212988435E-3</v>
      </c>
      <c r="AZ28" s="167">
        <f t="shared" si="4"/>
        <v>1.1429979730224137E-3</v>
      </c>
      <c r="BA28" s="167">
        <f t="shared" si="5"/>
        <v>8.1049437563899163E-4</v>
      </c>
      <c r="BB28" s="167">
        <f t="shared" si="5"/>
        <v>1.2653579186627678E-3</v>
      </c>
      <c r="BC28" s="167">
        <f t="shared" si="6"/>
        <v>1.2927512183999003E-3</v>
      </c>
      <c r="BD28" s="167">
        <f t="shared" si="7"/>
        <v>1.2636492458407357E-3</v>
      </c>
      <c r="BE28" s="167">
        <f t="shared" si="8"/>
        <v>1.286704930498854E-3</v>
      </c>
    </row>
    <row r="29" spans="1:57" ht="12" customHeight="1" x14ac:dyDescent="0.2">
      <c r="D29" s="115">
        <v>0</v>
      </c>
      <c r="E29" s="168" t="s">
        <v>44</v>
      </c>
      <c r="F29" s="153">
        <f>_xll.qlCalendarAdvance(Calendar,SettlementDate,D29&amp;"M","mf",TRUE,Trigger)</f>
        <v>42160</v>
      </c>
      <c r="G29" s="169">
        <f>_xll.qlCalendarAdvance(Calendar,SettlementDate,E29,"Following",,Trigger)</f>
        <v>42167</v>
      </c>
      <c r="H29" s="194">
        <f>_xll.qlYieldTSDiscount(Discounting,F29,,AllTriggers)</f>
        <v>1.0000066667000043</v>
      </c>
      <c r="I29" s="194">
        <f>_xll.qlYieldTSDiscount(Discounting,G29,,AllTriggers)</f>
        <v>1.000030195188585</v>
      </c>
      <c r="J29" s="155">
        <f>_xll.qlDayCounterYearFraction(DayCounter,SettlementDate,F29,,,Trigger)</f>
        <v>0</v>
      </c>
      <c r="K29" s="155">
        <f>_xll.qlDayCounterYearFraction(DayCounter,SettlementDate,G29,,,Trigger)</f>
        <v>1.9444444444444445E-2</v>
      </c>
      <c r="L29" s="201">
        <f t="shared" ref="L29:L40" si="31">(H29/I29-1)/(K29-J29)</f>
        <v>-1.2100000194032695E-3</v>
      </c>
      <c r="M29" s="404">
        <f t="shared" si="30"/>
        <v>-1.3643341638732868E-4</v>
      </c>
      <c r="N29" s="389">
        <f t="shared" si="30"/>
        <v>-9.2652621032561294E-5</v>
      </c>
      <c r="O29" s="389">
        <f t="shared" si="30"/>
        <v>-2.2653497679428876E-4</v>
      </c>
      <c r="P29" s="405">
        <f t="shared" si="30"/>
        <v>-7.6758785580808924E-4</v>
      </c>
      <c r="Q29" s="404">
        <f t="shared" si="30"/>
        <v>3.5906479047196983E-5</v>
      </c>
      <c r="R29" s="389">
        <f t="shared" si="30"/>
        <v>3.3764912979857998E-5</v>
      </c>
      <c r="S29" s="389">
        <f t="shared" si="30"/>
        <v>5.8233420040362406E-5</v>
      </c>
      <c r="T29" s="405">
        <f t="shared" si="30"/>
        <v>5.2145953817829748E-5</v>
      </c>
      <c r="W29" s="389">
        <f t="shared" ref="W29:W34" si="32">IF($W$26="Exact Fit",IF($W$27="Linear (0X6)",M29,IF($W$27="Linear (NO 0X6)",O29,IF($W$27="Quadratic (0X6)",N29,P29))),IF($W$27="Linear (0X6)",Q29,IF($W$27="Linear (NO 0X6)",S29,IF($W$27="Quadratic (0X6)",R29,T29))))</f>
        <v>5.2145953817829748E-5</v>
      </c>
      <c r="AI29" s="339"/>
      <c r="AJ29" s="117"/>
      <c r="AK29" s="326" t="s">
        <v>36</v>
      </c>
      <c r="AL29" s="417">
        <f>SUMSQ(_xll.ohFilter(T14:T20,U14:U20))</f>
        <v>9.8316268444203415E-11</v>
      </c>
      <c r="AM29" s="117"/>
      <c r="AN29" s="117"/>
      <c r="AO29" s="326" t="s">
        <v>36</v>
      </c>
      <c r="AP29" s="417">
        <f>SUMSQ(_xll.ohFilter(AB14:AB20,AC14:AC20))</f>
        <v>1.6853098076053018E-10</v>
      </c>
      <c r="AQ29" s="117"/>
      <c r="AR29" s="117"/>
      <c r="AS29" s="117"/>
      <c r="AT29" s="352"/>
      <c r="AV29" s="169">
        <f>_xll.qlCalendarAdvance(Calendar,AV28,"1d","mf",,Trigger)</f>
        <v>42195</v>
      </c>
      <c r="AW29" s="155">
        <f>_xll.qlDayCounterYearFraction(DayCounter,SettlementDate,AV29,,,Trigger)</f>
        <v>9.7222222222222224E-2</v>
      </c>
      <c r="AX29" s="167">
        <f t="shared" si="2"/>
        <v>1.1427890296110453E-3</v>
      </c>
      <c r="AY29" s="167">
        <f t="shared" si="3"/>
        <v>1.0801094620558757E-3</v>
      </c>
      <c r="AZ29" s="167">
        <f t="shared" si="4"/>
        <v>1.1442080779482983E-3</v>
      </c>
      <c r="BA29" s="167">
        <f t="shared" si="5"/>
        <v>8.210688435543016E-4</v>
      </c>
      <c r="BB29" s="167">
        <f t="shared" si="5"/>
        <v>1.2659952038500824E-3</v>
      </c>
      <c r="BC29" s="167">
        <f t="shared" si="6"/>
        <v>1.2935546143800986E-3</v>
      </c>
      <c r="BD29" s="167">
        <f t="shared" si="7"/>
        <v>1.2643136619496656E-3</v>
      </c>
      <c r="BE29" s="167">
        <f t="shared" si="8"/>
        <v>1.2875272038850743E-3</v>
      </c>
    </row>
    <row r="30" spans="1:57" ht="12" customHeight="1" x14ac:dyDescent="0.2">
      <c r="D30" s="115">
        <v>0</v>
      </c>
      <c r="E30" s="168" t="s">
        <v>45</v>
      </c>
      <c r="F30" s="153">
        <f>_xll.qlCalendarAdvance(Calendar,SettlementDate,D30&amp;"M","mf",TRUE,Trigger)</f>
        <v>42160</v>
      </c>
      <c r="G30" s="169">
        <f>_xll.qlCalendarAdvance(Calendar,SettlementDate,E30,"Following",,Trigger)</f>
        <v>42174</v>
      </c>
      <c r="H30" s="194">
        <f>_xll.qlYieldTSDiscount(Discounting,F30,,AllTriggers)</f>
        <v>1.0000066667000043</v>
      </c>
      <c r="I30" s="194">
        <f>_xll.qlYieldTSDiscount(Discounting,G30,,AllTriggers)</f>
        <v>1.0000525580007213</v>
      </c>
      <c r="J30" s="155">
        <f>_xll.qlDayCounterYearFraction(DayCounter,SettlementDate,F30,,,Trigger)</f>
        <v>0</v>
      </c>
      <c r="K30" s="155">
        <f>_xll.qlDayCounterYearFraction(DayCounter,SettlementDate,G30,,,Trigger)</f>
        <v>3.888888888888889E-2</v>
      </c>
      <c r="L30" s="201">
        <f t="shared" si="31"/>
        <v>-1.1799999999974528E-3</v>
      </c>
      <c r="M30" s="404">
        <f t="shared" si="30"/>
        <v>-9.8756409832669227E-5</v>
      </c>
      <c r="N30" s="389">
        <f t="shared" si="30"/>
        <v>-6.0678990440837002E-5</v>
      </c>
      <c r="O30" s="389">
        <f t="shared" si="30"/>
        <v>-1.8581088307418573E-4</v>
      </c>
      <c r="P30" s="405">
        <f t="shared" si="30"/>
        <v>-6.9149801557667951E-4</v>
      </c>
      <c r="Q30" s="404">
        <f t="shared" si="30"/>
        <v>6.8124233574273774E-5</v>
      </c>
      <c r="R30" s="389">
        <f t="shared" si="30"/>
        <v>6.599889223135591E-5</v>
      </c>
      <c r="S30" s="389">
        <f t="shared" si="30"/>
        <v>9.1032612796431469E-5</v>
      </c>
      <c r="T30" s="405">
        <f t="shared" si="30"/>
        <v>8.4904543812745553E-5</v>
      </c>
      <c r="W30" s="389">
        <f t="shared" si="32"/>
        <v>8.4904543812745553E-5</v>
      </c>
      <c r="AI30" s="340"/>
      <c r="AJ30" s="341"/>
      <c r="AK30" s="341"/>
      <c r="AL30" s="341"/>
      <c r="AM30" s="341"/>
      <c r="AN30" s="341"/>
      <c r="AO30" s="341"/>
      <c r="AP30" s="341"/>
      <c r="AQ30" s="341"/>
      <c r="AR30" s="341"/>
      <c r="AS30" s="341"/>
      <c r="AT30" s="354"/>
      <c r="AV30" s="169">
        <f>_xll.qlCalendarAdvance(Calendar,AV29,"1d","mf",,Trigger)</f>
        <v>42198</v>
      </c>
      <c r="AW30" s="155">
        <f>_xll.qlDayCounterYearFraction(DayCounter,SettlementDate,AV30,,,Trigger)</f>
        <v>0.10555555555555556</v>
      </c>
      <c r="AX30" s="167">
        <f t="shared" si="2"/>
        <v>1.1493803032340099E-3</v>
      </c>
      <c r="AY30" s="167">
        <f t="shared" si="3"/>
        <v>1.0893123843269724E-3</v>
      </c>
      <c r="AZ30" s="167">
        <f t="shared" si="4"/>
        <v>1.1479785841094355E-3</v>
      </c>
      <c r="BA30" s="167">
        <f t="shared" si="5"/>
        <v>8.5222569430715416E-4</v>
      </c>
      <c r="BB30" s="167">
        <f t="shared" si="5"/>
        <v>1.2679070594120263E-3</v>
      </c>
      <c r="BC30" s="167">
        <f t="shared" si="6"/>
        <v>1.2959648023206929E-3</v>
      </c>
      <c r="BD30" s="167">
        <f t="shared" si="7"/>
        <v>1.2663118180833864E-3</v>
      </c>
      <c r="BE30" s="167">
        <f t="shared" si="8"/>
        <v>1.2900006729320694E-3</v>
      </c>
    </row>
    <row r="31" spans="1:57" ht="12" customHeight="1" x14ac:dyDescent="0.2">
      <c r="D31" s="115">
        <v>0</v>
      </c>
      <c r="E31" s="168" t="s">
        <v>46</v>
      </c>
      <c r="F31" s="153">
        <f>_xll.qlCalendarAdvance(Calendar,SettlementDate,D31&amp;"M","mf",TRUE,Trigger)</f>
        <v>42160</v>
      </c>
      <c r="G31" s="169">
        <f>_xll.qlCalendarAdvance(Calendar,SettlementDate,E31,"Following",,Trigger)</f>
        <v>42181</v>
      </c>
      <c r="H31" s="194">
        <f>_xll.qlYieldTSDiscount(Discounting,F31,,AllTriggers)</f>
        <v>1.0000066667000043</v>
      </c>
      <c r="I31" s="194">
        <f>_xll.qlYieldTSDiscount(Discounting,G31,,AllTriggers)</f>
        <v>1.0000755052306143</v>
      </c>
      <c r="J31" s="155">
        <f>_xll.qlDayCounterYearFraction(DayCounter,SettlementDate,F31,,,Trigger)</f>
        <v>0</v>
      </c>
      <c r="K31" s="155">
        <f>_xll.qlDayCounterYearFraction(DayCounter,SettlementDate,G31,,,Trigger)</f>
        <v>5.8333333333333334E-2</v>
      </c>
      <c r="L31" s="201">
        <f t="shared" si="31"/>
        <v>-1.179999999999356E-3</v>
      </c>
      <c r="M31" s="404">
        <f t="shared" si="30"/>
        <v>-9.1080076549359437E-5</v>
      </c>
      <c r="N31" s="389">
        <f t="shared" si="30"/>
        <v>-5.8324405183591512E-5</v>
      </c>
      <c r="O31" s="389">
        <f t="shared" si="30"/>
        <v>-1.7508745589177112E-4</v>
      </c>
      <c r="P31" s="405">
        <f t="shared" si="30"/>
        <v>-6.4695183500480217E-4</v>
      </c>
      <c r="Q31" s="404">
        <f t="shared" si="30"/>
        <v>7.0341247546679142E-5</v>
      </c>
      <c r="R31" s="389">
        <f t="shared" si="30"/>
        <v>6.824549223643268E-5</v>
      </c>
      <c r="S31" s="389">
        <f t="shared" si="30"/>
        <v>9.3831056128733175E-5</v>
      </c>
      <c r="T31" s="405">
        <f t="shared" si="30"/>
        <v>8.7680486962377866E-5</v>
      </c>
      <c r="W31" s="389">
        <f t="shared" si="32"/>
        <v>8.7680486962377866E-5</v>
      </c>
      <c r="AH31" s="117"/>
      <c r="AI31" s="117"/>
      <c r="AJ31" s="117"/>
      <c r="AV31" s="169">
        <f>_xll.qlCalendarAdvance(Calendar,AV30,"1d","mf",,Trigger)</f>
        <v>42199</v>
      </c>
      <c r="AW31" s="155">
        <f>_xll.qlDayCounterYearFraction(DayCounter,SettlementDate,AV31,,,Trigger)</f>
        <v>0.10833333333333334</v>
      </c>
      <c r="AX31" s="167">
        <f t="shared" si="2"/>
        <v>1.1515773944416649E-3</v>
      </c>
      <c r="AY31" s="167">
        <f t="shared" si="3"/>
        <v>1.0923800250840045E-3</v>
      </c>
      <c r="AZ31" s="167">
        <f t="shared" si="4"/>
        <v>1.1492821499576422E-3</v>
      </c>
      <c r="BA31" s="167">
        <f t="shared" si="5"/>
        <v>8.6242246022707905E-4</v>
      </c>
      <c r="BB31" s="167">
        <f t="shared" si="5"/>
        <v>1.268544344599341E-3</v>
      </c>
      <c r="BC31" s="167">
        <f t="shared" si="6"/>
        <v>1.2967681983008909E-3</v>
      </c>
      <c r="BD31" s="167">
        <f t="shared" si="7"/>
        <v>1.2669795060636039E-3</v>
      </c>
      <c r="BE31" s="167">
        <f t="shared" si="8"/>
        <v>1.2908273789105126E-3</v>
      </c>
    </row>
    <row r="32" spans="1:57" ht="12" customHeight="1" x14ac:dyDescent="0.2">
      <c r="D32" s="115">
        <v>0</v>
      </c>
      <c r="E32" s="390" t="s">
        <v>40</v>
      </c>
      <c r="F32" s="391">
        <f>_xll.qlCalendarAdvance(Calendar,SettlementDate,D32&amp;"M","mf",TRUE,Trigger)</f>
        <v>42160</v>
      </c>
      <c r="G32" s="392">
        <f>_xll.qlCalendarAdvance(Calendar,SettlementDate,E32,"mf",TRUE,Trigger)</f>
        <v>42191</v>
      </c>
      <c r="H32" s="393">
        <f>_xll.qlYieldTSDiscount(Discounting,F32,,AllTriggers)</f>
        <v>1.0000066667000043</v>
      </c>
      <c r="I32" s="393">
        <f>_xll.qlYieldTSDiscount(Discounting,G32,,AllTriggers)</f>
        <v>1.0001090930777232</v>
      </c>
      <c r="J32" s="394">
        <f>_xll.qlDayCounterYearFraction(DayCounter,SettlementDate,F32,,,Trigger)</f>
        <v>0</v>
      </c>
      <c r="K32" s="394">
        <f>_xll.qlDayCounterYearFraction(DayCounter,SettlementDate,G32,,,Trigger)</f>
        <v>8.611111111111111E-2</v>
      </c>
      <c r="L32" s="395">
        <f t="shared" si="31"/>
        <v>-1.1893378636920837E-3</v>
      </c>
      <c r="M32" s="406">
        <f t="shared" si="30"/>
        <v>-8.9452675406297822E-5</v>
      </c>
      <c r="N32" s="396">
        <f t="shared" si="30"/>
        <v>-6.3637478493257468E-5</v>
      </c>
      <c r="O32" s="396">
        <f t="shared" si="30"/>
        <v>-1.6910707241620912E-4</v>
      </c>
      <c r="P32" s="407">
        <f t="shared" si="30"/>
        <v>-5.9532974532546196E-4</v>
      </c>
      <c r="Q32" s="406">
        <f t="shared" si="30"/>
        <v>6.4169548995753102E-5</v>
      </c>
      <c r="R32" s="396">
        <f t="shared" si="30"/>
        <v>6.2139236824463749E-5</v>
      </c>
      <c r="S32" s="396">
        <f t="shared" si="30"/>
        <v>8.8489958919123156E-5</v>
      </c>
      <c r="T32" s="407">
        <f t="shared" si="30"/>
        <v>8.2338648064889293E-5</v>
      </c>
      <c r="W32" s="396">
        <f t="shared" si="32"/>
        <v>8.2338648064889293E-5</v>
      </c>
      <c r="AI32" s="337" t="s">
        <v>154</v>
      </c>
      <c r="AJ32" s="338"/>
      <c r="AK32" s="338"/>
      <c r="AL32" s="338"/>
      <c r="AM32" s="338"/>
      <c r="AN32" s="338"/>
      <c r="AO32" s="338" t="s">
        <v>155</v>
      </c>
      <c r="AP32" s="338"/>
      <c r="AQ32" s="338"/>
      <c r="AR32" s="338"/>
      <c r="AS32" s="338"/>
      <c r="AT32" s="353"/>
      <c r="AV32" s="169">
        <f>_xll.qlCalendarAdvance(Calendar,AV31,"1d","mf",,Trigger)</f>
        <v>42200</v>
      </c>
      <c r="AW32" s="155">
        <f>_xll.qlDayCounterYearFraction(DayCounter,SettlementDate,AV32,,,Trigger)</f>
        <v>0.1111111111111111</v>
      </c>
      <c r="AX32" s="167">
        <f t="shared" si="2"/>
        <v>1.1537744856493196E-3</v>
      </c>
      <c r="AY32" s="167">
        <f t="shared" si="3"/>
        <v>1.0954476658410369E-3</v>
      </c>
      <c r="AZ32" s="167">
        <f t="shared" si="4"/>
        <v>1.1506090810364292E-3</v>
      </c>
      <c r="BA32" s="167">
        <f t="shared" si="5"/>
        <v>8.7252480064815765E-4</v>
      </c>
      <c r="BB32" s="167">
        <f t="shared" si="5"/>
        <v>1.2691816297866556E-3</v>
      </c>
      <c r="BC32" s="167">
        <f t="shared" si="6"/>
        <v>1.2975715942810889E-3</v>
      </c>
      <c r="BD32" s="167">
        <f t="shared" si="7"/>
        <v>1.2676480120116429E-3</v>
      </c>
      <c r="BE32" s="167">
        <f t="shared" si="8"/>
        <v>1.2916551930370113E-3</v>
      </c>
    </row>
    <row r="33" spans="4:57" ht="12" customHeight="1" x14ac:dyDescent="0.2">
      <c r="D33" s="115">
        <v>0</v>
      </c>
      <c r="E33" s="168" t="s">
        <v>47</v>
      </c>
      <c r="F33" s="153">
        <f>_xll.qlCalendarAdvance(Calendar,SettlementDate,D33&amp;"M","mf",TRUE,Trigger)</f>
        <v>42160</v>
      </c>
      <c r="G33" s="169">
        <f>_xll.qlCalendarAdvance(Calendar,SettlementDate,E33,"mf",TRUE,Trigger)</f>
        <v>42221</v>
      </c>
      <c r="H33" s="194">
        <f>_xll.qlYieldTSDiscount(Discounting,F33,,AllTriggers)</f>
        <v>1.0000066667000043</v>
      </c>
      <c r="I33" s="194">
        <f>_xll.qlYieldTSDiscount(Discounting,G33,,AllTriggers)</f>
        <v>1.0002130018004083</v>
      </c>
      <c r="J33" s="155">
        <f>_xll.qlDayCounterYearFraction(DayCounter,SettlementDate,F33,,,Trigger)</f>
        <v>0</v>
      </c>
      <c r="K33" s="155">
        <f>_xll.qlDayCounterYearFraction(DayCounter,SettlementDate,G33,,,Trigger)</f>
        <v>0.16944444444444445</v>
      </c>
      <c r="L33" s="201">
        <f t="shared" si="31"/>
        <v>-1.2174560263214643E-3</v>
      </c>
      <c r="M33" s="404">
        <f t="shared" si="30"/>
        <v>-8.4678892117945236E-5</v>
      </c>
      <c r="N33" s="389">
        <f t="shared" si="30"/>
        <v>-7.501195081935045E-5</v>
      </c>
      <c r="O33" s="389">
        <f t="shared" si="30"/>
        <v>-1.5127460133595186E-4</v>
      </c>
      <c r="P33" s="405">
        <f t="shared" si="30"/>
        <v>-4.5946348203145535E-4</v>
      </c>
      <c r="Q33" s="404">
        <f t="shared" si="30"/>
        <v>4.5545977455115232E-5</v>
      </c>
      <c r="R33" s="389">
        <f t="shared" si="30"/>
        <v>4.3875594343286022E-5</v>
      </c>
      <c r="S33" s="389">
        <f t="shared" si="30"/>
        <v>7.2358157242984625E-5</v>
      </c>
      <c r="T33" s="405">
        <f t="shared" si="30"/>
        <v>6.6426264462730527E-5</v>
      </c>
      <c r="U33" s="398" t="str">
        <f>"Fixing "&amp;DAY(_xll.qlInterestRateIndexFixingDate($F$23,'6MSynthDepo_used'!G4))&amp;"/"&amp;MONTH(_xll.qlInterestRateIndexFixingDate($F$23,'6MSynthDepo_used'!G4))</f>
        <v>Fixing 3/6</v>
      </c>
      <c r="W33" s="389">
        <f t="shared" si="32"/>
        <v>6.6426264462730527E-5</v>
      </c>
      <c r="AI33" s="339"/>
      <c r="AJ33" s="117"/>
      <c r="AK33" s="377" t="s">
        <v>84</v>
      </c>
      <c r="AL33" s="378"/>
      <c r="AM33" s="117"/>
      <c r="AN33" s="117"/>
      <c r="AO33" s="377" t="s">
        <v>84</v>
      </c>
      <c r="AP33" s="378"/>
      <c r="AQ33" s="117"/>
      <c r="AR33" s="117"/>
      <c r="AS33" s="117"/>
      <c r="AT33" s="352"/>
      <c r="AV33" s="169">
        <f>_xll.qlCalendarAdvance(Calendar,AV32,"1d","mf",,Trigger)</f>
        <v>42201</v>
      </c>
      <c r="AW33" s="155">
        <f>_xll.qlDayCounterYearFraction(DayCounter,SettlementDate,AV33,,,Trigger)</f>
        <v>0.11388888888888889</v>
      </c>
      <c r="AX33" s="167">
        <f t="shared" si="2"/>
        <v>1.1559715768569745E-3</v>
      </c>
      <c r="AY33" s="167">
        <f t="shared" si="3"/>
        <v>1.098515306598069E-3</v>
      </c>
      <c r="AZ33" s="167">
        <f t="shared" si="4"/>
        <v>1.1519593773457969E-3</v>
      </c>
      <c r="BA33" s="167">
        <f t="shared" si="5"/>
        <v>8.8253271557039016E-4</v>
      </c>
      <c r="BB33" s="167">
        <f t="shared" si="5"/>
        <v>1.2698189149739701E-3</v>
      </c>
      <c r="BC33" s="167">
        <f t="shared" si="6"/>
        <v>1.298374990261287E-3</v>
      </c>
      <c r="BD33" s="167">
        <f t="shared" si="7"/>
        <v>1.2683173359275038E-3</v>
      </c>
      <c r="BE33" s="167">
        <f t="shared" si="8"/>
        <v>1.2924841153115658E-3</v>
      </c>
    </row>
    <row r="34" spans="4:57" ht="12" customHeight="1" thickBot="1" x14ac:dyDescent="0.25">
      <c r="D34" s="115">
        <v>0</v>
      </c>
      <c r="E34" s="172" t="s">
        <v>41</v>
      </c>
      <c r="F34" s="158">
        <f>_xll.qlCalendarAdvance(Calendar,SettlementDate,D34&amp;"M","mf",TRUE,Trigger)</f>
        <v>42160</v>
      </c>
      <c r="G34" s="173">
        <f>_xll.qlCalendarAdvance(Calendar,SettlementDate,E34,"mf",TRUE,Trigger)</f>
        <v>42254</v>
      </c>
      <c r="H34" s="196">
        <f>_xll.qlYieldTSDiscount(Discounting,F34,,AllTriggers)</f>
        <v>1.0000066667000043</v>
      </c>
      <c r="I34" s="196">
        <f>_xll.qlYieldTSDiscount(Discounting,G34,,AllTriggers)</f>
        <v>1.0003339478197761</v>
      </c>
      <c r="J34" s="160">
        <f>_xll.qlDayCounterYearFraction(DayCounter,SettlementDate,F34,,,Trigger)</f>
        <v>0</v>
      </c>
      <c r="K34" s="160">
        <f>_xll.qlDayCounterYearFraction(DayCounter,SettlementDate,G34,,,Trigger)</f>
        <v>0.26111111111111113</v>
      </c>
      <c r="L34" s="477">
        <f>(H34/I34-1)/(K34-J34)</f>
        <v>-1.2529986182886782E-3</v>
      </c>
      <c r="M34" s="404">
        <f t="shared" si="30"/>
        <v>-8.4048589569820541E-5</v>
      </c>
      <c r="N34" s="389">
        <f t="shared" si="30"/>
        <v>-8.4048589569820541E-5</v>
      </c>
      <c r="O34" s="389">
        <f t="shared" si="30"/>
        <v>-1.3628006004323087E-4</v>
      </c>
      <c r="P34" s="405">
        <f t="shared" si="30"/>
        <v>-3.47354934290727E-4</v>
      </c>
      <c r="Q34" s="404">
        <f t="shared" si="30"/>
        <v>2.0439044685674535E-5</v>
      </c>
      <c r="R34" s="389">
        <f t="shared" si="30"/>
        <v>1.9448018660176165E-5</v>
      </c>
      <c r="S34" s="389">
        <f t="shared" si="30"/>
        <v>4.9992056472364489E-5</v>
      </c>
      <c r="T34" s="405">
        <f t="shared" si="30"/>
        <v>4.4685527982549503E-5</v>
      </c>
      <c r="U34" s="397">
        <f>'Delta 3M'!I4</f>
        <v>-1.4000000000000001E-4</v>
      </c>
      <c r="W34" s="371">
        <f t="shared" si="32"/>
        <v>4.4685527982549503E-5</v>
      </c>
      <c r="AI34" s="339"/>
      <c r="AJ34" s="117"/>
      <c r="AK34" s="326" t="s">
        <v>139</v>
      </c>
      <c r="AL34" s="333">
        <v>5.3004314855372585E-5</v>
      </c>
      <c r="AM34" s="117"/>
      <c r="AN34" s="117"/>
      <c r="AO34" s="326" t="s">
        <v>139</v>
      </c>
      <c r="AP34" s="333">
        <v>7.1807994007859583E-5</v>
      </c>
      <c r="AQ34" s="117"/>
      <c r="AR34" s="117"/>
      <c r="AS34" s="117"/>
      <c r="AT34" s="352"/>
      <c r="AV34" s="169">
        <f>_xll.qlCalendarAdvance(Calendar,AV33,"1d","mf",,Trigger)</f>
        <v>42202</v>
      </c>
      <c r="AW34" s="155">
        <f>_xll.qlDayCounterYearFraction(DayCounter,SettlementDate,AV34,,,Trigger)</f>
        <v>0.11666666666666667</v>
      </c>
      <c r="AX34" s="167">
        <f t="shared" si="2"/>
        <v>1.1581686680646292E-3</v>
      </c>
      <c r="AY34" s="167">
        <f t="shared" si="3"/>
        <v>1.1015829473551013E-3</v>
      </c>
      <c r="AZ34" s="167">
        <f t="shared" si="4"/>
        <v>1.153333038885745E-3</v>
      </c>
      <c r="BA34" s="167">
        <f t="shared" si="5"/>
        <v>8.9244620499377627E-4</v>
      </c>
      <c r="BB34" s="167">
        <f t="shared" si="5"/>
        <v>1.2704562001612848E-3</v>
      </c>
      <c r="BC34" s="167">
        <f t="shared" si="6"/>
        <v>1.2991783862414852E-3</v>
      </c>
      <c r="BD34" s="167">
        <f t="shared" si="7"/>
        <v>1.2689874778111865E-3</v>
      </c>
      <c r="BE34" s="167">
        <f t="shared" si="8"/>
        <v>1.2933141457341756E-3</v>
      </c>
    </row>
    <row r="35" spans="4:57" ht="12" customHeight="1" x14ac:dyDescent="0.2">
      <c r="D35" s="115">
        <v>1</v>
      </c>
      <c r="E35" s="168" t="str">
        <f>D35+SUBSTITUTE($F$22,"M","")&amp;"M"</f>
        <v>4M</v>
      </c>
      <c r="F35" s="153">
        <f>_xll.qlCalendarAdvance(Calendar,SettlementDate,D35&amp;"M","mf",TRUE,Trigger)</f>
        <v>42191</v>
      </c>
      <c r="G35" s="153">
        <f>_xll.qlCalendarAdvance(Calendar,SettlementDate,E35,"mf",TRUE,Trigger)</f>
        <v>42282</v>
      </c>
      <c r="H35" s="194">
        <f>_xll.qlYieldTSDiscount(Discounting,F35,,AllTriggers)</f>
        <v>1.0001090930777232</v>
      </c>
      <c r="I35" s="194">
        <f>_xll.qlYieldTSDiscount(Discounting,G35,,AllTriggers)</f>
        <v>1.0004332970861023</v>
      </c>
      <c r="J35" s="155">
        <f>_xll.qlDayCounterYearFraction(DayCounter,SettlementDate,F35,,,Trigger)</f>
        <v>8.611111111111111E-2</v>
      </c>
      <c r="K35" s="155">
        <f>_xll.qlDayCounterYearFraction(DayCounter,SettlementDate,G35,,,Trigger)</f>
        <v>0.33888888888888891</v>
      </c>
      <c r="L35" s="201">
        <f>(H35/I35-1)/(K35-J35)</f>
        <v>-1.2820098167550845E-3</v>
      </c>
      <c r="M35" s="420">
        <f t="shared" si="30"/>
        <v>-4.8248979037157026E-5</v>
      </c>
      <c r="N35" s="420">
        <f t="shared" si="30"/>
        <v>-5.9122523011389366E-5</v>
      </c>
      <c r="O35" s="420">
        <f t="shared" si="30"/>
        <v>-7.4800327358444404E-5</v>
      </c>
      <c r="P35" s="421">
        <f t="shared" si="30"/>
        <v>-1.3815813172490932E-4</v>
      </c>
      <c r="Q35" s="422">
        <f t="shared" si="30"/>
        <v>1.0224964340716019E-5</v>
      </c>
      <c r="R35" s="420">
        <f t="shared" si="30"/>
        <v>1.0672935223083074E-5</v>
      </c>
      <c r="S35" s="420">
        <f t="shared" si="30"/>
        <v>4.4678211849290323E-5</v>
      </c>
      <c r="T35" s="420">
        <f t="shared" si="30"/>
        <v>4.0793777060519616E-5</v>
      </c>
      <c r="U35" s="180">
        <f>'6MSynthDepo_used'!I5</f>
        <v>6.4000000000000005E-4</v>
      </c>
      <c r="AI35" s="339"/>
      <c r="AJ35" s="117"/>
      <c r="AK35" s="326" t="s">
        <v>140</v>
      </c>
      <c r="AL35" s="333">
        <v>2.2903063886749338E-4</v>
      </c>
      <c r="AM35" s="117"/>
      <c r="AN35" s="117"/>
      <c r="AO35" s="326" t="s">
        <v>140</v>
      </c>
      <c r="AP35" s="333">
        <v>2.822552201878188E-4</v>
      </c>
      <c r="AQ35" s="117"/>
      <c r="AR35" s="117"/>
      <c r="AS35" s="117"/>
      <c r="AT35" s="352"/>
      <c r="AV35" s="169">
        <f>_xll.qlCalendarAdvance(Calendar,AV34,"1d","mf",,Trigger)</f>
        <v>42205</v>
      </c>
      <c r="AW35" s="155">
        <f>_xll.qlDayCounterYearFraction(DayCounter,SettlementDate,AV35,,,Trigger)</f>
        <v>0.125</v>
      </c>
      <c r="AX35" s="167">
        <f>M$24+M$23*$AW35+M$22*$AW35^2</f>
        <v>1.1647599416875938E-3</v>
      </c>
      <c r="AY35" s="167">
        <f>O$24+O$23*$AW35+O$22*$AW35^2</f>
        <v>1.1107858696261979E-3</v>
      </c>
      <c r="AZ35" s="167">
        <f>N$24+N$23*$AW35+N$22*$AW35^2</f>
        <v>1.1575942148890719E-3</v>
      </c>
      <c r="BA35" s="167">
        <f>P$24+P$23*$AW35+P$22*$AW35^2</f>
        <v>9.2162012027085724E-4</v>
      </c>
      <c r="BB35" s="167">
        <f>Q$24+Q$23*$AW35+Q$22*$AW35^2</f>
        <v>1.2723680557232288E-3</v>
      </c>
      <c r="BC35" s="167">
        <f>S$24+S$23*$AW35+S$22*$AW35^2</f>
        <v>1.3015885741820793E-3</v>
      </c>
      <c r="BD35" s="167">
        <f>R$24+R$23*$AW35+R$22*$AW35^2</f>
        <v>1.2710028112691662E-3</v>
      </c>
      <c r="BE35" s="167">
        <f>T$24+T$23*$AW35+T$22*$AW35^2</f>
        <v>1.2958108858903399E-3</v>
      </c>
    </row>
    <row r="36" spans="4:57" ht="12" customHeight="1" x14ac:dyDescent="0.2">
      <c r="D36" s="115">
        <v>2</v>
      </c>
      <c r="E36" s="168" t="str">
        <f t="shared" ref="E36:E40" si="33">D36+SUBSTITUTE($F$22,"M","")&amp;"M"</f>
        <v>5M</v>
      </c>
      <c r="F36" s="153">
        <f>_xll.qlCalendarAdvance(Calendar,SettlementDate,D36&amp;"M","mf",TRUE,Trigger)</f>
        <v>42221</v>
      </c>
      <c r="G36" s="153">
        <f>_xll.qlCalendarAdvance(Calendar,SettlementDate,E36,"mf",TRUE,Trigger)</f>
        <v>42313</v>
      </c>
      <c r="H36" s="194">
        <f>_xll.qlYieldTSDiscount(Discounting,F36,,AllTriggers)</f>
        <v>1.0002130018004083</v>
      </c>
      <c r="I36" s="194">
        <f>_xll.qlYieldTSDiscount(Discounting,G36,,AllTriggers)</f>
        <v>1.0005430435247975</v>
      </c>
      <c r="J36" s="155">
        <f>_xll.qlDayCounterYearFraction(DayCounter,SettlementDate,F36,,,Trigger)</f>
        <v>0.16944444444444445</v>
      </c>
      <c r="K36" s="155">
        <f>_xll.qlDayCounterYearFraction(DayCounter,SettlementDate,G36,,,Trigger)</f>
        <v>0.42499999999999999</v>
      </c>
      <c r="L36" s="201">
        <f t="shared" si="31"/>
        <v>-1.2907666746902783E-3</v>
      </c>
      <c r="M36" s="167">
        <f t="shared" si="30"/>
        <v>1.0000000000239288E-5</v>
      </c>
      <c r="N36" s="167">
        <f t="shared" si="30"/>
        <v>1.0000000000239288E-5</v>
      </c>
      <c r="O36" s="167">
        <f t="shared" si="30"/>
        <v>1.0000000000239288E-5</v>
      </c>
      <c r="P36" s="423">
        <f t="shared" si="30"/>
        <v>1.0000000000239288E-5</v>
      </c>
      <c r="Q36" s="424">
        <f t="shared" si="30"/>
        <v>2.0900183812318051E-5</v>
      </c>
      <c r="R36" s="167">
        <f t="shared" si="30"/>
        <v>2.3610173101813075E-5</v>
      </c>
      <c r="S36" s="167">
        <f t="shared" si="30"/>
        <v>6.0419982072295433E-5</v>
      </c>
      <c r="T36" s="167">
        <f t="shared" si="30"/>
        <v>5.9054743939316367E-5</v>
      </c>
      <c r="U36" s="167">
        <f>'6MSynthDepo_used'!I6</f>
        <v>7.1000000000000013E-4</v>
      </c>
      <c r="AI36" s="339"/>
      <c r="AJ36" s="117"/>
      <c r="AK36" s="326" t="s">
        <v>35</v>
      </c>
      <c r="AL36" s="333">
        <v>1.2415457889911143E-3</v>
      </c>
      <c r="AM36" s="117"/>
      <c r="AN36" s="117"/>
      <c r="AO36" s="326" t="s">
        <v>35</v>
      </c>
      <c r="AP36" s="333">
        <v>1.2594069834604899E-3</v>
      </c>
      <c r="AQ36" s="117"/>
      <c r="AR36" s="117"/>
      <c r="AS36" s="117"/>
      <c r="AT36" s="352"/>
      <c r="AV36" s="169">
        <f>_xll.qlCalendarAdvance(Calendar,AV35,"1d","mf",,Trigger)</f>
        <v>42206</v>
      </c>
      <c r="AW36" s="155">
        <f>_xll.qlDayCounterYearFraction(DayCounter,SettlementDate,AV36,,,Trigger)</f>
        <v>0.12777777777777777</v>
      </c>
      <c r="AX36" s="167">
        <f>M$24+M$23*$AW36+M$22*$AW36^2</f>
        <v>1.1669570328952487E-3</v>
      </c>
      <c r="AY36" s="167">
        <f>O$24+O$23*$AW36+O$22*$AW36^2</f>
        <v>1.11385351038323E-3</v>
      </c>
      <c r="AZ36" s="167">
        <f>N$24+N$23*$AW36+N$22*$AW36^2</f>
        <v>1.1590613373513418E-3</v>
      </c>
      <c r="BA36" s="167">
        <f>P$24+P$23*$AW36+P$22*$AW36^2</f>
        <v>9.3115590769885838E-4</v>
      </c>
      <c r="BB36" s="167">
        <f>Q$24+Q$23*$AW36+Q$22*$AW36^2</f>
        <v>1.2730053409105433E-3</v>
      </c>
      <c r="BC36" s="167">
        <f>S$24+S$23*$AW36+S$22*$AW36^2</f>
        <v>1.3023919701622775E-3</v>
      </c>
      <c r="BD36" s="167">
        <f>R$24+R$23*$AW36+R$22*$AW36^2</f>
        <v>1.2716762250241365E-3</v>
      </c>
      <c r="BE36" s="167">
        <f>T$24+T$23*$AW36+T$22*$AW36^2</f>
        <v>1.2966453489051729E-3</v>
      </c>
    </row>
    <row r="37" spans="4:57" ht="12" customHeight="1" x14ac:dyDescent="0.2">
      <c r="D37" s="115">
        <v>3</v>
      </c>
      <c r="E37" s="168" t="str">
        <f t="shared" si="33"/>
        <v>6M</v>
      </c>
      <c r="F37" s="153">
        <f>_xll.qlCalendarAdvance(Calendar,SettlementDate,D37&amp;"M","mf",TRUE,Trigger)</f>
        <v>42254</v>
      </c>
      <c r="G37" s="153">
        <f>_xll.qlCalendarAdvance(Calendar,SettlementDate,E37,"mf",TRUE,Trigger)</f>
        <v>42345</v>
      </c>
      <c r="H37" s="194">
        <f>_xll.qlYieldTSDiscount(Discounting,F37,,AllTriggers)</f>
        <v>1.0003339478197761</v>
      </c>
      <c r="I37" s="194">
        <f>_xll.qlYieldTSDiscount(Discounting,G37,,AllTriggers)</f>
        <v>1.0006564659042034</v>
      </c>
      <c r="J37" s="155">
        <f>_xll.qlDayCounterYearFraction(DayCounter,SettlementDate,F37,,,Trigger)</f>
        <v>0.26111111111111113</v>
      </c>
      <c r="K37" s="155">
        <f>_xll.qlDayCounterYearFraction(DayCounter,SettlementDate,G37,,,Trigger)</f>
        <v>0.51388888888888884</v>
      </c>
      <c r="L37" s="201">
        <f t="shared" si="31"/>
        <v>-1.2750586860603053E-3</v>
      </c>
      <c r="M37" s="167">
        <f t="shared" si="30"/>
        <v>9.7122042904721479E-5</v>
      </c>
      <c r="N37" s="167">
        <f t="shared" si="30"/>
        <v>1.3226193455000989E-4</v>
      </c>
      <c r="O37" s="167">
        <f t="shared" si="30"/>
        <v>1.2541569903217031E-4</v>
      </c>
      <c r="P37" s="423">
        <f t="shared" si="30"/>
        <v>9.774824751991613E-5</v>
      </c>
      <c r="Q37" s="424">
        <f t="shared" si="30"/>
        <v>5.732771121901428E-5</v>
      </c>
      <c r="R37" s="167">
        <f t="shared" si="30"/>
        <v>6.3272619593822592E-5</v>
      </c>
      <c r="S37" s="167">
        <f t="shared" si="30"/>
        <v>1.0224660552951848E-4</v>
      </c>
      <c r="T37" s="167">
        <f t="shared" si="30"/>
        <v>1.0468283256852394E-4</v>
      </c>
      <c r="U37" s="167">
        <f>'6MSynthDepo_used'!I7</f>
        <v>7.7000000000000018E-4</v>
      </c>
      <c r="AI37" s="339"/>
      <c r="AJ37" s="117"/>
      <c r="AK37" s="326" t="s">
        <v>36</v>
      </c>
      <c r="AL37" s="417">
        <f>SUMSQ(_xll.ohFilter(X14:X20,Y14:Y20))</f>
        <v>9.7241528050252057E-11</v>
      </c>
      <c r="AM37" s="117"/>
      <c r="AN37" s="117"/>
      <c r="AO37" s="326" t="s">
        <v>36</v>
      </c>
      <c r="AP37" s="417">
        <f>SUMSQ(_xll.ohFilter(AF14:AF20,AG14:AG20))</f>
        <v>3.016161155459345E-10</v>
      </c>
      <c r="AQ37" s="117"/>
      <c r="AR37" s="117"/>
      <c r="AS37" s="117"/>
      <c r="AT37" s="352"/>
      <c r="AV37" s="169">
        <f>_xll.qlCalendarAdvance(Calendar,AV36,"1d","mf",,Trigger)</f>
        <v>42207</v>
      </c>
      <c r="AW37" s="155">
        <f>_xll.qlDayCounterYearFraction(DayCounter,SettlementDate,AV37,,,Trigger)</f>
        <v>0.13055555555555556</v>
      </c>
      <c r="AX37" s="167">
        <f t="shared" si="2"/>
        <v>1.1691541241029035E-3</v>
      </c>
      <c r="AY37" s="167">
        <f t="shared" si="3"/>
        <v>1.1169211511402623E-3</v>
      </c>
      <c r="AZ37" s="167">
        <f t="shared" si="4"/>
        <v>1.1605518250441924E-3</v>
      </c>
      <c r="BA37" s="167">
        <f t="shared" ref="BA37:BB67" si="34">P$24+P$23*$AW37+P$22*$AW37^2</f>
        <v>9.4059726962801321E-4</v>
      </c>
      <c r="BB37" s="167">
        <f t="shared" si="34"/>
        <v>1.273642626097858E-3</v>
      </c>
      <c r="BC37" s="167">
        <f t="shared" si="6"/>
        <v>1.3031953661424755E-3</v>
      </c>
      <c r="BD37" s="167">
        <f t="shared" si="7"/>
        <v>1.2723504567469285E-3</v>
      </c>
      <c r="BE37" s="167">
        <f t="shared" si="8"/>
        <v>1.2974809200680614E-3</v>
      </c>
    </row>
    <row r="38" spans="4:57" ht="12" customHeight="1" x14ac:dyDescent="0.2">
      <c r="D38" s="115">
        <v>4</v>
      </c>
      <c r="E38" s="168" t="str">
        <f t="shared" si="33"/>
        <v>7M</v>
      </c>
      <c r="F38" s="153">
        <f>_xll.qlCalendarAdvance(Calendar,SettlementDate,D38&amp;"M","mf",TRUE,Trigger)</f>
        <v>42282</v>
      </c>
      <c r="G38" s="153">
        <f>_xll.qlCalendarAdvance(Calendar,SettlementDate,E38,"mf",TRUE,Trigger)</f>
        <v>42374</v>
      </c>
      <c r="H38" s="194">
        <f>_xll.qlYieldTSDiscount(Discounting,F38,,AllTriggers)</f>
        <v>1.0004332970861023</v>
      </c>
      <c r="I38" s="194">
        <f>_xll.qlYieldTSDiscount(Discounting,G38,,AllTriggers)</f>
        <v>1.000739596566798</v>
      </c>
      <c r="J38" s="155">
        <f>_xll.qlDayCounterYearFraction(DayCounter,SettlementDate,F38,,,Trigger)</f>
        <v>0.33888888888888891</v>
      </c>
      <c r="K38" s="155">
        <f>_xll.qlDayCounterYearFraction(DayCounter,SettlementDate,G38,,,Trigger)</f>
        <v>0.59444444444444444</v>
      </c>
      <c r="L38" s="201">
        <f t="shared" si="31"/>
        <v>-1.1976773872474813E-3</v>
      </c>
      <c r="M38" s="167">
        <f t="shared" si="30"/>
        <v>2.3714863301626607E-4</v>
      </c>
      <c r="N38" s="167">
        <f t="shared" si="30"/>
        <v>3.2375242007102713E-4</v>
      </c>
      <c r="O38" s="167">
        <f t="shared" si="30"/>
        <v>2.902557342042362E-4</v>
      </c>
      <c r="P38" s="423">
        <f t="shared" si="30"/>
        <v>1.5488908245638819E-4</v>
      </c>
      <c r="Q38" s="424">
        <f t="shared" si="30"/>
        <v>1.528964077094401E-4</v>
      </c>
      <c r="R38" s="167">
        <f t="shared" si="30"/>
        <v>1.6240104253558178E-4</v>
      </c>
      <c r="S38" s="167">
        <f t="shared" si="30"/>
        <v>2.0255080880549062E-4</v>
      </c>
      <c r="T38" s="167">
        <f t="shared" si="30"/>
        <v>2.0929996267431321E-4</v>
      </c>
      <c r="U38" s="167">
        <f>'6MSynthDepo_used'!I8</f>
        <v>8.200000000000002E-4</v>
      </c>
      <c r="AI38" s="340"/>
      <c r="AJ38" s="341"/>
      <c r="AK38" s="341"/>
      <c r="AL38" s="341"/>
      <c r="AM38" s="341"/>
      <c r="AN38" s="341"/>
      <c r="AO38" s="341"/>
      <c r="AP38" s="341"/>
      <c r="AQ38" s="341"/>
      <c r="AR38" s="341"/>
      <c r="AS38" s="341"/>
      <c r="AT38" s="354"/>
      <c r="AV38" s="169">
        <f>_xll.qlCalendarAdvance(Calendar,AV37,"1d","mf",,Trigger)</f>
        <v>42208</v>
      </c>
      <c r="AW38" s="155">
        <f>_xll.qlDayCounterYearFraction(DayCounter,SettlementDate,AV38,,,Trigger)</f>
        <v>0.13333333333333333</v>
      </c>
      <c r="AX38" s="167">
        <f t="shared" si="2"/>
        <v>1.1713512153105584E-3</v>
      </c>
      <c r="AY38" s="167">
        <f t="shared" si="3"/>
        <v>1.1199887918972944E-3</v>
      </c>
      <c r="AZ38" s="167">
        <f t="shared" si="4"/>
        <v>1.1620656779676231E-3</v>
      </c>
      <c r="BA38" s="167">
        <f t="shared" si="34"/>
        <v>9.4994420605832186E-4</v>
      </c>
      <c r="BB38" s="167">
        <f t="shared" si="34"/>
        <v>1.2742799112851727E-3</v>
      </c>
      <c r="BC38" s="167">
        <f t="shared" si="6"/>
        <v>1.3039987621226736E-3</v>
      </c>
      <c r="BD38" s="167">
        <f t="shared" si="7"/>
        <v>1.2730255064375424E-3</v>
      </c>
      <c r="BE38" s="167">
        <f t="shared" si="8"/>
        <v>1.2983175993790056E-3</v>
      </c>
    </row>
    <row r="39" spans="4:57" x14ac:dyDescent="0.2">
      <c r="D39" s="115">
        <v>5</v>
      </c>
      <c r="E39" s="168" t="str">
        <f t="shared" si="33"/>
        <v>8M</v>
      </c>
      <c r="F39" s="153">
        <f>_xll.qlCalendarAdvance(Calendar,SettlementDate,D39&amp;"M","mf",TRUE,Trigger)</f>
        <v>42313</v>
      </c>
      <c r="G39" s="153">
        <f>_xll.qlCalendarAdvance(Calendar,SettlementDate,E39,"mf",TRUE,Trigger)</f>
        <v>42405</v>
      </c>
      <c r="H39" s="194">
        <f>_xll.qlYieldTSDiscount(Discounting,F39,,AllTriggers)</f>
        <v>1.0005430435247975</v>
      </c>
      <c r="I39" s="194">
        <f>_xll.qlYieldTSDiscount(Discounting,G39,,AllTriggers)</f>
        <v>1.0008482008478627</v>
      </c>
      <c r="J39" s="155">
        <f>_xll.qlDayCounterYearFraction(DayCounter,SettlementDate,F39,,,Trigger)</f>
        <v>0.42499999999999999</v>
      </c>
      <c r="K39" s="155">
        <f>_xll.qlDayCounterYearFraction(DayCounter,SettlementDate,G39,,,Trigger)</f>
        <v>0.68055555555555558</v>
      </c>
      <c r="L39" s="201">
        <f t="shared" si="31"/>
        <v>-1.1930818997851753E-3</v>
      </c>
      <c r="M39" s="167">
        <f t="shared" si="30"/>
        <v>3.0986043407990718E-4</v>
      </c>
      <c r="N39" s="167">
        <f t="shared" si="30"/>
        <v>4.7380185449030771E-4</v>
      </c>
      <c r="O39" s="167">
        <f t="shared" si="30"/>
        <v>3.8995815441886114E-4</v>
      </c>
      <c r="P39" s="423">
        <f t="shared" si="30"/>
        <v>5.114036919852947E-5</v>
      </c>
      <c r="Q39" s="424">
        <f t="shared" si="30"/>
        <v>1.7725016759296682E-4</v>
      </c>
      <c r="R39" s="167">
        <f t="shared" si="30"/>
        <v>1.9137433669769163E-4</v>
      </c>
      <c r="S39" s="167">
        <f t="shared" si="30"/>
        <v>2.3205461428074062E-4</v>
      </c>
      <c r="T39" s="167">
        <f t="shared" si="30"/>
        <v>2.4450790673364475E-4</v>
      </c>
      <c r="U39" s="167">
        <f>'6MSynthDepo_used'!I9</f>
        <v>8.8999999999999995E-4</v>
      </c>
      <c r="AH39" s="117"/>
      <c r="AI39" s="117"/>
      <c r="AJ39" s="117"/>
      <c r="AV39" s="169">
        <f>_xll.qlCalendarAdvance(Calendar,AV38,"1d","mf",,Trigger)</f>
        <v>42209</v>
      </c>
      <c r="AW39" s="155">
        <f>_xll.qlDayCounterYearFraction(DayCounter,SettlementDate,AV39,,,Trigger)</f>
        <v>0.1361111111111111</v>
      </c>
      <c r="AX39" s="167">
        <f t="shared" si="2"/>
        <v>1.1735483065182131E-3</v>
      </c>
      <c r="AY39" s="167">
        <f t="shared" si="3"/>
        <v>1.1230564326543267E-3</v>
      </c>
      <c r="AZ39" s="167">
        <f t="shared" si="4"/>
        <v>1.1636028961216343E-3</v>
      </c>
      <c r="BA39" s="167">
        <f t="shared" si="34"/>
        <v>9.5919671698978422E-4</v>
      </c>
      <c r="BB39" s="167">
        <f t="shared" si="34"/>
        <v>1.2749171964724873E-3</v>
      </c>
      <c r="BC39" s="167">
        <f t="shared" si="6"/>
        <v>1.3048021581028718E-3</v>
      </c>
      <c r="BD39" s="167">
        <f t="shared" si="7"/>
        <v>1.2737013740959778E-3</v>
      </c>
      <c r="BE39" s="167">
        <f t="shared" si="8"/>
        <v>1.2991553868380052E-3</v>
      </c>
    </row>
    <row r="40" spans="4:57" x14ac:dyDescent="0.2">
      <c r="D40" s="115">
        <v>6</v>
      </c>
      <c r="E40" s="435" t="str">
        <f t="shared" si="33"/>
        <v>9M</v>
      </c>
      <c r="F40" s="436">
        <f>_xll.qlCalendarAdvance(Calendar,SettlementDate,D40&amp;"M","mf",TRUE,Trigger)</f>
        <v>42345</v>
      </c>
      <c r="G40" s="436">
        <f>_xll.qlCalendarAdvance(Calendar,SettlementDate,E40,"mf",TRUE,Trigger)</f>
        <v>42436</v>
      </c>
      <c r="H40" s="437">
        <f>_xll.qlYieldTSDiscount(Discounting,F40,,AllTriggers)</f>
        <v>1.0006564659042034</v>
      </c>
      <c r="I40" s="437">
        <f>_xll.qlYieldTSDiscount(Discounting,G40,,AllTriggers)</f>
        <v>1.0009545040337504</v>
      </c>
      <c r="J40" s="438">
        <f>_xll.qlDayCounterYearFraction(DayCounter,SettlementDate,F40,,,Trigger)</f>
        <v>0.51388888888888884</v>
      </c>
      <c r="K40" s="438">
        <f>_xll.qlDayCounterYearFraction(DayCounter,SettlementDate,G40,,,Trigger)</f>
        <v>0.76666666666666672</v>
      </c>
      <c r="L40" s="439">
        <f t="shared" si="31"/>
        <v>-1.1779276044152772E-3</v>
      </c>
      <c r="M40" s="432">
        <f t="shared" si="30"/>
        <v>3.9423699760293007E-4</v>
      </c>
      <c r="N40" s="432">
        <f t="shared" si="30"/>
        <v>6.5959397305081406E-4</v>
      </c>
      <c r="O40" s="432">
        <f t="shared" si="30"/>
        <v>5.0176204216600333E-4</v>
      </c>
      <c r="P40" s="433">
        <f t="shared" si="30"/>
        <v>-1.3601725633234041E-4</v>
      </c>
      <c r="Q40" s="434">
        <f t="shared" si="30"/>
        <v>2.124871588080636E-4</v>
      </c>
      <c r="R40" s="432">
        <f t="shared" si="30"/>
        <v>2.3210447100384792E-4</v>
      </c>
      <c r="S40" s="432">
        <f t="shared" si="30"/>
        <v>2.7252490944281143E-4</v>
      </c>
      <c r="T40" s="432">
        <f t="shared" si="30"/>
        <v>2.9185693729826879E-4</v>
      </c>
      <c r="U40" s="432">
        <f>'6MSynthDepo_used'!I10</f>
        <v>9.6000000000000002E-4</v>
      </c>
      <c r="AH40" s="117"/>
      <c r="AI40" s="117"/>
      <c r="AJ40" s="117"/>
      <c r="AV40" s="169">
        <f>_xll.qlCalendarAdvance(Calendar,AV39,"1d","mf",,Trigger)</f>
        <v>42212</v>
      </c>
      <c r="AW40" s="155">
        <f>_xll.qlDayCounterYearFraction(DayCounter,SettlementDate,AV40,,,Trigger)</f>
        <v>0.14444444444444443</v>
      </c>
      <c r="AX40" s="167">
        <f t="shared" si="2"/>
        <v>1.1801395801411777E-3</v>
      </c>
      <c r="AY40" s="167">
        <f t="shared" si="3"/>
        <v>1.1322593549254233E-3</v>
      </c>
      <c r="AZ40" s="167">
        <f t="shared" si="4"/>
        <v>1.1683547419671513E-3</v>
      </c>
      <c r="BA40" s="167">
        <f t="shared" si="34"/>
        <v>9.863876967910936E-4</v>
      </c>
      <c r="BB40" s="167">
        <f t="shared" si="34"/>
        <v>1.2768290520344312E-3</v>
      </c>
      <c r="BC40" s="167">
        <f t="shared" si="6"/>
        <v>1.3072123460434659E-3</v>
      </c>
      <c r="BD40" s="167">
        <f t="shared" si="7"/>
        <v>1.2757338848782163E-3</v>
      </c>
      <c r="BE40" s="167">
        <f t="shared" si="8"/>
        <v>1.3016753981033389E-3</v>
      </c>
    </row>
    <row r="41" spans="4:57" x14ac:dyDescent="0.2">
      <c r="AH41" s="117"/>
      <c r="AI41" s="117"/>
      <c r="AJ41" s="117"/>
      <c r="AV41" s="169">
        <f>_xll.qlCalendarAdvance(Calendar,AV40,"1d","mf",,Trigger)</f>
        <v>42213</v>
      </c>
      <c r="AW41" s="155">
        <f>_xll.qlDayCounterYearFraction(DayCounter,SettlementDate,AV41,,,Trigger)</f>
        <v>0.14722222222222223</v>
      </c>
      <c r="AX41" s="167">
        <f t="shared" si="2"/>
        <v>1.1823366713488326E-3</v>
      </c>
      <c r="AY41" s="167">
        <f t="shared" si="3"/>
        <v>1.1353269956824556E-3</v>
      </c>
      <c r="AZ41" s="167">
        <f t="shared" si="4"/>
        <v>1.1699854210434847E-3</v>
      </c>
      <c r="BA41" s="167">
        <f t="shared" si="34"/>
        <v>9.9526250572717087E-4</v>
      </c>
      <c r="BB41" s="167">
        <f t="shared" si="34"/>
        <v>1.2774663372217459E-3</v>
      </c>
      <c r="BC41" s="167">
        <f t="shared" si="6"/>
        <v>1.3080157420236641E-3</v>
      </c>
      <c r="BD41" s="167">
        <f t="shared" si="7"/>
        <v>1.2764130244079393E-3</v>
      </c>
      <c r="BE41" s="167">
        <f t="shared" si="8"/>
        <v>1.3025176181545614E-3</v>
      </c>
    </row>
    <row r="42" spans="4:57" x14ac:dyDescent="0.2">
      <c r="L42" s="385" t="s">
        <v>148</v>
      </c>
      <c r="M42" s="385" t="s">
        <v>147</v>
      </c>
      <c r="N42" s="379"/>
      <c r="O42" s="379"/>
      <c r="P42" s="379"/>
      <c r="Q42" s="379"/>
      <c r="R42" s="379"/>
      <c r="S42" s="379"/>
      <c r="T42" s="378"/>
      <c r="AH42" s="117"/>
      <c r="AI42" s="117"/>
      <c r="AJ42" s="117"/>
      <c r="AV42" s="169">
        <f>_xll.qlCalendarAdvance(Calendar,AV41,"1d","mf",,Trigger)</f>
        <v>42214</v>
      </c>
      <c r="AW42" s="155">
        <f>_xll.qlDayCounterYearFraction(DayCounter,SettlementDate,AV42,,,Trigger)</f>
        <v>0.15</v>
      </c>
      <c r="AX42" s="167">
        <f t="shared" si="2"/>
        <v>1.1845337625564873E-3</v>
      </c>
      <c r="AY42" s="167">
        <f t="shared" si="3"/>
        <v>1.1383946364394877E-3</v>
      </c>
      <c r="AZ42" s="167">
        <f t="shared" si="4"/>
        <v>1.1716394653503983E-3</v>
      </c>
      <c r="BA42" s="167">
        <f t="shared" si="34"/>
        <v>1.004042889164402E-3</v>
      </c>
      <c r="BB42" s="167">
        <f t="shared" si="34"/>
        <v>1.2781036224090605E-3</v>
      </c>
      <c r="BC42" s="167">
        <f t="shared" si="6"/>
        <v>1.3088191380038622E-3</v>
      </c>
      <c r="BD42" s="167">
        <f t="shared" si="7"/>
        <v>1.2770929819054843E-3</v>
      </c>
      <c r="BE42" s="167">
        <f t="shared" si="8"/>
        <v>1.3033609463538396E-3</v>
      </c>
    </row>
    <row r="43" spans="4:57" ht="11.25" customHeight="1" x14ac:dyDescent="0.2">
      <c r="L43" s="427" t="str">
        <f>D34&amp;"x"&amp;D34+SUBSTITUTE($F$22,"M","")&amp;"F"</f>
        <v>0x3F</v>
      </c>
      <c r="M43" s="428">
        <f t="shared" ref="M43:T46" si="35">$U34-M34</f>
        <v>-5.5951410430179474E-5</v>
      </c>
      <c r="N43" s="428">
        <f t="shared" si="35"/>
        <v>-5.5951410430179474E-5</v>
      </c>
      <c r="O43" s="428">
        <f t="shared" si="35"/>
        <v>-3.7199399567691401E-6</v>
      </c>
      <c r="P43" s="429">
        <f t="shared" si="35"/>
        <v>2.0735493429072699E-4</v>
      </c>
      <c r="Q43" s="430">
        <f t="shared" si="35"/>
        <v>-1.6043904468567455E-4</v>
      </c>
      <c r="R43" s="428">
        <f t="shared" si="35"/>
        <v>-1.5944801866017618E-4</v>
      </c>
      <c r="S43" s="428">
        <f t="shared" si="35"/>
        <v>-1.8999205647236451E-4</v>
      </c>
      <c r="T43" s="428">
        <f t="shared" si="35"/>
        <v>-1.8468552798254952E-4</v>
      </c>
      <c r="AH43" s="117"/>
      <c r="AI43" s="117"/>
      <c r="AJ43" s="117"/>
      <c r="AV43" s="169">
        <f>_xll.qlCalendarAdvance(Calendar,AV42,"1d","mf",,Trigger)</f>
        <v>42215</v>
      </c>
      <c r="AW43" s="155">
        <f>_xll.qlDayCounterYearFraction(DayCounter,SettlementDate,AV43,,,Trigger)</f>
        <v>0.15277777777777779</v>
      </c>
      <c r="AX43" s="167">
        <f t="shared" si="2"/>
        <v>1.1867308537641423E-3</v>
      </c>
      <c r="AY43" s="167">
        <f t="shared" si="3"/>
        <v>1.1414622771965201E-3</v>
      </c>
      <c r="AZ43" s="167">
        <f t="shared" si="4"/>
        <v>1.1733168748878926E-3</v>
      </c>
      <c r="BA43" s="167">
        <f t="shared" si="34"/>
        <v>1.0127288471027866E-3</v>
      </c>
      <c r="BB43" s="167">
        <f t="shared" si="34"/>
        <v>1.2787409075963752E-3</v>
      </c>
      <c r="BC43" s="167">
        <f t="shared" si="6"/>
        <v>1.3096225339840602E-3</v>
      </c>
      <c r="BD43" s="167">
        <f t="shared" si="7"/>
        <v>1.277773757370851E-3</v>
      </c>
      <c r="BE43" s="167">
        <f t="shared" si="8"/>
        <v>1.3042053827011736E-3</v>
      </c>
    </row>
    <row r="44" spans="4:57" x14ac:dyDescent="0.2">
      <c r="L44" s="425" t="str">
        <f>D35&amp;"x"&amp;D35+SUBSTITUTE($F$22,"M","")&amp;"F"</f>
        <v>1x4F</v>
      </c>
      <c r="M44" s="167">
        <f t="shared" si="35"/>
        <v>6.8824897903715704E-4</v>
      </c>
      <c r="N44" s="167">
        <f t="shared" si="35"/>
        <v>6.9912252301138945E-4</v>
      </c>
      <c r="O44" s="167">
        <f t="shared" si="35"/>
        <v>7.1480032735844442E-4</v>
      </c>
      <c r="P44" s="423">
        <f t="shared" si="35"/>
        <v>7.7815813172490934E-4</v>
      </c>
      <c r="Q44" s="424">
        <f t="shared" si="35"/>
        <v>6.2977503565928407E-4</v>
      </c>
      <c r="R44" s="167">
        <f t="shared" si="35"/>
        <v>6.2932706477691696E-4</v>
      </c>
      <c r="S44" s="167">
        <f t="shared" si="35"/>
        <v>5.9532178815070974E-4</v>
      </c>
      <c r="T44" s="167">
        <f t="shared" si="35"/>
        <v>5.9920622293948048E-4</v>
      </c>
      <c r="AH44" s="117"/>
      <c r="AI44" s="117"/>
      <c r="AJ44" s="117"/>
      <c r="AV44" s="169">
        <f>_xll.qlCalendarAdvance(Calendar,AV43,"1d","mf",,Trigger)</f>
        <v>42216</v>
      </c>
      <c r="AW44" s="155">
        <f>_xll.qlDayCounterYearFraction(DayCounter,SettlementDate,AV44,,,Trigger)</f>
        <v>0.15555555555555556</v>
      </c>
      <c r="AX44" s="167">
        <f t="shared" si="2"/>
        <v>1.188927944971797E-3</v>
      </c>
      <c r="AY44" s="167">
        <f t="shared" si="3"/>
        <v>1.1445299179535522E-3</v>
      </c>
      <c r="AZ44" s="167">
        <f t="shared" si="4"/>
        <v>1.1750176496559672E-3</v>
      </c>
      <c r="BA44" s="167">
        <f t="shared" si="34"/>
        <v>1.0213203795423251E-3</v>
      </c>
      <c r="BB44" s="167">
        <f t="shared" si="34"/>
        <v>1.2793781927836899E-3</v>
      </c>
      <c r="BC44" s="167">
        <f t="shared" si="6"/>
        <v>1.3104259299642584E-3</v>
      </c>
      <c r="BD44" s="167">
        <f t="shared" si="7"/>
        <v>1.2784553508040394E-3</v>
      </c>
      <c r="BE44" s="167">
        <f t="shared" si="8"/>
        <v>1.3050509271965631E-3</v>
      </c>
    </row>
    <row r="45" spans="4:57" x14ac:dyDescent="0.2">
      <c r="L45" s="425" t="str">
        <f>D36&amp;"x"&amp;D36+SUBSTITUTE($F$22,"M","")&amp;"F"</f>
        <v>2x5F</v>
      </c>
      <c r="M45" s="167">
        <f t="shared" si="35"/>
        <v>6.9999999999976082E-4</v>
      </c>
      <c r="N45" s="167">
        <f t="shared" si="35"/>
        <v>6.9999999999976082E-4</v>
      </c>
      <c r="O45" s="167">
        <f t="shared" si="35"/>
        <v>6.9999999999976082E-4</v>
      </c>
      <c r="P45" s="423">
        <f t="shared" si="35"/>
        <v>6.9999999999976082E-4</v>
      </c>
      <c r="Q45" s="424">
        <f t="shared" si="35"/>
        <v>6.8909981618768209E-4</v>
      </c>
      <c r="R45" s="167">
        <f t="shared" si="35"/>
        <v>6.86389826898187E-4</v>
      </c>
      <c r="S45" s="167">
        <f t="shared" si="35"/>
        <v>6.4958001792770465E-4</v>
      </c>
      <c r="T45" s="167">
        <f t="shared" si="35"/>
        <v>6.5094525606068372E-4</v>
      </c>
      <c r="AH45" s="117"/>
      <c r="AI45" s="117"/>
      <c r="AJ45" s="117"/>
      <c r="AV45" s="169">
        <f>_xll.qlCalendarAdvance(Calendar,AV44,"1d","mf",,Trigger)</f>
        <v>42219</v>
      </c>
      <c r="AW45" s="155">
        <f>_xll.qlDayCounterYearFraction(DayCounter,SettlementDate,AV45,,,Trigger)</f>
        <v>0.16388888888888889</v>
      </c>
      <c r="AX45" s="167">
        <f t="shared" si="2"/>
        <v>1.1955192185947616E-3</v>
      </c>
      <c r="AY45" s="167">
        <f t="shared" si="3"/>
        <v>1.1537328402246487E-3</v>
      </c>
      <c r="AZ45" s="167">
        <f t="shared" si="4"/>
        <v>1.1802601653436739E-3</v>
      </c>
      <c r="BA45" s="167">
        <f t="shared" si="34"/>
        <v>1.046528423867863E-3</v>
      </c>
      <c r="BB45" s="167">
        <f t="shared" si="34"/>
        <v>1.2812900483456337E-3</v>
      </c>
      <c r="BC45" s="167">
        <f t="shared" si="6"/>
        <v>1.3128361179048525E-3</v>
      </c>
      <c r="BD45" s="167">
        <f t="shared" si="7"/>
        <v>1.2805050389105364E-3</v>
      </c>
      <c r="BE45" s="167">
        <f t="shared" si="8"/>
        <v>1.3075942095710658E-3</v>
      </c>
    </row>
    <row r="46" spans="4:57" x14ac:dyDescent="0.2">
      <c r="L46" s="431" t="str">
        <f>D37&amp;"x"&amp;D37+SUBSTITUTE($F$22,"M","")&amp;"F"</f>
        <v>3x6F</v>
      </c>
      <c r="M46" s="432">
        <f t="shared" si="35"/>
        <v>6.7287795709527868E-4</v>
      </c>
      <c r="N46" s="432">
        <f t="shared" si="35"/>
        <v>6.3773806544999026E-4</v>
      </c>
      <c r="O46" s="432">
        <f t="shared" si="35"/>
        <v>6.4458430096782989E-4</v>
      </c>
      <c r="P46" s="433">
        <f t="shared" si="35"/>
        <v>6.7225175248008401E-4</v>
      </c>
      <c r="Q46" s="434">
        <f t="shared" si="35"/>
        <v>7.1267228878098591E-4</v>
      </c>
      <c r="R46" s="432">
        <f t="shared" si="35"/>
        <v>7.0672738040617757E-4</v>
      </c>
      <c r="S46" s="432">
        <f t="shared" si="35"/>
        <v>6.6775339447048166E-4</v>
      </c>
      <c r="T46" s="432">
        <f t="shared" si="35"/>
        <v>6.6531716743147625E-4</v>
      </c>
      <c r="AV46" s="169">
        <f>_xll.qlCalendarAdvance(Calendar,AV45,"1d","mf",,Trigger)</f>
        <v>42220</v>
      </c>
      <c r="AW46" s="155">
        <f>_xll.qlDayCounterYearFraction(DayCounter,SettlementDate,AV46,,,Trigger)</f>
        <v>0.16666666666666666</v>
      </c>
      <c r="AX46" s="167">
        <f t="shared" si="2"/>
        <v>1.1977163098024165E-3</v>
      </c>
      <c r="AY46" s="167">
        <f t="shared" si="3"/>
        <v>1.1568004809816811E-3</v>
      </c>
      <c r="AZ46" s="167">
        <f t="shared" si="4"/>
        <v>1.1820544010340704E-3</v>
      </c>
      <c r="BA46" s="167">
        <f t="shared" si="34"/>
        <v>1.0547422543120163E-3</v>
      </c>
      <c r="BB46" s="167">
        <f t="shared" si="34"/>
        <v>1.2819273335329484E-3</v>
      </c>
      <c r="BC46" s="167">
        <f t="shared" si="6"/>
        <v>1.3136395138850507E-3</v>
      </c>
      <c r="BD46" s="167">
        <f t="shared" si="7"/>
        <v>1.2811899042150124E-3</v>
      </c>
      <c r="BE46" s="167">
        <f t="shared" si="8"/>
        <v>1.3084441866586781E-3</v>
      </c>
    </row>
    <row r="47" spans="4:57" x14ac:dyDescent="0.2">
      <c r="AV47" s="169">
        <f>_xll.qlCalendarAdvance(Calendar,AV46,"1d","mf",,Trigger)</f>
        <v>42221</v>
      </c>
      <c r="AW47" s="155">
        <f>_xll.qlDayCounterYearFraction(DayCounter,SettlementDate,AV47,,,Trigger)</f>
        <v>0.16944444444444445</v>
      </c>
      <c r="AX47" s="167">
        <f t="shared" si="2"/>
        <v>1.1999134010100712E-3</v>
      </c>
      <c r="AY47" s="167">
        <f t="shared" si="3"/>
        <v>1.1598681217387134E-3</v>
      </c>
      <c r="AZ47" s="167">
        <f t="shared" si="4"/>
        <v>1.1838720019550475E-3</v>
      </c>
      <c r="BA47" s="167">
        <f t="shared" si="34"/>
        <v>1.0628616592573237E-3</v>
      </c>
      <c r="BB47" s="167">
        <f t="shared" si="34"/>
        <v>1.2825646187202631E-3</v>
      </c>
      <c r="BC47" s="167">
        <f t="shared" si="6"/>
        <v>1.3144429098652488E-3</v>
      </c>
      <c r="BD47" s="167">
        <f t="shared" si="7"/>
        <v>1.2818755874873103E-3</v>
      </c>
      <c r="BE47" s="167">
        <f t="shared" si="8"/>
        <v>1.3092952718943458E-3</v>
      </c>
    </row>
    <row r="48" spans="4:57" x14ac:dyDescent="0.2">
      <c r="AV48" s="169">
        <f>_xll.qlCalendarAdvance(Calendar,AV47,"1d","mf",,Trigger)</f>
        <v>42222</v>
      </c>
      <c r="AW48" s="155">
        <f>_xll.qlDayCounterYearFraction(DayCounter,SettlementDate,AV48,,,Trigger)</f>
        <v>0.17222222222222222</v>
      </c>
      <c r="AX48" s="167">
        <f t="shared" si="2"/>
        <v>1.2021104922177262E-3</v>
      </c>
      <c r="AY48" s="167">
        <f t="shared" si="3"/>
        <v>1.1629357624957455E-3</v>
      </c>
      <c r="AZ48" s="167">
        <f t="shared" si="4"/>
        <v>1.1857129681066049E-3</v>
      </c>
      <c r="BA48" s="167">
        <f t="shared" si="34"/>
        <v>1.0708866387037844E-3</v>
      </c>
      <c r="BB48" s="167">
        <f t="shared" si="34"/>
        <v>1.2832019039075776E-3</v>
      </c>
      <c r="BC48" s="167">
        <f t="shared" si="6"/>
        <v>1.3152463058454468E-3</v>
      </c>
      <c r="BD48" s="167">
        <f t="shared" si="7"/>
        <v>1.28256208872743E-3</v>
      </c>
      <c r="BE48" s="167">
        <f t="shared" si="8"/>
        <v>1.3101474652780695E-3</v>
      </c>
    </row>
    <row r="49" spans="16:57" x14ac:dyDescent="0.2">
      <c r="AV49" s="169">
        <f>_xll.qlCalendarAdvance(Calendar,AV48,"1d","mf",,Trigger)</f>
        <v>42223</v>
      </c>
      <c r="AW49" s="155">
        <f>_xll.qlDayCounterYearFraction(DayCounter,SettlementDate,AV49,,,Trigger)</f>
        <v>0.17499999999999999</v>
      </c>
      <c r="AX49" s="167">
        <f t="shared" si="2"/>
        <v>1.2043075834253809E-3</v>
      </c>
      <c r="AY49" s="167">
        <f t="shared" si="3"/>
        <v>1.1660034032527776E-3</v>
      </c>
      <c r="AZ49" s="167">
        <f t="shared" si="4"/>
        <v>1.1875772994887428E-3</v>
      </c>
      <c r="BA49" s="167">
        <f t="shared" si="34"/>
        <v>1.0788171926513991E-3</v>
      </c>
      <c r="BB49" s="167">
        <f t="shared" si="34"/>
        <v>1.2838391890948922E-3</v>
      </c>
      <c r="BC49" s="167">
        <f t="shared" si="6"/>
        <v>1.316049701825645E-3</v>
      </c>
      <c r="BD49" s="167">
        <f t="shared" si="7"/>
        <v>1.2832494079353714E-3</v>
      </c>
      <c r="BE49" s="167">
        <f t="shared" si="8"/>
        <v>1.311000766809849E-3</v>
      </c>
    </row>
    <row r="50" spans="16:57" x14ac:dyDescent="0.2">
      <c r="AV50" s="169">
        <f>_xll.qlCalendarAdvance(Calendar,AV49,"1d","mf",,Trigger)</f>
        <v>42226</v>
      </c>
      <c r="AW50" s="155">
        <f>_xll.qlDayCounterYearFraction(DayCounter,SettlementDate,AV50,,,Trigger)</f>
        <v>0.18333333333333332</v>
      </c>
      <c r="AX50" s="167">
        <f t="shared" si="2"/>
        <v>1.2108988570483455E-3</v>
      </c>
      <c r="AY50" s="167">
        <f t="shared" si="3"/>
        <v>1.1752063255238744E-3</v>
      </c>
      <c r="AZ50" s="167">
        <f t="shared" si="4"/>
        <v>1.1933104850186393E-3</v>
      </c>
      <c r="BA50" s="167">
        <f t="shared" si="34"/>
        <v>1.1020423015011655E-3</v>
      </c>
      <c r="BB50" s="167">
        <f t="shared" si="34"/>
        <v>1.2857510446568363E-3</v>
      </c>
      <c r="BC50" s="167">
        <f t="shared" si="6"/>
        <v>1.3184598897662391E-3</v>
      </c>
      <c r="BD50" s="167">
        <f t="shared" si="7"/>
        <v>1.2853162733661269E-3</v>
      </c>
      <c r="BE50" s="167">
        <f t="shared" si="8"/>
        <v>1.3135673202935209E-3</v>
      </c>
    </row>
    <row r="51" spans="16:57" x14ac:dyDescent="0.2">
      <c r="AV51" s="169">
        <f>_xll.qlCalendarAdvance(Calendar,AV50,"1d","mf",,Trigger)</f>
        <v>42227</v>
      </c>
      <c r="AW51" s="155">
        <f>_xll.qlDayCounterYearFraction(DayCounter,SettlementDate,AV51,,,Trigger)</f>
        <v>0.18611111111111112</v>
      </c>
      <c r="AX51" s="167">
        <f t="shared" si="2"/>
        <v>1.2130959482560004E-3</v>
      </c>
      <c r="AY51" s="167">
        <f t="shared" si="3"/>
        <v>1.1782739662809065E-3</v>
      </c>
      <c r="AZ51" s="167">
        <f t="shared" si="4"/>
        <v>1.1952682773230994E-3</v>
      </c>
      <c r="BA51" s="167">
        <f t="shared" si="34"/>
        <v>1.1095951534533951E-3</v>
      </c>
      <c r="BB51" s="167">
        <f t="shared" si="34"/>
        <v>1.286388329844151E-3</v>
      </c>
      <c r="BC51" s="167">
        <f t="shared" si="6"/>
        <v>1.3192632857464374E-3</v>
      </c>
      <c r="BD51" s="167">
        <f t="shared" si="7"/>
        <v>1.2860068644453559E-3</v>
      </c>
      <c r="BE51" s="167">
        <f t="shared" si="8"/>
        <v>1.3144250544175229E-3</v>
      </c>
    </row>
    <row r="52" spans="16:57" x14ac:dyDescent="0.2">
      <c r="AV52" s="169">
        <f>_xll.qlCalendarAdvance(Calendar,AV51,"1d","mf",,Trigger)</f>
        <v>42228</v>
      </c>
      <c r="AW52" s="155">
        <f>_xll.qlDayCounterYearFraction(DayCounter,SettlementDate,AV52,,,Trigger)</f>
        <v>0.18888888888888888</v>
      </c>
      <c r="AX52" s="167">
        <f t="shared" si="2"/>
        <v>1.2152930394636551E-3</v>
      </c>
      <c r="AY52" s="167">
        <f t="shared" si="3"/>
        <v>1.1813416070379388E-3</v>
      </c>
      <c r="AZ52" s="167">
        <f t="shared" si="4"/>
        <v>1.1972494348581396E-3</v>
      </c>
      <c r="BA52" s="167">
        <f t="shared" si="34"/>
        <v>1.1170535799067784E-3</v>
      </c>
      <c r="BB52" s="167">
        <f t="shared" si="34"/>
        <v>1.2870256150314654E-3</v>
      </c>
      <c r="BC52" s="167">
        <f t="shared" si="6"/>
        <v>1.3200666817266354E-3</v>
      </c>
      <c r="BD52" s="167">
        <f t="shared" si="7"/>
        <v>1.2866982734924066E-3</v>
      </c>
      <c r="BE52" s="167">
        <f t="shared" si="8"/>
        <v>1.3152838966895807E-3</v>
      </c>
    </row>
    <row r="53" spans="16:57" x14ac:dyDescent="0.2">
      <c r="AV53" s="169">
        <f>_xll.qlCalendarAdvance(Calendar,AV52,"1d","mf",,Trigger)</f>
        <v>42229</v>
      </c>
      <c r="AW53" s="155">
        <f>_xll.qlDayCounterYearFraction(DayCounter,SettlementDate,AV53,,,Trigger)</f>
        <v>0.19166666666666668</v>
      </c>
      <c r="AX53" s="167">
        <f t="shared" si="2"/>
        <v>1.21749013067131E-3</v>
      </c>
      <c r="AY53" s="167">
        <f t="shared" si="3"/>
        <v>1.1844092477949709E-3</v>
      </c>
      <c r="AZ53" s="167">
        <f t="shared" si="4"/>
        <v>1.1992539576237606E-3</v>
      </c>
      <c r="BA53" s="167">
        <f t="shared" si="34"/>
        <v>1.1244175808613154E-3</v>
      </c>
      <c r="BB53" s="167">
        <f t="shared" si="34"/>
        <v>1.2876629002187801E-3</v>
      </c>
      <c r="BC53" s="167">
        <f t="shared" si="6"/>
        <v>1.3208700777068334E-3</v>
      </c>
      <c r="BD53" s="167">
        <f t="shared" si="7"/>
        <v>1.2873905005072793E-3</v>
      </c>
      <c r="BE53" s="167">
        <f t="shared" si="8"/>
        <v>1.3161438471096939E-3</v>
      </c>
    </row>
    <row r="54" spans="16:57" x14ac:dyDescent="0.2">
      <c r="P54" s="140"/>
      <c r="Q54" s="140"/>
      <c r="AV54" s="169">
        <f>_xll.qlCalendarAdvance(Calendar,AV53,"1d","mf",,Trigger)</f>
        <v>42230</v>
      </c>
      <c r="AW54" s="155">
        <f>_xll.qlDayCounterYearFraction(DayCounter,SettlementDate,AV54,,,Trigger)</f>
        <v>0.19444444444444445</v>
      </c>
      <c r="AX54" s="167">
        <f t="shared" si="2"/>
        <v>1.219687221878965E-3</v>
      </c>
      <c r="AY54" s="167">
        <f t="shared" si="3"/>
        <v>1.1874768885520033E-3</v>
      </c>
      <c r="AZ54" s="167">
        <f t="shared" si="4"/>
        <v>1.2012818456199616E-3</v>
      </c>
      <c r="BA54" s="167">
        <f t="shared" si="34"/>
        <v>1.1316871563170064E-3</v>
      </c>
      <c r="BB54" s="167">
        <f t="shared" si="34"/>
        <v>1.2883001854060948E-3</v>
      </c>
      <c r="BC54" s="167">
        <f t="shared" si="6"/>
        <v>1.3216734736870314E-3</v>
      </c>
      <c r="BD54" s="167">
        <f t="shared" si="7"/>
        <v>1.2880835454899737E-3</v>
      </c>
      <c r="BE54" s="167">
        <f t="shared" si="8"/>
        <v>1.3170049056778629E-3</v>
      </c>
    </row>
    <row r="55" spans="16:57" x14ac:dyDescent="0.2">
      <c r="AV55" s="169">
        <f>_xll.qlCalendarAdvance(Calendar,AV54,"1d","mf",,Trigger)</f>
        <v>42233</v>
      </c>
      <c r="AW55" s="155">
        <f>_xll.qlDayCounterYearFraction(DayCounter,SettlementDate,AV55,,,Trigger)</f>
        <v>0.20277777777777778</v>
      </c>
      <c r="AX55" s="167">
        <f t="shared" si="2"/>
        <v>1.2262784955019293E-3</v>
      </c>
      <c r="AY55" s="167">
        <f t="shared" si="3"/>
        <v>1.1966798108230998E-3</v>
      </c>
      <c r="AZ55" s="167">
        <f t="shared" si="4"/>
        <v>1.2075057009920483E-3</v>
      </c>
      <c r="BA55" s="167">
        <f t="shared" si="34"/>
        <v>1.1529293296910011E-3</v>
      </c>
      <c r="BB55" s="167">
        <f t="shared" si="34"/>
        <v>1.2902120409680386E-3</v>
      </c>
      <c r="BC55" s="167">
        <f t="shared" si="6"/>
        <v>1.3240836616276257E-3</v>
      </c>
      <c r="BD55" s="167">
        <f t="shared" si="7"/>
        <v>1.2901675882449877E-3</v>
      </c>
      <c r="BE55" s="167">
        <f t="shared" si="8"/>
        <v>1.319594730270704E-3</v>
      </c>
    </row>
    <row r="56" spans="16:57" x14ac:dyDescent="0.2">
      <c r="AV56" s="169">
        <f>_xll.qlCalendarAdvance(Calendar,AV55,"1d","mf",,Trigger)</f>
        <v>42234</v>
      </c>
      <c r="AW56" s="155">
        <f>_xll.qlDayCounterYearFraction(DayCounter,SettlementDate,AV56,,,Trigger)</f>
        <v>0.20555555555555555</v>
      </c>
      <c r="AX56" s="167">
        <f t="shared" si="2"/>
        <v>1.2284755867095843E-3</v>
      </c>
      <c r="AY56" s="167">
        <f t="shared" si="3"/>
        <v>1.1997474515801319E-3</v>
      </c>
      <c r="AZ56" s="167">
        <f t="shared" si="4"/>
        <v>1.2096270499105713E-3</v>
      </c>
      <c r="BA56" s="167">
        <f t="shared" si="34"/>
        <v>1.1598212031513071E-3</v>
      </c>
      <c r="BB56" s="167">
        <f t="shared" si="34"/>
        <v>1.2908493261553533E-3</v>
      </c>
      <c r="BC56" s="167">
        <f t="shared" si="6"/>
        <v>1.324887057607824E-3</v>
      </c>
      <c r="BD56" s="167">
        <f t="shared" si="7"/>
        <v>1.2908639050989697E-3</v>
      </c>
      <c r="BE56" s="167">
        <f t="shared" si="8"/>
        <v>1.320460221431096E-3</v>
      </c>
    </row>
    <row r="57" spans="16:57" x14ac:dyDescent="0.2">
      <c r="AV57" s="169">
        <f>_xll.qlCalendarAdvance(Calendar,AV56,"1d","mf",,Trigger)</f>
        <v>42235</v>
      </c>
      <c r="AW57" s="155">
        <f>_xll.qlDayCounterYearFraction(DayCounter,SettlementDate,AV57,,,Trigger)</f>
        <v>0.20833333333333334</v>
      </c>
      <c r="AX57" s="167">
        <f t="shared" si="2"/>
        <v>1.230672677917239E-3</v>
      </c>
      <c r="AY57" s="167">
        <f t="shared" si="3"/>
        <v>1.2028150923371643E-3</v>
      </c>
      <c r="AZ57" s="167">
        <f t="shared" si="4"/>
        <v>1.2117717640596751E-3</v>
      </c>
      <c r="BA57" s="167">
        <f t="shared" si="34"/>
        <v>1.1666186511127665E-3</v>
      </c>
      <c r="BB57" s="167">
        <f t="shared" si="34"/>
        <v>1.291486611342668E-3</v>
      </c>
      <c r="BC57" s="167">
        <f t="shared" si="6"/>
        <v>1.325690453588022E-3</v>
      </c>
      <c r="BD57" s="167">
        <f t="shared" si="7"/>
        <v>1.2915610399207732E-3</v>
      </c>
      <c r="BE57" s="167">
        <f t="shared" si="8"/>
        <v>1.3213268207395434E-3</v>
      </c>
    </row>
    <row r="58" spans="16:57" x14ac:dyDescent="0.2">
      <c r="AV58" s="169">
        <f>_xll.qlCalendarAdvance(Calendar,AV57,"1d","mf",,Trigger)</f>
        <v>42236</v>
      </c>
      <c r="AW58" s="155">
        <f>_xll.qlDayCounterYearFraction(DayCounter,SettlementDate,AV58,,,Trigger)</f>
        <v>0.21111111111111111</v>
      </c>
      <c r="AX58" s="167">
        <f t="shared" si="2"/>
        <v>1.2328697691248939E-3</v>
      </c>
      <c r="AY58" s="167">
        <f t="shared" si="3"/>
        <v>1.2058827330941966E-3</v>
      </c>
      <c r="AZ58" s="167">
        <f t="shared" si="4"/>
        <v>1.213939843439359E-3</v>
      </c>
      <c r="BA58" s="167">
        <f t="shared" si="34"/>
        <v>1.1733216735753797E-3</v>
      </c>
      <c r="BB58" s="167">
        <f t="shared" si="34"/>
        <v>1.2921238965299827E-3</v>
      </c>
      <c r="BC58" s="167">
        <f t="shared" si="6"/>
        <v>1.32649384956822E-3</v>
      </c>
      <c r="BD58" s="167">
        <f t="shared" si="7"/>
        <v>1.2922589927103988E-3</v>
      </c>
      <c r="BE58" s="167">
        <f t="shared" si="8"/>
        <v>1.3221945281960464E-3</v>
      </c>
    </row>
    <row r="59" spans="16:57" x14ac:dyDescent="0.2">
      <c r="AV59" s="169">
        <f>_xll.qlCalendarAdvance(Calendar,AV58,"1d","mf",,Trigger)</f>
        <v>42237</v>
      </c>
      <c r="AW59" s="155">
        <f>_xll.qlDayCounterYearFraction(DayCounter,SettlementDate,AV59,,,Trigger)</f>
        <v>0.21388888888888888</v>
      </c>
      <c r="AX59" s="167">
        <f t="shared" si="2"/>
        <v>1.2350668603325486E-3</v>
      </c>
      <c r="AY59" s="167">
        <f t="shared" si="3"/>
        <v>1.2089503738512287E-3</v>
      </c>
      <c r="AZ59" s="167">
        <f t="shared" si="4"/>
        <v>1.2161312880496235E-3</v>
      </c>
      <c r="BA59" s="167">
        <f t="shared" si="34"/>
        <v>1.1799302705391465E-3</v>
      </c>
      <c r="BB59" s="167">
        <f t="shared" si="34"/>
        <v>1.2927611817172974E-3</v>
      </c>
      <c r="BC59" s="167">
        <f t="shared" si="6"/>
        <v>1.327297245548418E-3</v>
      </c>
      <c r="BD59" s="167">
        <f t="shared" si="7"/>
        <v>1.292957763467846E-3</v>
      </c>
      <c r="BE59" s="167">
        <f t="shared" si="8"/>
        <v>1.3230633438006051E-3</v>
      </c>
    </row>
    <row r="60" spans="16:57" x14ac:dyDescent="0.2">
      <c r="AV60" s="169">
        <f>_xll.qlCalendarAdvance(Calendar,AV59,"1d","mf",,Trigger)</f>
        <v>42240</v>
      </c>
      <c r="AW60" s="155">
        <f>_xll.qlDayCounterYearFraction(DayCounter,SettlementDate,AV60,,,Trigger)</f>
        <v>0.22222222222222221</v>
      </c>
      <c r="AX60" s="167">
        <f t="shared" si="2"/>
        <v>1.2416581339555132E-3</v>
      </c>
      <c r="AY60" s="167">
        <f t="shared" si="3"/>
        <v>1.2181532961223253E-3</v>
      </c>
      <c r="AZ60" s="167">
        <f t="shared" si="4"/>
        <v>1.2228458132639E-3</v>
      </c>
      <c r="BA60" s="167">
        <f t="shared" si="34"/>
        <v>1.1991895084373697E-3</v>
      </c>
      <c r="BB60" s="167">
        <f t="shared" si="34"/>
        <v>1.2946730372792412E-3</v>
      </c>
      <c r="BC60" s="167">
        <f t="shared" si="6"/>
        <v>1.3297074334890123E-3</v>
      </c>
      <c r="BD60" s="167">
        <f t="shared" si="7"/>
        <v>1.2950589835471189E-3</v>
      </c>
      <c r="BE60" s="167">
        <f t="shared" si="8"/>
        <v>1.3256764395026157E-3</v>
      </c>
    </row>
    <row r="61" spans="16:57" x14ac:dyDescent="0.2">
      <c r="AV61" s="169">
        <f>_xll.qlCalendarAdvance(Calendar,AV60,"1d","mf",,Trigger)</f>
        <v>42241</v>
      </c>
      <c r="AW61" s="155">
        <f>_xll.qlDayCounterYearFraction(DayCounter,SettlementDate,AV61,,,Trigger)</f>
        <v>0.22500000000000001</v>
      </c>
      <c r="AX61" s="167">
        <f t="shared" si="2"/>
        <v>1.2438552251631681E-3</v>
      </c>
      <c r="AY61" s="167">
        <f t="shared" si="3"/>
        <v>1.2212209368793576E-3</v>
      </c>
      <c r="AZ61" s="167">
        <f t="shared" si="4"/>
        <v>1.2251307187964864E-3</v>
      </c>
      <c r="BA61" s="167">
        <f t="shared" si="34"/>
        <v>1.205420403405752E-3</v>
      </c>
      <c r="BB61" s="167">
        <f t="shared" si="34"/>
        <v>1.2953103224665559E-3</v>
      </c>
      <c r="BC61" s="167">
        <f t="shared" si="6"/>
        <v>1.3305108294692104E-3</v>
      </c>
      <c r="BD61" s="167">
        <f t="shared" si="7"/>
        <v>1.2957610261758537E-3</v>
      </c>
      <c r="BE61" s="167">
        <f t="shared" si="8"/>
        <v>1.326549687699397E-3</v>
      </c>
    </row>
    <row r="62" spans="16:57" x14ac:dyDescent="0.2">
      <c r="AV62" s="169">
        <f>_xll.qlCalendarAdvance(Calendar,AV61,"1d","mf",,Trigger)</f>
        <v>42242</v>
      </c>
      <c r="AW62" s="155">
        <f>_xll.qlDayCounterYearFraction(DayCounter,SettlementDate,AV62,,,Trigger)</f>
        <v>0.22777777777777777</v>
      </c>
      <c r="AX62" s="167">
        <f t="shared" si="2"/>
        <v>1.2460523163708229E-3</v>
      </c>
      <c r="AY62" s="167">
        <f t="shared" si="3"/>
        <v>1.2242885776363897E-3</v>
      </c>
      <c r="AZ62" s="167">
        <f t="shared" si="4"/>
        <v>1.2274389895596534E-3</v>
      </c>
      <c r="BA62" s="167">
        <f t="shared" si="34"/>
        <v>1.2115568728752874E-3</v>
      </c>
      <c r="BB62" s="167">
        <f t="shared" si="34"/>
        <v>1.2959476076538706E-3</v>
      </c>
      <c r="BC62" s="167">
        <f t="shared" si="6"/>
        <v>1.3313142254494086E-3</v>
      </c>
      <c r="BD62" s="167">
        <f t="shared" si="7"/>
        <v>1.2964638867724101E-3</v>
      </c>
      <c r="BE62" s="167">
        <f t="shared" si="8"/>
        <v>1.3274240440442342E-3</v>
      </c>
    </row>
    <row r="63" spans="16:57" x14ac:dyDescent="0.2">
      <c r="AV63" s="169">
        <f>_xll.qlCalendarAdvance(Calendar,AV62,"1d","mf",,Trigger)</f>
        <v>42243</v>
      </c>
      <c r="AW63" s="155">
        <f>_xll.qlDayCounterYearFraction(DayCounter,SettlementDate,AV63,,,Trigger)</f>
        <v>0.23055555555555557</v>
      </c>
      <c r="AX63" s="167">
        <f t="shared" si="2"/>
        <v>1.2482494075784778E-3</v>
      </c>
      <c r="AY63" s="167">
        <f t="shared" si="3"/>
        <v>1.227356218393422E-3</v>
      </c>
      <c r="AZ63" s="167">
        <f t="shared" si="4"/>
        <v>1.2297706255534008E-3</v>
      </c>
      <c r="BA63" s="167">
        <f t="shared" si="34"/>
        <v>1.217598916845977E-3</v>
      </c>
      <c r="BB63" s="167">
        <f t="shared" si="34"/>
        <v>1.2965848928411852E-3</v>
      </c>
      <c r="BC63" s="167">
        <f t="shared" si="6"/>
        <v>1.3321176214296066E-3</v>
      </c>
      <c r="BD63" s="167">
        <f t="shared" si="7"/>
        <v>1.2971675653367886E-3</v>
      </c>
      <c r="BE63" s="167">
        <f t="shared" si="8"/>
        <v>1.3282995085371271E-3</v>
      </c>
    </row>
    <row r="64" spans="16:57" x14ac:dyDescent="0.2">
      <c r="AV64" s="169">
        <f>_xll.qlCalendarAdvance(Calendar,AV63,"1d","mf",,Trigger)</f>
        <v>42244</v>
      </c>
      <c r="AW64" s="155">
        <f>_xll.qlDayCounterYearFraction(DayCounter,SettlementDate,AV64,,,Trigger)</f>
        <v>0.23333333333333334</v>
      </c>
      <c r="AX64" s="167">
        <f t="shared" si="2"/>
        <v>1.2504464987861327E-3</v>
      </c>
      <c r="AY64" s="167">
        <f t="shared" si="3"/>
        <v>1.2304238591504541E-3</v>
      </c>
      <c r="AZ64" s="167">
        <f t="shared" si="4"/>
        <v>1.2321256267777286E-3</v>
      </c>
      <c r="BA64" s="167">
        <f t="shared" si="34"/>
        <v>1.2235465353178199E-3</v>
      </c>
      <c r="BB64" s="167">
        <f t="shared" si="34"/>
        <v>1.2972221780284997E-3</v>
      </c>
      <c r="BC64" s="167">
        <f t="shared" si="6"/>
        <v>1.3329210174098046E-3</v>
      </c>
      <c r="BD64" s="167">
        <f t="shared" si="7"/>
        <v>1.2978720618689887E-3</v>
      </c>
      <c r="BE64" s="167">
        <f t="shared" si="8"/>
        <v>1.3291760811780754E-3</v>
      </c>
    </row>
    <row r="65" spans="16:57" x14ac:dyDescent="0.2">
      <c r="AV65" s="169">
        <f>_xll.qlCalendarAdvance(Calendar,AV64,"1d","mf",,Trigger)</f>
        <v>42247</v>
      </c>
      <c r="AW65" s="155">
        <f>_xll.qlDayCounterYearFraction(DayCounter,SettlementDate,AV65,,,Trigger)</f>
        <v>0.24166666666666667</v>
      </c>
      <c r="AX65" s="167">
        <f t="shared" si="2"/>
        <v>1.2570377724090971E-3</v>
      </c>
      <c r="AY65" s="167">
        <f t="shared" si="3"/>
        <v>1.2396267814215509E-3</v>
      </c>
      <c r="AZ65" s="167">
        <f t="shared" si="4"/>
        <v>1.2393308218341947E-3</v>
      </c>
      <c r="BA65" s="167">
        <f t="shared" si="34"/>
        <v>1.2408228377402718E-3</v>
      </c>
      <c r="BB65" s="167">
        <f t="shared" si="34"/>
        <v>1.2991340335904438E-3</v>
      </c>
      <c r="BC65" s="167">
        <f t="shared" si="6"/>
        <v>1.3353312053503989E-3</v>
      </c>
      <c r="BD65" s="167">
        <f t="shared" si="7"/>
        <v>1.2999904592725202E-3</v>
      </c>
      <c r="BE65" s="167">
        <f t="shared" si="8"/>
        <v>1.3318124479892552E-3</v>
      </c>
    </row>
    <row r="66" spans="16:57" x14ac:dyDescent="0.2">
      <c r="AV66" s="169">
        <f>_xll.qlCalendarAdvance(Calendar,AV65,"1d","mf",,Trigger)</f>
        <v>42248</v>
      </c>
      <c r="AW66" s="155">
        <f>_xll.qlDayCounterYearFraction(DayCounter,SettlementDate,AV66,,,Trigger)</f>
        <v>0.24444444444444444</v>
      </c>
      <c r="AX66" s="167">
        <f t="shared" si="2"/>
        <v>1.259234863616752E-3</v>
      </c>
      <c r="AY66" s="167">
        <f t="shared" si="3"/>
        <v>1.242694422178583E-3</v>
      </c>
      <c r="AZ66" s="167">
        <f t="shared" si="4"/>
        <v>1.2417792839808444E-3</v>
      </c>
      <c r="BA66" s="167">
        <f t="shared" si="34"/>
        <v>1.2463927542167299E-3</v>
      </c>
      <c r="BB66" s="167">
        <f t="shared" si="34"/>
        <v>1.2997713187777584E-3</v>
      </c>
      <c r="BC66" s="167">
        <f t="shared" si="6"/>
        <v>1.336134601330597E-3</v>
      </c>
      <c r="BD66" s="167">
        <f t="shared" si="7"/>
        <v>1.3006982276760077E-3</v>
      </c>
      <c r="BE66" s="167">
        <f t="shared" si="8"/>
        <v>1.3326934532224262E-3</v>
      </c>
    </row>
    <row r="67" spans="16:57" x14ac:dyDescent="0.2">
      <c r="AV67" s="169">
        <f>_xll.qlCalendarAdvance(Calendar,AV66,"1d","mf",,Trigger)</f>
        <v>42249</v>
      </c>
      <c r="AW67" s="155">
        <f>_xll.qlDayCounterYearFraction(DayCounter,SettlementDate,AV67,,,Trigger)</f>
        <v>0.24722222222222223</v>
      </c>
      <c r="AX67" s="167">
        <f t="shared" si="2"/>
        <v>1.261431954824407E-3</v>
      </c>
      <c r="AY67" s="167">
        <f t="shared" si="3"/>
        <v>1.2457620629356151E-3</v>
      </c>
      <c r="AZ67" s="167">
        <f t="shared" si="4"/>
        <v>1.2442511113580749E-3</v>
      </c>
      <c r="BA67" s="167">
        <f t="shared" si="34"/>
        <v>1.2518682451943416E-3</v>
      </c>
      <c r="BB67" s="167">
        <f t="shared" si="34"/>
        <v>1.3004086039650731E-3</v>
      </c>
      <c r="BC67" s="167">
        <f t="shared" si="6"/>
        <v>1.3369379973107952E-3</v>
      </c>
      <c r="BD67" s="167">
        <f t="shared" si="7"/>
        <v>1.3014068140473171E-3</v>
      </c>
      <c r="BE67" s="167">
        <f t="shared" si="8"/>
        <v>1.3335755666036531E-3</v>
      </c>
    </row>
    <row r="68" spans="16:57" x14ac:dyDescent="0.2">
      <c r="AV68" s="169">
        <f>_xll.qlCalendarAdvance(Calendar,AV67,"1d","mf",,Trigger)</f>
        <v>42250</v>
      </c>
      <c r="AW68" s="155">
        <f>_xll.qlDayCounterYearFraction(DayCounter,SettlementDate,AV68,,,Trigger)</f>
        <v>0.25</v>
      </c>
      <c r="AX68" s="167">
        <f t="shared" ref="AX68:AX131" si="36">M$24+M$23*$AW68+M$22*$AW68^2</f>
        <v>1.2636290460320617E-3</v>
      </c>
      <c r="AY68" s="167">
        <f t="shared" ref="AY68:AY131" si="37">O$24+O$23*$AW68+O$22*$AW68^2</f>
        <v>1.2488297036926475E-3</v>
      </c>
      <c r="AZ68" s="167">
        <f t="shared" ref="AZ68:AZ131" si="38">N$24+N$23*$AW68+N$22*$AW68^2</f>
        <v>1.2467463039658854E-3</v>
      </c>
      <c r="BA68" s="167">
        <f t="shared" ref="BA68:BB99" si="39">P$24+P$23*$AW68+P$22*$AW68^2</f>
        <v>1.2572493106731072E-3</v>
      </c>
      <c r="BB68" s="167">
        <f t="shared" si="39"/>
        <v>1.3010458891523876E-3</v>
      </c>
      <c r="BC68" s="167">
        <f t="shared" ref="BC68:BC131" si="40">S$24+S$23*$AW68+S$22*$AW68^2</f>
        <v>1.3377413932909932E-3</v>
      </c>
      <c r="BD68" s="167">
        <f t="shared" ref="BD68:BD131" si="41">R$24+R$23*$AW68+R$22*$AW68^2</f>
        <v>1.3021162183864485E-3</v>
      </c>
      <c r="BE68" s="167">
        <f t="shared" ref="BE68:BE131" si="42">T$24+T$23*$AW68+T$22*$AW68^2</f>
        <v>1.3344587881329358E-3</v>
      </c>
    </row>
    <row r="69" spans="16:57" x14ac:dyDescent="0.2">
      <c r="AV69" s="169">
        <f>_xll.qlCalendarAdvance(Calendar,AV68,"1d","mf",,Trigger)</f>
        <v>42251</v>
      </c>
      <c r="AW69" s="155">
        <f>_xll.qlDayCounterYearFraction(DayCounter,SettlementDate,AV69,,,Trigger)</f>
        <v>0.25277777777777777</v>
      </c>
      <c r="AX69" s="167">
        <f t="shared" si="36"/>
        <v>1.2658261372397164E-3</v>
      </c>
      <c r="AY69" s="167">
        <f t="shared" si="37"/>
        <v>1.2518973444496798E-3</v>
      </c>
      <c r="AZ69" s="167">
        <f t="shared" si="38"/>
        <v>1.2492648618042765E-3</v>
      </c>
      <c r="BA69" s="167">
        <f t="shared" si="39"/>
        <v>1.2625359506530265E-3</v>
      </c>
      <c r="BB69" s="167">
        <f t="shared" si="39"/>
        <v>1.3016831743397023E-3</v>
      </c>
      <c r="BC69" s="167">
        <f t="shared" si="40"/>
        <v>1.3385447892711913E-3</v>
      </c>
      <c r="BD69" s="167">
        <f t="shared" si="41"/>
        <v>1.3028264406934017E-3</v>
      </c>
      <c r="BE69" s="167">
        <f t="shared" si="42"/>
        <v>1.3353431178102742E-3</v>
      </c>
    </row>
    <row r="70" spans="16:57" x14ac:dyDescent="0.2">
      <c r="AV70" s="169">
        <f>_xll.qlCalendarAdvance(Calendar,AV69,"1d","mf",,Trigger)</f>
        <v>42254</v>
      </c>
      <c r="AW70" s="155">
        <f>_xll.qlDayCounterYearFraction(DayCounter,SettlementDate,AV70,,,Trigger)</f>
        <v>0.26111111111111113</v>
      </c>
      <c r="AX70" s="167">
        <f t="shared" si="36"/>
        <v>1.272417410862681E-3</v>
      </c>
      <c r="AY70" s="167">
        <f t="shared" si="37"/>
        <v>1.2611002667207763E-3</v>
      </c>
      <c r="AZ70" s="167">
        <f t="shared" si="38"/>
        <v>1.2569607267029327E-3</v>
      </c>
      <c r="BA70" s="167">
        <f t="shared" si="39"/>
        <v>1.2778293175997068E-3</v>
      </c>
      <c r="BB70" s="167">
        <f t="shared" si="39"/>
        <v>1.3035950299016463E-3</v>
      </c>
      <c r="BC70" s="167">
        <f t="shared" si="40"/>
        <v>1.3409549772117856E-3</v>
      </c>
      <c r="BD70" s="167">
        <f t="shared" si="41"/>
        <v>1.3049620154211919E-3</v>
      </c>
      <c r="BE70" s="167">
        <f t="shared" si="42"/>
        <v>1.3380027557306229E-3</v>
      </c>
    </row>
    <row r="71" spans="16:57" x14ac:dyDescent="0.2">
      <c r="AV71" s="169">
        <f>_xll.qlCalendarAdvance(Calendar,AV70,"1d","mf",,Trigger)</f>
        <v>42255</v>
      </c>
      <c r="AW71" s="155">
        <f>_xll.qlDayCounterYearFraction(DayCounter,SettlementDate,AV71,,,Trigger)</f>
        <v>0.2638888888888889</v>
      </c>
      <c r="AX71" s="167">
        <f t="shared" si="36"/>
        <v>1.2746145020703359E-3</v>
      </c>
      <c r="AY71" s="167">
        <f t="shared" si="37"/>
        <v>1.2641679074778085E-3</v>
      </c>
      <c r="AZ71" s="167">
        <f t="shared" si="38"/>
        <v>1.2595727454636459E-3</v>
      </c>
      <c r="BA71" s="167">
        <f t="shared" si="39"/>
        <v>1.2827382555842411E-3</v>
      </c>
      <c r="BB71" s="167">
        <f t="shared" si="39"/>
        <v>1.3042323150889608E-3</v>
      </c>
      <c r="BC71" s="167">
        <f t="shared" si="40"/>
        <v>1.3417583731919836E-3</v>
      </c>
      <c r="BD71" s="167">
        <f t="shared" si="41"/>
        <v>1.3056755095994324E-3</v>
      </c>
      <c r="BE71" s="167">
        <f t="shared" si="42"/>
        <v>1.338891518000184E-3</v>
      </c>
    </row>
    <row r="72" spans="16:57" x14ac:dyDescent="0.2">
      <c r="AV72" s="169">
        <f>_xll.qlCalendarAdvance(Calendar,AV71,"1d","mf",,Trigger)</f>
        <v>42256</v>
      </c>
      <c r="AW72" s="155">
        <f>_xll.qlDayCounterYearFraction(DayCounter,SettlementDate,AV72,,,Trigger)</f>
        <v>0.26666666666666666</v>
      </c>
      <c r="AX72" s="167">
        <f t="shared" si="36"/>
        <v>1.2768115932779906E-3</v>
      </c>
      <c r="AY72" s="167">
        <f t="shared" si="37"/>
        <v>1.2672355482348408E-3</v>
      </c>
      <c r="AZ72" s="167">
        <f t="shared" si="38"/>
        <v>1.2622081294549393E-3</v>
      </c>
      <c r="BA72" s="167">
        <f t="shared" si="39"/>
        <v>1.287552768069929E-3</v>
      </c>
      <c r="BB72" s="167">
        <f t="shared" si="39"/>
        <v>1.3048696002762755E-3</v>
      </c>
      <c r="BC72" s="167">
        <f t="shared" si="40"/>
        <v>1.3425617691721818E-3</v>
      </c>
      <c r="BD72" s="167">
        <f t="shared" si="41"/>
        <v>1.3063898217454946E-3</v>
      </c>
      <c r="BE72" s="167">
        <f t="shared" si="42"/>
        <v>1.3397813884178005E-3</v>
      </c>
    </row>
    <row r="73" spans="16:57" ht="8.25" customHeight="1" x14ac:dyDescent="0.2">
      <c r="P73" s="140"/>
      <c r="AV73" s="169">
        <f>_xll.qlCalendarAdvance(Calendar,AV72,"1d","mf",,Trigger)</f>
        <v>42257</v>
      </c>
      <c r="AW73" s="155">
        <f>_xll.qlDayCounterYearFraction(DayCounter,SettlementDate,AV73,,,Trigger)</f>
        <v>0.26944444444444443</v>
      </c>
      <c r="AX73" s="167">
        <f t="shared" si="36"/>
        <v>1.2790086844856456E-3</v>
      </c>
      <c r="AY73" s="167">
        <f t="shared" si="37"/>
        <v>1.2703031889918729E-3</v>
      </c>
      <c r="AZ73" s="167">
        <f t="shared" si="38"/>
        <v>1.2648668786768131E-3</v>
      </c>
      <c r="BA73" s="167">
        <f t="shared" si="39"/>
        <v>1.2922728550567707E-3</v>
      </c>
      <c r="BB73" s="167">
        <f t="shared" si="39"/>
        <v>1.3055068854635902E-3</v>
      </c>
      <c r="BC73" s="167">
        <f t="shared" si="40"/>
        <v>1.3433651651523798E-3</v>
      </c>
      <c r="BD73" s="167">
        <f t="shared" si="41"/>
        <v>1.3071049518593788E-3</v>
      </c>
      <c r="BE73" s="167">
        <f t="shared" si="42"/>
        <v>1.3406723669834727E-3</v>
      </c>
    </row>
    <row r="74" spans="16:57" x14ac:dyDescent="0.2">
      <c r="P74" s="140"/>
      <c r="AV74" s="169">
        <f>_xll.qlCalendarAdvance(Calendar,AV73,"1d","mf",,Trigger)</f>
        <v>42258</v>
      </c>
      <c r="AW74" s="155">
        <f>_xll.qlDayCounterYearFraction(DayCounter,SettlementDate,AV74,,,Trigger)</f>
        <v>0.2722222222222222</v>
      </c>
      <c r="AX74" s="167">
        <f t="shared" si="36"/>
        <v>1.2812057756933005E-3</v>
      </c>
      <c r="AY74" s="167">
        <f t="shared" si="37"/>
        <v>1.2733708297489052E-3</v>
      </c>
      <c r="AZ74" s="167">
        <f t="shared" si="38"/>
        <v>1.2675489931292677E-3</v>
      </c>
      <c r="BA74" s="167">
        <f t="shared" si="39"/>
        <v>1.296898516544766E-3</v>
      </c>
      <c r="BB74" s="167">
        <f t="shared" si="39"/>
        <v>1.3061441706509048E-3</v>
      </c>
      <c r="BC74" s="167">
        <f t="shared" si="40"/>
        <v>1.3441685611325779E-3</v>
      </c>
      <c r="BD74" s="167">
        <f t="shared" si="41"/>
        <v>1.3078208999410849E-3</v>
      </c>
      <c r="BE74" s="167">
        <f t="shared" si="42"/>
        <v>1.3415644536972009E-3</v>
      </c>
    </row>
    <row r="75" spans="16:57" x14ac:dyDescent="0.2">
      <c r="P75" s="140"/>
      <c r="AV75" s="169">
        <f>_xll.qlCalendarAdvance(Calendar,AV74,"1d","mf",,Trigger)</f>
        <v>42261</v>
      </c>
      <c r="AW75" s="155">
        <f>_xll.qlDayCounterYearFraction(DayCounter,SettlementDate,AV75,,,Trigger)</f>
        <v>0.28055555555555556</v>
      </c>
      <c r="AX75" s="167">
        <f t="shared" si="36"/>
        <v>1.2877970493162649E-3</v>
      </c>
      <c r="AY75" s="167">
        <f t="shared" si="37"/>
        <v>1.2825737520200018E-3</v>
      </c>
      <c r="AZ75" s="167">
        <f t="shared" si="38"/>
        <v>1.2757355278701138E-3</v>
      </c>
      <c r="BA75" s="167">
        <f t="shared" si="39"/>
        <v>1.3102089480156751E-3</v>
      </c>
      <c r="BB75" s="167">
        <f t="shared" si="39"/>
        <v>1.3080560262128487E-3</v>
      </c>
      <c r="BC75" s="167">
        <f t="shared" si="40"/>
        <v>1.3465787490731722E-3</v>
      </c>
      <c r="BD75" s="167">
        <f t="shared" si="41"/>
        <v>1.3099736519931336E-3</v>
      </c>
      <c r="BE75" s="167">
        <f t="shared" si="42"/>
        <v>1.3442473627267189E-3</v>
      </c>
    </row>
    <row r="76" spans="16:57" x14ac:dyDescent="0.2">
      <c r="P76" s="140"/>
      <c r="AV76" s="169">
        <f>_xll.qlCalendarAdvance(Calendar,AV75,"1d","mf",,Trigger)</f>
        <v>42262</v>
      </c>
      <c r="AW76" s="155">
        <f>_xll.qlDayCounterYearFraction(DayCounter,SettlementDate,AV76,,,Trigger)</f>
        <v>0.28333333333333333</v>
      </c>
      <c r="AX76" s="167">
        <f t="shared" si="36"/>
        <v>1.2899941405239198E-3</v>
      </c>
      <c r="AY76" s="167">
        <f t="shared" si="37"/>
        <v>1.2856413927770341E-3</v>
      </c>
      <c r="AZ76" s="167">
        <f t="shared" si="38"/>
        <v>1.27851110324489E-3</v>
      </c>
      <c r="BA76" s="167">
        <f t="shared" si="39"/>
        <v>1.3144569075082854E-3</v>
      </c>
      <c r="BB76" s="167">
        <f t="shared" si="39"/>
        <v>1.3086933114001633E-3</v>
      </c>
      <c r="BC76" s="167">
        <f t="shared" si="40"/>
        <v>1.3473821450533702E-3</v>
      </c>
      <c r="BD76" s="167">
        <f t="shared" si="41"/>
        <v>1.3106928719461271E-3</v>
      </c>
      <c r="BE76" s="167">
        <f t="shared" si="42"/>
        <v>1.3451438820326696E-3</v>
      </c>
    </row>
    <row r="77" spans="16:57" x14ac:dyDescent="0.2">
      <c r="P77" s="140"/>
      <c r="AV77" s="169">
        <f>_xll.qlCalendarAdvance(Calendar,AV76,"1d","mf",,Trigger)</f>
        <v>42263</v>
      </c>
      <c r="AW77" s="155">
        <f>_xll.qlDayCounterYearFraction(DayCounter,SettlementDate,AV77,,,Trigger)</f>
        <v>0.28611111111111109</v>
      </c>
      <c r="AX77" s="167">
        <f t="shared" si="36"/>
        <v>1.2921912317315747E-3</v>
      </c>
      <c r="AY77" s="167">
        <f t="shared" si="37"/>
        <v>1.2887090335340662E-3</v>
      </c>
      <c r="AZ77" s="167">
        <f t="shared" si="38"/>
        <v>1.2813100438502469E-3</v>
      </c>
      <c r="BA77" s="167">
        <f t="shared" si="39"/>
        <v>1.3186104415020493E-3</v>
      </c>
      <c r="BB77" s="167">
        <f t="shared" si="39"/>
        <v>1.309330596587478E-3</v>
      </c>
      <c r="BC77" s="167">
        <f t="shared" si="40"/>
        <v>1.3481855410335684E-3</v>
      </c>
      <c r="BD77" s="167">
        <f t="shared" si="41"/>
        <v>1.3114129098669423E-3</v>
      </c>
      <c r="BE77" s="167">
        <f t="shared" si="42"/>
        <v>1.346041509486676E-3</v>
      </c>
    </row>
    <row r="78" spans="16:57" x14ac:dyDescent="0.2">
      <c r="P78" s="140"/>
      <c r="AV78" s="169">
        <f>_xll.qlCalendarAdvance(Calendar,AV77,"1d","mf",,Trigger)</f>
        <v>42264</v>
      </c>
      <c r="AW78" s="155">
        <f>_xll.qlDayCounterYearFraction(DayCounter,SettlementDate,AV78,,,Trigger)</f>
        <v>0.28888888888888886</v>
      </c>
      <c r="AX78" s="167">
        <f t="shared" si="36"/>
        <v>1.2943883229392294E-3</v>
      </c>
      <c r="AY78" s="167">
        <f t="shared" si="37"/>
        <v>1.2917766742910983E-3</v>
      </c>
      <c r="AZ78" s="167">
        <f t="shared" si="38"/>
        <v>1.284132349686184E-3</v>
      </c>
      <c r="BA78" s="167">
        <f t="shared" si="39"/>
        <v>1.3226695499969675E-3</v>
      </c>
      <c r="BB78" s="167">
        <f t="shared" si="39"/>
        <v>1.3099678817747927E-3</v>
      </c>
      <c r="BC78" s="167">
        <f t="shared" si="40"/>
        <v>1.3489889370137665E-3</v>
      </c>
      <c r="BD78" s="167">
        <f t="shared" si="41"/>
        <v>1.3121337657555794E-3</v>
      </c>
      <c r="BE78" s="167">
        <f t="shared" si="42"/>
        <v>1.346940245088738E-3</v>
      </c>
    </row>
    <row r="79" spans="16:57" x14ac:dyDescent="0.2">
      <c r="P79" s="140"/>
      <c r="Q79" s="140"/>
      <c r="AV79" s="169">
        <f>_xll.qlCalendarAdvance(Calendar,AV78,"1d","mf",,Trigger)</f>
        <v>42265</v>
      </c>
      <c r="AW79" s="155">
        <f>_xll.qlDayCounterYearFraction(DayCounter,SettlementDate,AV79,,,Trigger)</f>
        <v>0.29166666666666669</v>
      </c>
      <c r="AX79" s="167">
        <f t="shared" si="36"/>
        <v>1.2965854141468844E-3</v>
      </c>
      <c r="AY79" s="167">
        <f t="shared" si="37"/>
        <v>1.2948443150481307E-3</v>
      </c>
      <c r="AZ79" s="167">
        <f t="shared" si="38"/>
        <v>1.2869780207527019E-3</v>
      </c>
      <c r="BA79" s="167">
        <f t="shared" si="39"/>
        <v>1.3266342329930391E-3</v>
      </c>
      <c r="BB79" s="167">
        <f t="shared" si="39"/>
        <v>1.3106051669621074E-3</v>
      </c>
      <c r="BC79" s="167">
        <f t="shared" si="40"/>
        <v>1.3497923329939645E-3</v>
      </c>
      <c r="BD79" s="167">
        <f t="shared" si="41"/>
        <v>1.3128554396120383E-3</v>
      </c>
      <c r="BE79" s="167">
        <f t="shared" si="42"/>
        <v>1.3478400888388556E-3</v>
      </c>
    </row>
    <row r="80" spans="16:57" x14ac:dyDescent="0.2">
      <c r="P80" s="140"/>
      <c r="Q80" s="140"/>
      <c r="AV80" s="169">
        <f>_xll.qlCalendarAdvance(Calendar,AV79,"1d","mf",,Trigger)</f>
        <v>42268</v>
      </c>
      <c r="AW80" s="155">
        <f>_xll.qlDayCounterYearFraction(DayCounter,SettlementDate,AV80,,,Trigger)</f>
        <v>0.3</v>
      </c>
      <c r="AX80" s="167">
        <f t="shared" si="36"/>
        <v>1.3031766877698487E-3</v>
      </c>
      <c r="AY80" s="167">
        <f t="shared" si="37"/>
        <v>1.3040472373192272E-3</v>
      </c>
      <c r="AZ80" s="167">
        <f t="shared" si="38"/>
        <v>1.2956552253357376E-3</v>
      </c>
      <c r="BA80" s="167">
        <f t="shared" si="39"/>
        <v>1.3379617289881762E-3</v>
      </c>
      <c r="BB80" s="167">
        <f t="shared" si="39"/>
        <v>1.3125170225240512E-3</v>
      </c>
      <c r="BC80" s="167">
        <f t="shared" si="40"/>
        <v>1.3522025209345588E-3</v>
      </c>
      <c r="BD80" s="167">
        <f t="shared" si="41"/>
        <v>1.3150253689883458E-3</v>
      </c>
      <c r="BE80" s="167">
        <f t="shared" si="42"/>
        <v>1.3505462689775429E-3</v>
      </c>
    </row>
    <row r="81" spans="16:57" x14ac:dyDescent="0.2">
      <c r="P81" s="140"/>
      <c r="Q81" s="140"/>
      <c r="AV81" s="169">
        <f>_xll.qlCalendarAdvance(Calendar,AV80,"1d","mf",,Trigger)</f>
        <v>42269</v>
      </c>
      <c r="AW81" s="155">
        <f>_xll.qlDayCounterYearFraction(DayCounter,SettlementDate,AV81,,,Trigger)</f>
        <v>0.30277777777777776</v>
      </c>
      <c r="AX81" s="167">
        <f t="shared" si="36"/>
        <v>1.3053737789775037E-3</v>
      </c>
      <c r="AY81" s="167">
        <f t="shared" si="37"/>
        <v>1.3071148780762596E-3</v>
      </c>
      <c r="AZ81" s="167">
        <f t="shared" si="38"/>
        <v>1.2985943573245774E-3</v>
      </c>
      <c r="BA81" s="167">
        <f t="shared" si="39"/>
        <v>1.341548709988863E-3</v>
      </c>
      <c r="BB81" s="167">
        <f t="shared" si="39"/>
        <v>1.3131543077113659E-3</v>
      </c>
      <c r="BC81" s="167">
        <f t="shared" si="40"/>
        <v>1.3530059169147568E-3</v>
      </c>
      <c r="BD81" s="167">
        <f t="shared" si="41"/>
        <v>1.315750314716092E-3</v>
      </c>
      <c r="BE81" s="167">
        <f t="shared" si="42"/>
        <v>1.3514505453198834E-3</v>
      </c>
    </row>
    <row r="82" spans="16:57" x14ac:dyDescent="0.2">
      <c r="P82" s="140"/>
      <c r="Q82" s="140"/>
      <c r="AV82" s="169">
        <f>_xll.qlCalendarAdvance(Calendar,AV81,"1d","mf",,Trigger)</f>
        <v>42270</v>
      </c>
      <c r="AW82" s="155">
        <f>_xll.qlDayCounterYearFraction(DayCounter,SettlementDate,AV82,,,Trigger)</f>
        <v>0.30555555555555558</v>
      </c>
      <c r="AX82" s="167">
        <f t="shared" si="36"/>
        <v>1.3075708701851586E-3</v>
      </c>
      <c r="AY82" s="167">
        <f t="shared" si="37"/>
        <v>1.3101825188332919E-3</v>
      </c>
      <c r="AZ82" s="167">
        <f t="shared" si="38"/>
        <v>1.3015568545439976E-3</v>
      </c>
      <c r="BA82" s="167">
        <f t="shared" si="39"/>
        <v>1.3450412654907032E-3</v>
      </c>
      <c r="BB82" s="167">
        <f t="shared" si="39"/>
        <v>1.3137915928986806E-3</v>
      </c>
      <c r="BC82" s="167">
        <f t="shared" si="40"/>
        <v>1.353809312894955E-3</v>
      </c>
      <c r="BD82" s="167">
        <f t="shared" si="41"/>
        <v>1.3164760784116602E-3</v>
      </c>
      <c r="BE82" s="167">
        <f t="shared" si="42"/>
        <v>1.3523559298102795E-3</v>
      </c>
    </row>
    <row r="83" spans="16:57" x14ac:dyDescent="0.2">
      <c r="P83" s="140"/>
      <c r="Q83" s="140"/>
      <c r="AV83" s="169">
        <f>_xll.qlCalendarAdvance(Calendar,AV82,"1d","mf",,Trigger)</f>
        <v>42271</v>
      </c>
      <c r="AW83" s="155">
        <f>_xll.qlDayCounterYearFraction(DayCounter,SettlementDate,AV83,,,Trigger)</f>
        <v>0.30833333333333335</v>
      </c>
      <c r="AX83" s="167">
        <f t="shared" si="36"/>
        <v>1.3097679613928133E-3</v>
      </c>
      <c r="AY83" s="167">
        <f t="shared" si="37"/>
        <v>1.313250159590324E-3</v>
      </c>
      <c r="AZ83" s="167">
        <f t="shared" si="38"/>
        <v>1.3045427169939979E-3</v>
      </c>
      <c r="BA83" s="167">
        <f t="shared" si="39"/>
        <v>1.3484393954936971E-3</v>
      </c>
      <c r="BB83" s="167">
        <f t="shared" si="39"/>
        <v>1.3144288780859951E-3</v>
      </c>
      <c r="BC83" s="167">
        <f t="shared" si="40"/>
        <v>1.3546127088751531E-3</v>
      </c>
      <c r="BD83" s="167">
        <f t="shared" si="41"/>
        <v>1.3172026600750501E-3</v>
      </c>
      <c r="BE83" s="167">
        <f t="shared" si="42"/>
        <v>1.3532624224487314E-3</v>
      </c>
    </row>
    <row r="84" spans="16:57" x14ac:dyDescent="0.2">
      <c r="P84" s="140"/>
      <c r="Q84" s="140"/>
      <c r="AV84" s="169">
        <f>_xll.qlCalendarAdvance(Calendar,AV83,"1d","mf",,Trigger)</f>
        <v>42272</v>
      </c>
      <c r="AW84" s="155">
        <f>_xll.qlDayCounterYearFraction(DayCounter,SettlementDate,AV84,,,Trigger)</f>
        <v>0.31111111111111112</v>
      </c>
      <c r="AX84" s="167">
        <f t="shared" si="36"/>
        <v>1.3119650526004683E-3</v>
      </c>
      <c r="AY84" s="167">
        <f t="shared" si="37"/>
        <v>1.3163178003473561E-3</v>
      </c>
      <c r="AZ84" s="167">
        <f t="shared" si="38"/>
        <v>1.3075519446745791E-3</v>
      </c>
      <c r="BA84" s="167">
        <f t="shared" si="39"/>
        <v>1.3517430999978449E-3</v>
      </c>
      <c r="BB84" s="167">
        <f t="shared" si="39"/>
        <v>1.3150661632733097E-3</v>
      </c>
      <c r="BC84" s="167">
        <f t="shared" si="40"/>
        <v>1.3554161048553511E-3</v>
      </c>
      <c r="BD84" s="167">
        <f t="shared" si="41"/>
        <v>1.317930059706262E-3</v>
      </c>
      <c r="BE84" s="167">
        <f t="shared" si="42"/>
        <v>1.3541700232352386E-3</v>
      </c>
    </row>
    <row r="85" spans="16:57" x14ac:dyDescent="0.2">
      <c r="P85" s="140"/>
      <c r="Q85" s="140"/>
      <c r="AV85" s="169">
        <f>_xll.qlCalendarAdvance(Calendar,AV84,"1d","mf",,Trigger)</f>
        <v>42275</v>
      </c>
      <c r="AW85" s="155">
        <f>_xll.qlDayCounterYearFraction(DayCounter,SettlementDate,AV85,,,Trigger)</f>
        <v>0.31944444444444442</v>
      </c>
      <c r="AX85" s="167">
        <f t="shared" si="36"/>
        <v>1.3185563262234326E-3</v>
      </c>
      <c r="AY85" s="167">
        <f t="shared" si="37"/>
        <v>1.3255207226184527E-3</v>
      </c>
      <c r="AZ85" s="167">
        <f t="shared" si="38"/>
        <v>1.316719819099805E-3</v>
      </c>
      <c r="BA85" s="167">
        <f t="shared" si="39"/>
        <v>1.3610876605172106E-3</v>
      </c>
      <c r="BB85" s="167">
        <f t="shared" si="39"/>
        <v>1.3169780188352538E-3</v>
      </c>
      <c r="BC85" s="167">
        <f t="shared" si="40"/>
        <v>1.3578262927959454E-3</v>
      </c>
      <c r="BD85" s="167">
        <f t="shared" si="41"/>
        <v>1.3201171664068284E-3</v>
      </c>
      <c r="BE85" s="167">
        <f t="shared" si="42"/>
        <v>1.3568994744830951E-3</v>
      </c>
    </row>
    <row r="86" spans="16:57" x14ac:dyDescent="0.2">
      <c r="P86" s="140"/>
      <c r="Q86" s="140"/>
      <c r="AV86" s="169">
        <f>_xll.qlCalendarAdvance(Calendar,AV85,"1d","mf",,Trigger)</f>
        <v>42276</v>
      </c>
      <c r="AW86" s="155">
        <f>_xll.qlDayCounterYearFraction(DayCounter,SettlementDate,AV86,,,Trigger)</f>
        <v>0.32222222222222224</v>
      </c>
      <c r="AX86" s="167">
        <f t="shared" si="36"/>
        <v>1.3207534174310876E-3</v>
      </c>
      <c r="AY86" s="167">
        <f t="shared" si="37"/>
        <v>1.328588363375485E-3</v>
      </c>
      <c r="AZ86" s="167">
        <f t="shared" si="38"/>
        <v>1.3198225077027078E-3</v>
      </c>
      <c r="BA86" s="167">
        <f t="shared" si="39"/>
        <v>1.3640136630259734E-3</v>
      </c>
      <c r="BB86" s="167">
        <f t="shared" si="39"/>
        <v>1.3176153040225683E-3</v>
      </c>
      <c r="BC86" s="167">
        <f t="shared" si="40"/>
        <v>1.3586296887761434E-3</v>
      </c>
      <c r="BD86" s="167">
        <f t="shared" si="41"/>
        <v>1.3208478379093274E-3</v>
      </c>
      <c r="BE86" s="167">
        <f t="shared" si="42"/>
        <v>1.3578115078618253E-3</v>
      </c>
    </row>
    <row r="87" spans="16:57" x14ac:dyDescent="0.2">
      <c r="P87" s="140"/>
      <c r="Q87" s="140"/>
      <c r="AV87" s="169">
        <f>_xll.qlCalendarAdvance(Calendar,AV86,"1d","mf",,Trigger)</f>
        <v>42277</v>
      </c>
      <c r="AW87" s="155">
        <f>_xll.qlDayCounterYearFraction(DayCounter,SettlementDate,AV87,,,Trigger)</f>
        <v>0.32500000000000001</v>
      </c>
      <c r="AX87" s="167">
        <f t="shared" si="36"/>
        <v>1.3229505086387425E-3</v>
      </c>
      <c r="AY87" s="167">
        <f t="shared" si="37"/>
        <v>1.3316560041325173E-3</v>
      </c>
      <c r="AZ87" s="167">
        <f t="shared" si="38"/>
        <v>1.3229485615361915E-3</v>
      </c>
      <c r="BA87" s="167">
        <f t="shared" si="39"/>
        <v>1.3668452400358894E-3</v>
      </c>
      <c r="BB87" s="167">
        <f t="shared" si="39"/>
        <v>1.3182525892098829E-3</v>
      </c>
      <c r="BC87" s="167">
        <f t="shared" si="40"/>
        <v>1.3594330847563414E-3</v>
      </c>
      <c r="BD87" s="167">
        <f t="shared" si="41"/>
        <v>1.3215793273796484E-3</v>
      </c>
      <c r="BE87" s="167">
        <f t="shared" si="42"/>
        <v>1.3587246493886112E-3</v>
      </c>
    </row>
    <row r="88" spans="16:57" x14ac:dyDescent="0.2">
      <c r="P88" s="140"/>
      <c r="Q88" s="140"/>
      <c r="AV88" s="169">
        <f>_xll.qlCalendarAdvance(Calendar,AV87,"1d","mf",,Trigger)</f>
        <v>42278</v>
      </c>
      <c r="AW88" s="155">
        <f>_xll.qlDayCounterYearFraction(DayCounter,SettlementDate,AV88,,,Trigger)</f>
        <v>0.32777777777777778</v>
      </c>
      <c r="AX88" s="167">
        <f t="shared" si="36"/>
        <v>1.3251475998463972E-3</v>
      </c>
      <c r="AY88" s="167">
        <f t="shared" si="37"/>
        <v>1.3347236448895494E-3</v>
      </c>
      <c r="AZ88" s="167">
        <f t="shared" si="38"/>
        <v>1.3260979806002551E-3</v>
      </c>
      <c r="BA88" s="167">
        <f t="shared" si="39"/>
        <v>1.3695823915469603E-3</v>
      </c>
      <c r="BB88" s="167">
        <f t="shared" si="39"/>
        <v>1.3188898743971976E-3</v>
      </c>
      <c r="BC88" s="167">
        <f t="shared" si="40"/>
        <v>1.3602364807365397E-3</v>
      </c>
      <c r="BD88" s="167">
        <f t="shared" si="41"/>
        <v>1.3223116348177913E-3</v>
      </c>
      <c r="BE88" s="167">
        <f t="shared" si="42"/>
        <v>1.3596388990634528E-3</v>
      </c>
    </row>
    <row r="89" spans="16:57" x14ac:dyDescent="0.2">
      <c r="P89" s="140"/>
      <c r="Q89" s="140"/>
      <c r="AV89" s="169">
        <f>_xll.qlCalendarAdvance(Calendar,AV88,"1d","mf",,Trigger)</f>
        <v>42279</v>
      </c>
      <c r="AW89" s="155">
        <f>_xll.qlDayCounterYearFraction(DayCounter,SettlementDate,AV89,,,Trigger)</f>
        <v>0.33055555555555555</v>
      </c>
      <c r="AX89" s="167">
        <f t="shared" si="36"/>
        <v>1.3273446910540521E-3</v>
      </c>
      <c r="AY89" s="167">
        <f t="shared" si="37"/>
        <v>1.3377912856465815E-3</v>
      </c>
      <c r="AZ89" s="167">
        <f t="shared" si="38"/>
        <v>1.3292707648948994E-3</v>
      </c>
      <c r="BA89" s="167">
        <f t="shared" si="39"/>
        <v>1.3722251175591837E-3</v>
      </c>
      <c r="BB89" s="167">
        <f t="shared" si="39"/>
        <v>1.3195271595845123E-3</v>
      </c>
      <c r="BC89" s="167">
        <f t="shared" si="40"/>
        <v>1.3610398767167377E-3</v>
      </c>
      <c r="BD89" s="167">
        <f t="shared" si="41"/>
        <v>1.3230447602237559E-3</v>
      </c>
      <c r="BE89" s="167">
        <f t="shared" si="42"/>
        <v>1.36055425688635E-3</v>
      </c>
    </row>
    <row r="90" spans="16:57" x14ac:dyDescent="0.2">
      <c r="P90" s="140"/>
      <c r="Q90" s="140"/>
      <c r="AV90" s="169">
        <f>_xll.qlCalendarAdvance(Calendar,AV89,"1d","mf",,Trigger)</f>
        <v>42282</v>
      </c>
      <c r="AW90" s="155">
        <f>_xll.qlDayCounterYearFraction(DayCounter,SettlementDate,AV90,,,Trigger)</f>
        <v>0.33888888888888891</v>
      </c>
      <c r="AX90" s="167">
        <f t="shared" si="36"/>
        <v>1.3339359646770167E-3</v>
      </c>
      <c r="AY90" s="167">
        <f t="shared" si="37"/>
        <v>1.3469942079176783E-3</v>
      </c>
      <c r="AZ90" s="167">
        <f t="shared" si="38"/>
        <v>1.3389293091623151E-3</v>
      </c>
      <c r="BA90" s="167">
        <f t="shared" si="39"/>
        <v>1.3795867426027782E-3</v>
      </c>
      <c r="BB90" s="167">
        <f t="shared" si="39"/>
        <v>1.3214390151464561E-3</v>
      </c>
      <c r="BC90" s="167">
        <f t="shared" si="40"/>
        <v>1.363450064657332E-3</v>
      </c>
      <c r="BD90" s="167">
        <f t="shared" si="41"/>
        <v>1.3252490442485811E-3</v>
      </c>
      <c r="BE90" s="167">
        <f t="shared" si="42"/>
        <v>1.3633069792433757E-3</v>
      </c>
    </row>
    <row r="91" spans="16:57" x14ac:dyDescent="0.2">
      <c r="P91" s="140"/>
      <c r="Q91" s="140"/>
      <c r="AV91" s="169">
        <f>_xll.qlCalendarAdvance(Calendar,AV90,"1d","mf",,Trigger)</f>
        <v>42283</v>
      </c>
      <c r="AW91" s="155">
        <f>_xll.qlDayCounterYearFraction(DayCounter,SettlementDate,AV91,,,Trigger)</f>
        <v>0.34166666666666667</v>
      </c>
      <c r="AX91" s="167">
        <f t="shared" si="36"/>
        <v>1.3361330558846714E-3</v>
      </c>
      <c r="AY91" s="167">
        <f t="shared" si="37"/>
        <v>1.3500618486747104E-3</v>
      </c>
      <c r="AZ91" s="167">
        <f t="shared" si="38"/>
        <v>1.3421955543792814E-3</v>
      </c>
      <c r="BA91" s="167">
        <f t="shared" si="39"/>
        <v>1.3818517666196169E-3</v>
      </c>
      <c r="BB91" s="167">
        <f t="shared" si="39"/>
        <v>1.3220763003337708E-3</v>
      </c>
      <c r="BC91" s="167">
        <f t="shared" si="40"/>
        <v>1.36425346063753E-3</v>
      </c>
      <c r="BD91" s="167">
        <f t="shared" si="41"/>
        <v>1.3259854415258328E-3</v>
      </c>
      <c r="BE91" s="167">
        <f t="shared" si="42"/>
        <v>1.3642267696584954E-3</v>
      </c>
    </row>
    <row r="92" spans="16:57" x14ac:dyDescent="0.2">
      <c r="P92" s="140"/>
      <c r="Q92" s="140"/>
      <c r="AV92" s="169">
        <f>_xll.qlCalendarAdvance(Calendar,AV91,"1d","mf",,Trigger)</f>
        <v>42284</v>
      </c>
      <c r="AW92" s="155">
        <f>_xll.qlDayCounterYearFraction(DayCounter,SettlementDate,AV92,,,Trigger)</f>
        <v>0.34444444444444444</v>
      </c>
      <c r="AX92" s="167">
        <f t="shared" si="36"/>
        <v>1.3383301470923264E-3</v>
      </c>
      <c r="AY92" s="167">
        <f t="shared" si="37"/>
        <v>1.3531294894317428E-3</v>
      </c>
      <c r="AZ92" s="167">
        <f t="shared" si="38"/>
        <v>1.345485164826828E-3</v>
      </c>
      <c r="BA92" s="167">
        <f t="shared" si="39"/>
        <v>1.3840223651376095E-3</v>
      </c>
      <c r="BB92" s="167">
        <f t="shared" si="39"/>
        <v>1.3227135855210855E-3</v>
      </c>
      <c r="BC92" s="167">
        <f t="shared" si="40"/>
        <v>1.365056856617728E-3</v>
      </c>
      <c r="BD92" s="167">
        <f t="shared" si="41"/>
        <v>1.3267226567709068E-3</v>
      </c>
      <c r="BE92" s="167">
        <f t="shared" si="42"/>
        <v>1.3651476682216711E-3</v>
      </c>
    </row>
    <row r="93" spans="16:57" x14ac:dyDescent="0.2">
      <c r="P93" s="140"/>
      <c r="Q93" s="140"/>
      <c r="AV93" s="169">
        <f>_xll.qlCalendarAdvance(Calendar,AV92,"1d","mf",,Trigger)</f>
        <v>42285</v>
      </c>
      <c r="AW93" s="155">
        <f>_xll.qlDayCounterYearFraction(DayCounter,SettlementDate,AV93,,,Trigger)</f>
        <v>0.34722222222222221</v>
      </c>
      <c r="AX93" s="167">
        <f t="shared" si="36"/>
        <v>1.3405272382999811E-3</v>
      </c>
      <c r="AY93" s="167">
        <f t="shared" si="37"/>
        <v>1.3561971301887749E-3</v>
      </c>
      <c r="AZ93" s="167">
        <f t="shared" si="38"/>
        <v>1.3487981405049551E-3</v>
      </c>
      <c r="BA93" s="167">
        <f t="shared" si="39"/>
        <v>1.3860985381567558E-3</v>
      </c>
      <c r="BB93" s="167">
        <f t="shared" si="39"/>
        <v>1.3233508707084002E-3</v>
      </c>
      <c r="BC93" s="167">
        <f t="shared" si="40"/>
        <v>1.3658602525979263E-3</v>
      </c>
      <c r="BD93" s="167">
        <f t="shared" si="41"/>
        <v>1.3274606899838027E-3</v>
      </c>
      <c r="BE93" s="167">
        <f t="shared" si="42"/>
        <v>1.3660696749329025E-3</v>
      </c>
    </row>
    <row r="94" spans="16:57" x14ac:dyDescent="0.2">
      <c r="P94" s="140"/>
      <c r="Q94" s="140"/>
      <c r="AV94" s="169">
        <f>_xll.qlCalendarAdvance(Calendar,AV93,"1d","mf",,Trigger)</f>
        <v>42286</v>
      </c>
      <c r="AW94" s="155">
        <f>_xll.qlDayCounterYearFraction(DayCounter,SettlementDate,AV94,,,Trigger)</f>
        <v>0.35</v>
      </c>
      <c r="AX94" s="167">
        <f t="shared" si="36"/>
        <v>1.342724329507636E-3</v>
      </c>
      <c r="AY94" s="167">
        <f t="shared" si="37"/>
        <v>1.3592647709458072E-3</v>
      </c>
      <c r="AZ94" s="167">
        <f t="shared" si="38"/>
        <v>1.3521344814136629E-3</v>
      </c>
      <c r="BA94" s="167">
        <f t="shared" si="39"/>
        <v>1.3880802856770561E-3</v>
      </c>
      <c r="BB94" s="167">
        <f t="shared" si="39"/>
        <v>1.3239881558957149E-3</v>
      </c>
      <c r="BC94" s="167">
        <f t="shared" si="40"/>
        <v>1.3666636485781243E-3</v>
      </c>
      <c r="BD94" s="167">
        <f t="shared" si="41"/>
        <v>1.3281995411645201E-3</v>
      </c>
      <c r="BE94" s="167">
        <f t="shared" si="42"/>
        <v>1.3669927897921894E-3</v>
      </c>
    </row>
    <row r="95" spans="16:57" x14ac:dyDescent="0.2">
      <c r="P95" s="140"/>
      <c r="Q95" s="140"/>
      <c r="AV95" s="169">
        <f>_xll.qlCalendarAdvance(Calendar,AV94,"1d","mf",,Trigger)</f>
        <v>42289</v>
      </c>
      <c r="AW95" s="155">
        <f>_xll.qlDayCounterYearFraction(DayCounter,SettlementDate,AV95,,,Trigger)</f>
        <v>0.35833333333333334</v>
      </c>
      <c r="AX95" s="167">
        <f t="shared" si="36"/>
        <v>1.3493156031306004E-3</v>
      </c>
      <c r="AY95" s="167">
        <f t="shared" si="37"/>
        <v>1.3684676932169037E-3</v>
      </c>
      <c r="AZ95" s="167">
        <f t="shared" si="38"/>
        <v>1.3622836955232685E-3</v>
      </c>
      <c r="BA95" s="167">
        <f t="shared" si="39"/>
        <v>1.3934589752448785E-3</v>
      </c>
      <c r="BB95" s="167">
        <f t="shared" si="39"/>
        <v>1.3259000114576587E-3</v>
      </c>
      <c r="BC95" s="167">
        <f t="shared" si="40"/>
        <v>1.3690738365187186E-3</v>
      </c>
      <c r="BD95" s="167">
        <f t="shared" si="41"/>
        <v>1.3304210025136039E-3</v>
      </c>
      <c r="BE95" s="167">
        <f t="shared" si="42"/>
        <v>1.3697687832583843E-3</v>
      </c>
    </row>
    <row r="96" spans="16:57" x14ac:dyDescent="0.2">
      <c r="P96" s="140"/>
      <c r="Q96" s="140"/>
      <c r="AV96" s="169">
        <f>_xll.qlCalendarAdvance(Calendar,AV95,"1d","mf",,Trigger)</f>
        <v>42290</v>
      </c>
      <c r="AW96" s="155">
        <f>_xll.qlDayCounterYearFraction(DayCounter,SettlementDate,AV96,,,Trigger)</f>
        <v>0.3611111111111111</v>
      </c>
      <c r="AX96" s="167">
        <f t="shared" si="36"/>
        <v>1.3515126943382553E-3</v>
      </c>
      <c r="AY96" s="167">
        <f t="shared" si="37"/>
        <v>1.3715353339739361E-3</v>
      </c>
      <c r="AZ96" s="167">
        <f t="shared" si="38"/>
        <v>1.3657134973542979E-3</v>
      </c>
      <c r="BA96" s="167">
        <f t="shared" si="39"/>
        <v>1.3950630207697936E-3</v>
      </c>
      <c r="BB96" s="167">
        <f t="shared" si="39"/>
        <v>1.3265372966449734E-3</v>
      </c>
      <c r="BC96" s="167">
        <f t="shared" si="40"/>
        <v>1.3698772324989166E-3</v>
      </c>
      <c r="BD96" s="167">
        <f t="shared" si="41"/>
        <v>1.3311631255656087E-3</v>
      </c>
      <c r="BE96" s="167">
        <f t="shared" si="42"/>
        <v>1.370696330709894E-3</v>
      </c>
    </row>
    <row r="97" spans="16:57" x14ac:dyDescent="0.2">
      <c r="P97" s="140"/>
      <c r="Q97" s="140"/>
      <c r="AV97" s="169">
        <f>_xll.qlCalendarAdvance(Calendar,AV96,"1d","mf",,Trigger)</f>
        <v>42291</v>
      </c>
      <c r="AW97" s="155">
        <f>_xll.qlDayCounterYearFraction(DayCounter,SettlementDate,AV97,,,Trigger)</f>
        <v>0.36388888888888887</v>
      </c>
      <c r="AX97" s="167">
        <f t="shared" si="36"/>
        <v>1.3537097855459103E-3</v>
      </c>
      <c r="AY97" s="167">
        <f t="shared" si="37"/>
        <v>1.3746029747309682E-3</v>
      </c>
      <c r="AZ97" s="167">
        <f t="shared" si="38"/>
        <v>1.3691666644159081E-3</v>
      </c>
      <c r="BA97" s="167">
        <f t="shared" si="39"/>
        <v>1.3965726407958626E-3</v>
      </c>
      <c r="BB97" s="167">
        <f t="shared" si="39"/>
        <v>1.3271745818322881E-3</v>
      </c>
      <c r="BC97" s="167">
        <f t="shared" si="40"/>
        <v>1.3706806284791147E-3</v>
      </c>
      <c r="BD97" s="167">
        <f t="shared" si="41"/>
        <v>1.3319060665854356E-3</v>
      </c>
      <c r="BE97" s="167">
        <f t="shared" si="42"/>
        <v>1.3716249863094591E-3</v>
      </c>
    </row>
    <row r="98" spans="16:57" x14ac:dyDescent="0.2">
      <c r="P98" s="140"/>
      <c r="Q98" s="140"/>
      <c r="AV98" s="169">
        <f>_xll.qlCalendarAdvance(Calendar,AV97,"1d","mf",,Trigger)</f>
        <v>42292</v>
      </c>
      <c r="AW98" s="155">
        <f>_xll.qlDayCounterYearFraction(DayCounter,SettlementDate,AV98,,,Trigger)</f>
        <v>0.36666666666666664</v>
      </c>
      <c r="AX98" s="167">
        <f t="shared" si="36"/>
        <v>1.355906876753565E-3</v>
      </c>
      <c r="AY98" s="167">
        <f t="shared" si="37"/>
        <v>1.3776706154880005E-3</v>
      </c>
      <c r="AZ98" s="167">
        <f t="shared" si="38"/>
        <v>1.3726431967080984E-3</v>
      </c>
      <c r="BA98" s="167">
        <f t="shared" si="39"/>
        <v>1.3979878353230853E-3</v>
      </c>
      <c r="BB98" s="167">
        <f t="shared" si="39"/>
        <v>1.3278118670196027E-3</v>
      </c>
      <c r="BC98" s="167">
        <f t="shared" si="40"/>
        <v>1.3714840244593129E-3</v>
      </c>
      <c r="BD98" s="167">
        <f t="shared" si="41"/>
        <v>1.3326498255730843E-3</v>
      </c>
      <c r="BE98" s="167">
        <f t="shared" si="42"/>
        <v>1.37255475005708E-3</v>
      </c>
    </row>
    <row r="99" spans="16:57" x14ac:dyDescent="0.2">
      <c r="P99" s="140"/>
      <c r="Q99" s="140"/>
      <c r="AV99" s="169">
        <f>_xll.qlCalendarAdvance(Calendar,AV98,"1d","mf",,Trigger)</f>
        <v>42293</v>
      </c>
      <c r="AW99" s="155">
        <f>_xll.qlDayCounterYearFraction(DayCounter,SettlementDate,AV99,,,Trigger)</f>
        <v>0.36944444444444446</v>
      </c>
      <c r="AX99" s="167">
        <f t="shared" si="36"/>
        <v>1.3581039679612199E-3</v>
      </c>
      <c r="AY99" s="167">
        <f t="shared" si="37"/>
        <v>1.3807382562450326E-3</v>
      </c>
      <c r="AZ99" s="167">
        <f t="shared" si="38"/>
        <v>1.3761430942308694E-3</v>
      </c>
      <c r="BA99" s="167">
        <f t="shared" si="39"/>
        <v>1.3993086043514612E-3</v>
      </c>
      <c r="BB99" s="167">
        <f t="shared" si="39"/>
        <v>1.3284491522069172E-3</v>
      </c>
      <c r="BC99" s="167">
        <f t="shared" si="40"/>
        <v>1.3722874204395109E-3</v>
      </c>
      <c r="BD99" s="167">
        <f t="shared" si="41"/>
        <v>1.3333944025285547E-3</v>
      </c>
      <c r="BE99" s="167">
        <f t="shared" si="42"/>
        <v>1.3734856219527569E-3</v>
      </c>
    </row>
    <row r="100" spans="16:57" x14ac:dyDescent="0.2">
      <c r="P100" s="140"/>
      <c r="Q100" s="140"/>
      <c r="AV100" s="169">
        <f>_xll.qlCalendarAdvance(Calendar,AV99,"1d","mf",,Trigger)</f>
        <v>42296</v>
      </c>
      <c r="AW100" s="155">
        <f>_xll.qlDayCounterYearFraction(DayCounter,SettlementDate,AV100,,,Trigger)</f>
        <v>0.37777777777777777</v>
      </c>
      <c r="AX100" s="167">
        <f t="shared" si="36"/>
        <v>1.3646952415841845E-3</v>
      </c>
      <c r="AY100" s="167">
        <f t="shared" si="37"/>
        <v>1.3899411785161294E-3</v>
      </c>
      <c r="AZ100" s="167">
        <f t="shared" si="38"/>
        <v>1.3867829781826649E-3</v>
      </c>
      <c r="BA100" s="167">
        <f t="shared" ref="BA100:BB133" si="43">P$24+P$23*$AW100+P$22*$AW100^2</f>
        <v>1.4027043584435126E-3</v>
      </c>
      <c r="BB100" s="167">
        <f t="shared" si="43"/>
        <v>1.3303610077688612E-3</v>
      </c>
      <c r="BC100" s="167">
        <f t="shared" si="40"/>
        <v>1.3746976083801052E-3</v>
      </c>
      <c r="BD100" s="167">
        <f t="shared" si="41"/>
        <v>1.3356330412018973E-3</v>
      </c>
      <c r="BE100" s="167">
        <f t="shared" si="42"/>
        <v>1.3762848865281208E-3</v>
      </c>
    </row>
    <row r="101" spans="16:57" x14ac:dyDescent="0.2">
      <c r="P101" s="140"/>
      <c r="Q101" s="140"/>
      <c r="AV101" s="169">
        <f>_xll.qlCalendarAdvance(Calendar,AV100,"1d","mf",,Trigger)</f>
        <v>42297</v>
      </c>
      <c r="AW101" s="155">
        <f>_xll.qlDayCounterYearFraction(DayCounter,SettlementDate,AV101,,,Trigger)</f>
        <v>0.38055555555555554</v>
      </c>
      <c r="AX101" s="167">
        <f t="shared" si="36"/>
        <v>1.3668923327918392E-3</v>
      </c>
      <c r="AY101" s="167">
        <f t="shared" si="37"/>
        <v>1.3930088192731615E-3</v>
      </c>
      <c r="AZ101" s="167">
        <f t="shared" si="38"/>
        <v>1.3903763366277578E-3</v>
      </c>
      <c r="BA101" s="167">
        <f t="shared" si="43"/>
        <v>1.4036474254765037E-3</v>
      </c>
      <c r="BB101" s="167">
        <f t="shared" si="43"/>
        <v>1.3309982929561759E-3</v>
      </c>
      <c r="BC101" s="167">
        <f t="shared" si="40"/>
        <v>1.3755010043603032E-3</v>
      </c>
      <c r="BD101" s="167">
        <f t="shared" si="41"/>
        <v>1.3363808900286548E-3</v>
      </c>
      <c r="BE101" s="167">
        <f t="shared" si="42"/>
        <v>1.3772201910160205E-3</v>
      </c>
    </row>
    <row r="102" spans="16:57" x14ac:dyDescent="0.2">
      <c r="P102" s="140"/>
      <c r="Q102" s="140"/>
      <c r="AV102" s="169">
        <f>_xll.qlCalendarAdvance(Calendar,AV101,"1d","mf",,Trigger)</f>
        <v>42298</v>
      </c>
      <c r="AW102" s="155">
        <f>_xll.qlDayCounterYearFraction(DayCounter,SettlementDate,AV102,,,Trigger)</f>
        <v>0.38333333333333336</v>
      </c>
      <c r="AX102" s="167">
        <f t="shared" si="36"/>
        <v>1.3690894239994941E-3</v>
      </c>
      <c r="AY102" s="167">
        <f t="shared" si="37"/>
        <v>1.3960764600301936E-3</v>
      </c>
      <c r="AZ102" s="167">
        <f t="shared" si="38"/>
        <v>1.3939930603034309E-3</v>
      </c>
      <c r="BA102" s="167">
        <f t="shared" si="43"/>
        <v>1.4044960670106486E-3</v>
      </c>
      <c r="BB102" s="167">
        <f t="shared" si="43"/>
        <v>1.3316355781434904E-3</v>
      </c>
      <c r="BC102" s="167">
        <f t="shared" si="40"/>
        <v>1.3763044003405013E-3</v>
      </c>
      <c r="BD102" s="167">
        <f t="shared" si="41"/>
        <v>1.3371295568232345E-3</v>
      </c>
      <c r="BE102" s="167">
        <f t="shared" si="42"/>
        <v>1.3781566036519754E-3</v>
      </c>
    </row>
    <row r="103" spans="16:57" x14ac:dyDescent="0.2">
      <c r="P103" s="140"/>
      <c r="Q103" s="140"/>
      <c r="AV103" s="169">
        <f>_xll.qlCalendarAdvance(Calendar,AV102,"1d","mf",,Trigger)</f>
        <v>42299</v>
      </c>
      <c r="AW103" s="155">
        <f>_xll.qlDayCounterYearFraction(DayCounter,SettlementDate,AV103,,,Trigger)</f>
        <v>0.38611111111111113</v>
      </c>
      <c r="AX103" s="167">
        <f t="shared" si="36"/>
        <v>1.3712865152071489E-3</v>
      </c>
      <c r="AY103" s="167">
        <f t="shared" si="37"/>
        <v>1.399144100787226E-3</v>
      </c>
      <c r="AZ103" s="167">
        <f t="shared" si="38"/>
        <v>1.3976331492096847E-3</v>
      </c>
      <c r="BA103" s="167">
        <f t="shared" si="43"/>
        <v>1.4052502830459472E-3</v>
      </c>
      <c r="BB103" s="167">
        <f t="shared" si="43"/>
        <v>1.3322728633308051E-3</v>
      </c>
      <c r="BC103" s="167">
        <f t="shared" si="40"/>
        <v>1.3771077963206995E-3</v>
      </c>
      <c r="BD103" s="167">
        <f t="shared" si="41"/>
        <v>1.3378790415856361E-3</v>
      </c>
      <c r="BE103" s="167">
        <f t="shared" si="42"/>
        <v>1.379094124435986E-3</v>
      </c>
    </row>
    <row r="104" spans="16:57" x14ac:dyDescent="0.2">
      <c r="P104" s="140"/>
      <c r="Q104" s="140"/>
      <c r="AV104" s="169">
        <f>_xll.qlCalendarAdvance(Calendar,AV103,"1d","mf",,Trigger)</f>
        <v>42300</v>
      </c>
      <c r="AW104" s="155">
        <f>_xll.qlDayCounterYearFraction(DayCounter,SettlementDate,AV104,,,Trigger)</f>
        <v>0.3888888888888889</v>
      </c>
      <c r="AX104" s="167">
        <f t="shared" si="36"/>
        <v>1.3734836064148038E-3</v>
      </c>
      <c r="AY104" s="167">
        <f t="shared" si="37"/>
        <v>1.4022117415442581E-3</v>
      </c>
      <c r="AZ104" s="167">
        <f t="shared" si="38"/>
        <v>1.401296603346519E-3</v>
      </c>
      <c r="BA104" s="167">
        <f t="shared" si="43"/>
        <v>1.4059100735823997E-3</v>
      </c>
      <c r="BB104" s="167">
        <f t="shared" si="43"/>
        <v>1.3329101485181198E-3</v>
      </c>
      <c r="BC104" s="167">
        <f t="shared" si="40"/>
        <v>1.3779111923008975E-3</v>
      </c>
      <c r="BD104" s="167">
        <f t="shared" si="41"/>
        <v>1.3386293443158595E-3</v>
      </c>
      <c r="BE104" s="167">
        <f t="shared" si="42"/>
        <v>1.3800327533680526E-3</v>
      </c>
    </row>
    <row r="105" spans="16:57" x14ac:dyDescent="0.2">
      <c r="P105" s="140"/>
      <c r="Q105" s="140"/>
      <c r="AV105" s="169">
        <f>_xll.qlCalendarAdvance(Calendar,AV104,"1d","mf",,Trigger)</f>
        <v>42303</v>
      </c>
      <c r="AW105" s="155">
        <f>_xll.qlDayCounterYearFraction(DayCounter,SettlementDate,AV105,,,Trigger)</f>
        <v>0.3972222222222222</v>
      </c>
      <c r="AX105" s="167">
        <f t="shared" si="36"/>
        <v>1.3800748800377682E-3</v>
      </c>
      <c r="AY105" s="167">
        <f t="shared" si="37"/>
        <v>1.4114146638153548E-3</v>
      </c>
      <c r="AZ105" s="167">
        <f t="shared" si="38"/>
        <v>1.4124271571405043E-3</v>
      </c>
      <c r="BA105" s="167">
        <f t="shared" si="43"/>
        <v>1.4073228921986794E-3</v>
      </c>
      <c r="BB105" s="167">
        <f t="shared" si="43"/>
        <v>1.3348220040800636E-3</v>
      </c>
      <c r="BC105" s="167">
        <f t="shared" si="40"/>
        <v>1.3803213802414918E-3</v>
      </c>
      <c r="BD105" s="167">
        <f t="shared" si="41"/>
        <v>1.3408851603134606E-3</v>
      </c>
      <c r="BE105" s="167">
        <f t="shared" si="42"/>
        <v>1.3828552890525858E-3</v>
      </c>
    </row>
    <row r="106" spans="16:57" x14ac:dyDescent="0.2">
      <c r="P106" s="140"/>
      <c r="Q106" s="140"/>
      <c r="AV106" s="169">
        <f>_xll.qlCalendarAdvance(Calendar,AV105,"1d","mf",,Trigger)</f>
        <v>42304</v>
      </c>
      <c r="AW106" s="155">
        <f>_xll.qlDayCounterYearFraction(DayCounter,SettlementDate,AV106,,,Trigger)</f>
        <v>0.4</v>
      </c>
      <c r="AX106" s="167">
        <f t="shared" si="36"/>
        <v>1.3822719712454231E-3</v>
      </c>
      <c r="AY106" s="167">
        <f t="shared" si="37"/>
        <v>1.414482304572387E-3</v>
      </c>
      <c r="AZ106" s="167">
        <f t="shared" si="38"/>
        <v>1.4161840721996605E-3</v>
      </c>
      <c r="BA106" s="167">
        <f t="shared" si="43"/>
        <v>1.4076049807397466E-3</v>
      </c>
      <c r="BB106" s="167">
        <f t="shared" si="43"/>
        <v>1.3354592892673783E-3</v>
      </c>
      <c r="BC106" s="167">
        <f t="shared" si="40"/>
        <v>1.3811247762216899E-3</v>
      </c>
      <c r="BD106" s="167">
        <f t="shared" si="41"/>
        <v>1.3416387349149714E-3</v>
      </c>
      <c r="BE106" s="167">
        <f t="shared" si="42"/>
        <v>1.3837983505768749E-3</v>
      </c>
    </row>
    <row r="107" spans="16:57" x14ac:dyDescent="0.2">
      <c r="P107" s="140"/>
      <c r="Q107" s="140"/>
      <c r="AV107" s="169">
        <f>_xll.qlCalendarAdvance(Calendar,AV106,"1d","mf",,Trigger)</f>
        <v>42305</v>
      </c>
      <c r="AW107" s="155">
        <f>_xll.qlDayCounterYearFraction(DayCounter,SettlementDate,AV107,,,Trigger)</f>
        <v>0.40277777777777779</v>
      </c>
      <c r="AX107" s="167">
        <f t="shared" si="36"/>
        <v>1.384469062453078E-3</v>
      </c>
      <c r="AY107" s="167">
        <f t="shared" si="37"/>
        <v>1.4175499453294193E-3</v>
      </c>
      <c r="AZ107" s="167">
        <f t="shared" si="38"/>
        <v>1.4199643524893972E-3</v>
      </c>
      <c r="BA107" s="167">
        <f t="shared" si="43"/>
        <v>1.4077926437819678E-3</v>
      </c>
      <c r="BB107" s="167">
        <f t="shared" si="43"/>
        <v>1.336096574454693E-3</v>
      </c>
      <c r="BC107" s="167">
        <f t="shared" si="40"/>
        <v>1.3819281722018879E-3</v>
      </c>
      <c r="BD107" s="167">
        <f t="shared" si="41"/>
        <v>1.342393127484304E-3</v>
      </c>
      <c r="BE107" s="167">
        <f t="shared" si="42"/>
        <v>1.3847425202492198E-3</v>
      </c>
    </row>
    <row r="108" spans="16:57" x14ac:dyDescent="0.2">
      <c r="P108" s="140"/>
      <c r="Q108" s="140"/>
      <c r="AV108" s="169">
        <f>_xll.qlCalendarAdvance(Calendar,AV107,"1d","mf",,Trigger)</f>
        <v>42306</v>
      </c>
      <c r="AW108" s="155">
        <f>_xll.qlDayCounterYearFraction(DayCounter,SettlementDate,AV108,,,Trigger)</f>
        <v>0.40555555555555556</v>
      </c>
      <c r="AX108" s="167">
        <f t="shared" si="36"/>
        <v>1.3866661536607327E-3</v>
      </c>
      <c r="AY108" s="167">
        <f t="shared" si="37"/>
        <v>1.4206175860864514E-3</v>
      </c>
      <c r="AZ108" s="167">
        <f t="shared" si="38"/>
        <v>1.4237679980097142E-3</v>
      </c>
      <c r="BA108" s="167">
        <f t="shared" si="43"/>
        <v>1.4078858813253428E-3</v>
      </c>
      <c r="BB108" s="167">
        <f t="shared" si="43"/>
        <v>1.3367338596420076E-3</v>
      </c>
      <c r="BC108" s="167">
        <f t="shared" si="40"/>
        <v>1.3827315681820861E-3</v>
      </c>
      <c r="BD108" s="167">
        <f t="shared" si="41"/>
        <v>1.3431483380214582E-3</v>
      </c>
      <c r="BE108" s="167">
        <f t="shared" si="42"/>
        <v>1.3856877980696204E-3</v>
      </c>
    </row>
    <row r="109" spans="16:57" x14ac:dyDescent="0.2">
      <c r="P109" s="140"/>
      <c r="Q109" s="140"/>
      <c r="AV109" s="169">
        <f>_xll.qlCalendarAdvance(Calendar,AV108,"1d","mf",,Trigger)</f>
        <v>42307</v>
      </c>
      <c r="AW109" s="155">
        <f>_xll.qlDayCounterYearFraction(DayCounter,SettlementDate,AV109,,,Trigger)</f>
        <v>0.40833333333333333</v>
      </c>
      <c r="AX109" s="167">
        <f t="shared" si="36"/>
        <v>1.3888632448683877E-3</v>
      </c>
      <c r="AY109" s="167">
        <f t="shared" si="37"/>
        <v>1.4236852268434837E-3</v>
      </c>
      <c r="AZ109" s="167">
        <f t="shared" si="38"/>
        <v>1.4275950087606114E-3</v>
      </c>
      <c r="BA109" s="167">
        <f t="shared" si="43"/>
        <v>1.4078846933698714E-3</v>
      </c>
      <c r="BB109" s="167">
        <f t="shared" si="43"/>
        <v>1.3373711448293223E-3</v>
      </c>
      <c r="BC109" s="167">
        <f t="shared" si="40"/>
        <v>1.3835349641622841E-3</v>
      </c>
      <c r="BD109" s="167">
        <f t="shared" si="41"/>
        <v>1.3439043665264346E-3</v>
      </c>
      <c r="BE109" s="167">
        <f t="shared" si="42"/>
        <v>1.3866341840380763E-3</v>
      </c>
    </row>
    <row r="110" spans="16:57" x14ac:dyDescent="0.2">
      <c r="P110" s="140"/>
      <c r="Q110" s="140"/>
      <c r="AV110" s="169">
        <f>_xll.qlCalendarAdvance(Calendar,AV109,"1d","mf",,Trigger)</f>
        <v>42310</v>
      </c>
      <c r="AW110" s="155">
        <f>_xll.qlDayCounterYearFraction(DayCounter,SettlementDate,AV110,,,Trigger)</f>
        <v>0.41666666666666669</v>
      </c>
      <c r="AX110" s="167">
        <f t="shared" si="36"/>
        <v>1.3954545184913522E-3</v>
      </c>
      <c r="AY110" s="167">
        <f t="shared" si="37"/>
        <v>1.4328881491145803E-3</v>
      </c>
      <c r="AZ110" s="167">
        <f t="shared" si="38"/>
        <v>1.4392162323967868E-3</v>
      </c>
      <c r="BA110" s="167">
        <f t="shared" si="43"/>
        <v>1.4073145765103794E-3</v>
      </c>
      <c r="BB110" s="167">
        <f t="shared" si="43"/>
        <v>1.3392830003912662E-3</v>
      </c>
      <c r="BC110" s="167">
        <f t="shared" si="40"/>
        <v>1.3859451521028784E-3</v>
      </c>
      <c r="BD110" s="167">
        <f t="shared" si="41"/>
        <v>1.3461773598482944E-3</v>
      </c>
      <c r="BE110" s="167">
        <f t="shared" si="42"/>
        <v>1.3894799908317791E-3</v>
      </c>
    </row>
    <row r="111" spans="16:57" x14ac:dyDescent="0.2">
      <c r="P111" s="140"/>
      <c r="Q111" s="140"/>
      <c r="AV111" s="169">
        <f>_xll.qlCalendarAdvance(Calendar,AV110,"1d","mf",,Trigger)</f>
        <v>42311</v>
      </c>
      <c r="AW111" s="155">
        <f>_xll.qlDayCounterYearFraction(DayCounter,SettlementDate,AV111,,,Trigger)</f>
        <v>0.41944444444444445</v>
      </c>
      <c r="AX111" s="167">
        <f t="shared" si="36"/>
        <v>1.397651609699007E-3</v>
      </c>
      <c r="AY111" s="167">
        <f t="shared" si="37"/>
        <v>1.4359557898716126E-3</v>
      </c>
      <c r="AZ111" s="167">
        <f t="shared" si="38"/>
        <v>1.4431367040700063E-3</v>
      </c>
      <c r="BA111" s="167">
        <f t="shared" si="43"/>
        <v>1.406935686559523E-3</v>
      </c>
      <c r="BB111" s="167">
        <f t="shared" si="43"/>
        <v>1.3399202855785808E-3</v>
      </c>
      <c r="BC111" s="167">
        <f t="shared" si="40"/>
        <v>1.3867485480830765E-3</v>
      </c>
      <c r="BD111" s="167">
        <f t="shared" si="41"/>
        <v>1.3469366602245579E-3</v>
      </c>
      <c r="BE111" s="167">
        <f t="shared" si="42"/>
        <v>1.3904308093924578E-3</v>
      </c>
    </row>
    <row r="112" spans="16:57" x14ac:dyDescent="0.2">
      <c r="P112" s="140"/>
      <c r="Q112" s="140"/>
      <c r="AV112" s="169">
        <f>_xll.qlCalendarAdvance(Calendar,AV111,"1d","mf",,Trigger)</f>
        <v>42312</v>
      </c>
      <c r="AW112" s="155">
        <f>_xll.qlDayCounterYearFraction(DayCounter,SettlementDate,AV112,,,Trigger)</f>
        <v>0.42222222222222222</v>
      </c>
      <c r="AX112" s="167">
        <f t="shared" si="36"/>
        <v>1.3998487009066619E-3</v>
      </c>
      <c r="AY112" s="167">
        <f t="shared" si="37"/>
        <v>1.4390234306286447E-3</v>
      </c>
      <c r="AZ112" s="167">
        <f t="shared" si="38"/>
        <v>1.447080540973806E-3</v>
      </c>
      <c r="BA112" s="167">
        <f t="shared" si="43"/>
        <v>1.4064623711098204E-3</v>
      </c>
      <c r="BB112" s="167">
        <f t="shared" si="43"/>
        <v>1.3405575707658955E-3</v>
      </c>
      <c r="BC112" s="167">
        <f t="shared" si="40"/>
        <v>1.3875519440632745E-3</v>
      </c>
      <c r="BD112" s="167">
        <f t="shared" si="41"/>
        <v>1.3476967785686436E-3</v>
      </c>
      <c r="BE112" s="167">
        <f t="shared" si="42"/>
        <v>1.3913827361011924E-3</v>
      </c>
    </row>
    <row r="113" spans="16:57" x14ac:dyDescent="0.2">
      <c r="P113" s="140"/>
      <c r="Q113" s="140"/>
      <c r="AV113" s="169">
        <f>_xll.qlCalendarAdvance(Calendar,AV112,"1d","mf",,Trigger)</f>
        <v>42313</v>
      </c>
      <c r="AW113" s="155">
        <f>_xll.qlDayCounterYearFraction(DayCounter,SettlementDate,AV113,,,Trigger)</f>
        <v>0.42499999999999999</v>
      </c>
      <c r="AX113" s="167">
        <f t="shared" si="36"/>
        <v>1.4020457921143166E-3</v>
      </c>
      <c r="AY113" s="167">
        <f t="shared" si="37"/>
        <v>1.4420910713856768E-3</v>
      </c>
      <c r="AZ113" s="167">
        <f t="shared" si="38"/>
        <v>1.4510477431081863E-3</v>
      </c>
      <c r="BA113" s="167">
        <f t="shared" si="43"/>
        <v>1.405894630161271E-3</v>
      </c>
      <c r="BB113" s="167">
        <f t="shared" si="43"/>
        <v>1.3411948559532102E-3</v>
      </c>
      <c r="BC113" s="167">
        <f t="shared" si="40"/>
        <v>1.3883553400434725E-3</v>
      </c>
      <c r="BD113" s="167">
        <f t="shared" si="41"/>
        <v>1.3484577148805505E-3</v>
      </c>
      <c r="BE113" s="167">
        <f t="shared" si="42"/>
        <v>1.3923357709579825E-3</v>
      </c>
    </row>
    <row r="114" spans="16:57" x14ac:dyDescent="0.2">
      <c r="P114" s="140"/>
      <c r="Q114" s="140"/>
      <c r="AV114" s="169">
        <f>_xll.qlCalendarAdvance(Calendar,AV113,"1d","mf",,Trigger)</f>
        <v>42314</v>
      </c>
      <c r="AW114" s="155">
        <f>_xll.qlDayCounterYearFraction(DayCounter,SettlementDate,AV114,,,Trigger)</f>
        <v>0.42777777777777776</v>
      </c>
      <c r="AX114" s="167">
        <f t="shared" si="36"/>
        <v>1.4042428833219715E-3</v>
      </c>
      <c r="AY114" s="167">
        <f t="shared" si="37"/>
        <v>1.4451587121427092E-3</v>
      </c>
      <c r="AZ114" s="167">
        <f t="shared" si="38"/>
        <v>1.4550383104731473E-3</v>
      </c>
      <c r="BA114" s="167">
        <f t="shared" si="43"/>
        <v>1.4052324637138756E-3</v>
      </c>
      <c r="BB114" s="167">
        <f t="shared" si="43"/>
        <v>1.3418321411405247E-3</v>
      </c>
      <c r="BC114" s="167">
        <f t="shared" si="40"/>
        <v>1.3891587360236708E-3</v>
      </c>
      <c r="BD114" s="167">
        <f t="shared" si="41"/>
        <v>1.3492194691602799E-3</v>
      </c>
      <c r="BE114" s="167">
        <f t="shared" si="42"/>
        <v>1.3932899139628284E-3</v>
      </c>
    </row>
    <row r="115" spans="16:57" x14ac:dyDescent="0.2">
      <c r="P115" s="140"/>
      <c r="Q115" s="140"/>
      <c r="AV115" s="169">
        <f>_xll.qlCalendarAdvance(Calendar,AV114,"1d","mf",,Trigger)</f>
        <v>42317</v>
      </c>
      <c r="AW115" s="155">
        <f>_xll.qlDayCounterYearFraction(DayCounter,SettlementDate,AV115,,,Trigger)</f>
        <v>0.43611111111111112</v>
      </c>
      <c r="AX115" s="167">
        <f t="shared" si="36"/>
        <v>1.4108341569449361E-3</v>
      </c>
      <c r="AY115" s="167">
        <f t="shared" si="37"/>
        <v>1.4543616344138057E-3</v>
      </c>
      <c r="AZ115" s="167">
        <f t="shared" si="38"/>
        <v>1.4671502039515125E-3</v>
      </c>
      <c r="BA115" s="167">
        <f t="shared" si="43"/>
        <v>1.4026794113786126E-3</v>
      </c>
      <c r="BB115" s="167">
        <f t="shared" si="43"/>
        <v>1.3437439967024687E-3</v>
      </c>
      <c r="BC115" s="167">
        <f t="shared" si="40"/>
        <v>1.3915689239642651E-3</v>
      </c>
      <c r="BD115" s="167">
        <f t="shared" si="41"/>
        <v>1.3515096398063983E-3</v>
      </c>
      <c r="BE115" s="167">
        <f t="shared" si="42"/>
        <v>1.3961589918657002E-3</v>
      </c>
    </row>
    <row r="116" spans="16:57" x14ac:dyDescent="0.2">
      <c r="P116" s="140"/>
      <c r="Q116" s="140"/>
      <c r="AV116" s="169">
        <f>_xll.qlCalendarAdvance(Calendar,AV115,"1d","mf",,Trigger)</f>
        <v>42318</v>
      </c>
      <c r="AW116" s="155">
        <f>_xll.qlDayCounterYearFraction(DayCounter,SettlementDate,AV116,,,Trigger)</f>
        <v>0.43888888888888888</v>
      </c>
      <c r="AX116" s="167">
        <f t="shared" si="36"/>
        <v>1.4130312481525908E-3</v>
      </c>
      <c r="AY116" s="167">
        <f t="shared" si="37"/>
        <v>1.457429275170838E-3</v>
      </c>
      <c r="AZ116" s="167">
        <f t="shared" si="38"/>
        <v>1.4712342322387951E-3</v>
      </c>
      <c r="BA116" s="167">
        <f t="shared" si="43"/>
        <v>1.4016395429358318E-3</v>
      </c>
      <c r="BB116" s="167">
        <f t="shared" si="43"/>
        <v>1.3443812818897834E-3</v>
      </c>
      <c r="BC116" s="167">
        <f t="shared" si="40"/>
        <v>1.3923723199444631E-3</v>
      </c>
      <c r="BD116" s="167">
        <f t="shared" si="41"/>
        <v>1.352274665957415E-3</v>
      </c>
      <c r="BE116" s="167">
        <f t="shared" si="42"/>
        <v>1.3971175674627689E-3</v>
      </c>
    </row>
    <row r="117" spans="16:57" x14ac:dyDescent="0.2">
      <c r="P117" s="140"/>
      <c r="Q117" s="140"/>
      <c r="AV117" s="169">
        <f>_xll.qlCalendarAdvance(Calendar,AV116,"1d","mf",,Trigger)</f>
        <v>42319</v>
      </c>
      <c r="AW117" s="155">
        <f>_xll.qlDayCounterYearFraction(DayCounter,SettlementDate,AV117,,,Trigger)</f>
        <v>0.44166666666666665</v>
      </c>
      <c r="AX117" s="167">
        <f t="shared" si="36"/>
        <v>1.4152283393602458E-3</v>
      </c>
      <c r="AY117" s="167">
        <f t="shared" si="37"/>
        <v>1.4604969159278702E-3</v>
      </c>
      <c r="AZ117" s="167">
        <f t="shared" si="38"/>
        <v>1.4753416257566581E-3</v>
      </c>
      <c r="BA117" s="167">
        <f t="shared" si="43"/>
        <v>1.4005052489942055E-3</v>
      </c>
      <c r="BB117" s="167">
        <f t="shared" si="43"/>
        <v>1.3450185670770979E-3</v>
      </c>
      <c r="BC117" s="167">
        <f t="shared" si="40"/>
        <v>1.3931757159246611E-3</v>
      </c>
      <c r="BD117" s="167">
        <f t="shared" si="41"/>
        <v>1.3530405100762534E-3</v>
      </c>
      <c r="BE117" s="167">
        <f t="shared" si="42"/>
        <v>1.398077251207893E-3</v>
      </c>
    </row>
    <row r="118" spans="16:57" x14ac:dyDescent="0.2">
      <c r="P118" s="140"/>
      <c r="Q118" s="140"/>
      <c r="AV118" s="169">
        <f>_xll.qlCalendarAdvance(Calendar,AV117,"1d","mf",,Trigger)</f>
        <v>42320</v>
      </c>
      <c r="AW118" s="155">
        <f>_xll.qlDayCounterYearFraction(DayCounter,SettlementDate,AV118,,,Trigger)</f>
        <v>0.44444444444444442</v>
      </c>
      <c r="AX118" s="167">
        <f t="shared" si="36"/>
        <v>1.4174254305679005E-3</v>
      </c>
      <c r="AY118" s="167">
        <f t="shared" si="37"/>
        <v>1.4635645566849023E-3</v>
      </c>
      <c r="AZ118" s="167">
        <f t="shared" si="38"/>
        <v>1.4794723845051019E-3</v>
      </c>
      <c r="BA118" s="167">
        <f t="shared" si="43"/>
        <v>1.3992765295537325E-3</v>
      </c>
      <c r="BB118" s="167">
        <f t="shared" si="43"/>
        <v>1.3456558522644125E-3</v>
      </c>
      <c r="BC118" s="167">
        <f t="shared" si="40"/>
        <v>1.3939791119048591E-3</v>
      </c>
      <c r="BD118" s="167">
        <f t="shared" si="41"/>
        <v>1.3538071721629133E-3</v>
      </c>
      <c r="BE118" s="167">
        <f t="shared" si="42"/>
        <v>1.3990380431010731E-3</v>
      </c>
    </row>
    <row r="119" spans="16:57" x14ac:dyDescent="0.2">
      <c r="P119" s="140"/>
      <c r="Q119" s="140"/>
      <c r="AV119" s="169">
        <f>_xll.qlCalendarAdvance(Calendar,AV118,"1d","mf",,Trigger)</f>
        <v>42321</v>
      </c>
      <c r="AW119" s="155">
        <f>_xll.qlDayCounterYearFraction(DayCounter,SettlementDate,AV119,,,Trigger)</f>
        <v>0.44722222222222224</v>
      </c>
      <c r="AX119" s="167">
        <f t="shared" si="36"/>
        <v>1.4196225217755554E-3</v>
      </c>
      <c r="AY119" s="167">
        <f t="shared" si="37"/>
        <v>1.4666321974419346E-3</v>
      </c>
      <c r="AZ119" s="167">
        <f t="shared" si="38"/>
        <v>1.4836265084841259E-3</v>
      </c>
      <c r="BA119" s="167">
        <f t="shared" si="43"/>
        <v>1.3979533846144138E-3</v>
      </c>
      <c r="BB119" s="167">
        <f t="shared" si="43"/>
        <v>1.3462931374517272E-3</v>
      </c>
      <c r="BC119" s="167">
        <f t="shared" si="40"/>
        <v>1.3947825078850574E-3</v>
      </c>
      <c r="BD119" s="167">
        <f t="shared" si="41"/>
        <v>1.3545746522173954E-3</v>
      </c>
      <c r="BE119" s="167">
        <f t="shared" si="42"/>
        <v>1.3999999431423087E-3</v>
      </c>
    </row>
    <row r="120" spans="16:57" x14ac:dyDescent="0.2">
      <c r="P120" s="140"/>
      <c r="Q120" s="140"/>
      <c r="AV120" s="169">
        <f>_xll.qlCalendarAdvance(Calendar,AV119,"1d","mf",,Trigger)</f>
        <v>42324</v>
      </c>
      <c r="AW120" s="155">
        <f>_xll.qlDayCounterYearFraction(DayCounter,SettlementDate,AV120,,,Trigger)</f>
        <v>0.45555555555555555</v>
      </c>
      <c r="AX120" s="167">
        <f t="shared" si="36"/>
        <v>1.42621379539852E-3</v>
      </c>
      <c r="AY120" s="167">
        <f t="shared" si="37"/>
        <v>1.4758351197130311E-3</v>
      </c>
      <c r="AZ120" s="167">
        <f t="shared" si="38"/>
        <v>1.4962290718046811E-3</v>
      </c>
      <c r="BA120" s="167">
        <f t="shared" si="43"/>
        <v>1.3934173968033784E-3</v>
      </c>
      <c r="BB120" s="167">
        <f t="shared" si="43"/>
        <v>1.3482049930136713E-3</v>
      </c>
      <c r="BC120" s="167">
        <f t="shared" si="40"/>
        <v>1.3971926958256517E-3</v>
      </c>
      <c r="BD120" s="167">
        <f t="shared" si="41"/>
        <v>1.3568820001877726E-3</v>
      </c>
      <c r="BE120" s="167">
        <f t="shared" si="42"/>
        <v>1.4028922921543495E-3</v>
      </c>
    </row>
    <row r="121" spans="16:57" x14ac:dyDescent="0.2">
      <c r="P121" s="140"/>
      <c r="Q121" s="140"/>
      <c r="AV121" s="169">
        <f>_xll.qlCalendarAdvance(Calendar,AV120,"1d","mf",,Trigger)</f>
        <v>42325</v>
      </c>
      <c r="AW121" s="155">
        <f>_xll.qlDayCounterYearFraction(DayCounter,SettlementDate,AV121,,,Trigger)</f>
        <v>0.45833333333333331</v>
      </c>
      <c r="AX121" s="167">
        <f t="shared" si="36"/>
        <v>1.4284108866061747E-3</v>
      </c>
      <c r="AY121" s="167">
        <f t="shared" si="37"/>
        <v>1.4789027604700635E-3</v>
      </c>
      <c r="AZ121" s="167">
        <f t="shared" si="38"/>
        <v>1.5004766567060272E-3</v>
      </c>
      <c r="BA121" s="167">
        <f t="shared" si="43"/>
        <v>1.3917165498686746E-3</v>
      </c>
      <c r="BB121" s="167">
        <f t="shared" si="43"/>
        <v>1.3488422782009857E-3</v>
      </c>
      <c r="BC121" s="167">
        <f t="shared" si="40"/>
        <v>1.3979960918058497E-3</v>
      </c>
      <c r="BD121" s="167">
        <f t="shared" si="41"/>
        <v>1.357652752113542E-3</v>
      </c>
      <c r="BE121" s="167">
        <f t="shared" si="42"/>
        <v>1.4038586247878081E-3</v>
      </c>
    </row>
    <row r="122" spans="16:57" x14ac:dyDescent="0.2">
      <c r="P122" s="140"/>
      <c r="Q122" s="140"/>
      <c r="AV122" s="169">
        <f>_xll.qlCalendarAdvance(Calendar,AV121,"1d","mf",,Trigger)</f>
        <v>42326</v>
      </c>
      <c r="AW122" s="155">
        <f>_xll.qlDayCounterYearFraction(DayCounter,SettlementDate,AV122,,,Trigger)</f>
        <v>0.46111111111111114</v>
      </c>
      <c r="AX122" s="167">
        <f t="shared" si="36"/>
        <v>1.4306079778138297E-3</v>
      </c>
      <c r="AY122" s="167">
        <f t="shared" si="37"/>
        <v>1.4819704012270958E-3</v>
      </c>
      <c r="AZ122" s="167">
        <f t="shared" si="38"/>
        <v>1.5047476068379537E-3</v>
      </c>
      <c r="BA122" s="167">
        <f t="shared" si="43"/>
        <v>1.3899212774351243E-3</v>
      </c>
      <c r="BB122" s="167">
        <f t="shared" si="43"/>
        <v>1.3494795633883004E-3</v>
      </c>
      <c r="BC122" s="167">
        <f t="shared" si="40"/>
        <v>1.3987994877860477E-3</v>
      </c>
      <c r="BD122" s="167">
        <f t="shared" si="41"/>
        <v>1.3584243220071334E-3</v>
      </c>
      <c r="BE122" s="167">
        <f t="shared" si="42"/>
        <v>1.404826065569322E-3</v>
      </c>
    </row>
    <row r="123" spans="16:57" x14ac:dyDescent="0.2">
      <c r="P123" s="140"/>
      <c r="Q123" s="140"/>
      <c r="AV123" s="169">
        <f>_xll.qlCalendarAdvance(Calendar,AV122,"1d","mf",,Trigger)</f>
        <v>42327</v>
      </c>
      <c r="AW123" s="155">
        <f>_xll.qlDayCounterYearFraction(DayCounter,SettlementDate,AV123,,,Trigger)</f>
        <v>0.46388888888888891</v>
      </c>
      <c r="AX123" s="167">
        <f t="shared" si="36"/>
        <v>1.4328050690214844E-3</v>
      </c>
      <c r="AY123" s="167">
        <f t="shared" si="37"/>
        <v>1.4850380419841279E-3</v>
      </c>
      <c r="AZ123" s="167">
        <f t="shared" si="38"/>
        <v>1.5090419222004606E-3</v>
      </c>
      <c r="BA123" s="167">
        <f t="shared" si="43"/>
        <v>1.3880315795027271E-3</v>
      </c>
      <c r="BB123" s="167">
        <f t="shared" si="43"/>
        <v>1.3501168485756151E-3</v>
      </c>
      <c r="BC123" s="167">
        <f t="shared" si="40"/>
        <v>1.3996028837662457E-3</v>
      </c>
      <c r="BD123" s="167">
        <f t="shared" si="41"/>
        <v>1.3591967098685463E-3</v>
      </c>
      <c r="BE123" s="167">
        <f t="shared" si="42"/>
        <v>1.4057946144988916E-3</v>
      </c>
    </row>
    <row r="124" spans="16:57" x14ac:dyDescent="0.2">
      <c r="P124" s="140"/>
      <c r="Q124" s="140"/>
      <c r="AV124" s="169">
        <f>_xll.qlCalendarAdvance(Calendar,AV123,"1d","mf",,Trigger)</f>
        <v>42328</v>
      </c>
      <c r="AW124" s="155">
        <f>_xll.qlDayCounterYearFraction(DayCounter,SettlementDate,AV124,,,Trigger)</f>
        <v>0.46666666666666667</v>
      </c>
      <c r="AX124" s="167">
        <f t="shared" si="36"/>
        <v>1.4350021602291393E-3</v>
      </c>
      <c r="AY124" s="167">
        <f t="shared" si="37"/>
        <v>1.48810568274116E-3</v>
      </c>
      <c r="AZ124" s="167">
        <f t="shared" si="38"/>
        <v>1.5133596027935481E-3</v>
      </c>
      <c r="BA124" s="167">
        <f t="shared" si="43"/>
        <v>1.3860474560714842E-3</v>
      </c>
      <c r="BB124" s="167">
        <f t="shared" si="43"/>
        <v>1.3507541337629298E-3</v>
      </c>
      <c r="BC124" s="167">
        <f t="shared" si="40"/>
        <v>1.400406279746444E-3</v>
      </c>
      <c r="BD124" s="167">
        <f t="shared" si="41"/>
        <v>1.3599699156977812E-3</v>
      </c>
      <c r="BE124" s="167">
        <f t="shared" si="42"/>
        <v>1.4067642715765169E-3</v>
      </c>
    </row>
    <row r="125" spans="16:57" x14ac:dyDescent="0.2">
      <c r="P125" s="140"/>
      <c r="Q125" s="140"/>
      <c r="AV125" s="169">
        <f>_xll.qlCalendarAdvance(Calendar,AV124,"1d","mf",,Trigger)</f>
        <v>42331</v>
      </c>
      <c r="AW125" s="155">
        <f>_xll.qlDayCounterYearFraction(DayCounter,SettlementDate,AV125,,,Trigger)</f>
        <v>0.47499999999999998</v>
      </c>
      <c r="AX125" s="167">
        <f t="shared" si="36"/>
        <v>1.4415934338521039E-3</v>
      </c>
      <c r="AY125" s="167">
        <f t="shared" si="37"/>
        <v>1.4973086050122566E-3</v>
      </c>
      <c r="AZ125" s="167">
        <f t="shared" si="38"/>
        <v>1.5264528359562931E-3</v>
      </c>
      <c r="BA125" s="167">
        <f t="shared" si="43"/>
        <v>1.379528532784678E-3</v>
      </c>
      <c r="BB125" s="167">
        <f t="shared" si="43"/>
        <v>1.3526659893248736E-3</v>
      </c>
      <c r="BC125" s="167">
        <f t="shared" si="40"/>
        <v>1.4028164676870383E-3</v>
      </c>
      <c r="BD125" s="167">
        <f t="shared" si="41"/>
        <v>1.3622944409924171E-3</v>
      </c>
      <c r="BE125" s="167">
        <f t="shared" si="42"/>
        <v>1.4096798916977272E-3</v>
      </c>
    </row>
    <row r="126" spans="16:57" x14ac:dyDescent="0.2">
      <c r="P126" s="141"/>
      <c r="Q126" s="140"/>
      <c r="AV126" s="169">
        <f>_xll.qlCalendarAdvance(Calendar,AV125,"1d","mf",,Trigger)</f>
        <v>42332</v>
      </c>
      <c r="AW126" s="155">
        <f>_xll.qlDayCounterYearFraction(DayCounter,SettlementDate,AV126,,,Trigger)</f>
        <v>0.4777777777777778</v>
      </c>
      <c r="AX126" s="167">
        <f t="shared" si="36"/>
        <v>1.4437905250597586E-3</v>
      </c>
      <c r="AY126" s="167">
        <f t="shared" si="37"/>
        <v>1.5003762457692889E-3</v>
      </c>
      <c r="AZ126" s="167">
        <f t="shared" si="38"/>
        <v>1.5308639774717022E-3</v>
      </c>
      <c r="BA126" s="167">
        <f t="shared" si="43"/>
        <v>1.3771667073580499E-3</v>
      </c>
      <c r="BB126" s="167">
        <f t="shared" si="43"/>
        <v>1.3533032745121883E-3</v>
      </c>
      <c r="BC126" s="167">
        <f t="shared" si="40"/>
        <v>1.4036198636672363E-3</v>
      </c>
      <c r="BD126" s="167">
        <f t="shared" si="41"/>
        <v>1.3630709186929395E-3</v>
      </c>
      <c r="BE126" s="167">
        <f t="shared" si="42"/>
        <v>1.4106539813675753E-3</v>
      </c>
    </row>
    <row r="127" spans="16:57" x14ac:dyDescent="0.2">
      <c r="P127" s="141"/>
      <c r="Q127" s="140"/>
      <c r="AV127" s="169">
        <f>_xll.qlCalendarAdvance(Calendar,AV126,"1d","mf",,Trigger)</f>
        <v>42333</v>
      </c>
      <c r="AW127" s="155">
        <f>_xll.qlDayCounterYearFraction(DayCounter,SettlementDate,AV127,,,Trigger)</f>
        <v>0.48055555555555557</v>
      </c>
      <c r="AX127" s="167">
        <f t="shared" si="36"/>
        <v>1.4459876162674135E-3</v>
      </c>
      <c r="AY127" s="167">
        <f t="shared" si="37"/>
        <v>1.5034438865263212E-3</v>
      </c>
      <c r="AZ127" s="167">
        <f t="shared" si="38"/>
        <v>1.535298484217692E-3</v>
      </c>
      <c r="BA127" s="167">
        <f t="shared" si="43"/>
        <v>1.3747104564325757E-3</v>
      </c>
      <c r="BB127" s="167">
        <f t="shared" si="43"/>
        <v>1.353940559699503E-3</v>
      </c>
      <c r="BC127" s="167">
        <f t="shared" si="40"/>
        <v>1.4044232596474343E-3</v>
      </c>
      <c r="BD127" s="167">
        <f t="shared" si="41"/>
        <v>1.3638482143612837E-3</v>
      </c>
      <c r="BE127" s="167">
        <f t="shared" si="42"/>
        <v>1.4116291791854791E-3</v>
      </c>
    </row>
    <row r="128" spans="16:57" x14ac:dyDescent="0.2">
      <c r="P128" s="141"/>
      <c r="Q128" s="140"/>
      <c r="AV128" s="169">
        <f>_xll.qlCalendarAdvance(Calendar,AV127,"1d","mf",,Trigger)</f>
        <v>42334</v>
      </c>
      <c r="AW128" s="155">
        <f>_xll.qlDayCounterYearFraction(DayCounter,SettlementDate,AV128,,,Trigger)</f>
        <v>0.48333333333333334</v>
      </c>
      <c r="AX128" s="167">
        <f t="shared" si="36"/>
        <v>1.4481847074750685E-3</v>
      </c>
      <c r="AY128" s="167">
        <f t="shared" si="37"/>
        <v>1.5065115272833534E-3</v>
      </c>
      <c r="AZ128" s="167">
        <f t="shared" si="38"/>
        <v>1.5397563561942622E-3</v>
      </c>
      <c r="BA128" s="167">
        <f t="shared" si="43"/>
        <v>1.3721597800082552E-3</v>
      </c>
      <c r="BB128" s="167">
        <f t="shared" si="43"/>
        <v>1.3545778448868177E-3</v>
      </c>
      <c r="BC128" s="167">
        <f t="shared" si="40"/>
        <v>1.4052266556276324E-3</v>
      </c>
      <c r="BD128" s="167">
        <f t="shared" si="41"/>
        <v>1.3646263279974496E-3</v>
      </c>
      <c r="BE128" s="167">
        <f t="shared" si="42"/>
        <v>1.4126054851514383E-3</v>
      </c>
    </row>
    <row r="129" spans="16:57" x14ac:dyDescent="0.2">
      <c r="P129" s="141"/>
      <c r="Q129" s="140"/>
      <c r="AV129" s="169">
        <f>_xll.qlCalendarAdvance(Calendar,AV128,"1d","mf",,Trigger)</f>
        <v>42335</v>
      </c>
      <c r="AW129" s="155">
        <f>_xll.qlDayCounterYearFraction(DayCounter,SettlementDate,AV129,,,Trigger)</f>
        <v>0.4861111111111111</v>
      </c>
      <c r="AX129" s="167">
        <f t="shared" si="36"/>
        <v>1.4503817986827232E-3</v>
      </c>
      <c r="AY129" s="167">
        <f t="shared" si="37"/>
        <v>1.5095791680403855E-3</v>
      </c>
      <c r="AZ129" s="167">
        <f t="shared" si="38"/>
        <v>1.5442375934014128E-3</v>
      </c>
      <c r="BA129" s="167">
        <f t="shared" si="43"/>
        <v>1.3695146780850886E-3</v>
      </c>
      <c r="BB129" s="167">
        <f t="shared" si="43"/>
        <v>1.3552151300741323E-3</v>
      </c>
      <c r="BC129" s="167">
        <f t="shared" si="40"/>
        <v>1.4060300516078306E-3</v>
      </c>
      <c r="BD129" s="167">
        <f t="shared" si="41"/>
        <v>1.3654052596014372E-3</v>
      </c>
      <c r="BE129" s="167">
        <f t="shared" si="42"/>
        <v>1.4135828992654536E-3</v>
      </c>
    </row>
    <row r="130" spans="16:57" x14ac:dyDescent="0.2">
      <c r="P130" s="141"/>
      <c r="Q130" s="140"/>
      <c r="AV130" s="169">
        <f>_xll.qlCalendarAdvance(Calendar,AV129,"1d","mf",,Trigger)</f>
        <v>42338</v>
      </c>
      <c r="AW130" s="155">
        <f>_xll.qlDayCounterYearFraction(DayCounter,SettlementDate,AV130,,,Trigger)</f>
        <v>0.49444444444444446</v>
      </c>
      <c r="AX130" s="167">
        <f t="shared" si="36"/>
        <v>1.4569730723056878E-3</v>
      </c>
      <c r="AY130" s="167">
        <f t="shared" si="37"/>
        <v>1.5187820903114822E-3</v>
      </c>
      <c r="AZ130" s="167">
        <f t="shared" si="38"/>
        <v>1.5578214964063479E-3</v>
      </c>
      <c r="BA130" s="167">
        <f t="shared" si="43"/>
        <v>1.3610128193225104E-3</v>
      </c>
      <c r="BB130" s="167">
        <f t="shared" si="43"/>
        <v>1.3571269856360762E-3</v>
      </c>
      <c r="BC130" s="167">
        <f t="shared" si="40"/>
        <v>1.4084402395484249E-3</v>
      </c>
      <c r="BD130" s="167">
        <f t="shared" si="41"/>
        <v>1.367746962220332E-3</v>
      </c>
      <c r="BE130" s="167">
        <f t="shared" si="42"/>
        <v>1.4165217904958329E-3</v>
      </c>
    </row>
    <row r="131" spans="16:57" x14ac:dyDescent="0.2">
      <c r="P131" s="141"/>
      <c r="Q131" s="140"/>
      <c r="AV131" s="169">
        <f>_xll.qlCalendarAdvance(Calendar,AV130,"1d","mf",,Trigger)</f>
        <v>42339</v>
      </c>
      <c r="AW131" s="155">
        <f>_xll.qlDayCounterYearFraction(DayCounter,SettlementDate,AV131,,,Trigger)</f>
        <v>0.49722222222222223</v>
      </c>
      <c r="AX131" s="167">
        <f t="shared" si="36"/>
        <v>1.4591701635133427E-3</v>
      </c>
      <c r="AY131" s="167">
        <f t="shared" si="37"/>
        <v>1.5218497310685144E-3</v>
      </c>
      <c r="AZ131" s="167">
        <f t="shared" si="38"/>
        <v>1.5623961945358204E-3</v>
      </c>
      <c r="BA131" s="167">
        <f t="shared" si="43"/>
        <v>1.3579900154039586E-3</v>
      </c>
      <c r="BB131" s="167">
        <f t="shared" si="43"/>
        <v>1.3577642708233909E-3</v>
      </c>
      <c r="BC131" s="167">
        <f t="shared" si="40"/>
        <v>1.4092436355286229E-3</v>
      </c>
      <c r="BD131" s="167">
        <f t="shared" si="41"/>
        <v>1.3685291656956072E-3</v>
      </c>
      <c r="BE131" s="167">
        <f t="shared" si="42"/>
        <v>1.4175036372020707E-3</v>
      </c>
    </row>
    <row r="132" spans="16:57" x14ac:dyDescent="0.2">
      <c r="P132" s="141"/>
      <c r="Q132" s="141"/>
      <c r="AV132" s="169">
        <f>_xll.qlCalendarAdvance(Calendar,AV131,"1d","mf",,Trigger)</f>
        <v>42340</v>
      </c>
      <c r="AW132" s="155">
        <f>_xll.qlDayCounterYearFraction(DayCounter,SettlementDate,AV132,,,Trigger)</f>
        <v>0.5</v>
      </c>
      <c r="AX132" s="167">
        <f t="shared" ref="AX132:AX133" si="44">M$24+M$23*$AW132+M$22*$AW132^2</f>
        <v>1.4613672547209974E-3</v>
      </c>
      <c r="AY132" s="167">
        <f t="shared" ref="AY132:AY133" si="45">O$24+O$23*$AW132+O$22*$AW132^2</f>
        <v>1.5249173718255467E-3</v>
      </c>
      <c r="AZ132" s="167">
        <f t="shared" ref="AZ132:AZ133" si="46">N$24+N$23*$AW132+N$22*$AW132^2</f>
        <v>1.5669942578958734E-3</v>
      </c>
      <c r="BA132" s="167">
        <f t="shared" si="43"/>
        <v>1.3548727859865606E-3</v>
      </c>
      <c r="BB132" s="167">
        <f t="shared" si="43"/>
        <v>1.3584015560107055E-3</v>
      </c>
      <c r="BC132" s="167">
        <f t="shared" ref="BC132:BC133" si="47">S$24+S$23*$AW132+S$22*$AW132^2</f>
        <v>1.4100470315088209E-3</v>
      </c>
      <c r="BD132" s="167">
        <f t="shared" ref="BD132:BD133" si="48">R$24+R$23*$AW132+R$22*$AW132^2</f>
        <v>1.3693121871387042E-3</v>
      </c>
      <c r="BE132" s="167">
        <f t="shared" ref="BE132:BE133" si="49">T$24+T$23*$AW132+T$22*$AW132^2</f>
        <v>1.4184865920563643E-3</v>
      </c>
    </row>
    <row r="133" spans="16:57" x14ac:dyDescent="0.2">
      <c r="P133" s="141"/>
      <c r="Q133" s="141"/>
      <c r="AV133" s="173">
        <f>_xll.qlCalendarAdvance(Calendar,AV132,"1d","mf",,Trigger)</f>
        <v>42341</v>
      </c>
      <c r="AW133" s="160">
        <f>_xll.qlDayCounterYearFraction(DayCounter,SettlementDate,AV133,,,Trigger)</f>
        <v>0.50277777777777777</v>
      </c>
      <c r="AX133" s="176">
        <f t="shared" si="44"/>
        <v>1.4635643459286521E-3</v>
      </c>
      <c r="AY133" s="176">
        <f t="shared" si="45"/>
        <v>1.527985012582579E-3</v>
      </c>
      <c r="AZ133" s="176">
        <f t="shared" si="46"/>
        <v>1.5716156864865069E-3</v>
      </c>
      <c r="BA133" s="176">
        <f t="shared" si="43"/>
        <v>1.3516611310703164E-3</v>
      </c>
      <c r="BB133" s="176">
        <f t="shared" si="43"/>
        <v>1.35903884119802E-3</v>
      </c>
      <c r="BC133" s="176">
        <f t="shared" si="47"/>
        <v>1.410850427489019E-3</v>
      </c>
      <c r="BD133" s="176">
        <f t="shared" si="48"/>
        <v>1.3700960265496231E-3</v>
      </c>
      <c r="BE133" s="176">
        <f t="shared" si="49"/>
        <v>1.4194706550587134E-3</v>
      </c>
    </row>
    <row r="134" spans="16:57" x14ac:dyDescent="0.2">
      <c r="P134" s="141"/>
      <c r="Q134" s="141"/>
    </row>
    <row r="135" spans="16:57" x14ac:dyDescent="0.2">
      <c r="P135" s="141"/>
      <c r="Q135" s="141"/>
    </row>
    <row r="136" spans="16:57" x14ac:dyDescent="0.2">
      <c r="P136" s="141"/>
      <c r="Q136" s="141"/>
    </row>
    <row r="137" spans="16:57" x14ac:dyDescent="0.2">
      <c r="P137" s="141"/>
      <c r="Q137" s="141"/>
    </row>
    <row r="138" spans="16:57" x14ac:dyDescent="0.2">
      <c r="P138" s="141"/>
      <c r="Q138" s="141"/>
    </row>
    <row r="139" spans="16:57" x14ac:dyDescent="0.2">
      <c r="P139" s="141"/>
      <c r="Q139" s="141"/>
    </row>
    <row r="140" spans="16:57" x14ac:dyDescent="0.2">
      <c r="P140" s="141"/>
      <c r="Q140" s="141"/>
    </row>
    <row r="141" spans="16:57" x14ac:dyDescent="0.2">
      <c r="P141" s="141"/>
      <c r="Q141" s="141"/>
    </row>
    <row r="142" spans="16:57" x14ac:dyDescent="0.2">
      <c r="Q142" s="141"/>
    </row>
    <row r="143" spans="16:57" x14ac:dyDescent="0.2">
      <c r="Q143" s="141"/>
    </row>
    <row r="144" spans="16:57" x14ac:dyDescent="0.2">
      <c r="Q144" s="141"/>
    </row>
    <row r="145" spans="17:17" x14ac:dyDescent="0.2">
      <c r="Q145" s="141"/>
    </row>
    <row r="146" spans="17:17" x14ac:dyDescent="0.2">
      <c r="Q146" s="141"/>
    </row>
    <row r="147" spans="17:17" x14ac:dyDescent="0.2">
      <c r="Q147" s="141"/>
    </row>
  </sheetData>
  <mergeCells count="8">
    <mergeCell ref="AM19:AM21"/>
    <mergeCell ref="AO19:AO21"/>
    <mergeCell ref="AM4:AM5"/>
    <mergeCell ref="AO4:AO5"/>
    <mergeCell ref="AM8:AM9"/>
    <mergeCell ref="AO8:AO9"/>
    <mergeCell ref="AM14:AM16"/>
    <mergeCell ref="AO14:AO16"/>
  </mergeCells>
  <dataValidations count="4">
    <dataValidation type="list" allowBlank="1" showInputMessage="1" showErrorMessage="1" sqref="W26">
      <formula1>"Exact Fit,Best Fit"</formula1>
    </dataValidation>
    <dataValidation type="list" allowBlank="1" showInputMessage="1" showErrorMessage="1" sqref="Y18:Y20 AC18:AC20 U18:U20 T4:W9 R10:U10 AG18:AG20">
      <formula1>"TRUE,FALSE"</formula1>
    </dataValidation>
    <dataValidation type="list" allowBlank="1" showInputMessage="1" showErrorMessage="1" sqref="AC14 V3:W3 AG14">
      <formula1>"False"</formula1>
    </dataValidation>
    <dataValidation type="list" allowBlank="1" showInputMessage="1" showErrorMessage="1" sqref="W27">
      <formula1>"Linear (0X6),Linear (NO 0X6),Quadratic (0X6),Quadratic (NO 0X6),"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alibrate">
                <anchor moveWithCells="1" sizeWithCells="1">
                  <from>
                    <xdr:col>31</xdr:col>
                    <xdr:colOff>666750</xdr:colOff>
                    <xdr:row>24</xdr:row>
                    <xdr:rowOff>142875</xdr:rowOff>
                  </from>
                  <to>
                    <xdr:col>33</xdr:col>
                    <xdr:colOff>57150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J134"/>
  <sheetViews>
    <sheetView workbookViewId="0">
      <selection activeCell="N42" sqref="N42"/>
    </sheetView>
  </sheetViews>
  <sheetFormatPr defaultColWidth="9.5" defaultRowHeight="11.25" outlineLevelCol="1" x14ac:dyDescent="0.2"/>
  <cols>
    <col min="1" max="2" width="3.5" style="115" customWidth="1"/>
    <col min="3" max="5" width="22.83203125" style="115" customWidth="1"/>
    <col min="6" max="7" width="14.1640625" style="115" hidden="1" customWidth="1" outlineLevel="1"/>
    <col min="8" max="8" width="8.1640625" style="115" hidden="1" customWidth="1" outlineLevel="1"/>
    <col min="9" max="9" width="10.5" style="115" hidden="1" customWidth="1" outlineLevel="1"/>
    <col min="10" max="10" width="10.5" style="115" bestFit="1" customWidth="1" collapsed="1"/>
    <col min="11" max="12" width="14.1640625" style="115" bestFit="1" customWidth="1"/>
    <col min="13" max="13" width="10.5" style="115" bestFit="1" customWidth="1"/>
    <col min="14" max="15" width="9.33203125" style="115" bestFit="1" customWidth="1"/>
    <col min="16" max="16" width="10.5" style="115" bestFit="1" customWidth="1"/>
    <col min="17" max="17" width="10.83203125" style="115" customWidth="1"/>
    <col min="18" max="18" width="13.1640625" style="115" customWidth="1"/>
    <col min="19" max="21" width="6.83203125" style="115" customWidth="1"/>
    <col min="22" max="22" width="2.33203125" style="115" bestFit="1" customWidth="1"/>
    <col min="23" max="23" width="10.83203125" style="115" customWidth="1"/>
    <col min="24" max="24" width="2.33203125" style="115" bestFit="1" customWidth="1"/>
    <col min="25" max="25" width="10.83203125" style="115" customWidth="1"/>
    <col min="26" max="26" width="12.5" style="115" bestFit="1" customWidth="1"/>
    <col min="27" max="29" width="9.33203125" style="115" bestFit="1" customWidth="1"/>
    <col min="30" max="31" width="9.5" style="115"/>
    <col min="32" max="32" width="20.33203125" style="115" bestFit="1" customWidth="1"/>
    <col min="33" max="33" width="8.1640625" style="115" bestFit="1" customWidth="1"/>
    <col min="34" max="35" width="9.5" style="115" bestFit="1" customWidth="1"/>
    <col min="36" max="36" width="12.1640625" style="115" customWidth="1"/>
    <col min="37" max="16384" width="9.5" style="115"/>
  </cols>
  <sheetData>
    <row r="2" spans="1:36" ht="19.5" customHeight="1" x14ac:dyDescent="0.2">
      <c r="C2" s="142" t="s">
        <v>85</v>
      </c>
      <c r="D2" s="142" t="s">
        <v>70</v>
      </c>
      <c r="E2" s="142" t="s">
        <v>71</v>
      </c>
      <c r="F2" s="142" t="s">
        <v>123</v>
      </c>
      <c r="G2" s="142" t="s">
        <v>124</v>
      </c>
      <c r="H2" s="142" t="s">
        <v>122</v>
      </c>
      <c r="I2" s="142" t="s">
        <v>125</v>
      </c>
      <c r="J2" s="142" t="s">
        <v>126</v>
      </c>
      <c r="K2" s="142" t="s">
        <v>130</v>
      </c>
      <c r="L2" s="142" t="s">
        <v>131</v>
      </c>
      <c r="M2" s="142" t="s">
        <v>92</v>
      </c>
      <c r="N2" s="143" t="s">
        <v>93</v>
      </c>
      <c r="O2" s="142" t="s">
        <v>94</v>
      </c>
      <c r="P2" s="142" t="s">
        <v>101</v>
      </c>
      <c r="W2" s="132" t="s">
        <v>90</v>
      </c>
      <c r="AA2" s="551" t="s">
        <v>89</v>
      </c>
      <c r="AB2" s="551"/>
      <c r="AC2" s="551"/>
      <c r="AF2" s="142" t="s">
        <v>70</v>
      </c>
      <c r="AG2" s="142" t="s">
        <v>122</v>
      </c>
      <c r="AH2" s="142" t="s">
        <v>39</v>
      </c>
      <c r="AI2" s="142" t="s">
        <v>83</v>
      </c>
      <c r="AJ2" s="142" t="s">
        <v>84</v>
      </c>
    </row>
    <row r="3" spans="1:36" ht="12" customHeight="1" x14ac:dyDescent="0.2">
      <c r="C3" s="147" t="str">
        <f>$D$10&amp;"LastFixing"&amp;QuoteSuffix</f>
        <v>Euribor3MLastFixing_Quote</v>
      </c>
      <c r="D3" s="148">
        <f>_xll.qlCalendarAdvance(Calendar,_xll.qlLastFixingQuoteReferenceDate($C$3),_xll.qlInterestRateIndexFixingDays($D$10)&amp;"D","f",,LastFixingsTrigger)</f>
        <v>42160</v>
      </c>
      <c r="E3" s="148">
        <f>_xll.qlInterestRateIndexMaturity($D$10,D3)</f>
        <v>42254</v>
      </c>
      <c r="F3" s="182">
        <f>_xll.qlYieldTSDiscount(Discounting,D3,,AllTriggers)</f>
        <v>1.0000066667000043</v>
      </c>
      <c r="G3" s="182">
        <f>_xll.qlYieldTSDiscount(Discounting,E3,,AllTriggers)</f>
        <v>1.0003339478197761</v>
      </c>
      <c r="H3" s="183">
        <f>_xll.qlDayCounterYearFraction(DayCounter,D3,E3,,,Trigger)</f>
        <v>0.26111111111111113</v>
      </c>
      <c r="I3" s="184">
        <f>(F3/G3-1)/H3</f>
        <v>-1.2529986182886782E-3</v>
      </c>
      <c r="J3" s="149">
        <f>'Delta 3M'!Q4</f>
        <v>2.9066917010591055E-4</v>
      </c>
      <c r="K3" s="150">
        <f>_xll.qlDayCounterYearFraction(DayCounter,SettlementDate,D3,,,Trigger)</f>
        <v>0</v>
      </c>
      <c r="L3" s="150">
        <f>_xll.qlDayCounterYearFraction(DayCounter,SettlementDate,E3,,,Trigger)</f>
        <v>0.26111111111111113</v>
      </c>
      <c r="M3" s="150">
        <f>L3-K3</f>
        <v>0.26111111111111113</v>
      </c>
      <c r="N3" s="150">
        <f>(L3^2-K3^2)/2</f>
        <v>3.4089506172839512E-2</v>
      </c>
      <c r="O3" s="150">
        <f>(L3^3-K3^3)/3</f>
        <v>5.9340992226794712E-3</v>
      </c>
      <c r="P3" s="151" t="b">
        <f>IF(D12="fixing",TRUE,FALSE)</f>
        <v>0</v>
      </c>
      <c r="R3" s="552" t="s">
        <v>86</v>
      </c>
      <c r="S3" s="127">
        <f t="array" ref="S3:S5">_xll.ohFilter(O3:O7,P3:P7)</f>
        <v>5.9340992226794712E-3</v>
      </c>
      <c r="T3" s="133">
        <f t="array" ref="T3:T5">_xll.ohFilter(N3:N7,P3:P7)</f>
        <v>3.4089506172839512E-2</v>
      </c>
      <c r="U3" s="128">
        <f t="array" ref="U3:U5">_xll.ohFilter(M3:M7,P3:P7)</f>
        <v>0.26111111111111113</v>
      </c>
      <c r="V3" s="134"/>
      <c r="W3" s="129">
        <f t="array" ref="W3:W5">MMULT(AA3:AC5,Y3:Y5)</f>
        <v>-1.9790417813803085E-4</v>
      </c>
      <c r="X3" s="135"/>
      <c r="Y3" s="130">
        <f t="array" ref="Y3:Y5">_xll.ohFilter(J3:J7,P3:P7)</f>
        <v>3.0527913240464713E-4</v>
      </c>
      <c r="AA3" s="127">
        <f t="array" ref="AA3:AC5">MINVERSE(S3:U5)</f>
        <v>1079.0009250693774</v>
      </c>
      <c r="AB3" s="133">
        <v>-1535.5657574939203</v>
      </c>
      <c r="AC3" s="128">
        <v>433.10829057520795</v>
      </c>
      <c r="AF3" s="164">
        <f>SettlementDate</f>
        <v>42160</v>
      </c>
      <c r="AG3" s="155">
        <f>_xll.qlDayCounterYearFraction(DayCounter,SettlementDate,AF3,,,Trigger)</f>
        <v>0</v>
      </c>
      <c r="AH3" s="180">
        <f t="shared" ref="AH3:AH65" si="0">$W$13</f>
        <v>1.1691541241029039E-3</v>
      </c>
      <c r="AI3" s="180">
        <f t="shared" ref="AI3:AI65" si="1">$W$10+$W$9*AG3</f>
        <v>1.0736509849772089E-3</v>
      </c>
      <c r="AJ3" s="180">
        <f t="shared" ref="AJ3:AJ34" si="2">($W$5+$W$4*AG3+$W$3*AG3^2)</f>
        <v>1.0708149507297074E-3</v>
      </c>
    </row>
    <row r="4" spans="1:36" ht="12" customHeight="1" x14ac:dyDescent="0.2">
      <c r="A4" s="284" t="str">
        <f>IF(_xll.qlIMMIsIMMdate(D4,FALSE),_xll.qlIMMcode(D4),"0")</f>
        <v>0</v>
      </c>
      <c r="B4" s="116">
        <f>A4+SUBSTITUTE($D$9,"M","")</f>
        <v>3</v>
      </c>
      <c r="C4" s="152" t="str">
        <f>"Delta("&amp;A4&amp;"M,"&amp;B4&amp;"M)extrap"</f>
        <v>Delta(0M,3M)extrap</v>
      </c>
      <c r="D4" s="153">
        <f>IF((_xll.qlIMMNextDate(SettlementDate-1,FALSE)-SettlementDate)&lt;7,_xll.qlIMMNextDate(SettlementDate-1,FALSE),SettlementDate)</f>
        <v>42160</v>
      </c>
      <c r="E4" s="153">
        <f>_xll.qlInterestRateIndexMaturity($D$10,D4)</f>
        <v>42254</v>
      </c>
      <c r="F4" s="185">
        <f>_xll.qlYieldTSDiscount(Discounting,D4,,AllTriggers)</f>
        <v>1.0000066667000043</v>
      </c>
      <c r="G4" s="185">
        <f>_xll.qlYieldTSDiscount(Discounting,E4,,AllTriggers)</f>
        <v>1.0003339478197761</v>
      </c>
      <c r="H4" s="186">
        <f>_xll.qlDayCounterYearFraction(DayCounter,D4,E4,,,Trigger)</f>
        <v>0.26111111111111113</v>
      </c>
      <c r="I4" s="187">
        <f t="shared" ref="I4:I7" si="3">(F4/G4-1)/H4</f>
        <v>-1.2529986182886782E-3</v>
      </c>
      <c r="J4" s="154">
        <f>LN((1+(_xll.qlInterpolationInterpolate(B3Minterpolation,D4,TRUE,AllTriggers)+I4)*H4)/(1+I4*H4))</f>
        <v>3.0527913240464713E-4</v>
      </c>
      <c r="K4" s="155">
        <f>_xll.qlDayCounterYearFraction(DayCounter,SettlementDate,D4,,,Trigger)</f>
        <v>0</v>
      </c>
      <c r="L4" s="155">
        <f>_xll.qlDayCounterYearFraction(DayCounter,SettlementDate,E4,,,Trigger)</f>
        <v>0.26111111111111113</v>
      </c>
      <c r="M4" s="155">
        <f>L4-K4</f>
        <v>0.26111111111111113</v>
      </c>
      <c r="N4" s="155">
        <f>(L4^2-K4^2)/2</f>
        <v>3.4089506172839512E-2</v>
      </c>
      <c r="O4" s="155">
        <f>(L4^3-K4^3)/3</f>
        <v>5.9340992226794712E-3</v>
      </c>
      <c r="P4" s="156" t="b">
        <f>IF(D12="fixing",FALSE,TRUE)</f>
        <v>1</v>
      </c>
      <c r="R4" s="552"/>
      <c r="S4" s="127">
        <v>8.024234110653861E-3</v>
      </c>
      <c r="T4" s="133">
        <v>4.1172839506172836E-2</v>
      </c>
      <c r="U4" s="128">
        <v>0.25555555555555554</v>
      </c>
      <c r="V4" s="136" t="s">
        <v>37</v>
      </c>
      <c r="W4" s="129">
        <v>7.876862081467248E-4</v>
      </c>
      <c r="X4" s="136" t="s">
        <v>38</v>
      </c>
      <c r="Y4" s="130">
        <v>3.0449595800331909E-4</v>
      </c>
      <c r="AA4" s="127">
        <v>-431.60037002775107</v>
      </c>
      <c r="AB4" s="133">
        <v>563.91574399135698</v>
      </c>
      <c r="AC4" s="128">
        <v>-122.93275722387203</v>
      </c>
      <c r="AF4" s="169">
        <f>_xll.qlCalendarAdvance(Calendar,AF3,"1d","mf",,Trigger)</f>
        <v>42163</v>
      </c>
      <c r="AG4" s="155">
        <f>_xll.qlDayCounterYearFraction(DayCounter,SettlementDate,AF4,,,Trigger)</f>
        <v>8.3333333333333332E-3</v>
      </c>
      <c r="AH4" s="167">
        <f t="shared" si="0"/>
        <v>1.1691541241029039E-3</v>
      </c>
      <c r="AI4" s="167">
        <f t="shared" si="1"/>
        <v>1.0797469300277854E-3</v>
      </c>
      <c r="AJ4" s="167">
        <f t="shared" si="2"/>
        <v>1.0773652591185593E-3</v>
      </c>
    </row>
    <row r="5" spans="1:36" ht="12" customHeight="1" x14ac:dyDescent="0.2">
      <c r="A5" s="117">
        <f>MONTH(D5)</f>
        <v>6</v>
      </c>
      <c r="B5" s="116">
        <f>MONTH(E5)</f>
        <v>9</v>
      </c>
      <c r="C5" s="152" t="str">
        <f>"Delta("&amp;A5&amp;"M,"&amp;B5&amp;"M)"</f>
        <v>Delta(6M,9M)</v>
      </c>
      <c r="D5" s="153">
        <f>_xll.qlIMMNextDate(D4,FALSE)</f>
        <v>42172</v>
      </c>
      <c r="E5" s="153">
        <f>_xll.qlInterestRateIndexMaturity($D$10,D5)</f>
        <v>42264</v>
      </c>
      <c r="F5" s="185">
        <f>_xll.qlYieldTSDiscount(Discounting,D5,,AllTriggers)</f>
        <v>1.0000461685747972</v>
      </c>
      <c r="G5" s="185">
        <f>_xll.qlYieldTSDiscount(Discounting,E5,,AllTriggers)</f>
        <v>1.0003698987130774</v>
      </c>
      <c r="H5" s="186">
        <f>_xll.qlDayCounterYearFraction(DayCounter,D5,E5,,,Trigger)</f>
        <v>0.25555555555555554</v>
      </c>
      <c r="I5" s="187">
        <f t="shared" si="3"/>
        <v>-1.2663017029431204E-3</v>
      </c>
      <c r="J5" s="154">
        <f>LN((1+(_xll.qlInterpolationInterpolate(B3Minterpolation,D5,TRUE,AllTriggers)+I5)*H5)/(1+I5*H5))</f>
        <v>3.0449595800331909E-4</v>
      </c>
      <c r="K5" s="155">
        <f>_xll.qlDayCounterYearFraction(DayCounter,SettlementDate,D5,,,Trigger)</f>
        <v>3.3333333333333333E-2</v>
      </c>
      <c r="L5" s="155">
        <f>_xll.qlDayCounterYearFraction(DayCounter,SettlementDate,E5,,,Trigger)</f>
        <v>0.28888888888888886</v>
      </c>
      <c r="M5" s="155">
        <f>L5-K5</f>
        <v>0.25555555555555554</v>
      </c>
      <c r="N5" s="155">
        <f>(L5^2-K5^2)/2</f>
        <v>4.1172839506172836E-2</v>
      </c>
      <c r="O5" s="155">
        <f>(L5^3-K5^3)/3</f>
        <v>8.024234110653861E-3</v>
      </c>
      <c r="P5" s="156" t="b">
        <v>1</v>
      </c>
      <c r="R5" s="552"/>
      <c r="S5" s="127">
        <v>1.5974851394604476E-2</v>
      </c>
      <c r="T5" s="133">
        <v>6.1049382716049372E-2</v>
      </c>
      <c r="U5" s="128">
        <v>0.25555555555555554</v>
      </c>
      <c r="V5" s="117"/>
      <c r="W5" s="129">
        <v>1.0708149507297074E-3</v>
      </c>
      <c r="X5" s="136"/>
      <c r="Y5" s="130">
        <v>3.1857897657610115E-4</v>
      </c>
      <c r="AA5" s="127">
        <v>35.655874190564226</v>
      </c>
      <c r="AB5" s="133">
        <v>-38.724547664056075</v>
      </c>
      <c r="AC5" s="128">
        <v>6.206589251957837</v>
      </c>
      <c r="AF5" s="169">
        <f>_xll.qlCalendarAdvance(Calendar,AF4,"1d","mf",,Trigger)</f>
        <v>42164</v>
      </c>
      <c r="AG5" s="155">
        <f>_xll.qlDayCounterYearFraction(DayCounter,SettlementDate,AF5,,,Trigger)</f>
        <v>1.1111111111111112E-2</v>
      </c>
      <c r="AH5" s="167">
        <f t="shared" si="0"/>
        <v>1.1691541241029039E-3</v>
      </c>
      <c r="AI5" s="167">
        <f t="shared" si="1"/>
        <v>1.0817789117113107E-3</v>
      </c>
      <c r="AJ5" s="167">
        <f t="shared" si="2"/>
        <v>1.0795425870945305E-3</v>
      </c>
    </row>
    <row r="6" spans="1:36" ht="12" customHeight="1" x14ac:dyDescent="0.2">
      <c r="A6" s="117">
        <f t="shared" ref="A6:A7" si="4">MONTH(D6)</f>
        <v>7</v>
      </c>
      <c r="B6" s="116">
        <f t="shared" ref="B6:B7" si="5">MONTH(E6)</f>
        <v>10</v>
      </c>
      <c r="C6" s="152" t="str">
        <f t="shared" ref="C6:C7" si="6">"Delta("&amp;A6&amp;"M,"&amp;B6&amp;"M)"</f>
        <v>Delta(7M,10M)</v>
      </c>
      <c r="D6" s="153">
        <f>_xll.qlIMMNextDate(D5,FALSE)</f>
        <v>42200</v>
      </c>
      <c r="E6" s="153">
        <f>_xll.qlInterestRateIndexMaturity($D$10,D6)</f>
        <v>42292</v>
      </c>
      <c r="F6" s="185">
        <f>_xll.qlYieldTSDiscount(Discounting,D6,,AllTriggers)</f>
        <v>1.0001416634364066</v>
      </c>
      <c r="G6" s="185">
        <f>_xll.qlYieldTSDiscount(Discounting,E6,,AllTriggers)</f>
        <v>1.0004690759568255</v>
      </c>
      <c r="H6" s="186">
        <f>_xll.qlDayCounterYearFraction(DayCounter,D6,E6,,,Trigger)</f>
        <v>0.25555555555555554</v>
      </c>
      <c r="I6" s="187">
        <f t="shared" si="3"/>
        <v>-1.280578739028658E-3</v>
      </c>
      <c r="J6" s="154">
        <f>LN((1+(_xll.qlInterpolationInterpolate(B3Minterpolation,D6,TRUE,AllTriggers)+I6)*H6)/(1+I6*H6))</f>
        <v>3.1857897657610115E-4</v>
      </c>
      <c r="K6" s="155">
        <f>_xll.qlDayCounterYearFraction(DayCounter,SettlementDate,D6,,,Trigger)</f>
        <v>0.1111111111111111</v>
      </c>
      <c r="L6" s="155">
        <f>_xll.qlDayCounterYearFraction(DayCounter,SettlementDate,E6,,,Trigger)</f>
        <v>0.36666666666666664</v>
      </c>
      <c r="M6" s="155">
        <f>L6-K6</f>
        <v>0.25555555555555554</v>
      </c>
      <c r="N6" s="155">
        <f>(L6^2-K6^2)/2</f>
        <v>6.1049382716049372E-2</v>
      </c>
      <c r="O6" s="155">
        <f>(L6^3-K6^3)/3</f>
        <v>1.5974851394604476E-2</v>
      </c>
      <c r="P6" s="156" t="b">
        <v>1</v>
      </c>
      <c r="W6" s="131"/>
      <c r="X6" s="124"/>
      <c r="Y6" s="125"/>
      <c r="AF6" s="169">
        <f>_xll.qlCalendarAdvance(Calendar,AF5,"1d","mf",,Trigger)</f>
        <v>42165</v>
      </c>
      <c r="AG6" s="155">
        <f>_xll.qlDayCounterYearFraction(DayCounter,SettlementDate,AF6,,,Trigger)</f>
        <v>1.3888888888888888E-2</v>
      </c>
      <c r="AH6" s="167">
        <f t="shared" si="0"/>
        <v>1.1691541241029039E-3</v>
      </c>
      <c r="AI6" s="167">
        <f t="shared" si="1"/>
        <v>1.0838108933948361E-3</v>
      </c>
      <c r="AJ6" s="167">
        <f t="shared" si="2"/>
        <v>1.0817168609936784E-3</v>
      </c>
    </row>
    <row r="7" spans="1:36" ht="12" customHeight="1" x14ac:dyDescent="0.2">
      <c r="A7" s="117">
        <f t="shared" si="4"/>
        <v>8</v>
      </c>
      <c r="B7" s="116">
        <f t="shared" si="5"/>
        <v>11</v>
      </c>
      <c r="C7" s="157" t="str">
        <f t="shared" si="6"/>
        <v>Delta(8M,11M)</v>
      </c>
      <c r="D7" s="158">
        <f>_xll.qlIMMNextDate(D6,FALSE)</f>
        <v>42235</v>
      </c>
      <c r="E7" s="158">
        <f>_xll.qlInterestRateIndexMaturity($D$10,D7)</f>
        <v>42327</v>
      </c>
      <c r="F7" s="188">
        <f>_xll.qlYieldTSDiscount(Discounting,D7,,AllTriggers)</f>
        <v>1.0002643104468452</v>
      </c>
      <c r="G7" s="188">
        <f>_xll.qlYieldTSDiscount(Discounting,E7,,AllTriggers)</f>
        <v>1.0005947654856313</v>
      </c>
      <c r="H7" s="189">
        <f>_xll.qlDayCounterYearFraction(DayCounter,D7,E7,,,Trigger)</f>
        <v>0.25555555555555554</v>
      </c>
      <c r="I7" s="190">
        <f t="shared" si="3"/>
        <v>-1.29231630924313E-3</v>
      </c>
      <c r="J7" s="159">
        <f>LN((1+(_xll.qlInterpolationInterpolate(B3Minterpolation,D7,TRUE,AllTriggers)+I7)*H7)/(1+I7*H7))</f>
        <v>3.4344790049660928E-4</v>
      </c>
      <c r="K7" s="160">
        <f>_xll.qlDayCounterYearFraction(DayCounter,SettlementDate,D7,,,Trigger)</f>
        <v>0.20833333333333334</v>
      </c>
      <c r="L7" s="160">
        <f>_xll.qlDayCounterYearFraction(DayCounter,SettlementDate,E7,,,Trigger)</f>
        <v>0.46388888888888891</v>
      </c>
      <c r="M7" s="160">
        <f>L7-K7</f>
        <v>0.25555555555555554</v>
      </c>
      <c r="N7" s="160">
        <f>(L7^2-K7^2)/2</f>
        <v>8.5895061728395061E-2</v>
      </c>
      <c r="O7" s="160">
        <f>(L7^3-K7^3)/3</f>
        <v>3.0261116826703249E-2</v>
      </c>
      <c r="P7" s="161" t="b">
        <v>0</v>
      </c>
      <c r="W7" s="131"/>
      <c r="X7" s="124"/>
      <c r="Y7" s="125"/>
      <c r="AF7" s="169">
        <f>_xll.qlCalendarAdvance(Calendar,AF6,"1d","mf",,Trigger)</f>
        <v>42166</v>
      </c>
      <c r="AG7" s="155">
        <f>_xll.qlDayCounterYearFraction(DayCounter,SettlementDate,AF7,,,Trigger)</f>
        <v>1.6666666666666666E-2</v>
      </c>
      <c r="AH7" s="167">
        <f t="shared" si="0"/>
        <v>1.1691541241029039E-3</v>
      </c>
      <c r="AI7" s="167">
        <f t="shared" si="1"/>
        <v>1.0858428750783616E-3</v>
      </c>
      <c r="AJ7" s="167">
        <f t="shared" si="2"/>
        <v>1.0838880808160033E-3</v>
      </c>
    </row>
    <row r="8" spans="1:36" ht="12" customHeight="1" x14ac:dyDescent="0.2">
      <c r="C8" s="118"/>
      <c r="D8" s="119"/>
      <c r="E8" s="119"/>
      <c r="F8" s="119"/>
      <c r="G8" s="119"/>
      <c r="H8" s="119"/>
      <c r="I8" s="119"/>
      <c r="J8" s="120"/>
      <c r="K8" s="121"/>
      <c r="L8" s="121"/>
      <c r="M8" s="121"/>
      <c r="N8" s="121"/>
      <c r="O8" s="121"/>
      <c r="P8" s="122"/>
      <c r="W8" s="123" t="s">
        <v>91</v>
      </c>
      <c r="X8" s="124"/>
      <c r="Y8" s="125"/>
      <c r="AF8" s="169">
        <f>_xll.qlCalendarAdvance(Calendar,AF7,"1d","mf",,Trigger)</f>
        <v>42167</v>
      </c>
      <c r="AG8" s="155">
        <f>_xll.qlDayCounterYearFraction(DayCounter,SettlementDate,AF8,,,Trigger)</f>
        <v>1.9444444444444445E-2</v>
      </c>
      <c r="AH8" s="167">
        <f t="shared" si="0"/>
        <v>1.1691541241029039E-3</v>
      </c>
      <c r="AI8" s="167">
        <f t="shared" si="1"/>
        <v>1.0878748567618871E-3</v>
      </c>
      <c r="AJ8" s="167">
        <f t="shared" si="2"/>
        <v>1.0860562465615051E-3</v>
      </c>
    </row>
    <row r="9" spans="1:36" ht="12" customHeight="1" x14ac:dyDescent="0.2">
      <c r="C9" s="142" t="s">
        <v>137</v>
      </c>
      <c r="D9" s="177" t="s">
        <v>41</v>
      </c>
      <c r="R9" s="551" t="s">
        <v>87</v>
      </c>
      <c r="S9" s="126"/>
      <c r="T9" s="127">
        <f t="array" ref="T9:T10">_xll.ohFilter(N3:N7,P3:P7)</f>
        <v>3.4089506172839512E-2</v>
      </c>
      <c r="U9" s="128">
        <f t="array" ref="U9:U10">_xll.ohFilter(M3:M7,P3:P7)</f>
        <v>0.26111111111111113</v>
      </c>
      <c r="V9" s="550" t="s">
        <v>37</v>
      </c>
      <c r="W9" s="129">
        <f t="array" ref="W9:W10">MMULT(AA9:AB10,Y9:Y10)</f>
        <v>7.3151340606916054E-4</v>
      </c>
      <c r="X9" s="550" t="s">
        <v>38</v>
      </c>
      <c r="Y9" s="130">
        <f t="array" ref="Y9:Y10">_xll.ohFilter(J3:J7,P3:P7)</f>
        <v>3.0527913240464713E-4</v>
      </c>
      <c r="AA9" s="127">
        <f t="array" ref="AA9:AB10">MINVERSE(T9:U10)</f>
        <v>-125.33849129593821</v>
      </c>
      <c r="AB9" s="128">
        <v>128.06324110671952</v>
      </c>
      <c r="AF9" s="169">
        <f>_xll.qlCalendarAdvance(Calendar,AF8,"1d","mf",,Trigger)</f>
        <v>42170</v>
      </c>
      <c r="AG9" s="155">
        <f>_xll.qlDayCounterYearFraction(DayCounter,SettlementDate,AF9,,,Trigger)</f>
        <v>2.7777777777777776E-2</v>
      </c>
      <c r="AH9" s="167">
        <f t="shared" si="0"/>
        <v>1.1691541241029039E-3</v>
      </c>
      <c r="AI9" s="167">
        <f t="shared" si="1"/>
        <v>1.0939708018124633E-3</v>
      </c>
      <c r="AJ9" s="167">
        <f t="shared" si="2"/>
        <v>1.0925424193370715E-3</v>
      </c>
    </row>
    <row r="10" spans="1:36" ht="12" customHeight="1" x14ac:dyDescent="0.2">
      <c r="C10" s="142" t="s">
        <v>100</v>
      </c>
      <c r="D10" s="177" t="str">
        <f>PROPER(Currency)&amp;IborType&amp;D9</f>
        <v>Euribor3M</v>
      </c>
      <c r="R10" s="551"/>
      <c r="S10" s="126"/>
      <c r="T10" s="127">
        <v>4.1172839506172836E-2</v>
      </c>
      <c r="U10" s="128">
        <v>0.25555555555555554</v>
      </c>
      <c r="V10" s="550"/>
      <c r="W10" s="129">
        <v>1.0736509849772089E-3</v>
      </c>
      <c r="X10" s="550"/>
      <c r="Y10" s="130">
        <v>3.0449595800331909E-4</v>
      </c>
      <c r="AA10" s="127">
        <v>20.193423597678933</v>
      </c>
      <c r="AB10" s="128">
        <v>-16.719367588932826</v>
      </c>
      <c r="AF10" s="169">
        <f>_xll.qlCalendarAdvance(Calendar,AF9,"1d","mf",,Trigger)</f>
        <v>42171</v>
      </c>
      <c r="AG10" s="155">
        <f>_xll.qlDayCounterYearFraction(DayCounter,SettlementDate,AF10,,,Trigger)</f>
        <v>3.0555555555555555E-2</v>
      </c>
      <c r="AH10" s="167">
        <f t="shared" si="0"/>
        <v>1.1691541241029039E-3</v>
      </c>
      <c r="AI10" s="167">
        <f t="shared" si="1"/>
        <v>1.0960027834959888E-3</v>
      </c>
      <c r="AJ10" s="167">
        <f t="shared" si="2"/>
        <v>1.0946983687752808E-3</v>
      </c>
    </row>
    <row r="11" spans="1:36" ht="12" customHeight="1" x14ac:dyDescent="0.2">
      <c r="C11" s="142" t="s">
        <v>129</v>
      </c>
      <c r="D11" s="178" t="s">
        <v>79</v>
      </c>
      <c r="W11" s="131"/>
      <c r="X11" s="124"/>
      <c r="Y11" s="125"/>
      <c r="AF11" s="169">
        <f>_xll.qlCalendarAdvance(Calendar,AF10,"1d","mf",,Trigger)</f>
        <v>42172</v>
      </c>
      <c r="AG11" s="155">
        <f>_xll.qlDayCounterYearFraction(DayCounter,SettlementDate,AF11,,,Trigger)</f>
        <v>3.3333333333333333E-2</v>
      </c>
      <c r="AH11" s="167">
        <f t="shared" si="0"/>
        <v>1.1691541241029039E-3</v>
      </c>
      <c r="AI11" s="167">
        <f t="shared" si="1"/>
        <v>1.0980347651795143E-3</v>
      </c>
      <c r="AJ11" s="167">
        <f t="shared" si="2"/>
        <v>1.0968512641366672E-3</v>
      </c>
    </row>
    <row r="12" spans="1:36" ht="12" customHeight="1" x14ac:dyDescent="0.2">
      <c r="C12" s="142" t="s">
        <v>128</v>
      </c>
      <c r="D12" s="177" t="s">
        <v>132</v>
      </c>
      <c r="W12" s="132" t="s">
        <v>35</v>
      </c>
      <c r="X12" s="124"/>
      <c r="Y12" s="125"/>
      <c r="AF12" s="169">
        <f>_xll.qlCalendarAdvance(Calendar,AF11,"1d","mf",,Trigger)</f>
        <v>42173</v>
      </c>
      <c r="AG12" s="155">
        <f>_xll.qlDayCounterYearFraction(DayCounter,SettlementDate,AF12,,,Trigger)</f>
        <v>3.6111111111111108E-2</v>
      </c>
      <c r="AH12" s="167">
        <f t="shared" si="0"/>
        <v>1.1691541241029039E-3</v>
      </c>
      <c r="AI12" s="167">
        <f t="shared" si="1"/>
        <v>1.1000667468630398E-3</v>
      </c>
      <c r="AJ12" s="167">
        <f t="shared" si="2"/>
        <v>1.0990011054212302E-3</v>
      </c>
    </row>
    <row r="13" spans="1:36" ht="12" customHeight="1" x14ac:dyDescent="0.2">
      <c r="N13" s="146" t="str">
        <f>"Synthetic Deposits "&amp;D9</f>
        <v>Synthetic Deposits 3M</v>
      </c>
      <c r="O13" s="146"/>
      <c r="P13" s="146"/>
      <c r="R13" s="137" t="s">
        <v>88</v>
      </c>
      <c r="U13" s="138">
        <f t="array" ref="U13">_xll.ohFilter(M3:M7,P3:P7)</f>
        <v>0.26111111111111113</v>
      </c>
      <c r="V13" s="137" t="s">
        <v>37</v>
      </c>
      <c r="W13" s="129">
        <f>MMULT(AA13,Y13)</f>
        <v>1.1691541241029039E-3</v>
      </c>
      <c r="X13" s="137" t="s">
        <v>38</v>
      </c>
      <c r="Y13" s="130">
        <f t="array" ref="Y13">_xll.ohFilter(J3:J7,P3:P7)</f>
        <v>3.0527913240464713E-4</v>
      </c>
      <c r="AA13" s="138">
        <f>MINVERSE(U13)</f>
        <v>3.8297872340425529</v>
      </c>
      <c r="AF13" s="169">
        <f>_xll.qlCalendarAdvance(Calendar,AF12,"1d","mf",,Trigger)</f>
        <v>42174</v>
      </c>
      <c r="AG13" s="155">
        <f>_xll.qlDayCounterYearFraction(DayCounter,SettlementDate,AF13,,,Trigger)</f>
        <v>3.888888888888889E-2</v>
      </c>
      <c r="AH13" s="167">
        <f t="shared" si="0"/>
        <v>1.1691541241029039E-3</v>
      </c>
      <c r="AI13" s="167">
        <f t="shared" si="1"/>
        <v>1.1020987285465652E-3</v>
      </c>
      <c r="AJ13" s="167">
        <f t="shared" si="2"/>
        <v>1.1011478926289701E-3</v>
      </c>
    </row>
    <row r="14" spans="1:36" ht="12" customHeight="1" x14ac:dyDescent="0.2">
      <c r="C14" s="142" t="s">
        <v>95</v>
      </c>
      <c r="D14" s="142" t="s">
        <v>70</v>
      </c>
      <c r="E14" s="142" t="s">
        <v>71</v>
      </c>
      <c r="F14" s="181"/>
      <c r="G14" s="181"/>
      <c r="H14" s="181"/>
      <c r="I14" s="181"/>
      <c r="J14" s="143" t="s">
        <v>122</v>
      </c>
      <c r="K14" s="143" t="s">
        <v>123</v>
      </c>
      <c r="L14" s="142" t="s">
        <v>124</v>
      </c>
      <c r="M14" s="143" t="s">
        <v>125</v>
      </c>
      <c r="N14" s="145" t="s">
        <v>88</v>
      </c>
      <c r="O14" s="145" t="s">
        <v>87</v>
      </c>
      <c r="P14" s="145" t="s">
        <v>114</v>
      </c>
      <c r="AF14" s="169">
        <f>_xll.qlCalendarAdvance(Calendar,AF13,"1d","mf",,Trigger)</f>
        <v>42177</v>
      </c>
      <c r="AG14" s="155">
        <f>_xll.qlDayCounterYearFraction(DayCounter,SettlementDate,AF14,,,Trigger)</f>
        <v>4.7222222222222221E-2</v>
      </c>
      <c r="AH14" s="167">
        <f t="shared" si="0"/>
        <v>1.1691541241029039E-3</v>
      </c>
      <c r="AI14" s="167">
        <f t="shared" si="1"/>
        <v>1.1081946735971415E-3</v>
      </c>
      <c r="AJ14" s="167">
        <f t="shared" si="2"/>
        <v>1.1075699297912512E-3</v>
      </c>
    </row>
    <row r="15" spans="1:36" ht="12" customHeight="1" x14ac:dyDescent="0.2">
      <c r="C15" s="162" t="s">
        <v>43</v>
      </c>
      <c r="D15" s="163">
        <f t="shared" ref="D15:D21" si="7">SettlementDate</f>
        <v>42160</v>
      </c>
      <c r="E15" s="164">
        <f>_xll.qlCalendarAdvance(Calendar,SettlementDate,C15,"Following",,Trigger)</f>
        <v>42163</v>
      </c>
      <c r="F15" s="191"/>
      <c r="G15" s="191"/>
      <c r="H15" s="191"/>
      <c r="I15" s="191"/>
      <c r="J15" s="165">
        <f>_xll.qlDayCounterYearFraction(DayCounter,D15,E15,,,Trigger)</f>
        <v>8.3333333333333332E-3</v>
      </c>
      <c r="K15" s="192">
        <f>_xll.qlYieldTSDiscount(Discounting,D15,,AllTriggers)</f>
        <v>1.0000066667000043</v>
      </c>
      <c r="L15" s="166">
        <f>_xll.qlYieldTSDiscount(Discounting,E15,,AllTriggers)</f>
        <v>1.0000167502701822</v>
      </c>
      <c r="M15" s="193">
        <f>(K15/L15-1)/J15</f>
        <v>-1.2100081533938933E-3</v>
      </c>
      <c r="N15" s="180">
        <f>((1+M15*J15)*EXP($W$13*J15)-1)/J15</f>
        <v>-4.0860122871855253E-5</v>
      </c>
      <c r="O15" s="180">
        <f>((1+J15*M15)*EXP($W$10*J15+0.5*$W$9*J15^2)-1)/J15</f>
        <v>-1.3331522236814664E-4</v>
      </c>
      <c r="P15" s="180">
        <f t="shared" ref="P15:P21" si="8">((1+J15*M15)*EXP($W$5*J15+0.5*$W$4*J15^2+1/3*$W$3*J15^3)-1)/J15</f>
        <v>-1.3592178148336131E-4</v>
      </c>
      <c r="AF15" s="169">
        <f>_xll.qlCalendarAdvance(Calendar,AF14,"1d","mf",,Trigger)</f>
        <v>42178</v>
      </c>
      <c r="AG15" s="155">
        <f>_xll.qlDayCounterYearFraction(DayCounter,SettlementDate,AF15,,,Trigger)</f>
        <v>0.05</v>
      </c>
      <c r="AH15" s="167">
        <f t="shared" si="0"/>
        <v>1.1691541241029039E-3</v>
      </c>
      <c r="AI15" s="167">
        <f t="shared" si="1"/>
        <v>1.1102266552806669E-3</v>
      </c>
      <c r="AJ15" s="167">
        <f t="shared" si="2"/>
        <v>1.1097045006916986E-3</v>
      </c>
    </row>
    <row r="16" spans="1:36" ht="12" customHeight="1" x14ac:dyDescent="0.2">
      <c r="C16" s="168" t="s">
        <v>44</v>
      </c>
      <c r="D16" s="153">
        <f>SettlementDate</f>
        <v>42160</v>
      </c>
      <c r="E16" s="169">
        <f>_xll.qlCalendarAdvance(Calendar,SettlementDate,C16,"Following",,Trigger)</f>
        <v>42167</v>
      </c>
      <c r="F16" s="191"/>
      <c r="G16" s="191"/>
      <c r="H16" s="191"/>
      <c r="I16" s="191"/>
      <c r="J16" s="155">
        <f>_xll.qlDayCounterYearFraction(DayCounter,D16,E16,,,Trigger)</f>
        <v>1.9444444444444445E-2</v>
      </c>
      <c r="K16" s="194">
        <f>_xll.qlYieldTSDiscount(Discounting,D16,,AllTriggers)</f>
        <v>1.0000066667000043</v>
      </c>
      <c r="L16" s="170">
        <f>_xll.qlYieldTSDiscount(Discounting,E16,,AllTriggers)</f>
        <v>1.000030195188585</v>
      </c>
      <c r="M16" s="193">
        <f t="shared" ref="M16:M21" si="9">(K16/L16-1)/J16</f>
        <v>-1.2100000194032695E-3</v>
      </c>
      <c r="N16" s="167">
        <f t="shared" ref="N16:N20" si="10">((1+M16*J16)*EXP($W$13*J16)-1)/J16</f>
        <v>-4.0860113595466074E-5</v>
      </c>
      <c r="O16" s="167">
        <f t="shared" ref="O16:O20" si="11">((1+J16*M16)*EXP($W$10*J16+0.5*$W$9*J16^2)-1)/J16</f>
        <v>-1.292511706463273E-4</v>
      </c>
      <c r="P16" s="167">
        <f t="shared" si="8"/>
        <v>-1.3156601619014805E-4</v>
      </c>
      <c r="AF16" s="169">
        <f>_xll.qlCalendarAdvance(Calendar,AF15,"1d","mf",,Trigger)</f>
        <v>42179</v>
      </c>
      <c r="AG16" s="155">
        <f>_xll.qlDayCounterYearFraction(DayCounter,SettlementDate,AF16,,,Trigger)</f>
        <v>5.2777777777777778E-2</v>
      </c>
      <c r="AH16" s="167">
        <f t="shared" si="0"/>
        <v>1.1691541241029039E-3</v>
      </c>
      <c r="AI16" s="167">
        <f t="shared" si="1"/>
        <v>1.1122586369641924E-3</v>
      </c>
      <c r="AJ16" s="167">
        <f t="shared" si="2"/>
        <v>1.1118360175153229E-3</v>
      </c>
    </row>
    <row r="17" spans="3:36" ht="12" customHeight="1" x14ac:dyDescent="0.2">
      <c r="C17" s="168" t="s">
        <v>45</v>
      </c>
      <c r="D17" s="153">
        <f t="shared" si="7"/>
        <v>42160</v>
      </c>
      <c r="E17" s="169">
        <f>_xll.qlCalendarAdvance(Calendar,SettlementDate,C17,"Following",,Trigger)</f>
        <v>42174</v>
      </c>
      <c r="F17" s="191"/>
      <c r="G17" s="191"/>
      <c r="H17" s="191"/>
      <c r="I17" s="191"/>
      <c r="J17" s="155">
        <f>_xll.qlDayCounterYearFraction(DayCounter,D17,E17,,,Trigger)</f>
        <v>3.888888888888889E-2</v>
      </c>
      <c r="K17" s="194">
        <f>_xll.qlYieldTSDiscount(Discounting,D17,,AllTriggers)</f>
        <v>1.0000066667000043</v>
      </c>
      <c r="L17" s="170">
        <f>_xll.qlYieldTSDiscount(Discounting,E17,,AllTriggers)</f>
        <v>1.0000525580007213</v>
      </c>
      <c r="M17" s="193">
        <f t="shared" si="9"/>
        <v>-1.1799999999974528E-3</v>
      </c>
      <c r="N17" s="167">
        <f t="shared" si="10"/>
        <v>-1.0872948866972162E-5</v>
      </c>
      <c r="O17" s="167">
        <f t="shared" si="11"/>
        <v>-9.2152053385228876E-5</v>
      </c>
      <c r="P17" s="167">
        <f t="shared" si="8"/>
        <v>-9.3995598541761277E-5</v>
      </c>
      <c r="AF17" s="169">
        <f>_xll.qlCalendarAdvance(Calendar,AF16,"1d","mf",,Trigger)</f>
        <v>42180</v>
      </c>
      <c r="AG17" s="155">
        <f>_xll.qlDayCounterYearFraction(DayCounter,SettlementDate,AF17,,,Trigger)</f>
        <v>5.5555555555555552E-2</v>
      </c>
      <c r="AH17" s="167">
        <f t="shared" si="0"/>
        <v>1.1691541241029039E-3</v>
      </c>
      <c r="AI17" s="167">
        <f t="shared" si="1"/>
        <v>1.1142906186477179E-3</v>
      </c>
      <c r="AJ17" s="167">
        <f t="shared" si="2"/>
        <v>1.1139644802621242E-3</v>
      </c>
    </row>
    <row r="18" spans="3:36" ht="12" customHeight="1" x14ac:dyDescent="0.2">
      <c r="C18" s="168" t="s">
        <v>46</v>
      </c>
      <c r="D18" s="153">
        <f t="shared" si="7"/>
        <v>42160</v>
      </c>
      <c r="E18" s="169">
        <f>_xll.qlCalendarAdvance(Calendar,SettlementDate,C18,"Following",,Trigger)</f>
        <v>42181</v>
      </c>
      <c r="F18" s="191"/>
      <c r="G18" s="191"/>
      <c r="H18" s="191"/>
      <c r="I18" s="191"/>
      <c r="J18" s="155">
        <f>_xll.qlDayCounterYearFraction(DayCounter,D18,E18,,,Trigger)</f>
        <v>5.8333333333333334E-2</v>
      </c>
      <c r="K18" s="194">
        <f>_xll.qlYieldTSDiscount(Discounting,D18,,AllTriggers)</f>
        <v>1.0000066667000043</v>
      </c>
      <c r="L18" s="170">
        <f>_xll.qlYieldTSDiscount(Discounting,E18,,AllTriggers)</f>
        <v>1.0000755052306143</v>
      </c>
      <c r="M18" s="193">
        <f t="shared" si="9"/>
        <v>-1.179999999999356E-3</v>
      </c>
      <c r="N18" s="167">
        <f t="shared" si="10"/>
        <v>-1.08864859698394E-5</v>
      </c>
      <c r="O18" s="167">
        <f t="shared" si="11"/>
        <v>-8.505360988080619E-5</v>
      </c>
      <c r="P18" s="167">
        <f t="shared" si="8"/>
        <v>-8.647573826348065E-5</v>
      </c>
      <c r="AF18" s="169">
        <f>_xll.qlCalendarAdvance(Calendar,AF17,"1d","mf",,Trigger)</f>
        <v>42181</v>
      </c>
      <c r="AG18" s="155">
        <f>_xll.qlDayCounterYearFraction(DayCounter,SettlementDate,AF18,,,Trigger)</f>
        <v>5.8333333333333334E-2</v>
      </c>
      <c r="AH18" s="167">
        <f t="shared" si="0"/>
        <v>1.1691541241029039E-3</v>
      </c>
      <c r="AI18" s="167">
        <f t="shared" si="1"/>
        <v>1.1163226003312434E-3</v>
      </c>
      <c r="AJ18" s="167">
        <f t="shared" si="2"/>
        <v>1.1160898889321022E-3</v>
      </c>
    </row>
    <row r="19" spans="3:36" ht="12" customHeight="1" x14ac:dyDescent="0.2">
      <c r="C19" s="168" t="s">
        <v>40</v>
      </c>
      <c r="D19" s="153">
        <f t="shared" si="7"/>
        <v>42160</v>
      </c>
      <c r="E19" s="169">
        <f>_xll.qlCalendarAdvance(Calendar,SettlementDate,C19,"mf",TRUE,Trigger)</f>
        <v>42191</v>
      </c>
      <c r="F19" s="191"/>
      <c r="G19" s="191"/>
      <c r="H19" s="191"/>
      <c r="I19" s="191"/>
      <c r="J19" s="155">
        <f>_xll.qlDayCounterYearFraction(DayCounter,D19,E19,,,Trigger)</f>
        <v>8.611111111111111E-2</v>
      </c>
      <c r="K19" s="194">
        <f>_xll.qlYieldTSDiscount(Discounting,D19,,AllTriggers)</f>
        <v>1.0000066667000043</v>
      </c>
      <c r="L19" s="170">
        <f>_xll.qlYieldTSDiscount(Discounting,E19,,AllTriggers)</f>
        <v>1.0001090930777232</v>
      </c>
      <c r="M19" s="193">
        <f t="shared" si="9"/>
        <v>-1.1893378636920837E-3</v>
      </c>
      <c r="N19" s="167">
        <f t="shared" si="10"/>
        <v>-2.0244629241382027E-5</v>
      </c>
      <c r="O19" s="167">
        <f t="shared" si="11"/>
        <v>-8.425176429290608E-5</v>
      </c>
      <c r="P19" s="167">
        <f t="shared" si="8"/>
        <v>-8.5158402033273209E-5</v>
      </c>
      <c r="AF19" s="169">
        <f>_xll.qlCalendarAdvance(Calendar,AF18,"1d","mf",,Trigger)</f>
        <v>42184</v>
      </c>
      <c r="AG19" s="155">
        <f>_xll.qlDayCounterYearFraction(DayCounter,SettlementDate,AF19,,,Trigger)</f>
        <v>6.6666666666666666E-2</v>
      </c>
      <c r="AH19" s="167">
        <f t="shared" si="0"/>
        <v>1.1691541241029039E-3</v>
      </c>
      <c r="AI19" s="167">
        <f t="shared" si="1"/>
        <v>1.1224185453818196E-3</v>
      </c>
      <c r="AJ19" s="167">
        <f t="shared" si="2"/>
        <v>1.1224477904810978E-3</v>
      </c>
    </row>
    <row r="20" spans="3:36" ht="12" customHeight="1" x14ac:dyDescent="0.2">
      <c r="C20" s="168" t="s">
        <v>47</v>
      </c>
      <c r="D20" s="153">
        <f t="shared" si="7"/>
        <v>42160</v>
      </c>
      <c r="E20" s="169">
        <f>_xll.qlCalendarAdvance(Calendar,SettlementDate,C20,"mf",TRUE,Trigger)</f>
        <v>42221</v>
      </c>
      <c r="F20" s="191"/>
      <c r="G20" s="191"/>
      <c r="H20" s="191"/>
      <c r="I20" s="191"/>
      <c r="J20" s="155">
        <f>_xll.qlDayCounterYearFraction(DayCounter,D20,E20,,,Trigger)</f>
        <v>0.16944444444444445</v>
      </c>
      <c r="K20" s="194">
        <f>_xll.qlYieldTSDiscount(Discounting,D20,,AllTriggers)</f>
        <v>1.0000066667000043</v>
      </c>
      <c r="L20" s="170">
        <f>_xll.qlYieldTSDiscount(Discounting,E20,,AllTriggers)</f>
        <v>1.0002130018004083</v>
      </c>
      <c r="M20" s="193">
        <f t="shared" si="9"/>
        <v>-1.2174560263214643E-3</v>
      </c>
      <c r="N20" s="167">
        <f t="shared" si="10"/>
        <v>-4.842729600804528E-5</v>
      </c>
      <c r="O20" s="167">
        <f t="shared" si="11"/>
        <v>-8.1954623429931277E-5</v>
      </c>
      <c r="P20" s="167">
        <f t="shared" si="8"/>
        <v>-8.1925610103108278E-5</v>
      </c>
      <c r="AF20" s="169">
        <f>_xll.qlCalendarAdvance(Calendar,AF19,"1d","mf",,Trigger)</f>
        <v>42185</v>
      </c>
      <c r="AG20" s="155">
        <f>_xll.qlDayCounterYearFraction(DayCounter,SettlementDate,AF20,,,Trigger)</f>
        <v>6.9444444444444448E-2</v>
      </c>
      <c r="AH20" s="167">
        <f t="shared" si="0"/>
        <v>1.1691541241029039E-3</v>
      </c>
      <c r="AI20" s="167">
        <f t="shared" si="1"/>
        <v>1.1244505270653451E-3</v>
      </c>
      <c r="AJ20" s="167">
        <f t="shared" si="2"/>
        <v>1.1245609828437835E-3</v>
      </c>
    </row>
    <row r="21" spans="3:36" ht="12" customHeight="1" x14ac:dyDescent="0.2">
      <c r="C21" s="172" t="s">
        <v>41</v>
      </c>
      <c r="D21" s="158">
        <f t="shared" si="7"/>
        <v>42160</v>
      </c>
      <c r="E21" s="173">
        <f>_xll.qlCalendarAdvance(Calendar,SettlementDate,C21,"mf",TRUE,Trigger)</f>
        <v>42254</v>
      </c>
      <c r="F21" s="195"/>
      <c r="G21" s="195"/>
      <c r="H21" s="195"/>
      <c r="I21" s="195"/>
      <c r="J21" s="160">
        <f>_xll.qlDayCounterYearFraction(DayCounter,D21,E21,,,Trigger)</f>
        <v>0.26111111111111113</v>
      </c>
      <c r="K21" s="196">
        <f>_xll.qlYieldTSDiscount(Discounting,D21,,AllTriggers)</f>
        <v>1.0000066667000043</v>
      </c>
      <c r="L21" s="174">
        <f>_xll.qlYieldTSDiscount(Discounting,E21,,AllTriggers)</f>
        <v>1.0003339478197761</v>
      </c>
      <c r="M21" s="197">
        <f t="shared" si="9"/>
        <v>-1.2529986182886782E-3</v>
      </c>
      <c r="N21" s="176">
        <f>((1+M21*J21)*EXP($W$13*J21)-1)/J21</f>
        <v>-8.4048589569820541E-5</v>
      </c>
      <c r="O21" s="176">
        <f>((1+J21*M21)*EXP($W$10*J21+0.5*$W$9*J21^2)-1)/J21</f>
        <v>-8.4048589569820541E-5</v>
      </c>
      <c r="P21" s="176">
        <f t="shared" si="8"/>
        <v>-8.4048589569820541E-5</v>
      </c>
      <c r="AF21" s="169">
        <f>_xll.qlCalendarAdvance(Calendar,AF20,"1d","mf",,Trigger)</f>
        <v>42186</v>
      </c>
      <c r="AG21" s="155">
        <f>_xll.qlDayCounterYearFraction(DayCounter,SettlementDate,AF21,,,Trigger)</f>
        <v>7.2222222222222215E-2</v>
      </c>
      <c r="AH21" s="167">
        <f t="shared" si="0"/>
        <v>1.1691541241029039E-3</v>
      </c>
      <c r="AI21" s="167">
        <f t="shared" si="1"/>
        <v>1.1264825087488706E-3</v>
      </c>
      <c r="AJ21" s="167">
        <f t="shared" si="2"/>
        <v>1.1266711211296459E-3</v>
      </c>
    </row>
    <row r="22" spans="3:36" ht="12" customHeight="1" x14ac:dyDescent="0.2">
      <c r="AF22" s="169">
        <f>_xll.qlCalendarAdvance(Calendar,AF21,"1d","mf",,Trigger)</f>
        <v>42187</v>
      </c>
      <c r="AG22" s="155">
        <f>_xll.qlDayCounterYearFraction(DayCounter,SettlementDate,AF22,,,Trigger)</f>
        <v>7.4999999999999997E-2</v>
      </c>
      <c r="AH22" s="167">
        <f t="shared" si="0"/>
        <v>1.1691541241029039E-3</v>
      </c>
      <c r="AI22" s="167">
        <f t="shared" si="1"/>
        <v>1.128514490432396E-3</v>
      </c>
      <c r="AJ22" s="167">
        <f t="shared" si="2"/>
        <v>1.1287782053386853E-3</v>
      </c>
    </row>
    <row r="23" spans="3:36" ht="12" customHeight="1" x14ac:dyDescent="0.2">
      <c r="C23" s="142" t="s">
        <v>102</v>
      </c>
      <c r="AF23" s="169">
        <f>_xll.qlCalendarAdvance(Calendar,AF22,"1d","mf",,Trigger)</f>
        <v>42188</v>
      </c>
      <c r="AG23" s="155">
        <f>_xll.qlDayCounterYearFraction(DayCounter,SettlementDate,AF23,,,Trigger)</f>
        <v>7.7777777777777779E-2</v>
      </c>
      <c r="AH23" s="167">
        <f t="shared" si="0"/>
        <v>1.1691541241029039E-3</v>
      </c>
      <c r="AI23" s="167">
        <f t="shared" si="1"/>
        <v>1.1305464721159215E-3</v>
      </c>
      <c r="AJ23" s="167">
        <f t="shared" si="2"/>
        <v>1.1308822354709016E-3</v>
      </c>
    </row>
    <row r="24" spans="3:36" ht="12" customHeight="1" x14ac:dyDescent="0.2">
      <c r="C24" s="179" t="s">
        <v>86</v>
      </c>
      <c r="AF24" s="169">
        <f>_xll.qlCalendarAdvance(Calendar,AF23,"1d","mf",,Trigger)</f>
        <v>42191</v>
      </c>
      <c r="AG24" s="155">
        <f>_xll.qlDayCounterYearFraction(DayCounter,SettlementDate,AF24,,,Trigger)</f>
        <v>8.611111111111111E-2</v>
      </c>
      <c r="AH24" s="167">
        <f t="shared" si="0"/>
        <v>1.1691541241029039E-3</v>
      </c>
      <c r="AI24" s="167">
        <f t="shared" si="1"/>
        <v>1.1366424171664977E-3</v>
      </c>
      <c r="AJ24" s="167">
        <f t="shared" si="2"/>
        <v>1.1371760014066117E-3</v>
      </c>
    </row>
    <row r="25" spans="3:36" ht="12" customHeight="1" x14ac:dyDescent="0.2">
      <c r="C25" s="167">
        <f t="shared" ref="C25:C31" si="12">IF($C$24="FLAT",N15,IF($C$24="linear",O15,P15))</f>
        <v>-1.3592178148336131E-4</v>
      </c>
      <c r="AF25" s="169">
        <f>_xll.qlCalendarAdvance(Calendar,AF24,"1d","mf",,Trigger)</f>
        <v>42192</v>
      </c>
      <c r="AG25" s="155">
        <f>_xll.qlDayCounterYearFraction(DayCounter,SettlementDate,AF25,,,Trigger)</f>
        <v>8.8888888888888892E-2</v>
      </c>
      <c r="AH25" s="167">
        <f t="shared" si="0"/>
        <v>1.1691541241029039E-3</v>
      </c>
      <c r="AI25" s="167">
        <f t="shared" si="1"/>
        <v>1.1386743988500232E-3</v>
      </c>
      <c r="AJ25" s="167">
        <f t="shared" si="2"/>
        <v>1.1392678152315355E-3</v>
      </c>
    </row>
    <row r="26" spans="3:36" ht="12" customHeight="1" x14ac:dyDescent="0.2">
      <c r="C26" s="167">
        <f t="shared" si="12"/>
        <v>-1.3156601619014805E-4</v>
      </c>
      <c r="AF26" s="169">
        <f>_xll.qlCalendarAdvance(Calendar,AF25,"1d","mf",,Trigger)</f>
        <v>42193</v>
      </c>
      <c r="AG26" s="155">
        <f>_xll.qlDayCounterYearFraction(DayCounter,SettlementDate,AF26,,,Trigger)</f>
        <v>9.166666666666666E-2</v>
      </c>
      <c r="AH26" s="167">
        <f t="shared" si="0"/>
        <v>1.1691541241029039E-3</v>
      </c>
      <c r="AI26" s="167">
        <f t="shared" si="1"/>
        <v>1.1407063805335487E-3</v>
      </c>
      <c r="AJ26" s="167">
        <f t="shared" si="2"/>
        <v>1.1413565749796362E-3</v>
      </c>
    </row>
    <row r="27" spans="3:36" ht="12" customHeight="1" x14ac:dyDescent="0.2">
      <c r="C27" s="167">
        <f t="shared" si="12"/>
        <v>-9.3995598541761277E-5</v>
      </c>
      <c r="AF27" s="169">
        <f>_xll.qlCalendarAdvance(Calendar,AF26,"1d","mf",,Trigger)</f>
        <v>42194</v>
      </c>
      <c r="AG27" s="155">
        <f>_xll.qlDayCounterYearFraction(DayCounter,SettlementDate,AF27,,,Trigger)</f>
        <v>9.4444444444444442E-2</v>
      </c>
      <c r="AH27" s="167">
        <f t="shared" si="0"/>
        <v>1.1691541241029039E-3</v>
      </c>
      <c r="AI27" s="167">
        <f t="shared" si="1"/>
        <v>1.1427383622170742E-3</v>
      </c>
      <c r="AJ27" s="167">
        <f t="shared" si="2"/>
        <v>1.1434422806509139E-3</v>
      </c>
    </row>
    <row r="28" spans="3:36" ht="12" customHeight="1" x14ac:dyDescent="0.2">
      <c r="C28" s="167">
        <f t="shared" si="12"/>
        <v>-8.647573826348065E-5</v>
      </c>
      <c r="AF28" s="169">
        <f>_xll.qlCalendarAdvance(Calendar,AF27,"1d","mf",,Trigger)</f>
        <v>42195</v>
      </c>
      <c r="AG28" s="155">
        <f>_xll.qlDayCounterYearFraction(DayCounter,SettlementDate,AF28,,,Trigger)</f>
        <v>9.7222222222222224E-2</v>
      </c>
      <c r="AH28" s="167">
        <f t="shared" si="0"/>
        <v>1.1691541241029039E-3</v>
      </c>
      <c r="AI28" s="167">
        <f t="shared" si="1"/>
        <v>1.1447703439005997E-3</v>
      </c>
      <c r="AJ28" s="167">
        <f t="shared" si="2"/>
        <v>1.1455249322453683E-3</v>
      </c>
    </row>
    <row r="29" spans="3:36" ht="12" customHeight="1" x14ac:dyDescent="0.2">
      <c r="C29" s="167">
        <f t="shared" si="12"/>
        <v>-8.5158402033273209E-5</v>
      </c>
      <c r="AF29" s="169">
        <f>_xll.qlCalendarAdvance(Calendar,AF28,"1d","mf",,Trigger)</f>
        <v>42198</v>
      </c>
      <c r="AG29" s="155">
        <f>_xll.qlDayCounterYearFraction(DayCounter,SettlementDate,AF29,,,Trigger)</f>
        <v>0.10555555555555556</v>
      </c>
      <c r="AH29" s="167">
        <f t="shared" si="0"/>
        <v>1.1691541241029039E-3</v>
      </c>
      <c r="AI29" s="167">
        <f t="shared" si="1"/>
        <v>1.1508662889511759E-3</v>
      </c>
      <c r="AJ29" s="167">
        <f t="shared" si="2"/>
        <v>1.151754562567793E-3</v>
      </c>
    </row>
    <row r="30" spans="3:36" ht="12" customHeight="1" x14ac:dyDescent="0.2">
      <c r="C30" s="167">
        <f t="shared" si="12"/>
        <v>-8.1925610103108278E-5</v>
      </c>
      <c r="AF30" s="169">
        <f>_xll.qlCalendarAdvance(Calendar,AF29,"1d","mf",,Trigger)</f>
        <v>42199</v>
      </c>
      <c r="AG30" s="155">
        <f>_xll.qlDayCounterYearFraction(DayCounter,SettlementDate,AF30,,,Trigger)</f>
        <v>0.10833333333333334</v>
      </c>
      <c r="AH30" s="167">
        <f t="shared" si="0"/>
        <v>1.1691541241029039E-3</v>
      </c>
      <c r="AI30" s="167">
        <f t="shared" si="1"/>
        <v>1.1528982706347014E-3</v>
      </c>
      <c r="AJ30" s="167">
        <f t="shared" si="2"/>
        <v>1.153824997854955E-3</v>
      </c>
    </row>
    <row r="31" spans="3:36" ht="12" customHeight="1" x14ac:dyDescent="0.2">
      <c r="C31" s="176">
        <f t="shared" si="12"/>
        <v>-8.4048589569820541E-5</v>
      </c>
      <c r="AF31" s="169">
        <f>_xll.qlCalendarAdvance(Calendar,AF30,"1d","mf",,Trigger)</f>
        <v>42200</v>
      </c>
      <c r="AG31" s="155">
        <f>_xll.qlDayCounterYearFraction(DayCounter,SettlementDate,AF31,,,Trigger)</f>
        <v>0.1111111111111111</v>
      </c>
      <c r="AH31" s="167">
        <f t="shared" si="0"/>
        <v>1.1691541241029039E-3</v>
      </c>
      <c r="AI31" s="167">
        <f t="shared" si="1"/>
        <v>1.1549302523182268E-3</v>
      </c>
      <c r="AJ31" s="167">
        <f t="shared" si="2"/>
        <v>1.1558923790652939E-3</v>
      </c>
    </row>
    <row r="32" spans="3:36" ht="12" customHeight="1" x14ac:dyDescent="0.2">
      <c r="AF32" s="169">
        <f>_xll.qlCalendarAdvance(Calendar,AF31,"1d","mf",,Trigger)</f>
        <v>42201</v>
      </c>
      <c r="AG32" s="155">
        <f>_xll.qlDayCounterYearFraction(DayCounter,SettlementDate,AF32,,,Trigger)</f>
        <v>0.11388888888888889</v>
      </c>
      <c r="AH32" s="167">
        <f t="shared" si="0"/>
        <v>1.1691541241029039E-3</v>
      </c>
      <c r="AI32" s="167">
        <f t="shared" si="1"/>
        <v>1.1569622340017523E-3</v>
      </c>
      <c r="AJ32" s="167">
        <f t="shared" si="2"/>
        <v>1.1579567061988096E-3</v>
      </c>
    </row>
    <row r="33" spans="13:36" x14ac:dyDescent="0.2">
      <c r="AF33" s="169">
        <f>_xll.qlCalendarAdvance(Calendar,AF32,"1d","mf",,Trigger)</f>
        <v>42202</v>
      </c>
      <c r="AG33" s="155">
        <f>_xll.qlDayCounterYearFraction(DayCounter,SettlementDate,AF33,,,Trigger)</f>
        <v>0.11666666666666667</v>
      </c>
      <c r="AH33" s="167">
        <f t="shared" si="0"/>
        <v>1.1691541241029039E-3</v>
      </c>
      <c r="AI33" s="167">
        <f t="shared" si="1"/>
        <v>1.1589942156852778E-3</v>
      </c>
      <c r="AJ33" s="167">
        <f t="shared" si="2"/>
        <v>1.1600179792555022E-3</v>
      </c>
    </row>
    <row r="34" spans="13:36" x14ac:dyDescent="0.2">
      <c r="AF34" s="169">
        <f>_xll.qlCalendarAdvance(Calendar,AF33,"1d","mf",,Trigger)</f>
        <v>42205</v>
      </c>
      <c r="AG34" s="155">
        <f>_xll.qlDayCounterYearFraction(DayCounter,SettlementDate,AF34,,,Trigger)</f>
        <v>0.125</v>
      </c>
      <c r="AH34" s="167">
        <f t="shared" si="0"/>
        <v>1.1691541241029039E-3</v>
      </c>
      <c r="AI34" s="167">
        <f t="shared" si="1"/>
        <v>1.165090160735854E-3</v>
      </c>
      <c r="AJ34" s="167">
        <f t="shared" si="2"/>
        <v>1.1661834739646413E-3</v>
      </c>
    </row>
    <row r="35" spans="13:36" x14ac:dyDescent="0.2">
      <c r="AF35" s="169">
        <f>_xll.qlCalendarAdvance(Calendar,AF34,"1d","mf",,Trigger)</f>
        <v>42206</v>
      </c>
      <c r="AG35" s="155">
        <f>_xll.qlDayCounterYearFraction(DayCounter,SettlementDate,AF35,,,Trigger)</f>
        <v>0.12777777777777777</v>
      </c>
      <c r="AH35" s="167">
        <f t="shared" si="0"/>
        <v>1.1691541241029039E-3</v>
      </c>
      <c r="AI35" s="167">
        <f t="shared" si="1"/>
        <v>1.1671221424193795E-3</v>
      </c>
      <c r="AJ35" s="167">
        <f t="shared" ref="AJ35:AJ65" si="13">($W$5+$W$4*AG35+$W$3*AG35^2)</f>
        <v>1.1682325307140415E-3</v>
      </c>
    </row>
    <row r="36" spans="13:36" x14ac:dyDescent="0.2">
      <c r="AF36" s="169">
        <f>_xll.qlCalendarAdvance(Calendar,AF35,"1d","mf",,Trigger)</f>
        <v>42207</v>
      </c>
      <c r="AG36" s="155">
        <f>_xll.qlDayCounterYearFraction(DayCounter,SettlementDate,AF36,,,Trigger)</f>
        <v>0.13055555555555556</v>
      </c>
      <c r="AH36" s="167">
        <f t="shared" si="0"/>
        <v>1.1691541241029039E-3</v>
      </c>
      <c r="AI36" s="167">
        <f t="shared" si="1"/>
        <v>1.169154124102905E-3</v>
      </c>
      <c r="AJ36" s="167">
        <f t="shared" si="13"/>
        <v>1.1702785333866184E-3</v>
      </c>
    </row>
    <row r="37" spans="13:36" x14ac:dyDescent="0.2">
      <c r="AF37" s="169">
        <f>_xll.qlCalendarAdvance(Calendar,AF36,"1d","mf",,Trigger)</f>
        <v>42208</v>
      </c>
      <c r="AG37" s="155">
        <f>_xll.qlDayCounterYearFraction(DayCounter,SettlementDate,AF37,,,Trigger)</f>
        <v>0.13333333333333333</v>
      </c>
      <c r="AH37" s="167">
        <f t="shared" si="0"/>
        <v>1.1691541241029039E-3</v>
      </c>
      <c r="AI37" s="167">
        <f t="shared" si="1"/>
        <v>1.1711861057864302E-3</v>
      </c>
      <c r="AJ37" s="167">
        <f t="shared" si="13"/>
        <v>1.1723214819823725E-3</v>
      </c>
    </row>
    <row r="38" spans="13:36" x14ac:dyDescent="0.2">
      <c r="AF38" s="169">
        <f>_xll.qlCalendarAdvance(Calendar,AF37,"1d","mf",,Trigger)</f>
        <v>42209</v>
      </c>
      <c r="AG38" s="155">
        <f>_xll.qlDayCounterYearFraction(DayCounter,SettlementDate,AF38,,,Trigger)</f>
        <v>0.1361111111111111</v>
      </c>
      <c r="AH38" s="167">
        <f t="shared" si="0"/>
        <v>1.1691541241029039E-3</v>
      </c>
      <c r="AI38" s="167">
        <f t="shared" si="1"/>
        <v>1.1732180874699557E-3</v>
      </c>
      <c r="AJ38" s="167">
        <f t="shared" si="13"/>
        <v>1.1743613765013031E-3</v>
      </c>
    </row>
    <row r="39" spans="13:36" x14ac:dyDescent="0.2">
      <c r="AF39" s="169">
        <f>_xll.qlCalendarAdvance(Calendar,AF38,"1d","mf",,Trigger)</f>
        <v>42212</v>
      </c>
      <c r="AG39" s="155">
        <f>_xll.qlDayCounterYearFraction(DayCounter,SettlementDate,AF39,,,Trigger)</f>
        <v>0.14444444444444443</v>
      </c>
      <c r="AH39" s="167">
        <f t="shared" si="0"/>
        <v>1.1691541241029039E-3</v>
      </c>
      <c r="AI39" s="167">
        <f t="shared" si="1"/>
        <v>1.1793140325205322E-3</v>
      </c>
      <c r="AJ39" s="167">
        <f t="shared" si="13"/>
        <v>1.1804627355971569E-3</v>
      </c>
    </row>
    <row r="40" spans="13:36" x14ac:dyDescent="0.2">
      <c r="AF40" s="169">
        <f>_xll.qlCalendarAdvance(Calendar,AF39,"1d","mf",,Trigger)</f>
        <v>42213</v>
      </c>
      <c r="AG40" s="155">
        <f>_xll.qlDayCounterYearFraction(DayCounter,SettlementDate,AF40,,,Trigger)</f>
        <v>0.14722222222222223</v>
      </c>
      <c r="AH40" s="167">
        <f t="shared" si="0"/>
        <v>1.1691541241029039E-3</v>
      </c>
      <c r="AI40" s="167">
        <f t="shared" si="1"/>
        <v>1.1813460142040576E-3</v>
      </c>
      <c r="AJ40" s="167">
        <f t="shared" si="13"/>
        <v>1.1824904138087952E-3</v>
      </c>
    </row>
    <row r="41" spans="13:36" x14ac:dyDescent="0.2">
      <c r="M41" s="140"/>
      <c r="N41" s="140"/>
      <c r="AF41" s="169">
        <f>_xll.qlCalendarAdvance(Calendar,AF40,"1d","mf",,Trigger)</f>
        <v>42214</v>
      </c>
      <c r="AG41" s="155">
        <f>_xll.qlDayCounterYearFraction(DayCounter,SettlementDate,AF41,,,Trigger)</f>
        <v>0.15</v>
      </c>
      <c r="AH41" s="167">
        <f t="shared" si="0"/>
        <v>1.1691541241029039E-3</v>
      </c>
      <c r="AI41" s="167">
        <f t="shared" si="1"/>
        <v>1.1833779958875831E-3</v>
      </c>
      <c r="AJ41" s="167">
        <f t="shared" si="13"/>
        <v>1.1845150379436104E-3</v>
      </c>
    </row>
    <row r="42" spans="13:36" x14ac:dyDescent="0.2">
      <c r="AF42" s="169">
        <f>_xll.qlCalendarAdvance(Calendar,AF41,"1d","mf",,Trigger)</f>
        <v>42215</v>
      </c>
      <c r="AG42" s="155">
        <f>_xll.qlDayCounterYearFraction(DayCounter,SettlementDate,AF42,,,Trigger)</f>
        <v>0.15277777777777779</v>
      </c>
      <c r="AH42" s="167">
        <f t="shared" si="0"/>
        <v>1.1691541241029039E-3</v>
      </c>
      <c r="AI42" s="167">
        <f t="shared" si="1"/>
        <v>1.1854099775711084E-3</v>
      </c>
      <c r="AJ42" s="167">
        <f t="shared" si="13"/>
        <v>1.1865366080016024E-3</v>
      </c>
    </row>
    <row r="43" spans="13:36" ht="11.25" customHeight="1" x14ac:dyDescent="0.2">
      <c r="AF43" s="169">
        <f>_xll.qlCalendarAdvance(Calendar,AF42,"1d","mf",,Trigger)</f>
        <v>42216</v>
      </c>
      <c r="AG43" s="155">
        <f>_xll.qlDayCounterYearFraction(DayCounter,SettlementDate,AF43,,,Trigger)</f>
        <v>0.15555555555555556</v>
      </c>
      <c r="AH43" s="167">
        <f t="shared" si="0"/>
        <v>1.1691541241029039E-3</v>
      </c>
      <c r="AI43" s="167">
        <f t="shared" si="1"/>
        <v>1.1874419592546339E-3</v>
      </c>
      <c r="AJ43" s="167">
        <f t="shared" si="13"/>
        <v>1.1885551239827715E-3</v>
      </c>
    </row>
    <row r="44" spans="13:36" x14ac:dyDescent="0.2">
      <c r="Q44" s="139"/>
      <c r="AF44" s="169">
        <f>_xll.qlCalendarAdvance(Calendar,AF43,"1d","mf",,Trigger)</f>
        <v>42219</v>
      </c>
      <c r="AG44" s="155">
        <f>_xll.qlDayCounterYearFraction(DayCounter,SettlementDate,AF44,,,Trigger)</f>
        <v>0.16388888888888889</v>
      </c>
      <c r="AH44" s="167">
        <f t="shared" si="0"/>
        <v>1.1691541241029039E-3</v>
      </c>
      <c r="AI44" s="167">
        <f t="shared" si="1"/>
        <v>1.1935379043052103E-3</v>
      </c>
      <c r="AJ44" s="167">
        <f t="shared" si="13"/>
        <v>1.1945923474653399E-3</v>
      </c>
    </row>
    <row r="45" spans="13:36" x14ac:dyDescent="0.2">
      <c r="Q45" s="139"/>
      <c r="AF45" s="169">
        <f>_xll.qlCalendarAdvance(Calendar,AF44,"1d","mf",,Trigger)</f>
        <v>42220</v>
      </c>
      <c r="AG45" s="155">
        <f>_xll.qlDayCounterYearFraction(DayCounter,SettlementDate,AF45,,,Trigger)</f>
        <v>0.16666666666666666</v>
      </c>
      <c r="AH45" s="167">
        <f t="shared" si="0"/>
        <v>1.1691541241029039E-3</v>
      </c>
      <c r="AI45" s="167">
        <f t="shared" si="1"/>
        <v>1.1955698859887358E-3</v>
      </c>
      <c r="AJ45" s="167">
        <f t="shared" si="13"/>
        <v>1.1965986471392162E-3</v>
      </c>
    </row>
    <row r="46" spans="13:36" x14ac:dyDescent="0.2">
      <c r="Q46" s="139"/>
      <c r="AF46" s="169">
        <f>_xll.qlCalendarAdvance(Calendar,AF45,"1d","mf",,Trigger)</f>
        <v>42221</v>
      </c>
      <c r="AG46" s="155">
        <f>_xll.qlDayCounterYearFraction(DayCounter,SettlementDate,AF46,,,Trigger)</f>
        <v>0.16944444444444445</v>
      </c>
      <c r="AH46" s="167">
        <f t="shared" si="0"/>
        <v>1.1691541241029039E-3</v>
      </c>
      <c r="AI46" s="167">
        <f t="shared" si="1"/>
        <v>1.1976018676722613E-3</v>
      </c>
      <c r="AJ46" s="167">
        <f t="shared" si="13"/>
        <v>1.1986018927362698E-3</v>
      </c>
    </row>
    <row r="47" spans="13:36" x14ac:dyDescent="0.2">
      <c r="Q47" s="139"/>
      <c r="AF47" s="169">
        <f>_xll.qlCalendarAdvance(Calendar,AF46,"1d","mf",,Trigger)</f>
        <v>42222</v>
      </c>
      <c r="AG47" s="155">
        <f>_xll.qlDayCounterYearFraction(DayCounter,SettlementDate,AF47,,,Trigger)</f>
        <v>0.17222222222222222</v>
      </c>
      <c r="AH47" s="167">
        <f t="shared" si="0"/>
        <v>1.1691541241029039E-3</v>
      </c>
      <c r="AI47" s="167">
        <f t="shared" si="1"/>
        <v>1.1996338493557865E-3</v>
      </c>
      <c r="AJ47" s="167">
        <f t="shared" si="13"/>
        <v>1.2006020842565E-3</v>
      </c>
    </row>
    <row r="48" spans="13:36" x14ac:dyDescent="0.2">
      <c r="Q48" s="139"/>
      <c r="AF48" s="169">
        <f>_xll.qlCalendarAdvance(Calendar,AF47,"1d","mf",,Trigger)</f>
        <v>42223</v>
      </c>
      <c r="AG48" s="155">
        <f>_xll.qlDayCounterYearFraction(DayCounter,SettlementDate,AF48,,,Trigger)</f>
        <v>0.17499999999999999</v>
      </c>
      <c r="AH48" s="167">
        <f t="shared" si="0"/>
        <v>1.1691541241029039E-3</v>
      </c>
      <c r="AI48" s="167">
        <f t="shared" si="1"/>
        <v>1.201665831039312E-3</v>
      </c>
      <c r="AJ48" s="167">
        <f t="shared" si="13"/>
        <v>1.2025992216999071E-3</v>
      </c>
    </row>
    <row r="49" spans="13:36" x14ac:dyDescent="0.2">
      <c r="AF49" s="169">
        <f>_xll.qlCalendarAdvance(Calendar,AF48,"1d","mf",,Trigger)</f>
        <v>42226</v>
      </c>
      <c r="AG49" s="155">
        <f>_xll.qlDayCounterYearFraction(DayCounter,SettlementDate,AF49,,,Trigger)</f>
        <v>0.18333333333333332</v>
      </c>
      <c r="AH49" s="167">
        <f t="shared" si="0"/>
        <v>1.1691541241029039E-3</v>
      </c>
      <c r="AI49" s="167">
        <f t="shared" si="1"/>
        <v>1.2077617760898884E-3</v>
      </c>
      <c r="AJ49" s="167">
        <f t="shared" si="13"/>
        <v>1.2085723095691899E-3</v>
      </c>
    </row>
    <row r="50" spans="13:36" x14ac:dyDescent="0.2">
      <c r="AF50" s="169">
        <f>_xll.qlCalendarAdvance(Calendar,AF49,"1d","mf",,Trigger)</f>
        <v>42227</v>
      </c>
      <c r="AG50" s="155">
        <f>_xll.qlDayCounterYearFraction(DayCounter,SettlementDate,AF50,,,Trigger)</f>
        <v>0.18611111111111112</v>
      </c>
      <c r="AH50" s="167">
        <f t="shared" si="0"/>
        <v>1.1691541241029039E-3</v>
      </c>
      <c r="AI50" s="167">
        <f t="shared" si="1"/>
        <v>1.2097937577734139E-3</v>
      </c>
      <c r="AJ50" s="167">
        <f t="shared" si="13"/>
        <v>1.2105572307053046E-3</v>
      </c>
    </row>
    <row r="51" spans="13:36" x14ac:dyDescent="0.2">
      <c r="AF51" s="169">
        <f>_xll.qlCalendarAdvance(Calendar,AF50,"1d","mf",,Trigger)</f>
        <v>42228</v>
      </c>
      <c r="AG51" s="155">
        <f>_xll.qlDayCounterYearFraction(DayCounter,SettlementDate,AF51,,,Trigger)</f>
        <v>0.18888888888888888</v>
      </c>
      <c r="AH51" s="167">
        <f t="shared" si="0"/>
        <v>1.1691541241029039E-3</v>
      </c>
      <c r="AI51" s="167">
        <f t="shared" si="1"/>
        <v>1.2118257394569392E-3</v>
      </c>
      <c r="AJ51" s="167">
        <f t="shared" si="13"/>
        <v>1.212539097764596E-3</v>
      </c>
    </row>
    <row r="52" spans="13:36" x14ac:dyDescent="0.2">
      <c r="AF52" s="169">
        <f>_xll.qlCalendarAdvance(Calendar,AF51,"1d","mf",,Trigger)</f>
        <v>42229</v>
      </c>
      <c r="AG52" s="155">
        <f>_xll.qlDayCounterYearFraction(DayCounter,SettlementDate,AF52,,,Trigger)</f>
        <v>0.19166666666666668</v>
      </c>
      <c r="AH52" s="167">
        <f t="shared" si="0"/>
        <v>1.1691541241029039E-3</v>
      </c>
      <c r="AI52" s="167">
        <f t="shared" si="1"/>
        <v>1.2138577211404647E-3</v>
      </c>
      <c r="AJ52" s="167">
        <f t="shared" si="13"/>
        <v>1.2145179107470646E-3</v>
      </c>
    </row>
    <row r="53" spans="13:36" x14ac:dyDescent="0.2">
      <c r="AF53" s="169">
        <f>_xll.qlCalendarAdvance(Calendar,AF52,"1d","mf",,Trigger)</f>
        <v>42230</v>
      </c>
      <c r="AG53" s="155">
        <f>_xll.qlDayCounterYearFraction(DayCounter,SettlementDate,AF53,,,Trigger)</f>
        <v>0.19444444444444445</v>
      </c>
      <c r="AH53" s="167">
        <f t="shared" si="0"/>
        <v>1.1691541241029039E-3</v>
      </c>
      <c r="AI53" s="167">
        <f t="shared" si="1"/>
        <v>1.2158897028239901E-3</v>
      </c>
      <c r="AJ53" s="167">
        <f t="shared" si="13"/>
        <v>1.2164936696527097E-3</v>
      </c>
    </row>
    <row r="54" spans="13:36" x14ac:dyDescent="0.2">
      <c r="AF54" s="169">
        <f>_xll.qlCalendarAdvance(Calendar,AF53,"1d","mf",,Trigger)</f>
        <v>42233</v>
      </c>
      <c r="AG54" s="155">
        <f>_xll.qlDayCounterYearFraction(DayCounter,SettlementDate,AF54,,,Trigger)</f>
        <v>0.20277777777777778</v>
      </c>
      <c r="AH54" s="167">
        <f t="shared" si="0"/>
        <v>1.1691541241029039E-3</v>
      </c>
      <c r="AI54" s="167">
        <f t="shared" si="1"/>
        <v>1.2219856478745666E-3</v>
      </c>
      <c r="AJ54" s="167">
        <f t="shared" si="13"/>
        <v>1.2224026219087071E-3</v>
      </c>
    </row>
    <row r="55" spans="13:36" x14ac:dyDescent="0.2">
      <c r="AF55" s="169">
        <f>_xll.qlCalendarAdvance(Calendar,AF54,"1d","mf",,Trigger)</f>
        <v>42234</v>
      </c>
      <c r="AG55" s="155">
        <f>_xll.qlDayCounterYearFraction(DayCounter,SettlementDate,AF55,,,Trigger)</f>
        <v>0.20555555555555555</v>
      </c>
      <c r="AH55" s="167">
        <f t="shared" si="0"/>
        <v>1.1691541241029039E-3</v>
      </c>
      <c r="AI55" s="167">
        <f t="shared" si="1"/>
        <v>1.2240176295580918E-3</v>
      </c>
      <c r="AJ55" s="167">
        <f t="shared" si="13"/>
        <v>1.2243661645070598E-3</v>
      </c>
    </row>
    <row r="56" spans="13:36" x14ac:dyDescent="0.2">
      <c r="AF56" s="169">
        <f>_xll.qlCalendarAdvance(Calendar,AF55,"1d","mf",,Trigger)</f>
        <v>42235</v>
      </c>
      <c r="AG56" s="155">
        <f>_xll.qlDayCounterYearFraction(DayCounter,SettlementDate,AF56,,,Trigger)</f>
        <v>0.20833333333333334</v>
      </c>
      <c r="AH56" s="167">
        <f t="shared" si="0"/>
        <v>1.1691541241029039E-3</v>
      </c>
      <c r="AI56" s="167">
        <f t="shared" si="1"/>
        <v>1.2260496112416173E-3</v>
      </c>
      <c r="AJ56" s="167">
        <f t="shared" si="13"/>
        <v>1.2263266530285896E-3</v>
      </c>
    </row>
    <row r="57" spans="13:36" x14ac:dyDescent="0.2">
      <c r="AF57" s="169">
        <f>_xll.qlCalendarAdvance(Calendar,AF56,"1d","mf",,Trigger)</f>
        <v>42236</v>
      </c>
      <c r="AG57" s="155">
        <f>_xll.qlDayCounterYearFraction(DayCounter,SettlementDate,AF57,,,Trigger)</f>
        <v>0.21111111111111111</v>
      </c>
      <c r="AH57" s="167">
        <f t="shared" si="0"/>
        <v>1.1691541241029039E-3</v>
      </c>
      <c r="AI57" s="167">
        <f t="shared" si="1"/>
        <v>1.2280815929251428E-3</v>
      </c>
      <c r="AJ57" s="167">
        <f t="shared" si="13"/>
        <v>1.2282840874732962E-3</v>
      </c>
    </row>
    <row r="58" spans="13:36" x14ac:dyDescent="0.2">
      <c r="AF58" s="169">
        <f>_xll.qlCalendarAdvance(Calendar,AF57,"1d","mf",,Trigger)</f>
        <v>42237</v>
      </c>
      <c r="AG58" s="155">
        <f>_xll.qlDayCounterYearFraction(DayCounter,SettlementDate,AF58,,,Trigger)</f>
        <v>0.21388888888888888</v>
      </c>
      <c r="AH58" s="167">
        <f t="shared" si="0"/>
        <v>1.1691541241029039E-3</v>
      </c>
      <c r="AI58" s="167">
        <f t="shared" si="1"/>
        <v>1.2301135746086683E-3</v>
      </c>
      <c r="AJ58" s="167">
        <f t="shared" si="13"/>
        <v>1.2302384678411797E-3</v>
      </c>
    </row>
    <row r="59" spans="13:36" x14ac:dyDescent="0.2">
      <c r="AF59" s="169">
        <f>_xll.qlCalendarAdvance(Calendar,AF58,"1d","mf",,Trigger)</f>
        <v>42240</v>
      </c>
      <c r="AG59" s="155">
        <f>_xll.qlDayCounterYearFraction(DayCounter,SettlementDate,AF59,,,Trigger)</f>
        <v>0.22222222222222221</v>
      </c>
      <c r="AH59" s="167">
        <f t="shared" si="0"/>
        <v>1.1691541241029039E-3</v>
      </c>
      <c r="AI59" s="167">
        <f t="shared" si="1"/>
        <v>1.2362095196592447E-3</v>
      </c>
      <c r="AJ59" s="167">
        <f t="shared" si="13"/>
        <v>1.2360832844838918E-3</v>
      </c>
    </row>
    <row r="60" spans="13:36" x14ac:dyDescent="0.2">
      <c r="M60" s="140"/>
      <c r="AF60" s="169">
        <f>_xll.qlCalendarAdvance(Calendar,AF59,"1d","mf",,Trigger)</f>
        <v>42241</v>
      </c>
      <c r="AG60" s="155">
        <f>_xll.qlDayCounterYearFraction(DayCounter,SettlementDate,AF60,,,Trigger)</f>
        <v>0.22500000000000001</v>
      </c>
      <c r="AH60" s="167">
        <f t="shared" si="0"/>
        <v>1.1691541241029039E-3</v>
      </c>
      <c r="AI60" s="167">
        <f t="shared" si="1"/>
        <v>1.23824150134277E-3</v>
      </c>
      <c r="AJ60" s="167">
        <f t="shared" si="13"/>
        <v>1.2380254485444828E-3</v>
      </c>
    </row>
    <row r="61" spans="13:36" x14ac:dyDescent="0.2">
      <c r="M61" s="140"/>
      <c r="AF61" s="169">
        <f>_xll.qlCalendarAdvance(Calendar,AF60,"1d","mf",,Trigger)</f>
        <v>42242</v>
      </c>
      <c r="AG61" s="155">
        <f>_xll.qlDayCounterYearFraction(DayCounter,SettlementDate,AF61,,,Trigger)</f>
        <v>0.22777777777777777</v>
      </c>
      <c r="AH61" s="167">
        <f t="shared" si="0"/>
        <v>1.1691541241029039E-3</v>
      </c>
      <c r="AI61" s="167">
        <f t="shared" si="1"/>
        <v>1.2402734830262955E-3</v>
      </c>
      <c r="AJ61" s="167">
        <f t="shared" si="13"/>
        <v>1.2399645585282506E-3</v>
      </c>
    </row>
    <row r="62" spans="13:36" x14ac:dyDescent="0.2">
      <c r="M62" s="140"/>
      <c r="AF62" s="169">
        <f>_xll.qlCalendarAdvance(Calendar,AF61,"1d","mf",,Trigger)</f>
        <v>42243</v>
      </c>
      <c r="AG62" s="155">
        <f>_xll.qlDayCounterYearFraction(DayCounter,SettlementDate,AF62,,,Trigger)</f>
        <v>0.23055555555555557</v>
      </c>
      <c r="AH62" s="167">
        <f t="shared" si="0"/>
        <v>1.1691541241029039E-3</v>
      </c>
      <c r="AI62" s="167">
        <f t="shared" si="1"/>
        <v>1.2423054647098209E-3</v>
      </c>
      <c r="AJ62" s="167">
        <f t="shared" si="13"/>
        <v>1.2419006144351954E-3</v>
      </c>
    </row>
    <row r="63" spans="13:36" x14ac:dyDescent="0.2">
      <c r="M63" s="140"/>
      <c r="AF63" s="169">
        <f>_xll.qlCalendarAdvance(Calendar,AF62,"1d","mf",,Trigger)</f>
        <v>42244</v>
      </c>
      <c r="AG63" s="155">
        <f>_xll.qlDayCounterYearFraction(DayCounter,SettlementDate,AF63,,,Trigger)</f>
        <v>0.23333333333333334</v>
      </c>
      <c r="AH63" s="167">
        <f t="shared" si="0"/>
        <v>1.1691541241029039E-3</v>
      </c>
      <c r="AI63" s="167">
        <f t="shared" si="1"/>
        <v>1.2443374463933464E-3</v>
      </c>
      <c r="AJ63" s="167">
        <f t="shared" si="13"/>
        <v>1.2438336162653172E-3</v>
      </c>
    </row>
    <row r="64" spans="13:36" x14ac:dyDescent="0.2">
      <c r="M64" s="140"/>
      <c r="AF64" s="169">
        <f>_xll.qlCalendarAdvance(Calendar,AF63,"1d","mf",,Trigger)</f>
        <v>42247</v>
      </c>
      <c r="AG64" s="155">
        <f>_xll.qlDayCounterYearFraction(DayCounter,SettlementDate,AF64,,,Trigger)</f>
        <v>0.24166666666666667</v>
      </c>
      <c r="AH64" s="167">
        <f t="shared" si="0"/>
        <v>1.1691541241029039E-3</v>
      </c>
      <c r="AI64" s="167">
        <f t="shared" si="1"/>
        <v>1.2504333914439229E-3</v>
      </c>
      <c r="AJ64" s="167">
        <f t="shared" si="13"/>
        <v>1.2496142972947435E-3</v>
      </c>
    </row>
    <row r="65" spans="13:36" x14ac:dyDescent="0.2">
      <c r="M65" s="140"/>
      <c r="AF65" s="173">
        <f>_xll.qlCalendarAdvance(Calendar,AF64,"1d","mf",,Trigger)</f>
        <v>42248</v>
      </c>
      <c r="AG65" s="160">
        <f>_xll.qlDayCounterYearFraction(DayCounter,SettlementDate,AF65,,,Trigger)</f>
        <v>0.24444444444444444</v>
      </c>
      <c r="AH65" s="176">
        <f t="shared" si="0"/>
        <v>1.1691541241029039E-3</v>
      </c>
      <c r="AI65" s="176">
        <f t="shared" si="1"/>
        <v>1.2524653731274481E-3</v>
      </c>
      <c r="AJ65" s="176">
        <f t="shared" si="13"/>
        <v>1.2515350828175727E-3</v>
      </c>
    </row>
    <row r="66" spans="13:36" x14ac:dyDescent="0.2">
      <c r="M66" s="140"/>
      <c r="N66" s="140"/>
    </row>
    <row r="67" spans="13:36" x14ac:dyDescent="0.2">
      <c r="M67" s="140"/>
      <c r="N67" s="140"/>
    </row>
    <row r="68" spans="13:36" x14ac:dyDescent="0.2">
      <c r="M68" s="140"/>
      <c r="N68" s="140"/>
    </row>
    <row r="69" spans="13:36" x14ac:dyDescent="0.2">
      <c r="M69" s="140"/>
      <c r="N69" s="140"/>
    </row>
    <row r="70" spans="13:36" x14ac:dyDescent="0.2">
      <c r="M70" s="140"/>
      <c r="N70" s="140"/>
    </row>
    <row r="71" spans="13:36" x14ac:dyDescent="0.2">
      <c r="M71" s="140"/>
      <c r="N71" s="140"/>
    </row>
    <row r="72" spans="13:36" x14ac:dyDescent="0.2">
      <c r="M72" s="140"/>
      <c r="N72" s="140"/>
    </row>
    <row r="73" spans="13:36" x14ac:dyDescent="0.2">
      <c r="M73" s="140"/>
      <c r="N73" s="140"/>
    </row>
    <row r="74" spans="13:36" x14ac:dyDescent="0.2">
      <c r="M74" s="140"/>
      <c r="N74" s="140"/>
    </row>
    <row r="75" spans="13:36" x14ac:dyDescent="0.2">
      <c r="M75" s="140"/>
      <c r="N75" s="140"/>
    </row>
    <row r="76" spans="13:36" x14ac:dyDescent="0.2">
      <c r="M76" s="140"/>
      <c r="N76" s="140"/>
    </row>
    <row r="77" spans="13:36" x14ac:dyDescent="0.2">
      <c r="M77" s="140"/>
      <c r="N77" s="140"/>
    </row>
    <row r="78" spans="13:36" x14ac:dyDescent="0.2">
      <c r="M78" s="140"/>
      <c r="N78" s="140"/>
    </row>
    <row r="79" spans="13:36" x14ac:dyDescent="0.2">
      <c r="M79" s="140"/>
      <c r="N79" s="140"/>
    </row>
    <row r="80" spans="13:36" x14ac:dyDescent="0.2">
      <c r="M80" s="140"/>
      <c r="N80" s="140"/>
    </row>
    <row r="81" spans="13:14" x14ac:dyDescent="0.2">
      <c r="M81" s="140"/>
      <c r="N81" s="140"/>
    </row>
    <row r="82" spans="13:14" x14ac:dyDescent="0.2">
      <c r="M82" s="140"/>
      <c r="N82" s="140"/>
    </row>
    <row r="83" spans="13:14" x14ac:dyDescent="0.2">
      <c r="M83" s="140"/>
      <c r="N83" s="140"/>
    </row>
    <row r="84" spans="13:14" x14ac:dyDescent="0.2">
      <c r="M84" s="140"/>
      <c r="N84" s="140"/>
    </row>
    <row r="85" spans="13:14" x14ac:dyDescent="0.2">
      <c r="M85" s="140"/>
      <c r="N85" s="140"/>
    </row>
    <row r="86" spans="13:14" x14ac:dyDescent="0.2">
      <c r="M86" s="140"/>
      <c r="N86" s="140"/>
    </row>
    <row r="87" spans="13:14" x14ac:dyDescent="0.2">
      <c r="M87" s="140"/>
      <c r="N87" s="140"/>
    </row>
    <row r="88" spans="13:14" x14ac:dyDescent="0.2">
      <c r="M88" s="140"/>
      <c r="N88" s="140"/>
    </row>
    <row r="89" spans="13:14" x14ac:dyDescent="0.2">
      <c r="M89" s="140"/>
      <c r="N89" s="140"/>
    </row>
    <row r="90" spans="13:14" x14ac:dyDescent="0.2">
      <c r="M90" s="140"/>
      <c r="N90" s="140"/>
    </row>
    <row r="91" spans="13:14" x14ac:dyDescent="0.2">
      <c r="M91" s="140"/>
      <c r="N91" s="140"/>
    </row>
    <row r="92" spans="13:14" x14ac:dyDescent="0.2">
      <c r="M92" s="140"/>
      <c r="N92" s="140"/>
    </row>
    <row r="93" spans="13:14" x14ac:dyDescent="0.2">
      <c r="M93" s="140"/>
      <c r="N93" s="140"/>
    </row>
    <row r="94" spans="13:14" x14ac:dyDescent="0.2">
      <c r="M94" s="140"/>
      <c r="N94" s="140"/>
    </row>
    <row r="95" spans="13:14" x14ac:dyDescent="0.2">
      <c r="M95" s="140"/>
      <c r="N95" s="140"/>
    </row>
    <row r="96" spans="13:14" x14ac:dyDescent="0.2">
      <c r="M96" s="140"/>
      <c r="N96" s="140"/>
    </row>
    <row r="97" spans="13:14" x14ac:dyDescent="0.2">
      <c r="M97" s="140"/>
      <c r="N97" s="140"/>
    </row>
    <row r="98" spans="13:14" x14ac:dyDescent="0.2">
      <c r="M98" s="140"/>
      <c r="N98" s="140"/>
    </row>
    <row r="99" spans="13:14" x14ac:dyDescent="0.2">
      <c r="M99" s="140"/>
      <c r="N99" s="140"/>
    </row>
    <row r="100" spans="13:14" x14ac:dyDescent="0.2">
      <c r="M100" s="140"/>
      <c r="N100" s="140"/>
    </row>
    <row r="101" spans="13:14" x14ac:dyDescent="0.2">
      <c r="M101" s="140"/>
      <c r="N101" s="140"/>
    </row>
    <row r="102" spans="13:14" x14ac:dyDescent="0.2">
      <c r="M102" s="140"/>
      <c r="N102" s="140"/>
    </row>
    <row r="103" spans="13:14" x14ac:dyDescent="0.2">
      <c r="M103" s="140"/>
      <c r="N103" s="140"/>
    </row>
    <row r="104" spans="13:14" x14ac:dyDescent="0.2">
      <c r="M104" s="140"/>
      <c r="N104" s="140"/>
    </row>
    <row r="105" spans="13:14" x14ac:dyDescent="0.2">
      <c r="M105" s="140"/>
      <c r="N105" s="140"/>
    </row>
    <row r="106" spans="13:14" x14ac:dyDescent="0.2">
      <c r="M106" s="140"/>
      <c r="N106" s="140"/>
    </row>
    <row r="107" spans="13:14" x14ac:dyDescent="0.2">
      <c r="M107" s="140"/>
      <c r="N107" s="140"/>
    </row>
    <row r="108" spans="13:14" x14ac:dyDescent="0.2">
      <c r="M108" s="140"/>
      <c r="N108" s="140"/>
    </row>
    <row r="109" spans="13:14" x14ac:dyDescent="0.2">
      <c r="M109" s="140"/>
      <c r="N109" s="140"/>
    </row>
    <row r="110" spans="13:14" x14ac:dyDescent="0.2">
      <c r="M110" s="140"/>
      <c r="N110" s="140"/>
    </row>
    <row r="111" spans="13:14" x14ac:dyDescent="0.2">
      <c r="M111" s="140"/>
      <c r="N111" s="140"/>
    </row>
    <row r="112" spans="13:14" x14ac:dyDescent="0.2">
      <c r="M112" s="140"/>
      <c r="N112" s="140"/>
    </row>
    <row r="113" spans="13:14" x14ac:dyDescent="0.2">
      <c r="M113" s="141"/>
      <c r="N113" s="140"/>
    </row>
    <row r="114" spans="13:14" x14ac:dyDescent="0.2">
      <c r="M114" s="141"/>
      <c r="N114" s="140"/>
    </row>
    <row r="115" spans="13:14" x14ac:dyDescent="0.2">
      <c r="M115" s="141"/>
      <c r="N115" s="140"/>
    </row>
    <row r="116" spans="13:14" x14ac:dyDescent="0.2">
      <c r="M116" s="141"/>
      <c r="N116" s="140"/>
    </row>
    <row r="117" spans="13:14" x14ac:dyDescent="0.2">
      <c r="M117" s="141"/>
      <c r="N117" s="140"/>
    </row>
    <row r="118" spans="13:14" x14ac:dyDescent="0.2">
      <c r="M118" s="141"/>
      <c r="N118" s="140"/>
    </row>
    <row r="119" spans="13:14" x14ac:dyDescent="0.2">
      <c r="M119" s="141"/>
      <c r="N119" s="141"/>
    </row>
    <row r="120" spans="13:14" x14ac:dyDescent="0.2">
      <c r="M120" s="141"/>
      <c r="N120" s="141"/>
    </row>
    <row r="121" spans="13:14" x14ac:dyDescent="0.2">
      <c r="M121" s="141"/>
      <c r="N121" s="141"/>
    </row>
    <row r="122" spans="13:14" x14ac:dyDescent="0.2">
      <c r="M122" s="141"/>
      <c r="N122" s="141"/>
    </row>
    <row r="123" spans="13:14" x14ac:dyDescent="0.2">
      <c r="M123" s="141"/>
      <c r="N123" s="141"/>
    </row>
    <row r="124" spans="13:14" x14ac:dyDescent="0.2">
      <c r="M124" s="141"/>
      <c r="N124" s="141"/>
    </row>
    <row r="125" spans="13:14" x14ac:dyDescent="0.2">
      <c r="M125" s="141"/>
      <c r="N125" s="141"/>
    </row>
    <row r="126" spans="13:14" x14ac:dyDescent="0.2">
      <c r="M126" s="141"/>
      <c r="N126" s="141"/>
    </row>
    <row r="127" spans="13:14" x14ac:dyDescent="0.2">
      <c r="M127" s="141"/>
      <c r="N127" s="141"/>
    </row>
    <row r="128" spans="13:14" x14ac:dyDescent="0.2">
      <c r="M128" s="141"/>
      <c r="N128" s="141"/>
    </row>
    <row r="129" spans="14:14" x14ac:dyDescent="0.2">
      <c r="N129" s="141"/>
    </row>
    <row r="130" spans="14:14" x14ac:dyDescent="0.2">
      <c r="N130" s="141"/>
    </row>
    <row r="131" spans="14:14" x14ac:dyDescent="0.2">
      <c r="N131" s="141"/>
    </row>
    <row r="132" spans="14:14" x14ac:dyDescent="0.2">
      <c r="N132" s="141"/>
    </row>
    <row r="133" spans="14:14" x14ac:dyDescent="0.2">
      <c r="N133" s="141"/>
    </row>
    <row r="134" spans="14:14" x14ac:dyDescent="0.2">
      <c r="N134" s="141"/>
    </row>
  </sheetData>
  <mergeCells count="5">
    <mergeCell ref="AA2:AC2"/>
    <mergeCell ref="R3:R5"/>
    <mergeCell ref="R9:R10"/>
    <mergeCell ref="V9:V10"/>
    <mergeCell ref="X9:X10"/>
  </mergeCells>
  <dataValidations disablePrompts="1" count="3">
    <dataValidation type="list" allowBlank="1" showInputMessage="1" showErrorMessage="1" sqref="C24">
      <formula1>"flat,linear,quadratic"</formula1>
    </dataValidation>
    <dataValidation type="list" allowBlank="1" showInputMessage="1" showErrorMessage="1" sqref="D12">
      <formula1>"Delta(0M;3M)extrap,fixing"</formula1>
    </dataValidation>
    <dataValidation type="list" allowBlank="1" showInputMessage="1" showErrorMessage="1" sqref="D11">
      <formula1>"linear,MonotonicCubicNaturalSpline, CubicNaturalSpline"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132"/>
  <sheetViews>
    <sheetView workbookViewId="0"/>
  </sheetViews>
  <sheetFormatPr defaultColWidth="9.5" defaultRowHeight="11.25" x14ac:dyDescent="0.2"/>
  <cols>
    <col min="1" max="2" width="3.5" style="115" customWidth="1"/>
    <col min="3" max="5" width="22.83203125" style="115" customWidth="1"/>
    <col min="6" max="6" width="10.5" style="115" bestFit="1" customWidth="1"/>
    <col min="7" max="8" width="14.1640625" style="115" bestFit="1" customWidth="1"/>
    <col min="9" max="9" width="10.5" style="115" bestFit="1" customWidth="1"/>
    <col min="10" max="11" width="9.33203125" style="115" bestFit="1" customWidth="1"/>
    <col min="12" max="12" width="10.5" style="115" bestFit="1" customWidth="1"/>
    <col min="13" max="13" width="10.83203125" style="115" customWidth="1"/>
    <col min="14" max="14" width="13.1640625" style="115" customWidth="1"/>
    <col min="15" max="17" width="6.83203125" style="115" customWidth="1"/>
    <col min="18" max="18" width="2.33203125" style="115" bestFit="1" customWidth="1"/>
    <col min="19" max="19" width="10.83203125" style="115" customWidth="1"/>
    <col min="20" max="20" width="2.33203125" style="115" bestFit="1" customWidth="1"/>
    <col min="21" max="21" width="10.83203125" style="115" customWidth="1"/>
    <col min="22" max="22" width="12.5" style="115" bestFit="1" customWidth="1"/>
    <col min="23" max="25" width="9.33203125" style="115" bestFit="1" customWidth="1"/>
    <col min="26" max="27" width="9.5" style="115"/>
    <col min="28" max="28" width="20.33203125" style="115" bestFit="1" customWidth="1"/>
    <col min="29" max="29" width="8.1640625" style="115" bestFit="1" customWidth="1"/>
    <col min="30" max="31" width="9.5" style="115" bestFit="1" customWidth="1"/>
    <col min="32" max="32" width="12.1640625" style="115" customWidth="1"/>
    <col min="33" max="16384" width="9.5" style="115"/>
  </cols>
  <sheetData>
    <row r="2" spans="1:32" ht="19.5" customHeight="1" x14ac:dyDescent="0.2">
      <c r="C2" s="142" t="s">
        <v>85</v>
      </c>
      <c r="D2" s="142" t="s">
        <v>70</v>
      </c>
      <c r="E2" s="142" t="s">
        <v>71</v>
      </c>
      <c r="F2" s="142" t="s">
        <v>126</v>
      </c>
      <c r="G2" s="142" t="s">
        <v>130</v>
      </c>
      <c r="H2" s="142" t="s">
        <v>131</v>
      </c>
      <c r="I2" s="142" t="s">
        <v>92</v>
      </c>
      <c r="J2" s="143" t="s">
        <v>93</v>
      </c>
      <c r="K2" s="142" t="s">
        <v>94</v>
      </c>
      <c r="L2" s="142" t="s">
        <v>101</v>
      </c>
      <c r="S2" s="132" t="s">
        <v>90</v>
      </c>
      <c r="W2" s="551" t="s">
        <v>89</v>
      </c>
      <c r="X2" s="551"/>
      <c r="Y2" s="551"/>
      <c r="AB2" s="142" t="s">
        <v>70</v>
      </c>
      <c r="AC2" s="142" t="s">
        <v>122</v>
      </c>
      <c r="AD2" s="142" t="s">
        <v>39</v>
      </c>
      <c r="AE2" s="142" t="s">
        <v>83</v>
      </c>
      <c r="AF2" s="142" t="s">
        <v>84</v>
      </c>
    </row>
    <row r="3" spans="1:32" ht="12" customHeight="1" x14ac:dyDescent="0.2">
      <c r="C3" s="147" t="str">
        <f>$D$10&amp;"LastFixing"&amp;QuoteSuffix</f>
        <v>Euribor1MLastFixing_Quote</v>
      </c>
      <c r="D3" s="148">
        <f>_xll.qlCalendarAdvance(Calendar,_xll.qlLastFixingQuoteReferenceDate($C$3),_xll.qlInterestRateIndexFixingDays($D$10)&amp;"D","f",,LastFixingsTrigger)</f>
        <v>42160</v>
      </c>
      <c r="E3" s="148">
        <f>_xll.qlInterestRateIndexMaturity($D$10,D3)</f>
        <v>42191</v>
      </c>
      <c r="F3" s="149">
        <f>'Delta 1M'!W26</f>
        <v>4.9891292314237967E-5</v>
      </c>
      <c r="G3" s="150">
        <f>_xll.qlDayCounterYearFraction(DayCounter,SettlementDate,D3,,,Trigger)</f>
        <v>0</v>
      </c>
      <c r="H3" s="150">
        <f>_xll.qlDayCounterYearFraction(DayCounter,SettlementDate,E3,,,Trigger)</f>
        <v>8.611111111111111E-2</v>
      </c>
      <c r="I3" s="150">
        <f>H3-G3</f>
        <v>8.611111111111111E-2</v>
      </c>
      <c r="J3" s="150">
        <f>(H3^2-G3^2)/2</f>
        <v>3.7075617283950616E-3</v>
      </c>
      <c r="K3" s="150">
        <f>(H3^3-G3^3)/3</f>
        <v>2.1284150663008689E-4</v>
      </c>
      <c r="L3" s="151" t="b">
        <f>IF(D12="fixing",TRUE,FALSE)</f>
        <v>0</v>
      </c>
      <c r="N3" s="552" t="s">
        <v>86</v>
      </c>
      <c r="O3" s="127">
        <f t="array" ref="O3:O5">_xll.ohFilter(K3:K7,L3:L7)</f>
        <v>2.1284150663008689E-4</v>
      </c>
      <c r="P3" s="133">
        <f t="array" ref="P3:P5">_xll.ohFilter(J3:J7,L3:L7)</f>
        <v>3.7075617283950616E-3</v>
      </c>
      <c r="Q3" s="128">
        <f t="array" ref="Q3:Q5">_xll.ohFilter(I3:I7,L3:L7)</f>
        <v>8.611111111111111E-2</v>
      </c>
      <c r="R3" s="134"/>
      <c r="S3" s="129" t="e">
        <f t="array" ref="S3:S5">MMULT(W3:Y5,U3:U5)</f>
        <v>#NUM!</v>
      </c>
      <c r="T3" s="135"/>
      <c r="U3" s="130">
        <f t="array" ref="U3:U5">_xll.ohFilter(F3:F7,L3:L7)</f>
        <v>4.9891292314237967E-5</v>
      </c>
      <c r="W3" s="127">
        <f t="array" ref="W3:Y5">MINVERSE(O3:Q5)</f>
        <v>778.73348985745929</v>
      </c>
      <c r="X3" s="133">
        <v>-1557.4669797149179</v>
      </c>
      <c r="Y3" s="128">
        <v>731.53752077518845</v>
      </c>
      <c r="AB3" s="164">
        <f>SettlementDate</f>
        <v>42160</v>
      </c>
      <c r="AC3" s="155">
        <f>_xll.qlDayCounterYearFraction(DayCounter,SettlementDate,AB3,,,Trigger)</f>
        <v>0</v>
      </c>
      <c r="AD3" s="180">
        <f t="shared" ref="AD3:AD26" si="0">$S$13</f>
        <v>5.7938274945566672E-4</v>
      </c>
      <c r="AE3" s="180" t="e">
        <f t="shared" ref="AE3:AE23" si="1">$S$10+$S$9*AC3</f>
        <v>#NUM!</v>
      </c>
      <c r="AF3" s="180" t="e">
        <f t="shared" ref="AF3:AF23" si="2">($S$5+$S$4*AC3+$S$3*AC3^2)</f>
        <v>#NUM!</v>
      </c>
    </row>
    <row r="4" spans="1:32" ht="12" customHeight="1" x14ac:dyDescent="0.2">
      <c r="A4" s="115">
        <v>0</v>
      </c>
      <c r="B4" s="116">
        <f>A4+SUBSTITUTE($D$9,"M","")</f>
        <v>1</v>
      </c>
      <c r="C4" s="152" t="str">
        <f>"Delta("&amp;A4&amp;"M,"&amp;B4&amp;"M)"</f>
        <v>Delta(0M,1M)</v>
      </c>
      <c r="D4" s="153">
        <f>SettlementDate</f>
        <v>42160</v>
      </c>
      <c r="E4" s="153">
        <f>_xll.qlInterestRateIndexMaturity($D$10,D4)</f>
        <v>42191</v>
      </c>
      <c r="F4" s="154">
        <f t="array" ref="F4:F7">Delta1M</f>
        <v>4.9891292314237967E-5</v>
      </c>
      <c r="G4" s="155">
        <f>_xll.qlDayCounterYearFraction(DayCounter,SettlementDate,D4,,,Trigger)</f>
        <v>0</v>
      </c>
      <c r="H4" s="155">
        <f>_xll.qlDayCounterYearFraction(DayCounter,SettlementDate,E4,,,Trigger)</f>
        <v>8.611111111111111E-2</v>
      </c>
      <c r="I4" s="155">
        <f>H4-G4</f>
        <v>8.611111111111111E-2</v>
      </c>
      <c r="J4" s="155">
        <f>(H4^2-G4^2)/2</f>
        <v>3.7075617283950616E-3</v>
      </c>
      <c r="K4" s="155">
        <f>(H4^3-G4^3)/3</f>
        <v>2.1284150663008689E-4</v>
      </c>
      <c r="L4" s="156" t="b">
        <f>IF(D12="fixing",FALSE,TRUE)</f>
        <v>1</v>
      </c>
      <c r="N4" s="552"/>
      <c r="O4" s="127">
        <v>1.4898905464106082E-3</v>
      </c>
      <c r="P4" s="133">
        <v>1.1122685185185185E-2</v>
      </c>
      <c r="Q4" s="128">
        <v>8.611111111111111E-2</v>
      </c>
      <c r="R4" s="136" t="s">
        <v>37</v>
      </c>
      <c r="S4" s="129" t="e">
        <v>#NUM!</v>
      </c>
      <c r="T4" s="136" t="s">
        <v>38</v>
      </c>
      <c r="U4" s="130" t="e">
        <v>#NUM!</v>
      </c>
      <c r="W4" s="127">
        <v>-268.9747334740639</v>
      </c>
      <c r="X4" s="133">
        <v>403.08994561618175</v>
      </c>
      <c r="Y4" s="128">
        <v>-125.98701746683801</v>
      </c>
      <c r="AB4" s="169">
        <f>_xll.qlCalendarAdvance(Calendar,AB3,"1d","mf",,Trigger)</f>
        <v>42163</v>
      </c>
      <c r="AC4" s="155">
        <f>_xll.qlDayCounterYearFraction(DayCounter,SettlementDate,AB4,,,Trigger)</f>
        <v>8.3333333333333332E-3</v>
      </c>
      <c r="AD4" s="167">
        <f t="shared" si="0"/>
        <v>5.7938274945566672E-4</v>
      </c>
      <c r="AE4" s="167" t="e">
        <f t="shared" si="1"/>
        <v>#NUM!</v>
      </c>
      <c r="AF4" s="167" t="e">
        <f t="shared" si="2"/>
        <v>#NUM!</v>
      </c>
    </row>
    <row r="5" spans="1:32" ht="12" customHeight="1" x14ac:dyDescent="0.2">
      <c r="A5" s="117">
        <v>1</v>
      </c>
      <c r="B5" s="116">
        <f t="shared" ref="B5:B7" si="3">A5+SUBSTITUTE($D$9,"M","")</f>
        <v>2</v>
      </c>
      <c r="C5" s="152" t="str">
        <f>"Delta("&amp;A5&amp;"M,"&amp;B5&amp;"M)"</f>
        <v>Delta(1M,2M)</v>
      </c>
      <c r="D5" s="153">
        <f>_xll.qlCalendarAdvance(Calendar,SettlementDate,A5&amp;"M","f")</f>
        <v>42191</v>
      </c>
      <c r="E5" s="153">
        <f>_xll.qlInterestRateIndexMaturity($D$10,D5)</f>
        <v>42222</v>
      </c>
      <c r="F5" s="154" t="e">
        <v>#NUM!</v>
      </c>
      <c r="G5" s="155">
        <f>_xll.qlDayCounterYearFraction(DayCounter,SettlementDate,D5,,,Trigger)</f>
        <v>8.611111111111111E-2</v>
      </c>
      <c r="H5" s="155">
        <f>_xll.qlDayCounterYearFraction(DayCounter,SettlementDate,E5,,,Trigger)</f>
        <v>0.17222222222222222</v>
      </c>
      <c r="I5" s="155">
        <f>H5-G5</f>
        <v>8.611111111111111E-2</v>
      </c>
      <c r="J5" s="155">
        <f>(H5^2-G5^2)/2</f>
        <v>1.1122685185185185E-2</v>
      </c>
      <c r="K5" s="155">
        <f>(H5^3-G5^3)/3</f>
        <v>1.4898905464106082E-3</v>
      </c>
      <c r="L5" s="156" t="b">
        <v>1</v>
      </c>
      <c r="N5" s="552"/>
      <c r="O5" s="127">
        <v>4.312435699588479E-3</v>
      </c>
      <c r="P5" s="133">
        <v>1.9733796296296301E-2</v>
      </c>
      <c r="Q5" s="128">
        <v>9.1666666666666674E-2</v>
      </c>
      <c r="R5" s="117"/>
      <c r="S5" s="129" t="e">
        <v>#NUM!</v>
      </c>
      <c r="T5" s="136"/>
      <c r="U5" s="130" t="e">
        <v>#NUM!</v>
      </c>
      <c r="W5" s="127">
        <v>21.268958150196401</v>
      </c>
      <c r="X5" s="133">
        <v>-13.505658235876663</v>
      </c>
      <c r="Y5" s="128">
        <v>3.6162940198814613</v>
      </c>
      <c r="AB5" s="169">
        <f>_xll.qlCalendarAdvance(Calendar,AB4,"1d","mf",,Trigger)</f>
        <v>42164</v>
      </c>
      <c r="AC5" s="155">
        <f>_xll.qlDayCounterYearFraction(DayCounter,SettlementDate,AB5,,,Trigger)</f>
        <v>1.1111111111111112E-2</v>
      </c>
      <c r="AD5" s="167">
        <f t="shared" si="0"/>
        <v>5.7938274945566672E-4</v>
      </c>
      <c r="AE5" s="167" t="e">
        <f t="shared" si="1"/>
        <v>#NUM!</v>
      </c>
      <c r="AF5" s="167" t="e">
        <f t="shared" si="2"/>
        <v>#NUM!</v>
      </c>
    </row>
    <row r="6" spans="1:32" ht="12" customHeight="1" x14ac:dyDescent="0.2">
      <c r="A6" s="117">
        <v>2</v>
      </c>
      <c r="B6" s="118">
        <f t="shared" si="3"/>
        <v>3</v>
      </c>
      <c r="C6" s="152" t="str">
        <f>"Delta("&amp;A6&amp;"M,"&amp;B6&amp;"M)"</f>
        <v>Delta(2M,3M)</v>
      </c>
      <c r="D6" s="153">
        <f>_xll.qlCalendarAdvance(Calendar,SettlementDate,A6&amp;"M","f")</f>
        <v>42221</v>
      </c>
      <c r="E6" s="153">
        <f>_xll.qlInterestRateIndexMaturity($D$10,D6)</f>
        <v>42254</v>
      </c>
      <c r="F6" s="154" t="e">
        <v>#NUM!</v>
      </c>
      <c r="G6" s="155">
        <f>_xll.qlDayCounterYearFraction(DayCounter,SettlementDate,D6,,,Trigger)</f>
        <v>0.16944444444444445</v>
      </c>
      <c r="H6" s="155">
        <f>_xll.qlDayCounterYearFraction(DayCounter,SettlementDate,E6,,,Trigger)</f>
        <v>0.26111111111111113</v>
      </c>
      <c r="I6" s="155">
        <f>H6-G6</f>
        <v>9.1666666666666674E-2</v>
      </c>
      <c r="J6" s="155">
        <f>(H6^2-G6^2)/2</f>
        <v>1.9733796296296301E-2</v>
      </c>
      <c r="K6" s="155">
        <f>(H6^3-G6^3)/3</f>
        <v>4.312435699588479E-3</v>
      </c>
      <c r="L6" s="156" t="b">
        <v>1</v>
      </c>
      <c r="S6" s="131"/>
      <c r="T6" s="124"/>
      <c r="U6" s="125"/>
      <c r="AB6" s="169">
        <f>_xll.qlCalendarAdvance(Calendar,AB5,"1d","mf",,Trigger)</f>
        <v>42165</v>
      </c>
      <c r="AC6" s="155">
        <f>_xll.qlDayCounterYearFraction(DayCounter,SettlementDate,AB6,,,Trigger)</f>
        <v>1.3888888888888888E-2</v>
      </c>
      <c r="AD6" s="167">
        <f t="shared" si="0"/>
        <v>5.7938274945566672E-4</v>
      </c>
      <c r="AE6" s="167" t="e">
        <f t="shared" si="1"/>
        <v>#NUM!</v>
      </c>
      <c r="AF6" s="167" t="e">
        <f t="shared" si="2"/>
        <v>#NUM!</v>
      </c>
    </row>
    <row r="7" spans="1:32" ht="12" customHeight="1" x14ac:dyDescent="0.2">
      <c r="A7" s="117">
        <v>3</v>
      </c>
      <c r="B7" s="118">
        <f t="shared" si="3"/>
        <v>4</v>
      </c>
      <c r="C7" s="157" t="str">
        <f>"Delta("&amp;A7&amp;"M,"&amp;B7&amp;"M)"</f>
        <v>Delta(3M,4M)</v>
      </c>
      <c r="D7" s="158">
        <f>_xll.qlCalendarAdvance(Calendar,SettlementDate,A7&amp;"M","f")</f>
        <v>42254</v>
      </c>
      <c r="E7" s="158">
        <f>_xll.qlInterestRateIndexMaturity($D$10,D7)</f>
        <v>42284</v>
      </c>
      <c r="F7" s="159" t="e">
        <v>#NUM!</v>
      </c>
      <c r="G7" s="160">
        <f>_xll.qlDayCounterYearFraction(DayCounter,SettlementDate,D7,,,Trigger)</f>
        <v>0.26111111111111113</v>
      </c>
      <c r="H7" s="160">
        <f>_xll.qlDayCounterYearFraction(DayCounter,SettlementDate,E7,,,Trigger)</f>
        <v>0.34444444444444444</v>
      </c>
      <c r="I7" s="160">
        <f>H7-G7</f>
        <v>8.3333333333333315E-2</v>
      </c>
      <c r="J7" s="160">
        <f>(H7^2-G7^2)/2</f>
        <v>2.5231481481481473E-2</v>
      </c>
      <c r="K7" s="160">
        <f>(H7^3-G7^3)/3</f>
        <v>7.6877572016460886E-3</v>
      </c>
      <c r="L7" s="161" t="b">
        <v>0</v>
      </c>
      <c r="S7" s="131"/>
      <c r="T7" s="124"/>
      <c r="U7" s="125"/>
      <c r="AB7" s="169">
        <f>_xll.qlCalendarAdvance(Calendar,AB6,"1d","mf",,Trigger)</f>
        <v>42166</v>
      </c>
      <c r="AC7" s="155">
        <f>_xll.qlDayCounterYearFraction(DayCounter,SettlementDate,AB7,,,Trigger)</f>
        <v>1.6666666666666666E-2</v>
      </c>
      <c r="AD7" s="167">
        <f t="shared" si="0"/>
        <v>5.7938274945566672E-4</v>
      </c>
      <c r="AE7" s="167" t="e">
        <f t="shared" si="1"/>
        <v>#NUM!</v>
      </c>
      <c r="AF7" s="167" t="e">
        <f t="shared" si="2"/>
        <v>#NUM!</v>
      </c>
    </row>
    <row r="8" spans="1:32" ht="12" customHeight="1" x14ac:dyDescent="0.2">
      <c r="A8" s="117"/>
      <c r="B8" s="118"/>
      <c r="C8" s="118"/>
      <c r="D8" s="119"/>
      <c r="E8" s="119"/>
      <c r="F8" s="120"/>
      <c r="G8" s="121"/>
      <c r="H8" s="121"/>
      <c r="I8" s="121"/>
      <c r="J8" s="121"/>
      <c r="K8" s="121"/>
      <c r="L8" s="122"/>
      <c r="S8" s="123" t="s">
        <v>91</v>
      </c>
      <c r="T8" s="124"/>
      <c r="U8" s="125"/>
      <c r="AB8" s="169">
        <f>_xll.qlCalendarAdvance(Calendar,AB7,"1d","mf",,Trigger)</f>
        <v>42167</v>
      </c>
      <c r="AC8" s="155">
        <f>_xll.qlDayCounterYearFraction(DayCounter,SettlementDate,AB8,,,Trigger)</f>
        <v>1.9444444444444445E-2</v>
      </c>
      <c r="AD8" s="167">
        <f t="shared" si="0"/>
        <v>5.7938274945566672E-4</v>
      </c>
      <c r="AE8" s="167" t="e">
        <f t="shared" si="1"/>
        <v>#NUM!</v>
      </c>
      <c r="AF8" s="167" t="e">
        <f t="shared" si="2"/>
        <v>#NUM!</v>
      </c>
    </row>
    <row r="9" spans="1:32" ht="12" customHeight="1" x14ac:dyDescent="0.2">
      <c r="C9" s="142" t="s">
        <v>137</v>
      </c>
      <c r="D9" s="177" t="s">
        <v>40</v>
      </c>
      <c r="N9" s="551" t="s">
        <v>87</v>
      </c>
      <c r="O9" s="126"/>
      <c r="P9" s="127">
        <f t="array" ref="P9:P10">_xll.ohFilter(J3:J7,L3:L7)</f>
        <v>3.7075617283950616E-3</v>
      </c>
      <c r="Q9" s="128">
        <f t="array" ref="Q9:Q10">_xll.ohFilter(I3:I7,L3:L7)</f>
        <v>8.611111111111111E-2</v>
      </c>
      <c r="R9" s="550" t="s">
        <v>37</v>
      </c>
      <c r="S9" s="129" t="e">
        <f t="array" ref="S9:S10">MMULT(W9:X10,U9:U10)</f>
        <v>#NUM!</v>
      </c>
      <c r="T9" s="550" t="s">
        <v>38</v>
      </c>
      <c r="U9" s="130">
        <f t="array" ref="U9:U10">_xll.ohFilter(F3:F7,L3:L7)</f>
        <v>4.9891292314237967E-5</v>
      </c>
      <c r="W9" s="127">
        <f t="array" ref="W9:X10">MINVERSE(P9:Q10)</f>
        <v>-134.85952133194587</v>
      </c>
      <c r="X9" s="128">
        <v>134.8595213319459</v>
      </c>
      <c r="AB9" s="169">
        <f>_xll.qlCalendarAdvance(Calendar,AB8,"1d","mf",,Trigger)</f>
        <v>42170</v>
      </c>
      <c r="AC9" s="155">
        <f>_xll.qlDayCounterYearFraction(DayCounter,SettlementDate,AB9,,,Trigger)</f>
        <v>2.7777777777777776E-2</v>
      </c>
      <c r="AD9" s="167">
        <f t="shared" si="0"/>
        <v>5.7938274945566672E-4</v>
      </c>
      <c r="AE9" s="167" t="e">
        <f t="shared" si="1"/>
        <v>#NUM!</v>
      </c>
      <c r="AF9" s="167" t="e">
        <f t="shared" si="2"/>
        <v>#NUM!</v>
      </c>
    </row>
    <row r="10" spans="1:32" ht="12" customHeight="1" x14ac:dyDescent="0.2">
      <c r="C10" s="142" t="s">
        <v>100</v>
      </c>
      <c r="D10" s="177" t="str">
        <f>PROPER(Currency)&amp;IborType&amp;D9</f>
        <v>Euribor1M</v>
      </c>
      <c r="N10" s="551"/>
      <c r="O10" s="126"/>
      <c r="P10" s="127">
        <v>1.1122685185185185E-2</v>
      </c>
      <c r="Q10" s="128">
        <v>8.611111111111111E-2</v>
      </c>
      <c r="R10" s="550"/>
      <c r="S10" s="129" t="e">
        <v>#NUM!</v>
      </c>
      <c r="T10" s="550"/>
      <c r="U10" s="130" t="e">
        <v>#NUM!</v>
      </c>
      <c r="W10" s="127">
        <v>17.419354838709676</v>
      </c>
      <c r="X10" s="128">
        <v>-5.8064516129032251</v>
      </c>
      <c r="AB10" s="169">
        <f>_xll.qlCalendarAdvance(Calendar,AB9,"1d","mf",,Trigger)</f>
        <v>42171</v>
      </c>
      <c r="AC10" s="155">
        <f>_xll.qlDayCounterYearFraction(DayCounter,SettlementDate,AB10,,,Trigger)</f>
        <v>3.0555555555555555E-2</v>
      </c>
      <c r="AD10" s="167">
        <f t="shared" si="0"/>
        <v>5.7938274945566672E-4</v>
      </c>
      <c r="AE10" s="167" t="e">
        <f t="shared" si="1"/>
        <v>#NUM!</v>
      </c>
      <c r="AF10" s="167" t="e">
        <f t="shared" si="2"/>
        <v>#NUM!</v>
      </c>
    </row>
    <row r="11" spans="1:32" ht="12" customHeight="1" x14ac:dyDescent="0.2">
      <c r="C11" s="142" t="s">
        <v>129</v>
      </c>
      <c r="D11" s="178" t="s">
        <v>79</v>
      </c>
      <c r="S11" s="131"/>
      <c r="T11" s="124"/>
      <c r="U11" s="125"/>
      <c r="AB11" s="169">
        <f>_xll.qlCalendarAdvance(Calendar,AB10,"1d","mf",,Trigger)</f>
        <v>42172</v>
      </c>
      <c r="AC11" s="155">
        <f>_xll.qlDayCounterYearFraction(DayCounter,SettlementDate,AB11,,,Trigger)</f>
        <v>3.3333333333333333E-2</v>
      </c>
      <c r="AD11" s="167">
        <f t="shared" si="0"/>
        <v>5.7938274945566672E-4</v>
      </c>
      <c r="AE11" s="167" t="e">
        <f t="shared" si="1"/>
        <v>#NUM!</v>
      </c>
      <c r="AF11" s="167" t="e">
        <f t="shared" si="2"/>
        <v>#NUM!</v>
      </c>
    </row>
    <row r="12" spans="1:32" ht="12" customHeight="1" x14ac:dyDescent="0.2">
      <c r="C12" s="142" t="s">
        <v>128</v>
      </c>
      <c r="D12" s="177" t="s">
        <v>133</v>
      </c>
      <c r="S12" s="132" t="s">
        <v>35</v>
      </c>
      <c r="T12" s="124"/>
      <c r="U12" s="125"/>
      <c r="AB12" s="169">
        <f>_xll.qlCalendarAdvance(Calendar,AB11,"1d","mf",,Trigger)</f>
        <v>42173</v>
      </c>
      <c r="AC12" s="155">
        <f>_xll.qlDayCounterYearFraction(DayCounter,SettlementDate,AB12,,,Trigger)</f>
        <v>3.6111111111111108E-2</v>
      </c>
      <c r="AD12" s="167">
        <f t="shared" si="0"/>
        <v>5.7938274945566672E-4</v>
      </c>
      <c r="AE12" s="167" t="e">
        <f t="shared" si="1"/>
        <v>#NUM!</v>
      </c>
      <c r="AF12" s="167" t="e">
        <f t="shared" si="2"/>
        <v>#NUM!</v>
      </c>
    </row>
    <row r="13" spans="1:32" ht="12" customHeight="1" x14ac:dyDescent="0.2">
      <c r="J13" s="144" t="str">
        <f>"Synthetic Deposits "&amp;D9</f>
        <v>Synthetic Deposits 1M</v>
      </c>
      <c r="K13" s="144"/>
      <c r="L13" s="144"/>
      <c r="N13" s="137" t="s">
        <v>88</v>
      </c>
      <c r="Q13" s="138">
        <f t="array" ref="Q13">_xll.ohFilter(I3:I7,L3:L7)</f>
        <v>8.611111111111111E-2</v>
      </c>
      <c r="R13" s="137" t="s">
        <v>37</v>
      </c>
      <c r="S13" s="129">
        <f>MMULT(W13,U13)</f>
        <v>5.7938274945566672E-4</v>
      </c>
      <c r="T13" s="137" t="s">
        <v>38</v>
      </c>
      <c r="U13" s="130">
        <f t="array" ref="U13">_xll.ohFilter(F3:F7,L3:L7)</f>
        <v>4.9891292314237967E-5</v>
      </c>
      <c r="W13" s="138">
        <f>MINVERSE(Q13)</f>
        <v>11.612903225806452</v>
      </c>
      <c r="AB13" s="169">
        <f>_xll.qlCalendarAdvance(Calendar,AB12,"1d","mf",,Trigger)</f>
        <v>42174</v>
      </c>
      <c r="AC13" s="155">
        <f>_xll.qlDayCounterYearFraction(DayCounter,SettlementDate,AB13,,,Trigger)</f>
        <v>3.888888888888889E-2</v>
      </c>
      <c r="AD13" s="167">
        <f t="shared" si="0"/>
        <v>5.7938274945566672E-4</v>
      </c>
      <c r="AE13" s="167" t="e">
        <f t="shared" si="1"/>
        <v>#NUM!</v>
      </c>
      <c r="AF13" s="167" t="e">
        <f t="shared" si="2"/>
        <v>#NUM!</v>
      </c>
    </row>
    <row r="14" spans="1:32" ht="12" customHeight="1" x14ac:dyDescent="0.2">
      <c r="C14" s="142" t="s">
        <v>95</v>
      </c>
      <c r="D14" s="142" t="s">
        <v>70</v>
      </c>
      <c r="E14" s="142" t="s">
        <v>71</v>
      </c>
      <c r="F14" s="142" t="s">
        <v>122</v>
      </c>
      <c r="G14" s="142" t="s">
        <v>123</v>
      </c>
      <c r="H14" s="142" t="s">
        <v>124</v>
      </c>
      <c r="I14" s="143" t="s">
        <v>125</v>
      </c>
      <c r="J14" s="145" t="s">
        <v>88</v>
      </c>
      <c r="K14" s="145" t="s">
        <v>87</v>
      </c>
      <c r="L14" s="145" t="s">
        <v>114</v>
      </c>
      <c r="AB14" s="169">
        <f>_xll.qlCalendarAdvance(Calendar,AB13,"1d","mf",,Trigger)</f>
        <v>42177</v>
      </c>
      <c r="AC14" s="155">
        <f>_xll.qlDayCounterYearFraction(DayCounter,SettlementDate,AB14,,,Trigger)</f>
        <v>4.7222222222222221E-2</v>
      </c>
      <c r="AD14" s="167">
        <f t="shared" si="0"/>
        <v>5.7938274945566672E-4</v>
      </c>
      <c r="AE14" s="167" t="e">
        <f t="shared" si="1"/>
        <v>#NUM!</v>
      </c>
      <c r="AF14" s="167" t="e">
        <f t="shared" si="2"/>
        <v>#NUM!</v>
      </c>
    </row>
    <row r="15" spans="1:32" ht="12" customHeight="1" x14ac:dyDescent="0.2">
      <c r="C15" s="162" t="s">
        <v>43</v>
      </c>
      <c r="D15" s="163">
        <f t="shared" ref="D15:D19" si="4">SettlementDate</f>
        <v>42160</v>
      </c>
      <c r="E15" s="164">
        <f>_xll.qlCalendarAdvance(Calendar,SettlementDate,C15,"Following",,Trigger)</f>
        <v>42163</v>
      </c>
      <c r="F15" s="165">
        <f>_xll.qlDayCounterYearFraction(DayCounter,D15,E15,,,Trigger)</f>
        <v>8.3333333333333332E-3</v>
      </c>
      <c r="G15" s="166">
        <f>_xll.qlYieldTSDiscount(Discounting,D15,,AllTriggers)</f>
        <v>1.0000066667000043</v>
      </c>
      <c r="H15" s="166">
        <f>_xll.qlYieldTSDiscount(Discounting,E15,,AllTriggers)</f>
        <v>1.0000167502701822</v>
      </c>
      <c r="I15" s="167">
        <f>(G15/H15-1)/F15</f>
        <v>-1.2100081533938933E-3</v>
      </c>
      <c r="J15" s="167">
        <f>((1+I15*F15)*EXP($S$13*F15)-1)/F15</f>
        <v>-6.306298474090255E-4</v>
      </c>
      <c r="K15" s="167" t="e">
        <f>((1+F15*I15)*EXP($S$10*F15+0.5*$S$9*F15^2)-1)/F15</f>
        <v>#NUM!</v>
      </c>
      <c r="L15" s="167" t="e">
        <f>((1+F15*I15)*EXP($S$5*F15+0.5*$S$4*F15^2+1/3*$S$3*F15^3)-1)/F15</f>
        <v>#NUM!</v>
      </c>
      <c r="AB15" s="169">
        <f>_xll.qlCalendarAdvance(Calendar,AB14,"1d","mf",,Trigger)</f>
        <v>42178</v>
      </c>
      <c r="AC15" s="155">
        <f>_xll.qlDayCounterYearFraction(DayCounter,SettlementDate,AB15,,,Trigger)</f>
        <v>0.05</v>
      </c>
      <c r="AD15" s="167">
        <f t="shared" si="0"/>
        <v>5.7938274945566672E-4</v>
      </c>
      <c r="AE15" s="167" t="e">
        <f t="shared" si="1"/>
        <v>#NUM!</v>
      </c>
      <c r="AF15" s="167" t="e">
        <f t="shared" si="2"/>
        <v>#NUM!</v>
      </c>
    </row>
    <row r="16" spans="1:32" ht="12" customHeight="1" x14ac:dyDescent="0.2">
      <c r="C16" s="168" t="s">
        <v>44</v>
      </c>
      <c r="D16" s="153">
        <f>SettlementDate</f>
        <v>42160</v>
      </c>
      <c r="E16" s="169">
        <f>_xll.qlCalendarAdvance(Calendar,SettlementDate,C16,"Following",,Trigger)</f>
        <v>42167</v>
      </c>
      <c r="F16" s="155">
        <f>_xll.qlDayCounterYearFraction(DayCounter,D16,E16,,,Trigger)</f>
        <v>1.9444444444444445E-2</v>
      </c>
      <c r="G16" s="170">
        <f>_xll.qlYieldTSDiscount(Discounting,D16,,AllTriggers)</f>
        <v>1.0000066667000043</v>
      </c>
      <c r="H16" s="171">
        <f>_xll.qlYieldTSDiscount(Discounting,E16,,AllTriggers)</f>
        <v>1.000030195188585</v>
      </c>
      <c r="I16" s="167">
        <f t="shared" ref="I16:I19" si="5">(G16/H16-1)/F16</f>
        <v>-1.2100000194032695E-3</v>
      </c>
      <c r="J16" s="167">
        <f t="shared" ref="J16:J19" si="6">((1+I16*F16)*EXP($S$13*F16)-1)/F16</f>
        <v>-6.3062763800684042E-4</v>
      </c>
      <c r="K16" s="167" t="e">
        <f t="shared" ref="K16:K19" si="7">((1+F16*I16)*EXP($S$10*F16+0.5*$S$9*F16^2)-1)/F16</f>
        <v>#NUM!</v>
      </c>
      <c r="L16" s="167" t="e">
        <f t="shared" ref="L16:L19" si="8">((1+F16*I16)*EXP($S$5*F16+0.5*$S$4*F16^2+1/3*$S$3*F16^3)-1)/F16</f>
        <v>#NUM!</v>
      </c>
      <c r="AB16" s="169">
        <f>_xll.qlCalendarAdvance(Calendar,AB15,"1d","mf",,Trigger)</f>
        <v>42179</v>
      </c>
      <c r="AC16" s="155">
        <f>_xll.qlDayCounterYearFraction(DayCounter,SettlementDate,AB16,,,Trigger)</f>
        <v>5.2777777777777778E-2</v>
      </c>
      <c r="AD16" s="167">
        <f t="shared" si="0"/>
        <v>5.7938274945566672E-4</v>
      </c>
      <c r="AE16" s="167" t="e">
        <f t="shared" si="1"/>
        <v>#NUM!</v>
      </c>
      <c r="AF16" s="167" t="e">
        <f t="shared" si="2"/>
        <v>#NUM!</v>
      </c>
    </row>
    <row r="17" spans="3:32" ht="12" customHeight="1" x14ac:dyDescent="0.2">
      <c r="C17" s="168" t="s">
        <v>45</v>
      </c>
      <c r="D17" s="153">
        <f t="shared" si="4"/>
        <v>42160</v>
      </c>
      <c r="E17" s="169">
        <f>_xll.qlCalendarAdvance(Calendar,SettlementDate,C17,"Following",,Trigger)</f>
        <v>42174</v>
      </c>
      <c r="F17" s="155">
        <f>_xll.qlDayCounterYearFraction(DayCounter,D17,E17,,,Trigger)</f>
        <v>3.888888888888889E-2</v>
      </c>
      <c r="G17" s="170">
        <f>_xll.qlYieldTSDiscount(Discounting,D17,,AllTriggers)</f>
        <v>1.0000066667000043</v>
      </c>
      <c r="H17" s="171">
        <f>_xll.qlYieldTSDiscount(Discounting,E17,,AllTriggers)</f>
        <v>1.0000525580007213</v>
      </c>
      <c r="I17" s="167">
        <f t="shared" si="5"/>
        <v>-1.1799999999974528E-3</v>
      </c>
      <c r="J17" s="167">
        <f t="shared" si="6"/>
        <v>-6.0063731082804495E-4</v>
      </c>
      <c r="K17" s="167" t="e">
        <f t="shared" si="7"/>
        <v>#NUM!</v>
      </c>
      <c r="L17" s="167" t="e">
        <f t="shared" si="8"/>
        <v>#NUM!</v>
      </c>
      <c r="AB17" s="169">
        <f>_xll.qlCalendarAdvance(Calendar,AB16,"1d","mf",,Trigger)</f>
        <v>42180</v>
      </c>
      <c r="AC17" s="155">
        <f>_xll.qlDayCounterYearFraction(DayCounter,SettlementDate,AB17,,,Trigger)</f>
        <v>5.5555555555555552E-2</v>
      </c>
      <c r="AD17" s="167">
        <f t="shared" si="0"/>
        <v>5.7938274945566672E-4</v>
      </c>
      <c r="AE17" s="167" t="e">
        <f t="shared" si="1"/>
        <v>#NUM!</v>
      </c>
      <c r="AF17" s="167" t="e">
        <f t="shared" si="2"/>
        <v>#NUM!</v>
      </c>
    </row>
    <row r="18" spans="3:32" ht="12" customHeight="1" x14ac:dyDescent="0.2">
      <c r="C18" s="168" t="s">
        <v>46</v>
      </c>
      <c r="D18" s="153">
        <f t="shared" si="4"/>
        <v>42160</v>
      </c>
      <c r="E18" s="169">
        <f>_xll.qlCalendarAdvance(Calendar,SettlementDate,C18,"Following",,Trigger)</f>
        <v>42181</v>
      </c>
      <c r="F18" s="155">
        <f>_xll.qlDayCounterYearFraction(DayCounter,D18,E18,,,Trigger)</f>
        <v>5.8333333333333334E-2</v>
      </c>
      <c r="G18" s="170">
        <f>_xll.qlYieldTSDiscount(Discounting,D18,,AllTriggers)</f>
        <v>1.0000066667000043</v>
      </c>
      <c r="H18" s="171">
        <f>_xll.qlYieldTSDiscount(Discounting,E18,,AllTriggers)</f>
        <v>1.0000755052306143</v>
      </c>
      <c r="I18" s="167">
        <f t="shared" si="5"/>
        <v>-1.179999999999356E-3</v>
      </c>
      <c r="J18" s="167">
        <f t="shared" si="6"/>
        <v>-6.0064734115794494E-4</v>
      </c>
      <c r="K18" s="167" t="e">
        <f t="shared" si="7"/>
        <v>#NUM!</v>
      </c>
      <c r="L18" s="167" t="e">
        <f t="shared" si="8"/>
        <v>#NUM!</v>
      </c>
      <c r="AB18" s="169">
        <f>_xll.qlCalendarAdvance(Calendar,AB17,"1d","mf",,Trigger)</f>
        <v>42181</v>
      </c>
      <c r="AC18" s="155">
        <f>_xll.qlDayCounterYearFraction(DayCounter,SettlementDate,AB18,,,Trigger)</f>
        <v>5.8333333333333334E-2</v>
      </c>
      <c r="AD18" s="167">
        <f t="shared" si="0"/>
        <v>5.7938274945566672E-4</v>
      </c>
      <c r="AE18" s="167" t="e">
        <f t="shared" si="1"/>
        <v>#NUM!</v>
      </c>
      <c r="AF18" s="167" t="e">
        <f t="shared" si="2"/>
        <v>#NUM!</v>
      </c>
    </row>
    <row r="19" spans="3:32" ht="12" customHeight="1" x14ac:dyDescent="0.2">
      <c r="C19" s="172" t="s">
        <v>40</v>
      </c>
      <c r="D19" s="158">
        <f t="shared" si="4"/>
        <v>42160</v>
      </c>
      <c r="E19" s="173">
        <f>_xll.qlCalendarAdvance(Calendar,SettlementDate,C19,"mf",TRUE,Trigger)</f>
        <v>42191</v>
      </c>
      <c r="F19" s="160">
        <f>_xll.qlDayCounterYearFraction(DayCounter,D19,E19,,,Trigger)</f>
        <v>8.611111111111111E-2</v>
      </c>
      <c r="G19" s="174">
        <f>_xll.qlYieldTSDiscount(Discounting,D19,,AllTriggers)</f>
        <v>1.0000066667000043</v>
      </c>
      <c r="H19" s="175">
        <f>_xll.qlYieldTSDiscount(Discounting,E19,,AllTriggers)</f>
        <v>1.0001090930777232</v>
      </c>
      <c r="I19" s="176">
        <f t="shared" si="5"/>
        <v>-1.1893378636920837E-3</v>
      </c>
      <c r="J19" s="176">
        <f t="shared" si="6"/>
        <v>-6.1000000000232017E-4</v>
      </c>
      <c r="K19" s="176" t="e">
        <f t="shared" si="7"/>
        <v>#NUM!</v>
      </c>
      <c r="L19" s="176" t="e">
        <f t="shared" si="8"/>
        <v>#NUM!</v>
      </c>
      <c r="AB19" s="169">
        <f>_xll.qlCalendarAdvance(Calendar,AB18,"1d","mf",,Trigger)</f>
        <v>42184</v>
      </c>
      <c r="AC19" s="155">
        <f>_xll.qlDayCounterYearFraction(DayCounter,SettlementDate,AB19,,,Trigger)</f>
        <v>6.6666666666666666E-2</v>
      </c>
      <c r="AD19" s="167">
        <f t="shared" si="0"/>
        <v>5.7938274945566672E-4</v>
      </c>
      <c r="AE19" s="167" t="e">
        <f t="shared" si="1"/>
        <v>#NUM!</v>
      </c>
      <c r="AF19" s="167" t="e">
        <f t="shared" si="2"/>
        <v>#NUM!</v>
      </c>
    </row>
    <row r="20" spans="3:32" ht="12" customHeight="1" x14ac:dyDescent="0.2">
      <c r="AB20" s="169">
        <f>_xll.qlCalendarAdvance(Calendar,AB19,"1d","mf",,Trigger)</f>
        <v>42185</v>
      </c>
      <c r="AC20" s="155">
        <f>_xll.qlDayCounterYearFraction(DayCounter,SettlementDate,AB20,,,Trigger)</f>
        <v>6.9444444444444448E-2</v>
      </c>
      <c r="AD20" s="167">
        <f t="shared" si="0"/>
        <v>5.7938274945566672E-4</v>
      </c>
      <c r="AE20" s="167" t="e">
        <f t="shared" si="1"/>
        <v>#NUM!</v>
      </c>
      <c r="AF20" s="167" t="e">
        <f t="shared" si="2"/>
        <v>#NUM!</v>
      </c>
    </row>
    <row r="21" spans="3:32" ht="12" customHeight="1" x14ac:dyDescent="0.2">
      <c r="C21" s="142" t="s">
        <v>102</v>
      </c>
      <c r="AB21" s="169">
        <f>_xll.qlCalendarAdvance(Calendar,AB20,"1d","mf",,Trigger)</f>
        <v>42186</v>
      </c>
      <c r="AC21" s="155">
        <f>_xll.qlDayCounterYearFraction(DayCounter,SettlementDate,AB21,,,Trigger)</f>
        <v>7.2222222222222215E-2</v>
      </c>
      <c r="AD21" s="167">
        <f t="shared" si="0"/>
        <v>5.7938274945566672E-4</v>
      </c>
      <c r="AE21" s="167" t="e">
        <f t="shared" si="1"/>
        <v>#NUM!</v>
      </c>
      <c r="AF21" s="167" t="e">
        <f t="shared" si="2"/>
        <v>#NUM!</v>
      </c>
    </row>
    <row r="22" spans="3:32" ht="12" customHeight="1" x14ac:dyDescent="0.2">
      <c r="C22" s="179" t="s">
        <v>86</v>
      </c>
      <c r="AB22" s="169">
        <f>_xll.qlCalendarAdvance(Calendar,AB21,"1d","mf",,Trigger)</f>
        <v>42187</v>
      </c>
      <c r="AC22" s="155">
        <f>_xll.qlDayCounterYearFraction(DayCounter,SettlementDate,AB22,,,Trigger)</f>
        <v>7.4999999999999997E-2</v>
      </c>
      <c r="AD22" s="167">
        <f t="shared" si="0"/>
        <v>5.7938274945566672E-4</v>
      </c>
      <c r="AE22" s="167" t="e">
        <f t="shared" si="1"/>
        <v>#NUM!</v>
      </c>
      <c r="AF22" s="167" t="e">
        <f t="shared" si="2"/>
        <v>#NUM!</v>
      </c>
    </row>
    <row r="23" spans="3:32" ht="12" customHeight="1" x14ac:dyDescent="0.2">
      <c r="C23" s="167" t="e">
        <f>IF($C$22="FLAT",J15,IF($C$22="linear",K15,L15))</f>
        <v>#NUM!</v>
      </c>
      <c r="AB23" s="169">
        <f>_xll.qlCalendarAdvance(Calendar,AB22,"1d","mf",,Trigger)</f>
        <v>42188</v>
      </c>
      <c r="AC23" s="155">
        <f>_xll.qlDayCounterYearFraction(DayCounter,SettlementDate,AB23,,,Trigger)</f>
        <v>7.7777777777777779E-2</v>
      </c>
      <c r="AD23" s="167">
        <f t="shared" si="0"/>
        <v>5.7938274945566672E-4</v>
      </c>
      <c r="AE23" s="167" t="e">
        <f t="shared" si="1"/>
        <v>#NUM!</v>
      </c>
      <c r="AF23" s="167" t="e">
        <f t="shared" si="2"/>
        <v>#NUM!</v>
      </c>
    </row>
    <row r="24" spans="3:32" ht="12" customHeight="1" x14ac:dyDescent="0.2">
      <c r="C24" s="167" t="e">
        <f>IF($C$22="FLAT",J16,IF($C$22="linear",K16,L16))</f>
        <v>#NUM!</v>
      </c>
      <c r="AB24" s="169">
        <f>_xll.qlCalendarAdvance(Calendar,AB23,"1d","mf",,Trigger)</f>
        <v>42191</v>
      </c>
      <c r="AC24" s="155">
        <f>_xll.qlDayCounterYearFraction(DayCounter,SettlementDate,AB24,,,Trigger)</f>
        <v>8.611111111111111E-2</v>
      </c>
      <c r="AD24" s="167">
        <f t="shared" si="0"/>
        <v>5.7938274945566672E-4</v>
      </c>
      <c r="AE24" s="167" t="e">
        <f t="shared" ref="AE24:AE26" si="9">$S$10+$S$9*AC24</f>
        <v>#NUM!</v>
      </c>
      <c r="AF24" s="167" t="e">
        <f t="shared" ref="AF24:AF26" si="10">($S$5+$S$4*AC24+$S$3*AC24^2)</f>
        <v>#NUM!</v>
      </c>
    </row>
    <row r="25" spans="3:32" ht="12" customHeight="1" x14ac:dyDescent="0.2">
      <c r="C25" s="167" t="e">
        <f>IF($C$22="FLAT",J17,IF($C$22="linear",K17,L17))</f>
        <v>#NUM!</v>
      </c>
      <c r="AB25" s="169">
        <f>_xll.qlCalendarAdvance(Calendar,AB24,"1d","mf",,Trigger)</f>
        <v>42192</v>
      </c>
      <c r="AC25" s="155">
        <f>_xll.qlDayCounterYearFraction(DayCounter,SettlementDate,AB25,,,Trigger)</f>
        <v>8.8888888888888892E-2</v>
      </c>
      <c r="AD25" s="167">
        <f t="shared" si="0"/>
        <v>5.7938274945566672E-4</v>
      </c>
      <c r="AE25" s="167" t="e">
        <f t="shared" si="9"/>
        <v>#NUM!</v>
      </c>
      <c r="AF25" s="167" t="e">
        <f t="shared" si="10"/>
        <v>#NUM!</v>
      </c>
    </row>
    <row r="26" spans="3:32" ht="12" customHeight="1" x14ac:dyDescent="0.2">
      <c r="C26" s="167" t="e">
        <f>IF($C$22="FLAT",J18,IF($C$22="linear",K18,L18))</f>
        <v>#NUM!</v>
      </c>
      <c r="AB26" s="173">
        <f>_xll.qlCalendarAdvance(Calendar,AB25,"1d","mf",,Trigger)</f>
        <v>42193</v>
      </c>
      <c r="AC26" s="160">
        <f>_xll.qlDayCounterYearFraction(DayCounter,SettlementDate,AB26,,,Trigger)</f>
        <v>9.166666666666666E-2</v>
      </c>
      <c r="AD26" s="176">
        <f t="shared" si="0"/>
        <v>5.7938274945566672E-4</v>
      </c>
      <c r="AE26" s="176" t="e">
        <f t="shared" si="9"/>
        <v>#NUM!</v>
      </c>
      <c r="AF26" s="176" t="e">
        <f t="shared" si="10"/>
        <v>#NUM!</v>
      </c>
    </row>
    <row r="27" spans="3:32" ht="12" customHeight="1" x14ac:dyDescent="0.2">
      <c r="C27" s="176" t="e">
        <f>IF($C$22="FLAT",J19,IF($C$22="linear",K19,L19))</f>
        <v>#NUM!</v>
      </c>
    </row>
    <row r="28" spans="3:32" ht="12" customHeight="1" x14ac:dyDescent="0.2"/>
    <row r="29" spans="3:32" ht="12" customHeight="1" x14ac:dyDescent="0.2"/>
    <row r="30" spans="3:32" ht="12" customHeight="1" x14ac:dyDescent="0.2"/>
    <row r="31" spans="3:32" ht="12" customHeight="1" x14ac:dyDescent="0.2"/>
    <row r="32" spans="3:32" ht="12" customHeight="1" x14ac:dyDescent="0.2"/>
    <row r="39" spans="9:13" x14ac:dyDescent="0.2">
      <c r="I39" s="140"/>
      <c r="J39" s="140"/>
    </row>
    <row r="43" spans="9:13" ht="11.25" customHeight="1" x14ac:dyDescent="0.2"/>
    <row r="44" spans="9:13" x14ac:dyDescent="0.2">
      <c r="M44" s="139"/>
    </row>
    <row r="45" spans="9:13" x14ac:dyDescent="0.2">
      <c r="M45" s="139"/>
    </row>
    <row r="46" spans="9:13" x14ac:dyDescent="0.2">
      <c r="M46" s="139"/>
    </row>
    <row r="47" spans="9:13" x14ac:dyDescent="0.2">
      <c r="M47" s="139"/>
    </row>
    <row r="48" spans="9:13" x14ac:dyDescent="0.2">
      <c r="M48" s="139"/>
    </row>
    <row r="58" spans="9:10" x14ac:dyDescent="0.2">
      <c r="I58" s="140"/>
    </row>
    <row r="59" spans="9:10" x14ac:dyDescent="0.2">
      <c r="I59" s="140"/>
    </row>
    <row r="60" spans="9:10" x14ac:dyDescent="0.2">
      <c r="I60" s="140"/>
    </row>
    <row r="61" spans="9:10" x14ac:dyDescent="0.2">
      <c r="I61" s="140"/>
    </row>
    <row r="62" spans="9:10" x14ac:dyDescent="0.2">
      <c r="I62" s="140"/>
    </row>
    <row r="63" spans="9:10" x14ac:dyDescent="0.2">
      <c r="I63" s="140"/>
    </row>
    <row r="64" spans="9:10" x14ac:dyDescent="0.2">
      <c r="I64" s="140"/>
      <c r="J64" s="140"/>
    </row>
    <row r="65" spans="9:10" x14ac:dyDescent="0.2">
      <c r="I65" s="140"/>
      <c r="J65" s="140"/>
    </row>
    <row r="66" spans="9:10" x14ac:dyDescent="0.2">
      <c r="I66" s="140"/>
      <c r="J66" s="140"/>
    </row>
    <row r="67" spans="9:10" x14ac:dyDescent="0.2">
      <c r="I67" s="140"/>
      <c r="J67" s="140"/>
    </row>
    <row r="68" spans="9:10" x14ac:dyDescent="0.2">
      <c r="I68" s="140"/>
      <c r="J68" s="140"/>
    </row>
    <row r="69" spans="9:10" x14ac:dyDescent="0.2">
      <c r="I69" s="140"/>
      <c r="J69" s="140"/>
    </row>
    <row r="70" spans="9:10" x14ac:dyDescent="0.2">
      <c r="I70" s="140"/>
      <c r="J70" s="140"/>
    </row>
    <row r="71" spans="9:10" x14ac:dyDescent="0.2">
      <c r="I71" s="140"/>
      <c r="J71" s="140"/>
    </row>
    <row r="72" spans="9:10" x14ac:dyDescent="0.2">
      <c r="I72" s="140"/>
      <c r="J72" s="140"/>
    </row>
    <row r="73" spans="9:10" x14ac:dyDescent="0.2">
      <c r="I73" s="140"/>
      <c r="J73" s="140"/>
    </row>
    <row r="74" spans="9:10" x14ac:dyDescent="0.2">
      <c r="I74" s="140"/>
      <c r="J74" s="140"/>
    </row>
    <row r="75" spans="9:10" x14ac:dyDescent="0.2">
      <c r="I75" s="140"/>
      <c r="J75" s="140"/>
    </row>
    <row r="76" spans="9:10" x14ac:dyDescent="0.2">
      <c r="I76" s="140"/>
      <c r="J76" s="140"/>
    </row>
    <row r="77" spans="9:10" x14ac:dyDescent="0.2">
      <c r="I77" s="140"/>
      <c r="J77" s="140"/>
    </row>
    <row r="78" spans="9:10" x14ac:dyDescent="0.2">
      <c r="I78" s="140"/>
      <c r="J78" s="140"/>
    </row>
    <row r="79" spans="9:10" x14ac:dyDescent="0.2">
      <c r="I79" s="140"/>
      <c r="J79" s="140"/>
    </row>
    <row r="80" spans="9:10" x14ac:dyDescent="0.2">
      <c r="I80" s="140"/>
      <c r="J80" s="140"/>
    </row>
    <row r="81" spans="9:10" x14ac:dyDescent="0.2">
      <c r="I81" s="140"/>
      <c r="J81" s="140"/>
    </row>
    <row r="82" spans="9:10" x14ac:dyDescent="0.2">
      <c r="I82" s="140"/>
      <c r="J82" s="140"/>
    </row>
    <row r="83" spans="9:10" x14ac:dyDescent="0.2">
      <c r="I83" s="140"/>
      <c r="J83" s="140"/>
    </row>
    <row r="84" spans="9:10" x14ac:dyDescent="0.2">
      <c r="I84" s="140"/>
      <c r="J84" s="140"/>
    </row>
    <row r="85" spans="9:10" x14ac:dyDescent="0.2">
      <c r="I85" s="140"/>
      <c r="J85" s="140"/>
    </row>
    <row r="86" spans="9:10" x14ac:dyDescent="0.2">
      <c r="I86" s="140"/>
      <c r="J86" s="140"/>
    </row>
    <row r="87" spans="9:10" x14ac:dyDescent="0.2">
      <c r="I87" s="140"/>
      <c r="J87" s="140"/>
    </row>
    <row r="88" spans="9:10" x14ac:dyDescent="0.2">
      <c r="I88" s="140"/>
      <c r="J88" s="140"/>
    </row>
    <row r="89" spans="9:10" x14ac:dyDescent="0.2">
      <c r="I89" s="140"/>
      <c r="J89" s="140"/>
    </row>
    <row r="90" spans="9:10" x14ac:dyDescent="0.2">
      <c r="I90" s="140"/>
      <c r="J90" s="140"/>
    </row>
    <row r="91" spans="9:10" x14ac:dyDescent="0.2">
      <c r="I91" s="140"/>
      <c r="J91" s="140"/>
    </row>
    <row r="92" spans="9:10" x14ac:dyDescent="0.2">
      <c r="I92" s="140"/>
      <c r="J92" s="140"/>
    </row>
    <row r="93" spans="9:10" x14ac:dyDescent="0.2">
      <c r="I93" s="140"/>
      <c r="J93" s="140"/>
    </row>
    <row r="94" spans="9:10" x14ac:dyDescent="0.2">
      <c r="I94" s="140"/>
      <c r="J94" s="140"/>
    </row>
    <row r="95" spans="9:10" x14ac:dyDescent="0.2">
      <c r="I95" s="140"/>
      <c r="J95" s="140"/>
    </row>
    <row r="96" spans="9:10" x14ac:dyDescent="0.2">
      <c r="I96" s="140"/>
      <c r="J96" s="140"/>
    </row>
    <row r="97" spans="9:10" x14ac:dyDescent="0.2">
      <c r="I97" s="140"/>
      <c r="J97" s="140"/>
    </row>
    <row r="98" spans="9:10" x14ac:dyDescent="0.2">
      <c r="I98" s="140"/>
      <c r="J98" s="140"/>
    </row>
    <row r="99" spans="9:10" x14ac:dyDescent="0.2">
      <c r="I99" s="140"/>
      <c r="J99" s="140"/>
    </row>
    <row r="100" spans="9:10" x14ac:dyDescent="0.2">
      <c r="I100" s="140"/>
      <c r="J100" s="140"/>
    </row>
    <row r="101" spans="9:10" x14ac:dyDescent="0.2">
      <c r="I101" s="140"/>
      <c r="J101" s="140"/>
    </row>
    <row r="102" spans="9:10" x14ac:dyDescent="0.2">
      <c r="I102" s="140"/>
      <c r="J102" s="140"/>
    </row>
    <row r="103" spans="9:10" x14ac:dyDescent="0.2">
      <c r="I103" s="140"/>
      <c r="J103" s="140"/>
    </row>
    <row r="104" spans="9:10" x14ac:dyDescent="0.2">
      <c r="I104" s="140"/>
      <c r="J104" s="140"/>
    </row>
    <row r="105" spans="9:10" x14ac:dyDescent="0.2">
      <c r="I105" s="140"/>
      <c r="J105" s="140"/>
    </row>
    <row r="106" spans="9:10" x14ac:dyDescent="0.2">
      <c r="I106" s="140"/>
      <c r="J106" s="140"/>
    </row>
    <row r="107" spans="9:10" x14ac:dyDescent="0.2">
      <c r="I107" s="140"/>
      <c r="J107" s="140"/>
    </row>
    <row r="108" spans="9:10" x14ac:dyDescent="0.2">
      <c r="I108" s="140"/>
      <c r="J108" s="140"/>
    </row>
    <row r="109" spans="9:10" x14ac:dyDescent="0.2">
      <c r="I109" s="140"/>
      <c r="J109" s="140"/>
    </row>
    <row r="110" spans="9:10" x14ac:dyDescent="0.2">
      <c r="I110" s="140"/>
      <c r="J110" s="140"/>
    </row>
    <row r="111" spans="9:10" x14ac:dyDescent="0.2">
      <c r="I111" s="141"/>
      <c r="J111" s="140"/>
    </row>
    <row r="112" spans="9:10" x14ac:dyDescent="0.2">
      <c r="I112" s="141"/>
      <c r="J112" s="140"/>
    </row>
    <row r="113" spans="9:10" x14ac:dyDescent="0.2">
      <c r="I113" s="141"/>
      <c r="J113" s="140"/>
    </row>
    <row r="114" spans="9:10" x14ac:dyDescent="0.2">
      <c r="I114" s="141"/>
      <c r="J114" s="140"/>
    </row>
    <row r="115" spans="9:10" x14ac:dyDescent="0.2">
      <c r="I115" s="141"/>
      <c r="J115" s="140"/>
    </row>
    <row r="116" spans="9:10" x14ac:dyDescent="0.2">
      <c r="I116" s="141"/>
      <c r="J116" s="140"/>
    </row>
    <row r="117" spans="9:10" x14ac:dyDescent="0.2">
      <c r="I117" s="141"/>
      <c r="J117" s="141"/>
    </row>
    <row r="118" spans="9:10" x14ac:dyDescent="0.2">
      <c r="I118" s="141"/>
      <c r="J118" s="141"/>
    </row>
    <row r="119" spans="9:10" x14ac:dyDescent="0.2">
      <c r="I119" s="141"/>
      <c r="J119" s="141"/>
    </row>
    <row r="120" spans="9:10" x14ac:dyDescent="0.2">
      <c r="I120" s="141"/>
      <c r="J120" s="141"/>
    </row>
    <row r="121" spans="9:10" x14ac:dyDescent="0.2">
      <c r="I121" s="141"/>
      <c r="J121" s="141"/>
    </row>
    <row r="122" spans="9:10" x14ac:dyDescent="0.2">
      <c r="I122" s="141"/>
      <c r="J122" s="141"/>
    </row>
    <row r="123" spans="9:10" x14ac:dyDescent="0.2">
      <c r="I123" s="141"/>
      <c r="J123" s="141"/>
    </row>
    <row r="124" spans="9:10" x14ac:dyDescent="0.2">
      <c r="I124" s="141"/>
      <c r="J124" s="141"/>
    </row>
    <row r="125" spans="9:10" x14ac:dyDescent="0.2">
      <c r="I125" s="141"/>
      <c r="J125" s="141"/>
    </row>
    <row r="126" spans="9:10" x14ac:dyDescent="0.2">
      <c r="I126" s="141"/>
      <c r="J126" s="141"/>
    </row>
    <row r="127" spans="9:10" x14ac:dyDescent="0.2">
      <c r="J127" s="141"/>
    </row>
    <row r="128" spans="9:10" x14ac:dyDescent="0.2">
      <c r="J128" s="141"/>
    </row>
    <row r="129" spans="10:10" x14ac:dyDescent="0.2">
      <c r="J129" s="141"/>
    </row>
    <row r="130" spans="10:10" x14ac:dyDescent="0.2">
      <c r="J130" s="141"/>
    </row>
    <row r="131" spans="10:10" x14ac:dyDescent="0.2">
      <c r="J131" s="141"/>
    </row>
    <row r="132" spans="10:10" x14ac:dyDescent="0.2">
      <c r="J132" s="141"/>
    </row>
  </sheetData>
  <mergeCells count="5">
    <mergeCell ref="W2:Y2"/>
    <mergeCell ref="N3:N5"/>
    <mergeCell ref="N9:N10"/>
    <mergeCell ref="R9:R10"/>
    <mergeCell ref="T9:T10"/>
  </mergeCells>
  <dataValidations count="3">
    <dataValidation type="list" allowBlank="1" showInputMessage="1" showErrorMessage="1" sqref="D11">
      <formula1>"linear,MonotonicCubicNaturalSpline, CubicNaturalSpline"</formula1>
    </dataValidation>
    <dataValidation type="list" allowBlank="1" showInputMessage="1" showErrorMessage="1" sqref="D12">
      <formula1>"Delta(0M;1M)extrap,fixing"</formula1>
    </dataValidation>
    <dataValidation type="list" allowBlank="1" showInputMessage="1" showErrorMessage="1" sqref="C22">
      <formula1>"flat,linear,quadratic"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F257"/>
  <sheetViews>
    <sheetView workbookViewId="0"/>
  </sheetViews>
  <sheetFormatPr defaultColWidth="9.5" defaultRowHeight="11.25" x14ac:dyDescent="0.2"/>
  <cols>
    <col min="1" max="2" width="3.5" style="115" customWidth="1"/>
    <col min="3" max="5" width="22.83203125" style="115" customWidth="1"/>
    <col min="6" max="6" width="10.5" style="115" bestFit="1" customWidth="1"/>
    <col min="7" max="8" width="14.1640625" style="115" bestFit="1" customWidth="1"/>
    <col min="9" max="9" width="10.5" style="115" bestFit="1" customWidth="1"/>
    <col min="10" max="11" width="9.33203125" style="115" bestFit="1" customWidth="1"/>
    <col min="12" max="12" width="10.5" style="115" bestFit="1" customWidth="1"/>
    <col min="13" max="13" width="10.83203125" style="115" customWidth="1"/>
    <col min="14" max="14" width="13.1640625" style="115" customWidth="1"/>
    <col min="15" max="17" width="6.83203125" style="115" customWidth="1"/>
    <col min="18" max="18" width="2.33203125" style="115" bestFit="1" customWidth="1"/>
    <col min="19" max="19" width="10.83203125" style="115" customWidth="1"/>
    <col min="20" max="20" width="2.33203125" style="115" bestFit="1" customWidth="1"/>
    <col min="21" max="21" width="10.83203125" style="115" customWidth="1"/>
    <col min="22" max="22" width="12.5" style="115" bestFit="1" customWidth="1"/>
    <col min="23" max="25" width="9.33203125" style="115" bestFit="1" customWidth="1"/>
    <col min="26" max="27" width="9.5" style="115"/>
    <col min="28" max="28" width="20.33203125" style="115" bestFit="1" customWidth="1"/>
    <col min="29" max="29" width="8.1640625" style="115" bestFit="1" customWidth="1"/>
    <col min="30" max="31" width="9.5" style="115" bestFit="1" customWidth="1"/>
    <col min="32" max="32" width="12.1640625" style="115" customWidth="1"/>
    <col min="33" max="16384" width="9.5" style="115"/>
  </cols>
  <sheetData>
    <row r="2" spans="1:32" ht="19.5" customHeight="1" x14ac:dyDescent="0.2">
      <c r="C2" s="142" t="s">
        <v>85</v>
      </c>
      <c r="D2" s="142" t="s">
        <v>70</v>
      </c>
      <c r="E2" s="142" t="s">
        <v>71</v>
      </c>
      <c r="F2" s="142" t="s">
        <v>126</v>
      </c>
      <c r="G2" s="142" t="s">
        <v>130</v>
      </c>
      <c r="H2" s="142" t="s">
        <v>131</v>
      </c>
      <c r="I2" s="142" t="s">
        <v>92</v>
      </c>
      <c r="J2" s="143" t="s">
        <v>93</v>
      </c>
      <c r="K2" s="142" t="s">
        <v>94</v>
      </c>
      <c r="L2" s="142" t="s">
        <v>101</v>
      </c>
      <c r="S2" s="132" t="s">
        <v>90</v>
      </c>
      <c r="W2" s="551" t="s">
        <v>89</v>
      </c>
      <c r="X2" s="551"/>
      <c r="Y2" s="551"/>
      <c r="AB2" s="142" t="s">
        <v>70</v>
      </c>
      <c r="AC2" s="142" t="s">
        <v>122</v>
      </c>
      <c r="AD2" s="142" t="s">
        <v>39</v>
      </c>
      <c r="AE2" s="142" t="s">
        <v>83</v>
      </c>
      <c r="AF2" s="142" t="s">
        <v>84</v>
      </c>
    </row>
    <row r="3" spans="1:32" ht="12" customHeight="1" x14ac:dyDescent="0.2">
      <c r="C3" s="147" t="str">
        <f>$D$10&amp;"LastFixing"&amp;QuoteSuffix</f>
        <v>Euribor1YLastFixing_Quote</v>
      </c>
      <c r="D3" s="148">
        <f>_xll.qlCalendarAdvance(Calendar,_xll.qlLastFixingQuoteReferenceDate($C$3),_xll.qlInterestRateIndexFixingDays($D$10)&amp;"D","f",,LastFixingsTrigger)</f>
        <v>42160</v>
      </c>
      <c r="E3" s="148">
        <f>_xll.qlInterestRateIndexMaturity($D$10,D3)</f>
        <v>42527</v>
      </c>
      <c r="F3" s="149">
        <f>'1Y Delta'!W31</f>
        <v>2.8549970316862584E-3</v>
      </c>
      <c r="G3" s="150">
        <f>_xll.qlDayCounterYearFraction(DayCounter,SettlementDate,D3,,,Trigger)</f>
        <v>0</v>
      </c>
      <c r="H3" s="150">
        <f>_xll.qlDayCounterYearFraction(DayCounter,SettlementDate,E3,,,Trigger)</f>
        <v>1.0194444444444444</v>
      </c>
      <c r="I3" s="150">
        <f>H3-G3</f>
        <v>1.0194444444444444</v>
      </c>
      <c r="J3" s="150">
        <f>(H3^2-G3^2)/2</f>
        <v>0.51963348765432094</v>
      </c>
      <c r="K3" s="150">
        <f>(H3^3-G3^3)/3</f>
        <v>0.35315831475765885</v>
      </c>
      <c r="L3" s="151" t="b">
        <f>IF(D12="fixing",TRUE,FALSE)</f>
        <v>0</v>
      </c>
      <c r="N3" s="552" t="s">
        <v>86</v>
      </c>
      <c r="O3" s="127">
        <f t="array" ref="O3:O5">_xll.ohFilter(K3:K7,L3:L7)</f>
        <v>0.35315831475765885</v>
      </c>
      <c r="P3" s="133">
        <f t="array" ref="P3:P5">_xll.ohFilter(J3:J7,L3:L7)</f>
        <v>0.51963348765432094</v>
      </c>
      <c r="Q3" s="128">
        <f t="array" ref="Q3:Q5">_xll.ohFilter(I3:I7,L3:L7)</f>
        <v>1.0194444444444444</v>
      </c>
      <c r="R3" s="134"/>
      <c r="S3" s="129">
        <f t="array" ref="S3:S5">MMULT(W3:Y5,U3:U5)</f>
        <v>-2.0684689745069231E-2</v>
      </c>
      <c r="T3" s="135"/>
      <c r="U3" s="130">
        <f t="array" ref="U3:U5">_xll.ohFilter(F3:F7,L3:L7)</f>
        <v>2.8549970316862584E-3</v>
      </c>
      <c r="W3" s="127">
        <f t="array" ref="W3:Y5">MINVERSE(O3:Q5)</f>
        <v>7.3434201304558071</v>
      </c>
      <c r="X3" s="133">
        <v>-14.929261759543571</v>
      </c>
      <c r="Y3" s="128">
        <v>7.5657776396602889</v>
      </c>
      <c r="AB3" s="164">
        <f>SettlementDate</f>
        <v>42160</v>
      </c>
      <c r="AC3" s="155">
        <f>_xll.qlDayCounterYearFraction(DayCounter,SettlementDate,AB3,,,Trigger)</f>
        <v>0</v>
      </c>
      <c r="AD3" s="180">
        <f t="shared" ref="AD3:AD66" si="0">$S$13</f>
        <v>2.8005420474306623E-3</v>
      </c>
      <c r="AE3" s="180">
        <f t="shared" ref="AE3:AE21" si="1">$S$10+$S$9*AC3</f>
        <v>1.8770964036538612E-3</v>
      </c>
      <c r="AF3" s="180">
        <f t="shared" ref="AF3:AF21" si="2">($S$5+$S$4*AC3+$S$3*AC3^2)</f>
        <v>-4.4249566271067717E-3</v>
      </c>
    </row>
    <row r="4" spans="1:32" ht="12" customHeight="1" x14ac:dyDescent="0.2">
      <c r="A4" s="115">
        <v>0</v>
      </c>
      <c r="B4" s="115">
        <f>A4+12</f>
        <v>12</v>
      </c>
      <c r="C4" s="152" t="str">
        <f>"Delta("&amp;A4&amp;"M,"&amp;B4&amp;"M)"</f>
        <v>Delta(0M,12M)</v>
      </c>
      <c r="D4" s="153">
        <f>SettlementDate</f>
        <v>42160</v>
      </c>
      <c r="E4" s="153">
        <f>_xll.qlInterestRateIndexMaturity($D$10,D4)</f>
        <v>42527</v>
      </c>
      <c r="F4" s="154">
        <f t="array" ref="F4:F7">Delta1Y</f>
        <v>2.8549970316862584E-3</v>
      </c>
      <c r="G4" s="155">
        <f>_xll.qlDayCounterYearFraction(DayCounter,SettlementDate,D4,,,Trigger)</f>
        <v>0</v>
      </c>
      <c r="H4" s="155">
        <f>_xll.qlDayCounterYearFraction(DayCounter,SettlementDate,E4,,,Trigger)</f>
        <v>1.0194444444444444</v>
      </c>
      <c r="I4" s="155">
        <f>H4-G4</f>
        <v>1.0194444444444444</v>
      </c>
      <c r="J4" s="155">
        <f>(H4^2-G4^2)/2</f>
        <v>0.51963348765432094</v>
      </c>
      <c r="K4" s="155">
        <f>(H4^3-G4^3)/3</f>
        <v>0.35315831475765885</v>
      </c>
      <c r="L4" s="156" t="b">
        <f>IF(D12="fixing",FALSE,TRUE)</f>
        <v>1</v>
      </c>
      <c r="N4" s="552"/>
      <c r="O4" s="127">
        <v>0.68948199588477355</v>
      </c>
      <c r="P4" s="133">
        <v>0.78226851851851831</v>
      </c>
      <c r="Q4" s="128">
        <v>1.0166666666666666</v>
      </c>
      <c r="R4" s="136" t="s">
        <v>37</v>
      </c>
      <c r="S4" s="129">
        <v>2.8233293277494124E-2</v>
      </c>
      <c r="T4" s="136" t="s">
        <v>38</v>
      </c>
      <c r="U4" s="130">
        <v>3.3255894311713077E-3</v>
      </c>
      <c r="W4" s="127">
        <v>-13.156961067066646</v>
      </c>
      <c r="X4" s="133">
        <v>22.857069876078871</v>
      </c>
      <c r="Y4" s="128">
        <v>-9.6641608279546638</v>
      </c>
      <c r="AB4" s="169">
        <f>_xll.qlCalendarAdvance(Calendar,AB3,"1d","mf",,Trigger)</f>
        <v>42163</v>
      </c>
      <c r="AC4" s="155">
        <f>_xll.qlDayCounterYearFraction(DayCounter,SettlementDate,AB4,,,Trigger)</f>
        <v>8.3333333333333332E-3</v>
      </c>
      <c r="AD4" s="167">
        <f t="shared" si="0"/>
        <v>2.8005420474306623E-3</v>
      </c>
      <c r="AE4" s="167">
        <f t="shared" si="1"/>
        <v>1.8921936076393129E-3</v>
      </c>
      <c r="AF4" s="167">
        <f t="shared" si="2"/>
        <v>-4.1911156199155057E-3</v>
      </c>
    </row>
    <row r="5" spans="1:32" ht="12" customHeight="1" x14ac:dyDescent="0.2">
      <c r="A5" s="117">
        <v>3</v>
      </c>
      <c r="B5" s="115">
        <f t="shared" ref="B5:B7" si="3">A5+12</f>
        <v>15</v>
      </c>
      <c r="C5" s="152" t="str">
        <f>"Delta("&amp;A5&amp;"M,"&amp;B5&amp;"M)"</f>
        <v>Delta(3M,15M)</v>
      </c>
      <c r="D5" s="153">
        <f>_xll.qlCalendarAdvance(Calendar,SettlementDate,A5&amp;"M","f")</f>
        <v>42254</v>
      </c>
      <c r="E5" s="153">
        <f>_xll.qlInterestRateIndexMaturity($D$10,D5)</f>
        <v>42620</v>
      </c>
      <c r="F5" s="154">
        <v>3.3255894311713077E-3</v>
      </c>
      <c r="G5" s="155">
        <f>_xll.qlDayCounterYearFraction(DayCounter,SettlementDate,D5,,,Trigger)</f>
        <v>0.26111111111111113</v>
      </c>
      <c r="H5" s="155">
        <f>_xll.qlDayCounterYearFraction(DayCounter,SettlementDate,E5,,,Trigger)</f>
        <v>1.2777777777777777</v>
      </c>
      <c r="I5" s="155">
        <f>H5-G5</f>
        <v>1.0166666666666666</v>
      </c>
      <c r="J5" s="155">
        <f>(H5^2-G5^2)/2</f>
        <v>0.78226851851851831</v>
      </c>
      <c r="K5" s="155">
        <f>(H5^3-G5^3)/3</f>
        <v>0.68948199588477355</v>
      </c>
      <c r="L5" s="156" t="b">
        <v>1</v>
      </c>
      <c r="N5" s="552"/>
      <c r="O5" s="127">
        <v>1.149923739711934</v>
      </c>
      <c r="P5" s="133">
        <v>1.0392592592592591</v>
      </c>
      <c r="Q5" s="128">
        <v>1.0166666666666666</v>
      </c>
      <c r="R5" s="117"/>
      <c r="S5" s="129">
        <v>-4.4249566271067717E-3</v>
      </c>
      <c r="T5" s="136"/>
      <c r="U5" s="130">
        <v>1.057189767361643E-3</v>
      </c>
      <c r="W5" s="127">
        <v>5.143397187514382</v>
      </c>
      <c r="X5" s="133">
        <v>-6.4789268799129269</v>
      </c>
      <c r="Y5" s="128">
        <v>2.3050832519955002</v>
      </c>
      <c r="AB5" s="169">
        <f>_xll.qlCalendarAdvance(Calendar,AB4,"1d","mf",,Trigger)</f>
        <v>42164</v>
      </c>
      <c r="AC5" s="155">
        <f>_xll.qlDayCounterYearFraction(DayCounter,SettlementDate,AB5,,,Trigger)</f>
        <v>1.1111111111111112E-2</v>
      </c>
      <c r="AD5" s="167">
        <f t="shared" si="0"/>
        <v>2.8005420474306623E-3</v>
      </c>
      <c r="AE5" s="167">
        <f t="shared" si="1"/>
        <v>1.8972260089677969E-3</v>
      </c>
      <c r="AF5" s="167">
        <f t="shared" si="2"/>
        <v>-4.1138070338685743E-3</v>
      </c>
    </row>
    <row r="6" spans="1:32" ht="12" customHeight="1" x14ac:dyDescent="0.2">
      <c r="A6" s="117">
        <v>6</v>
      </c>
      <c r="B6" s="118">
        <f t="shared" si="3"/>
        <v>18</v>
      </c>
      <c r="C6" s="152" t="str">
        <f>"Delta("&amp;A6&amp;"M,"&amp;B6&amp;"M)"</f>
        <v>Delta(6M,18M)</v>
      </c>
      <c r="D6" s="153">
        <f>_xll.qlCalendarAdvance(Calendar,SettlementDate,A6&amp;"M","f")</f>
        <v>42345</v>
      </c>
      <c r="E6" s="153">
        <f>_xll.qlInterestRateIndexMaturity($D$10,D6)</f>
        <v>42711</v>
      </c>
      <c r="F6" s="154">
        <v>1.057189767361643E-3</v>
      </c>
      <c r="G6" s="155">
        <f>_xll.qlDayCounterYearFraction(DayCounter,SettlementDate,D6,,,Trigger)</f>
        <v>0.51388888888888884</v>
      </c>
      <c r="H6" s="155">
        <f>_xll.qlDayCounterYearFraction(DayCounter,SettlementDate,E6,,,Trigger)</f>
        <v>1.5305555555555554</v>
      </c>
      <c r="I6" s="155">
        <f>H6-G6</f>
        <v>1.0166666666666666</v>
      </c>
      <c r="J6" s="155">
        <f>(H6^2-G6^2)/2</f>
        <v>1.0392592592592591</v>
      </c>
      <c r="K6" s="155">
        <f>(H6^3-G6^3)/3</f>
        <v>1.149923739711934</v>
      </c>
      <c r="L6" s="156" t="b">
        <v>1</v>
      </c>
      <c r="S6" s="131"/>
      <c r="T6" s="124"/>
      <c r="U6" s="125"/>
      <c r="AB6" s="169">
        <f>_xll.qlCalendarAdvance(Calendar,AB5,"1d","mf",,Trigger)</f>
        <v>42165</v>
      </c>
      <c r="AC6" s="155">
        <f>_xll.qlDayCounterYearFraction(DayCounter,SettlementDate,AB6,,,Trigger)</f>
        <v>1.3888888888888888E-2</v>
      </c>
      <c r="AD6" s="167">
        <f t="shared" si="0"/>
        <v>2.8005420474306623E-3</v>
      </c>
      <c r="AE6" s="167">
        <f t="shared" si="1"/>
        <v>1.9022584102962809E-3</v>
      </c>
      <c r="AF6" s="167">
        <f t="shared" si="2"/>
        <v>-4.0368176559967203E-3</v>
      </c>
    </row>
    <row r="7" spans="1:32" ht="12" customHeight="1" x14ac:dyDescent="0.2">
      <c r="A7" s="117">
        <v>12</v>
      </c>
      <c r="B7" s="118">
        <f t="shared" si="3"/>
        <v>24</v>
      </c>
      <c r="C7" s="157" t="str">
        <f>"Delta("&amp;A7&amp;"M,"&amp;B7&amp;"M)"</f>
        <v>Delta(12M,24M)</v>
      </c>
      <c r="D7" s="158">
        <f>_xll.qlCalendarAdvance(Calendar,SettlementDate,A7&amp;"M","f")</f>
        <v>42527</v>
      </c>
      <c r="E7" s="158">
        <f>_xll.qlInterestRateIndexMaturity($D$10,D7)</f>
        <v>42892</v>
      </c>
      <c r="F7" s="159">
        <v>-2.8487480280078221E-3</v>
      </c>
      <c r="G7" s="160">
        <f>_xll.qlDayCounterYearFraction(DayCounter,SettlementDate,D7,,,Trigger)</f>
        <v>1.0194444444444444</v>
      </c>
      <c r="H7" s="160">
        <f>_xll.qlDayCounterYearFraction(DayCounter,SettlementDate,E7,,,Trigger)</f>
        <v>2.0333333333333332</v>
      </c>
      <c r="I7" s="160">
        <f>H7-G7</f>
        <v>1.0138888888888888</v>
      </c>
      <c r="J7" s="160">
        <f>(H7^2-G7^2)/2</f>
        <v>1.5475887345679011</v>
      </c>
      <c r="K7" s="160">
        <f>(H7^3-G7^3)/3</f>
        <v>2.4490762531435752</v>
      </c>
      <c r="L7" s="161" t="b">
        <v>0</v>
      </c>
      <c r="S7" s="131"/>
      <c r="T7" s="124"/>
      <c r="U7" s="125"/>
      <c r="AB7" s="169">
        <f>_xll.qlCalendarAdvance(Calendar,AB6,"1d","mf",,Trigger)</f>
        <v>42166</v>
      </c>
      <c r="AC7" s="155">
        <f>_xll.qlDayCounterYearFraction(DayCounter,SettlementDate,AB7,,,Trigger)</f>
        <v>1.6666666666666666E-2</v>
      </c>
      <c r="AD7" s="167">
        <f t="shared" si="0"/>
        <v>2.8005420474306623E-3</v>
      </c>
      <c r="AE7" s="167">
        <f t="shared" si="1"/>
        <v>1.9072908116247646E-3</v>
      </c>
      <c r="AF7" s="167">
        <f t="shared" si="2"/>
        <v>-3.9601474862999446E-3</v>
      </c>
    </row>
    <row r="8" spans="1:32" ht="12" customHeight="1" x14ac:dyDescent="0.2">
      <c r="B8" s="118"/>
      <c r="C8" s="118"/>
      <c r="D8" s="119"/>
      <c r="E8" s="119"/>
      <c r="F8" s="120"/>
      <c r="G8" s="121"/>
      <c r="H8" s="121"/>
      <c r="I8" s="121"/>
      <c r="J8" s="121"/>
      <c r="K8" s="121"/>
      <c r="L8" s="122"/>
      <c r="S8" s="123" t="s">
        <v>91</v>
      </c>
      <c r="T8" s="124"/>
      <c r="U8" s="125"/>
      <c r="AB8" s="169">
        <f>_xll.qlCalendarAdvance(Calendar,AB7,"1d","mf",,Trigger)</f>
        <v>42167</v>
      </c>
      <c r="AC8" s="155">
        <f>_xll.qlDayCounterYearFraction(DayCounter,SettlementDate,AB8,,,Trigger)</f>
        <v>1.9444444444444445E-2</v>
      </c>
      <c r="AD8" s="167">
        <f t="shared" si="0"/>
        <v>2.8005420474306623E-3</v>
      </c>
      <c r="AE8" s="167">
        <f t="shared" si="1"/>
        <v>1.9123232129532486E-3</v>
      </c>
      <c r="AF8" s="167">
        <f t="shared" si="2"/>
        <v>-3.883796524778247E-3</v>
      </c>
    </row>
    <row r="9" spans="1:32" ht="12" customHeight="1" x14ac:dyDescent="0.2">
      <c r="C9" s="142" t="s">
        <v>137</v>
      </c>
      <c r="D9" s="177" t="s">
        <v>27</v>
      </c>
      <c r="N9" s="551" t="s">
        <v>87</v>
      </c>
      <c r="O9" s="126"/>
      <c r="P9" s="127">
        <f t="array" ref="P9:P10">_xll.ohFilter(J3:J7,L3:L7)</f>
        <v>0.51963348765432094</v>
      </c>
      <c r="Q9" s="128">
        <f t="array" ref="Q9:Q10">_xll.ohFilter(I3:I7,L3:L7)</f>
        <v>1.0194444444444444</v>
      </c>
      <c r="R9" s="550" t="s">
        <v>37</v>
      </c>
      <c r="S9" s="129">
        <f t="array" ref="S9:S10">MMULT(W9:X10,U9:U10)</f>
        <v>1.8116644782542133E-3</v>
      </c>
      <c r="T9" s="550" t="s">
        <v>38</v>
      </c>
      <c r="U9" s="130">
        <f t="array" ref="U9:U10">_xll.ohFilter(F3:F7,L3:L7)</f>
        <v>2.8549970316862584E-3</v>
      </c>
      <c r="W9" s="127">
        <f t="array" ref="W9:X10">MINVERSE(P9:Q10)</f>
        <v>-3.7768290372874453</v>
      </c>
      <c r="X9" s="128">
        <v>3.7871482423073566</v>
      </c>
      <c r="AB9" s="169">
        <f>_xll.qlCalendarAdvance(Calendar,AB8,"1d","mf",,Trigger)</f>
        <v>42170</v>
      </c>
      <c r="AC9" s="155">
        <f>_xll.qlDayCounterYearFraction(DayCounter,SettlementDate,AB9,,,Trigger)</f>
        <v>2.7777777777777776E-2</v>
      </c>
      <c r="AD9" s="167">
        <f t="shared" si="0"/>
        <v>2.8005420474306623E-3</v>
      </c>
      <c r="AE9" s="167">
        <f t="shared" si="1"/>
        <v>1.9274204169387004E-3</v>
      </c>
      <c r="AF9" s="167">
        <f t="shared" si="2"/>
        <v>-3.6566588892636242E-3</v>
      </c>
    </row>
    <row r="10" spans="1:32" ht="12" customHeight="1" x14ac:dyDescent="0.2">
      <c r="C10" s="142" t="s">
        <v>100</v>
      </c>
      <c r="D10" s="177" t="str">
        <f>PROPER(Currency)&amp;IborType&amp;D9</f>
        <v>Euribor1Y</v>
      </c>
      <c r="N10" s="551"/>
      <c r="O10" s="126"/>
      <c r="P10" s="127">
        <v>0.78226851851851831</v>
      </c>
      <c r="Q10" s="128">
        <v>1.0166666666666666</v>
      </c>
      <c r="R10" s="550"/>
      <c r="S10" s="129">
        <v>1.8770964036538612E-3</v>
      </c>
      <c r="T10" s="550"/>
      <c r="U10" s="130">
        <v>3.3255894311713077E-3</v>
      </c>
      <c r="W10" s="127">
        <v>2.9060601203572838</v>
      </c>
      <c r="X10" s="128">
        <v>-1.9303936179538885</v>
      </c>
      <c r="AB10" s="169">
        <f>_xll.qlCalendarAdvance(Calendar,AB9,"1d","mf",,Trigger)</f>
        <v>42171</v>
      </c>
      <c r="AC10" s="155">
        <f>_xll.qlDayCounterYearFraction(DayCounter,SettlementDate,AB10,,,Trigger)</f>
        <v>3.0555555555555555E-2</v>
      </c>
      <c r="AD10" s="167">
        <f t="shared" si="0"/>
        <v>2.8005420474306623E-3</v>
      </c>
      <c r="AE10" s="167">
        <f t="shared" si="1"/>
        <v>1.9324528182671843E-3</v>
      </c>
      <c r="AF10" s="167">
        <f t="shared" si="2"/>
        <v>-3.5815847604422401E-3</v>
      </c>
    </row>
    <row r="11" spans="1:32" ht="12" customHeight="1" x14ac:dyDescent="0.2">
      <c r="C11" s="142" t="s">
        <v>129</v>
      </c>
      <c r="D11" s="178" t="s">
        <v>79</v>
      </c>
      <c r="S11" s="131"/>
      <c r="T11" s="124"/>
      <c r="U11" s="125"/>
      <c r="AB11" s="169">
        <f>_xll.qlCalendarAdvance(Calendar,AB10,"1d","mf",,Trigger)</f>
        <v>42172</v>
      </c>
      <c r="AC11" s="155">
        <f>_xll.qlDayCounterYearFraction(DayCounter,SettlementDate,AB11,,,Trigger)</f>
        <v>3.3333333333333333E-2</v>
      </c>
      <c r="AD11" s="167">
        <f t="shared" si="0"/>
        <v>2.8005420474306623E-3</v>
      </c>
      <c r="AE11" s="167">
        <f t="shared" si="1"/>
        <v>1.9374852195956683E-3</v>
      </c>
      <c r="AF11" s="167">
        <f t="shared" si="2"/>
        <v>-3.5068298397959337E-3</v>
      </c>
    </row>
    <row r="12" spans="1:32" ht="12" customHeight="1" x14ac:dyDescent="0.2">
      <c r="C12" s="142" t="s">
        <v>128</v>
      </c>
      <c r="D12" s="177" t="s">
        <v>134</v>
      </c>
      <c r="S12" s="132" t="s">
        <v>35</v>
      </c>
      <c r="T12" s="124"/>
      <c r="U12" s="125"/>
      <c r="AB12" s="169">
        <f>_xll.qlCalendarAdvance(Calendar,AB11,"1d","mf",,Trigger)</f>
        <v>42173</v>
      </c>
      <c r="AC12" s="155">
        <f>_xll.qlDayCounterYearFraction(DayCounter,SettlementDate,AB12,,,Trigger)</f>
        <v>3.6111111111111108E-2</v>
      </c>
      <c r="AD12" s="167">
        <f t="shared" si="0"/>
        <v>2.8005420474306623E-3</v>
      </c>
      <c r="AE12" s="167">
        <f t="shared" si="1"/>
        <v>1.9425176209241523E-3</v>
      </c>
      <c r="AF12" s="167">
        <f t="shared" si="2"/>
        <v>-3.4323941273247055E-3</v>
      </c>
    </row>
    <row r="13" spans="1:32" ht="12" customHeight="1" x14ac:dyDescent="0.2">
      <c r="J13" s="144" t="str">
        <f>"Synthetic Deposits "&amp;D9</f>
        <v>Synthetic Deposits 1Y</v>
      </c>
      <c r="K13" s="144"/>
      <c r="L13" s="144"/>
      <c r="N13" s="137" t="s">
        <v>88</v>
      </c>
      <c r="Q13" s="138">
        <f t="array" ref="Q13">_xll.ohFilter(I3:I7,L3:L7)</f>
        <v>1.0194444444444444</v>
      </c>
      <c r="R13" s="137" t="s">
        <v>37</v>
      </c>
      <c r="S13" s="129">
        <f>MMULT(W13,U13)</f>
        <v>2.8005420474306623E-3</v>
      </c>
      <c r="T13" s="137" t="s">
        <v>38</v>
      </c>
      <c r="U13" s="130">
        <f t="array" ref="U13">_xll.ohFilter(F3:F7,L3:L7)</f>
        <v>2.8549970316862584E-3</v>
      </c>
      <c r="W13" s="138">
        <f>MINVERSE(Q13)</f>
        <v>0.98092643051771122</v>
      </c>
      <c r="AB13" s="169">
        <f>_xll.qlCalendarAdvance(Calendar,AB12,"1d","mf",,Trigger)</f>
        <v>42174</v>
      </c>
      <c r="AC13" s="155">
        <f>_xll.qlDayCounterYearFraction(DayCounter,SettlementDate,AB13,,,Trigger)</f>
        <v>3.888888888888889E-2</v>
      </c>
      <c r="AD13" s="167">
        <f t="shared" si="0"/>
        <v>2.8005420474306623E-3</v>
      </c>
      <c r="AE13" s="167">
        <f t="shared" si="1"/>
        <v>1.9475500222526361E-3</v>
      </c>
      <c r="AF13" s="167">
        <f t="shared" si="2"/>
        <v>-3.3582776230285556E-3</v>
      </c>
    </row>
    <row r="14" spans="1:32" ht="12" customHeight="1" x14ac:dyDescent="0.2">
      <c r="C14" s="142" t="s">
        <v>95</v>
      </c>
      <c r="D14" s="142" t="s">
        <v>70</v>
      </c>
      <c r="E14" s="142" t="s">
        <v>71</v>
      </c>
      <c r="F14" s="143" t="s">
        <v>122</v>
      </c>
      <c r="G14" s="143" t="s">
        <v>123</v>
      </c>
      <c r="H14" s="142" t="s">
        <v>124</v>
      </c>
      <c r="I14" s="143" t="s">
        <v>125</v>
      </c>
      <c r="J14" s="145" t="s">
        <v>88</v>
      </c>
      <c r="K14" s="145" t="s">
        <v>87</v>
      </c>
      <c r="L14" s="145" t="s">
        <v>114</v>
      </c>
      <c r="AB14" s="169">
        <f>_xll.qlCalendarAdvance(Calendar,AB13,"1d","mf",,Trigger)</f>
        <v>42177</v>
      </c>
      <c r="AC14" s="155">
        <f>_xll.qlDayCounterYearFraction(DayCounter,SettlementDate,AB14,,,Trigger)</f>
        <v>4.7222222222222221E-2</v>
      </c>
      <c r="AD14" s="167">
        <f t="shared" si="0"/>
        <v>2.8005420474306623E-3</v>
      </c>
      <c r="AE14" s="167">
        <f t="shared" si="1"/>
        <v>1.9626472262380878E-3</v>
      </c>
      <c r="AF14" s="167">
        <f t="shared" si="2"/>
        <v>-3.1378433591905757E-3</v>
      </c>
    </row>
    <row r="15" spans="1:32" ht="12" customHeight="1" x14ac:dyDescent="0.2">
      <c r="C15" s="162" t="s">
        <v>43</v>
      </c>
      <c r="D15" s="163">
        <f t="shared" ref="D15:D30" si="4">SettlementDate</f>
        <v>42160</v>
      </c>
      <c r="E15" s="164">
        <f>_xll.qlCalendarAdvance(Calendar,SettlementDate,C15,"Following",,Trigger)</f>
        <v>42163</v>
      </c>
      <c r="F15" s="165">
        <f>_xll.qlDayCounterYearFraction(DayCounter,D15,E15,,,Trigger)</f>
        <v>8.3333333333333332E-3</v>
      </c>
      <c r="G15" s="192">
        <f>_xll.qlYieldTSDiscount(Discounting,D15,,AllTriggers)</f>
        <v>1.0000066667000043</v>
      </c>
      <c r="H15" s="166">
        <f>_xll.qlYieldTSDiscount(Discounting,E15,,AllTriggers)</f>
        <v>1.0000167502701822</v>
      </c>
      <c r="I15" s="193">
        <f>(G15/H15-1)/F15</f>
        <v>-1.2100081533938933E-3</v>
      </c>
      <c r="J15" s="167">
        <f>((1+I15*F15)*EXP($S$13*F15)-1)/F15</f>
        <v>1.5905383342929014E-3</v>
      </c>
      <c r="K15" s="167">
        <f>((1+F15*I15)*EXP($S$10*F15+0.5*$S$9*F15^2)-1)/F15</f>
        <v>6.7463264809219936E-4</v>
      </c>
      <c r="L15" s="167">
        <f>((1+F15*I15)*EXP($S$5*F15+0.5*$S$4*F15^2+1/3*$S$3*F15^3)-1)/F15</f>
        <v>-5.5176841139292776E-3</v>
      </c>
      <c r="AB15" s="169">
        <f>_xll.qlCalendarAdvance(Calendar,AB14,"1d","mf",,Trigger)</f>
        <v>42178</v>
      </c>
      <c r="AC15" s="155">
        <f>_xll.qlDayCounterYearFraction(DayCounter,SettlementDate,AB15,,,Trigger)</f>
        <v>0.05</v>
      </c>
      <c r="AD15" s="167">
        <f t="shared" si="0"/>
        <v>2.8005420474306623E-3</v>
      </c>
      <c r="AE15" s="167">
        <f t="shared" si="1"/>
        <v>1.967679627566572E-3</v>
      </c>
      <c r="AF15" s="167">
        <f t="shared" si="2"/>
        <v>-3.0650036875947387E-3</v>
      </c>
    </row>
    <row r="16" spans="1:32" ht="12" customHeight="1" x14ac:dyDescent="0.2">
      <c r="C16" s="168" t="s">
        <v>44</v>
      </c>
      <c r="D16" s="153">
        <f>SettlementDate</f>
        <v>42160</v>
      </c>
      <c r="E16" s="169">
        <f>_xll.qlCalendarAdvance(Calendar,SettlementDate,C16,"Following",,Trigger)</f>
        <v>42167</v>
      </c>
      <c r="F16" s="155">
        <f>_xll.qlDayCounterYearFraction(DayCounter,D16,E16,,,Trigger)</f>
        <v>1.9444444444444445E-2</v>
      </c>
      <c r="G16" s="194">
        <f>_xll.qlYieldTSDiscount(Discounting,D16,,AllTriggers)</f>
        <v>1.0000066667000043</v>
      </c>
      <c r="H16" s="170">
        <f>_xll.qlYieldTSDiscount(Discounting,E16,,AllTriggers)</f>
        <v>1.000030195188585</v>
      </c>
      <c r="I16" s="193">
        <f t="shared" ref="I16:I18" si="5">(G16/H16-1)/F16</f>
        <v>-1.2100000194032695E-3</v>
      </c>
      <c r="J16" s="167">
        <f t="shared" ref="J16:J18" si="6">((1+I16*F16)*EXP($S$13*F16)-1)/F16</f>
        <v>1.5905523888142576E-3</v>
      </c>
      <c r="K16" s="167">
        <f t="shared" ref="K16:K18" si="7">((1+F16*I16)*EXP($S$10*F16+0.5*$S$9*F16^2)-1)/F16</f>
        <v>6.8470011225356994E-4</v>
      </c>
      <c r="L16" s="167">
        <f t="shared" ref="L16:L18" si="8">((1+F16*I16)*EXP($S$5*F16+0.5*$S$4*F16^2+1/3*$S$3*F16^3)-1)/F16</f>
        <v>-5.3628077687920394E-3</v>
      </c>
      <c r="AB16" s="169">
        <f>_xll.qlCalendarAdvance(Calendar,AB15,"1d","mf",,Trigger)</f>
        <v>42179</v>
      </c>
      <c r="AC16" s="155">
        <f>_xll.qlDayCounterYearFraction(DayCounter,SettlementDate,AB16,,,Trigger)</f>
        <v>5.2777777777777778E-2</v>
      </c>
      <c r="AD16" s="167">
        <f t="shared" si="0"/>
        <v>2.8005420474306623E-3</v>
      </c>
      <c r="AE16" s="167">
        <f t="shared" si="1"/>
        <v>1.9727120288950558E-3</v>
      </c>
      <c r="AF16" s="167">
        <f t="shared" si="2"/>
        <v>-2.9924832241739799E-3</v>
      </c>
    </row>
    <row r="17" spans="3:32" ht="12" customHeight="1" x14ac:dyDescent="0.2">
      <c r="C17" s="168" t="s">
        <v>45</v>
      </c>
      <c r="D17" s="153">
        <f t="shared" si="4"/>
        <v>42160</v>
      </c>
      <c r="E17" s="169">
        <f>_xll.qlCalendarAdvance(Calendar,SettlementDate,C17,"Following",,Trigger)</f>
        <v>42174</v>
      </c>
      <c r="F17" s="155">
        <f>_xll.qlDayCounterYearFraction(DayCounter,D17,E17,,,Trigger)</f>
        <v>3.888888888888889E-2</v>
      </c>
      <c r="G17" s="194">
        <f>_xll.qlYieldTSDiscount(Discounting,D17,,AllTriggers)</f>
        <v>1.0000066667000043</v>
      </c>
      <c r="H17" s="170">
        <f>_xll.qlYieldTSDiscount(Discounting,E17,,AllTriggers)</f>
        <v>1.0000525580007213</v>
      </c>
      <c r="I17" s="193">
        <f t="shared" si="5"/>
        <v>-1.1799999999974528E-3</v>
      </c>
      <c r="J17" s="167">
        <f t="shared" si="6"/>
        <v>1.6205660356849449E-3</v>
      </c>
      <c r="K17" s="167">
        <f t="shared" si="7"/>
        <v>7.323065650106335E-4</v>
      </c>
      <c r="L17" s="167">
        <f t="shared" si="8"/>
        <v>-5.0659313856352538E-3</v>
      </c>
      <c r="AB17" s="169">
        <f>_xll.qlCalendarAdvance(Calendar,AB16,"1d","mf",,Trigger)</f>
        <v>42180</v>
      </c>
      <c r="AC17" s="155">
        <f>_xll.qlDayCounterYearFraction(DayCounter,SettlementDate,AB17,,,Trigger)</f>
        <v>5.5555555555555552E-2</v>
      </c>
      <c r="AD17" s="167">
        <f t="shared" si="0"/>
        <v>2.8005420474306623E-3</v>
      </c>
      <c r="AE17" s="167">
        <f t="shared" si="1"/>
        <v>1.9777444302235395E-3</v>
      </c>
      <c r="AF17" s="167">
        <f t="shared" si="2"/>
        <v>-2.9202819689282994E-3</v>
      </c>
    </row>
    <row r="18" spans="3:32" ht="12" customHeight="1" x14ac:dyDescent="0.2">
      <c r="C18" s="168" t="s">
        <v>46</v>
      </c>
      <c r="D18" s="153">
        <f t="shared" si="4"/>
        <v>42160</v>
      </c>
      <c r="E18" s="169">
        <f>_xll.qlCalendarAdvance(Calendar,SettlementDate,C18,"Following",,Trigger)</f>
        <v>42181</v>
      </c>
      <c r="F18" s="155">
        <f>_xll.qlDayCounterYearFraction(DayCounter,D18,E18,,,Trigger)</f>
        <v>5.8333333333333334E-2</v>
      </c>
      <c r="G18" s="194">
        <f>_xll.qlYieldTSDiscount(Discounting,D18,,AllTriggers)</f>
        <v>1.0000066667000043</v>
      </c>
      <c r="H18" s="170">
        <f>_xll.qlYieldTSDiscount(Discounting,E18,,AllTriggers)</f>
        <v>1.0000755052306143</v>
      </c>
      <c r="I18" s="193">
        <f t="shared" si="5"/>
        <v>-1.179999999999356E-3</v>
      </c>
      <c r="J18" s="167">
        <f t="shared" si="6"/>
        <v>1.6205780287086619E-3</v>
      </c>
      <c r="K18" s="167">
        <f t="shared" si="7"/>
        <v>7.4991240601285369E-4</v>
      </c>
      <c r="L18" s="167">
        <f t="shared" si="8"/>
        <v>-4.804314653127203E-3</v>
      </c>
      <c r="AB18" s="169">
        <f>_xll.qlCalendarAdvance(Calendar,AB17,"1d","mf",,Trigger)</f>
        <v>42181</v>
      </c>
      <c r="AC18" s="155">
        <f>_xll.qlDayCounterYearFraction(DayCounter,SettlementDate,AB18,,,Trigger)</f>
        <v>5.8333333333333334E-2</v>
      </c>
      <c r="AD18" s="167">
        <f t="shared" si="0"/>
        <v>2.8005420474306623E-3</v>
      </c>
      <c r="AE18" s="167">
        <f t="shared" si="1"/>
        <v>1.9827768315520237E-3</v>
      </c>
      <c r="AF18" s="167">
        <f t="shared" si="2"/>
        <v>-2.8483999218576971E-3</v>
      </c>
    </row>
    <row r="19" spans="3:32" ht="12" customHeight="1" x14ac:dyDescent="0.2">
      <c r="C19" s="168" t="s">
        <v>40</v>
      </c>
      <c r="D19" s="153">
        <f t="shared" si="4"/>
        <v>42160</v>
      </c>
      <c r="E19" s="169">
        <f>_xll.qlCalendarAdvance(Calendar,SettlementDate,C19,"Following",,Trigger)</f>
        <v>42191</v>
      </c>
      <c r="F19" s="155">
        <f>_xll.qlDayCounterYearFraction(DayCounter,D19,E19,,,Trigger)</f>
        <v>8.611111111111111E-2</v>
      </c>
      <c r="G19" s="194">
        <f>_xll.qlYieldTSDiscount(Discounting,D19,,AllTriggers)</f>
        <v>1.0000066667000043</v>
      </c>
      <c r="H19" s="170">
        <f>_xll.qlYieldTSDiscount(Discounting,E19,,AllTriggers)</f>
        <v>1.0001090930777232</v>
      </c>
      <c r="I19" s="193">
        <f t="shared" ref="I19:I30" si="9">(G19/H19-1)/F19</f>
        <v>-1.1893378636920837E-3</v>
      </c>
      <c r="J19" s="167">
        <f t="shared" ref="J19:J30" si="10">((1+I19*F19)*EXP($S$13*F19)-1)/F19</f>
        <v>1.6112550444733547E-3</v>
      </c>
      <c r="K19" s="167">
        <f t="shared" ref="K19:K30" si="11">((1+F19*I19)*EXP($S$10*F19+0.5*$S$9*F19^2)-1)/F19</f>
        <v>7.6572509712032999E-4</v>
      </c>
      <c r="L19" s="167">
        <f t="shared" ref="L19:L30" si="12">((1+F19*I19)*EXP($S$5*F19+0.5*$S$4*F19^2+1/3*$S$3*F19^3)-1)/F19</f>
        <v>-4.4490293267951042E-3</v>
      </c>
      <c r="AB19" s="169">
        <f>_xll.qlCalendarAdvance(Calendar,AB18,"1d","mf",,Trigger)</f>
        <v>42184</v>
      </c>
      <c r="AC19" s="155">
        <f>_xll.qlDayCounterYearFraction(DayCounter,SettlementDate,AB19,,,Trigger)</f>
        <v>6.6666666666666666E-2</v>
      </c>
      <c r="AD19" s="167">
        <f t="shared" si="0"/>
        <v>2.8005420474306623E-3</v>
      </c>
      <c r="AE19" s="167">
        <f t="shared" si="1"/>
        <v>1.9978740355374755E-3</v>
      </c>
      <c r="AF19" s="167">
        <f t="shared" si="2"/>
        <v>-2.6346690296963605E-3</v>
      </c>
    </row>
    <row r="20" spans="3:32" ht="12" customHeight="1" x14ac:dyDescent="0.2">
      <c r="C20" s="168" t="s">
        <v>47</v>
      </c>
      <c r="D20" s="153">
        <f t="shared" si="4"/>
        <v>42160</v>
      </c>
      <c r="E20" s="169">
        <f>_xll.qlCalendarAdvance(Calendar,SettlementDate,C20,"Following",,Trigger)</f>
        <v>42221</v>
      </c>
      <c r="F20" s="155">
        <f>_xll.qlDayCounterYearFraction(DayCounter,D20,E20,,,Trigger)</f>
        <v>0.16944444444444445</v>
      </c>
      <c r="G20" s="194">
        <f>_xll.qlYieldTSDiscount(Discounting,D20,,AllTriggers)</f>
        <v>1.0000066667000043</v>
      </c>
      <c r="H20" s="170">
        <f>_xll.qlYieldTSDiscount(Discounting,E20,,AllTriggers)</f>
        <v>1.0002130018004083</v>
      </c>
      <c r="I20" s="193">
        <f t="shared" si="9"/>
        <v>-1.2174560263214643E-3</v>
      </c>
      <c r="J20" s="167">
        <f t="shared" si="10"/>
        <v>1.5831727414809473E-3</v>
      </c>
      <c r="K20" s="167">
        <f t="shared" si="11"/>
        <v>8.1305902712131462E-4</v>
      </c>
      <c r="L20" s="167">
        <f t="shared" si="12"/>
        <v>-3.4475058276552729E-3</v>
      </c>
      <c r="AB20" s="169">
        <f>_xll.qlCalendarAdvance(Calendar,AB19,"1d","mf",,Trigger)</f>
        <v>42185</v>
      </c>
      <c r="AC20" s="155">
        <f>_xll.qlDayCounterYearFraction(DayCounter,SettlementDate,AB20,,,Trigger)</f>
        <v>6.9444444444444448E-2</v>
      </c>
      <c r="AD20" s="167">
        <f t="shared" si="0"/>
        <v>2.8005420474306623E-3</v>
      </c>
      <c r="AE20" s="167">
        <f t="shared" si="1"/>
        <v>2.0029064368659593E-3</v>
      </c>
      <c r="AF20" s="167">
        <f t="shared" si="2"/>
        <v>-2.5640638153260707E-3</v>
      </c>
    </row>
    <row r="21" spans="3:32" ht="12" customHeight="1" x14ac:dyDescent="0.2">
      <c r="C21" s="168" t="s">
        <v>41</v>
      </c>
      <c r="D21" s="153">
        <f t="shared" si="4"/>
        <v>42160</v>
      </c>
      <c r="E21" s="169">
        <f>_xll.qlCalendarAdvance(Calendar,SettlementDate,C21,"Following",,Trigger)</f>
        <v>42254</v>
      </c>
      <c r="F21" s="155">
        <f>_xll.qlDayCounterYearFraction(DayCounter,D21,E21,,,Trigger)</f>
        <v>0.26111111111111113</v>
      </c>
      <c r="G21" s="194">
        <f>_xll.qlYieldTSDiscount(Discounting,D21,,AllTriggers)</f>
        <v>1.0000066667000043</v>
      </c>
      <c r="H21" s="170">
        <f>_xll.qlYieldTSDiscount(Discounting,E21,,AllTriggers)</f>
        <v>1.0003339478197761</v>
      </c>
      <c r="I21" s="193">
        <f t="shared" si="9"/>
        <v>-1.2529986182886782E-3</v>
      </c>
      <c r="J21" s="167">
        <f t="shared" si="10"/>
        <v>1.5476510370230558E-3</v>
      </c>
      <c r="K21" s="167">
        <f t="shared" si="11"/>
        <v>8.6051228962265921E-4</v>
      </c>
      <c r="L21" s="167">
        <f t="shared" si="12"/>
        <v>-2.4614428770534549E-3</v>
      </c>
      <c r="AB21" s="169">
        <f>_xll.qlCalendarAdvance(Calendar,AB20,"1d","mf",,Trigger)</f>
        <v>42186</v>
      </c>
      <c r="AC21" s="155">
        <f>_xll.qlDayCounterYearFraction(DayCounter,SettlementDate,AB21,,,Trigger)</f>
        <v>7.2222222222222215E-2</v>
      </c>
      <c r="AD21" s="167">
        <f t="shared" si="0"/>
        <v>2.8005420474306623E-3</v>
      </c>
      <c r="AE21" s="167">
        <f t="shared" si="1"/>
        <v>2.0079388381944435E-3</v>
      </c>
      <c r="AF21" s="167">
        <f t="shared" si="2"/>
        <v>-2.4937778091308599E-3</v>
      </c>
    </row>
    <row r="22" spans="3:32" ht="12" customHeight="1" x14ac:dyDescent="0.2">
      <c r="C22" s="168" t="s">
        <v>48</v>
      </c>
      <c r="D22" s="153">
        <f t="shared" si="4"/>
        <v>42160</v>
      </c>
      <c r="E22" s="169">
        <f>_xll.qlCalendarAdvance(Calendar,SettlementDate,C22,"Following",,Trigger)</f>
        <v>42282</v>
      </c>
      <c r="F22" s="155">
        <f>_xll.qlDayCounterYearFraction(DayCounter,D22,E22,,,Trigger)</f>
        <v>0.33888888888888891</v>
      </c>
      <c r="G22" s="194">
        <f>_xll.qlYieldTSDiscount(Discounting,D22,,AllTriggers)</f>
        <v>1.0000066667000043</v>
      </c>
      <c r="H22" s="170">
        <f>_xll.qlYieldTSDiscount(Discounting,E22,,AllTriggers)</f>
        <v>1.0004332970861023</v>
      </c>
      <c r="I22" s="193">
        <f t="shared" si="9"/>
        <v>-1.2583640905332884E-3</v>
      </c>
      <c r="J22" s="167">
        <f t="shared" si="10"/>
        <v>1.5423124904949607E-3</v>
      </c>
      <c r="K22" s="167">
        <f t="shared" si="11"/>
        <v>9.2558554009575331E-4</v>
      </c>
      <c r="L22" s="167">
        <f t="shared" si="12"/>
        <v>-1.6909787950690593E-3</v>
      </c>
      <c r="AB22" s="169">
        <f>_xll.qlCalendarAdvance(Calendar,AB21,"1d","mf",,Trigger)</f>
        <v>42187</v>
      </c>
      <c r="AC22" s="155">
        <f>_xll.qlDayCounterYearFraction(DayCounter,SettlementDate,AB22,,,Trigger)</f>
        <v>7.4999999999999997E-2</v>
      </c>
      <c r="AD22" s="167">
        <f t="shared" si="0"/>
        <v>2.8005420474306623E-3</v>
      </c>
      <c r="AE22" s="167">
        <f t="shared" ref="AE22:AE85" si="13">$S$10+$S$9*AC22</f>
        <v>2.0129712395229272E-3</v>
      </c>
      <c r="AF22" s="167">
        <f t="shared" ref="AF22:AF85" si="14">($S$5+$S$4*AC22+$S$3*AC22^2)</f>
        <v>-2.423811011110727E-3</v>
      </c>
    </row>
    <row r="23" spans="3:32" ht="12" customHeight="1" x14ac:dyDescent="0.2">
      <c r="C23" s="168" t="s">
        <v>49</v>
      </c>
      <c r="D23" s="153">
        <f t="shared" si="4"/>
        <v>42160</v>
      </c>
      <c r="E23" s="169">
        <f>_xll.qlCalendarAdvance(Calendar,SettlementDate,C23,"Following",,Trigger)</f>
        <v>42313</v>
      </c>
      <c r="F23" s="155">
        <f>_xll.qlDayCounterYearFraction(DayCounter,D23,E23,,,Trigger)</f>
        <v>0.42499999999999999</v>
      </c>
      <c r="G23" s="194">
        <f>_xll.qlYieldTSDiscount(Discounting,D23,,AllTriggers)</f>
        <v>1.0000066667000043</v>
      </c>
      <c r="H23" s="170">
        <f>_xll.qlYieldTSDiscount(Discounting,E23,,AllTriggers)</f>
        <v>1.0005430435247975</v>
      </c>
      <c r="I23" s="193">
        <f t="shared" si="9"/>
        <v>-1.2613781339325147E-3</v>
      </c>
      <c r="J23" s="167">
        <f t="shared" si="10"/>
        <v>1.539328995642046E-3</v>
      </c>
      <c r="K23" s="167">
        <f t="shared" si="11"/>
        <v>1.0005714297074942E-3</v>
      </c>
      <c r="L23" s="167">
        <f t="shared" si="12"/>
        <v>-9.3230410703630941E-4</v>
      </c>
      <c r="AB23" s="169">
        <f>_xll.qlCalendarAdvance(Calendar,AB22,"1d","mf",,Trigger)</f>
        <v>42188</v>
      </c>
      <c r="AC23" s="155">
        <f>_xll.qlDayCounterYearFraction(DayCounter,SettlementDate,AB23,,,Trigger)</f>
        <v>7.7777777777777779E-2</v>
      </c>
      <c r="AD23" s="167">
        <f t="shared" si="0"/>
        <v>2.8005420474306623E-3</v>
      </c>
      <c r="AE23" s="167">
        <f t="shared" si="13"/>
        <v>2.018003640851411E-3</v>
      </c>
      <c r="AF23" s="167">
        <f t="shared" si="14"/>
        <v>-2.3541634212656723E-3</v>
      </c>
    </row>
    <row r="24" spans="3:32" ht="12" customHeight="1" x14ac:dyDescent="0.2">
      <c r="C24" s="168" t="s">
        <v>42</v>
      </c>
      <c r="D24" s="153">
        <f t="shared" si="4"/>
        <v>42160</v>
      </c>
      <c r="E24" s="169">
        <f>_xll.qlCalendarAdvance(Calendar,SettlementDate,C24,"Following",,Trigger)</f>
        <v>42345</v>
      </c>
      <c r="F24" s="155">
        <f>_xll.qlDayCounterYearFraction(DayCounter,D24,E24,,,Trigger)</f>
        <v>0.51388888888888884</v>
      </c>
      <c r="G24" s="194">
        <f>_xll.qlYieldTSDiscount(Discounting,D24,,AllTriggers)</f>
        <v>1.0000066667000043</v>
      </c>
      <c r="H24" s="170">
        <f>_xll.qlYieldTSDiscount(Discounting,E24,,AllTriggers)</f>
        <v>1.0006564659042034</v>
      </c>
      <c r="I24" s="193">
        <f t="shared" si="9"/>
        <v>-1.2636445875036217E-3</v>
      </c>
      <c r="J24" s="167">
        <f t="shared" si="10"/>
        <v>1.5370937460817639E-3</v>
      </c>
      <c r="K24" s="167">
        <f t="shared" si="11"/>
        <v>1.0788374176735377E-3</v>
      </c>
      <c r="L24" s="167">
        <f t="shared" si="12"/>
        <v>-2.5542369173963493E-4</v>
      </c>
      <c r="AB24" s="169">
        <f>_xll.qlCalendarAdvance(Calendar,AB23,"1d","mf",,Trigger)</f>
        <v>42191</v>
      </c>
      <c r="AC24" s="155">
        <f>_xll.qlDayCounterYearFraction(DayCounter,SettlementDate,AB24,,,Trigger)</f>
        <v>8.611111111111111E-2</v>
      </c>
      <c r="AD24" s="167">
        <f t="shared" si="0"/>
        <v>2.8005420474306623E-3</v>
      </c>
      <c r="AE24" s="167">
        <f t="shared" si="13"/>
        <v>2.0331008448368627E-3</v>
      </c>
      <c r="AF24" s="167">
        <f t="shared" si="14"/>
        <v>-2.1471359007809781E-3</v>
      </c>
    </row>
    <row r="25" spans="3:32" ht="12" customHeight="1" x14ac:dyDescent="0.2">
      <c r="C25" s="168" t="s">
        <v>50</v>
      </c>
      <c r="D25" s="153">
        <f t="shared" si="4"/>
        <v>42160</v>
      </c>
      <c r="E25" s="169">
        <f>_xll.qlCalendarAdvance(Calendar,SettlementDate,C25,"Following",,Trigger)</f>
        <v>42374</v>
      </c>
      <c r="F25" s="155">
        <f>_xll.qlDayCounterYearFraction(DayCounter,D25,E25,,,Trigger)</f>
        <v>0.59444444444444444</v>
      </c>
      <c r="G25" s="194">
        <f>_xll.qlYieldTSDiscount(Discounting,D25,,AllTriggers)</f>
        <v>1.0000066667000043</v>
      </c>
      <c r="H25" s="170">
        <f>_xll.qlYieldTSDiscount(Discounting,E25,,AllTriggers)</f>
        <v>1.000739596566798</v>
      </c>
      <c r="I25" s="193">
        <f t="shared" si="9"/>
        <v>-1.2320549074753093E-3</v>
      </c>
      <c r="J25" s="167">
        <f t="shared" si="10"/>
        <v>1.5687667664330833E-3</v>
      </c>
      <c r="K25" s="167">
        <f t="shared" si="11"/>
        <v>1.1834731435663517E-3</v>
      </c>
      <c r="L25" s="167">
        <f t="shared" si="12"/>
        <v>2.977159858417323E-4</v>
      </c>
      <c r="AB25" s="169">
        <f>_xll.qlCalendarAdvance(Calendar,AB24,"1d","mf",,Trigger)</f>
        <v>42192</v>
      </c>
      <c r="AC25" s="155">
        <f>_xll.qlDayCounterYearFraction(DayCounter,SettlementDate,AB25,,,Trigger)</f>
        <v>8.8888888888888892E-2</v>
      </c>
      <c r="AD25" s="167">
        <f t="shared" si="0"/>
        <v>2.8005420474306623E-3</v>
      </c>
      <c r="AE25" s="167">
        <f t="shared" si="13"/>
        <v>2.0381332461653469E-3</v>
      </c>
      <c r="AF25" s="167">
        <f t="shared" si="14"/>
        <v>-2.0787651436362359E-3</v>
      </c>
    </row>
    <row r="26" spans="3:32" ht="12" customHeight="1" x14ac:dyDescent="0.2">
      <c r="C26" s="168" t="s">
        <v>51</v>
      </c>
      <c r="D26" s="153">
        <f t="shared" si="4"/>
        <v>42160</v>
      </c>
      <c r="E26" s="169">
        <f>_xll.qlCalendarAdvance(Calendar,SettlementDate,C26,"Following",,Trigger)</f>
        <v>42405</v>
      </c>
      <c r="F26" s="155">
        <f>_xll.qlDayCounterYearFraction(DayCounter,D26,E26,,,Trigger)</f>
        <v>0.68055555555555558</v>
      </c>
      <c r="G26" s="194">
        <f>_xll.qlYieldTSDiscount(Discounting,D26,,AllTriggers)</f>
        <v>1.0000066667000043</v>
      </c>
      <c r="H26" s="170">
        <f>_xll.qlYieldTSDiscount(Discounting,E26,,AllTriggers)</f>
        <v>1.0008482008478627</v>
      </c>
      <c r="I26" s="193">
        <f t="shared" si="9"/>
        <v>-1.2354920269786452E-3</v>
      </c>
      <c r="J26" s="167">
        <f t="shared" si="10"/>
        <v>1.565363527677609E-3</v>
      </c>
      <c r="K26" s="167">
        <f t="shared" si="11"/>
        <v>1.2580921172753129E-3</v>
      </c>
      <c r="L26" s="167">
        <f t="shared" si="12"/>
        <v>7.5297501362004532E-4</v>
      </c>
      <c r="AB26" s="169">
        <f>_xll.qlCalendarAdvance(Calendar,AB25,"1d","mf",,Trigger)</f>
        <v>42193</v>
      </c>
      <c r="AC26" s="155">
        <f>_xll.qlDayCounterYearFraction(DayCounter,SettlementDate,AB26,,,Trigger)</f>
        <v>9.166666666666666E-2</v>
      </c>
      <c r="AD26" s="167">
        <f t="shared" si="0"/>
        <v>2.8005420474306623E-3</v>
      </c>
      <c r="AE26" s="167">
        <f t="shared" si="13"/>
        <v>2.0431656474938307E-3</v>
      </c>
      <c r="AF26" s="167">
        <f t="shared" si="14"/>
        <v>-2.0107135946665728E-3</v>
      </c>
    </row>
    <row r="27" spans="3:32" ht="12" customHeight="1" x14ac:dyDescent="0.2">
      <c r="C27" s="168" t="s">
        <v>52</v>
      </c>
      <c r="D27" s="153">
        <f t="shared" si="4"/>
        <v>42160</v>
      </c>
      <c r="E27" s="169">
        <f>_xll.qlCalendarAdvance(Calendar,SettlementDate,C27,"Following",,Trigger)</f>
        <v>42436</v>
      </c>
      <c r="F27" s="155">
        <f>_xll.qlDayCounterYearFraction(DayCounter,D27,E27,,,Trigger)</f>
        <v>0.76666666666666672</v>
      </c>
      <c r="G27" s="194">
        <f>_xll.qlYieldTSDiscount(Discounting,D27,,AllTriggers)</f>
        <v>1.0000066667000043</v>
      </c>
      <c r="H27" s="170">
        <f>_xll.qlYieldTSDiscount(Discounting,E27,,AllTriggers)</f>
        <v>1.0009545040337504</v>
      </c>
      <c r="I27" s="193">
        <f t="shared" si="9"/>
        <v>-1.2351306285886808E-3</v>
      </c>
      <c r="J27" s="167">
        <f t="shared" si="10"/>
        <v>1.5657652927472314E-3</v>
      </c>
      <c r="K27" s="167">
        <f t="shared" si="11"/>
        <v>1.3365362878190745E-3</v>
      </c>
      <c r="L27" s="167">
        <f t="shared" si="12"/>
        <v>1.1098949617508022E-3</v>
      </c>
      <c r="AB27" s="169">
        <f>_xll.qlCalendarAdvance(Calendar,AB26,"1d","mf",,Trigger)</f>
        <v>42194</v>
      </c>
      <c r="AC27" s="155">
        <f>_xll.qlDayCounterYearFraction(DayCounter,SettlementDate,AB27,,,Trigger)</f>
        <v>9.4444444444444442E-2</v>
      </c>
      <c r="AD27" s="167">
        <f t="shared" si="0"/>
        <v>2.8005420474306623E-3</v>
      </c>
      <c r="AE27" s="167">
        <f t="shared" si="13"/>
        <v>2.0481980488223145E-3</v>
      </c>
      <c r="AF27" s="167">
        <f t="shared" si="14"/>
        <v>-1.9429812538719875E-3</v>
      </c>
    </row>
    <row r="28" spans="3:32" ht="12" customHeight="1" x14ac:dyDescent="0.2">
      <c r="C28" s="168" t="s">
        <v>53</v>
      </c>
      <c r="D28" s="153">
        <f t="shared" si="4"/>
        <v>42160</v>
      </c>
      <c r="E28" s="169">
        <f>_xll.qlCalendarAdvance(Calendar,SettlementDate,C28,"Following",,Trigger)</f>
        <v>42465</v>
      </c>
      <c r="F28" s="155">
        <f>_xll.qlDayCounterYearFraction(DayCounter,D28,E28,,,Trigger)</f>
        <v>0.84722222222222221</v>
      </c>
      <c r="G28" s="194">
        <f>_xll.qlYieldTSDiscount(Discounting,D28,,AllTriggers)</f>
        <v>1.0000066667000043</v>
      </c>
      <c r="H28" s="170">
        <f>_xll.qlYieldTSDiscount(Discounting,E28,,AllTriggers)</f>
        <v>1.0010471016956808</v>
      </c>
      <c r="I28" s="193">
        <f t="shared" si="9"/>
        <v>-1.2267698683170822E-3</v>
      </c>
      <c r="J28" s="167">
        <f t="shared" si="10"/>
        <v>1.574183015455327E-3</v>
      </c>
      <c r="K28" s="167">
        <f t="shared" si="11"/>
        <v>1.4179808367093985E-3</v>
      </c>
      <c r="L28" s="167">
        <f t="shared" si="12"/>
        <v>1.3592976323563465E-3</v>
      </c>
      <c r="AB28" s="169">
        <f>_xll.qlCalendarAdvance(Calendar,AB27,"1d","mf",,Trigger)</f>
        <v>42195</v>
      </c>
      <c r="AC28" s="155">
        <f>_xll.qlDayCounterYearFraction(DayCounter,SettlementDate,AB28,,,Trigger)</f>
        <v>9.7222222222222224E-2</v>
      </c>
      <c r="AD28" s="167">
        <f t="shared" si="0"/>
        <v>2.8005420474306623E-3</v>
      </c>
      <c r="AE28" s="167">
        <f t="shared" si="13"/>
        <v>2.0532304501507987E-3</v>
      </c>
      <c r="AF28" s="167">
        <f t="shared" si="14"/>
        <v>-1.8755681212524805E-3</v>
      </c>
    </row>
    <row r="29" spans="3:32" ht="12" customHeight="1" x14ac:dyDescent="0.2">
      <c r="C29" s="168" t="s">
        <v>54</v>
      </c>
      <c r="D29" s="153">
        <f t="shared" si="4"/>
        <v>42160</v>
      </c>
      <c r="E29" s="169">
        <f>_xll.qlCalendarAdvance(Calendar,SettlementDate,C29,"Following",,Trigger)</f>
        <v>42495</v>
      </c>
      <c r="F29" s="155">
        <f>_xll.qlDayCounterYearFraction(DayCounter,D29,E29,,,Trigger)</f>
        <v>0.93055555555555558</v>
      </c>
      <c r="G29" s="194">
        <f>_xll.qlYieldTSDiscount(Discounting,D29,,AllTriggers)</f>
        <v>1.0000066667000043</v>
      </c>
      <c r="H29" s="170">
        <f>_xll.qlYieldTSDiscount(Discounting,E29,,AllTriggers)</f>
        <v>1.0011335715492937</v>
      </c>
      <c r="I29" s="193">
        <f t="shared" si="9"/>
        <v>-1.209631022789536E-3</v>
      </c>
      <c r="J29" s="167">
        <f t="shared" si="10"/>
        <v>1.5914069047792813E-3</v>
      </c>
      <c r="K29" s="167">
        <f t="shared" si="11"/>
        <v>1.5107722652824586E-3</v>
      </c>
      <c r="L29" s="167">
        <f t="shared" si="12"/>
        <v>1.5316225325313177E-3</v>
      </c>
      <c r="AB29" s="169">
        <f>_xll.qlCalendarAdvance(Calendar,AB28,"1d","mf",,Trigger)</f>
        <v>42198</v>
      </c>
      <c r="AC29" s="155">
        <f>_xll.qlDayCounterYearFraction(DayCounter,SettlementDate,AB29,,,Trigger)</f>
        <v>0.10555555555555556</v>
      </c>
      <c r="AD29" s="167">
        <f t="shared" si="0"/>
        <v>2.8005420474306623E-3</v>
      </c>
      <c r="AE29" s="167">
        <f t="shared" si="13"/>
        <v>2.0683276541362504E-3</v>
      </c>
      <c r="AF29" s="167">
        <f t="shared" si="14"/>
        <v>-1.6752439724444289E-3</v>
      </c>
    </row>
    <row r="30" spans="3:32" ht="12" customHeight="1" x14ac:dyDescent="0.2">
      <c r="C30" s="172" t="s">
        <v>55</v>
      </c>
      <c r="D30" s="158">
        <f t="shared" si="4"/>
        <v>42160</v>
      </c>
      <c r="E30" s="173">
        <f>_xll.qlCalendarAdvance(Calendar,SettlementDate,C30,"Following",,Trigger)</f>
        <v>42527</v>
      </c>
      <c r="F30" s="160">
        <f>_xll.qlDayCounterYearFraction(DayCounter,D30,E30,,,Trigger)</f>
        <v>1.0194444444444444</v>
      </c>
      <c r="G30" s="196">
        <f>_xll.qlYieldTSDiscount(Discounting,D30,,AllTriggers)</f>
        <v>1.0000066667000043</v>
      </c>
      <c r="H30" s="174">
        <f>_xll.qlYieldTSDiscount(Discounting,E30,,AllTriggers)</f>
        <v>1.0012326404928928</v>
      </c>
      <c r="I30" s="197">
        <f t="shared" si="9"/>
        <v>-1.2011095602860683E-3</v>
      </c>
      <c r="J30" s="176">
        <f t="shared" si="10"/>
        <v>1.6000000000000272E-3</v>
      </c>
      <c r="K30" s="176">
        <f t="shared" si="11"/>
        <v>1.6000000000000272E-3</v>
      </c>
      <c r="L30" s="176">
        <f t="shared" si="12"/>
        <v>1.6000000000000272E-3</v>
      </c>
      <c r="AB30" s="169">
        <f>_xll.qlCalendarAdvance(Calendar,AB29,"1d","mf",,Trigger)</f>
        <v>42199</v>
      </c>
      <c r="AC30" s="155">
        <f>_xll.qlDayCounterYearFraction(DayCounter,SettlementDate,AB30,,,Trigger)</f>
        <v>0.10833333333333334</v>
      </c>
      <c r="AD30" s="167">
        <f t="shared" si="0"/>
        <v>2.8005420474306623E-3</v>
      </c>
      <c r="AE30" s="167">
        <f t="shared" si="13"/>
        <v>2.0733600554647342E-3</v>
      </c>
      <c r="AF30" s="167">
        <f t="shared" si="14"/>
        <v>-1.6091076725252345E-3</v>
      </c>
    </row>
    <row r="31" spans="3:32" ht="12" customHeight="1" x14ac:dyDescent="0.2">
      <c r="AB31" s="169">
        <f>_xll.qlCalendarAdvance(Calendar,AB30,"1d","mf",,Trigger)</f>
        <v>42200</v>
      </c>
      <c r="AC31" s="155">
        <f>_xll.qlDayCounterYearFraction(DayCounter,SettlementDate,AB31,,,Trigger)</f>
        <v>0.1111111111111111</v>
      </c>
      <c r="AD31" s="167">
        <f t="shared" si="0"/>
        <v>2.8005420474306623E-3</v>
      </c>
      <c r="AE31" s="167">
        <f t="shared" si="13"/>
        <v>2.0783924567932184E-3</v>
      </c>
      <c r="AF31" s="167">
        <f t="shared" si="14"/>
        <v>-1.5432905807811191E-3</v>
      </c>
    </row>
    <row r="32" spans="3:32" ht="12" customHeight="1" x14ac:dyDescent="0.2">
      <c r="C32" s="142" t="s">
        <v>102</v>
      </c>
      <c r="AB32" s="169">
        <f>_xll.qlCalendarAdvance(Calendar,AB31,"1d","mf",,Trigger)</f>
        <v>42201</v>
      </c>
      <c r="AC32" s="155">
        <f>_xll.qlDayCounterYearFraction(DayCounter,SettlementDate,AB32,,,Trigger)</f>
        <v>0.11388888888888889</v>
      </c>
      <c r="AD32" s="167">
        <f t="shared" si="0"/>
        <v>2.8005420474306623E-3</v>
      </c>
      <c r="AE32" s="167">
        <f t="shared" si="13"/>
        <v>2.0834248581217021E-3</v>
      </c>
      <c r="AF32" s="167">
        <f t="shared" si="14"/>
        <v>-1.4777926972120814E-3</v>
      </c>
    </row>
    <row r="33" spans="3:32" x14ac:dyDescent="0.2">
      <c r="C33" s="179" t="s">
        <v>87</v>
      </c>
      <c r="AB33" s="169">
        <f>_xll.qlCalendarAdvance(Calendar,AB32,"1d","mf",,Trigger)</f>
        <v>42202</v>
      </c>
      <c r="AC33" s="155">
        <f>_xll.qlDayCounterYearFraction(DayCounter,SettlementDate,AB33,,,Trigger)</f>
        <v>0.11666666666666667</v>
      </c>
      <c r="AD33" s="167">
        <f t="shared" si="0"/>
        <v>2.8005420474306623E-3</v>
      </c>
      <c r="AE33" s="167">
        <f t="shared" si="13"/>
        <v>2.0884572594501859E-3</v>
      </c>
      <c r="AF33" s="167">
        <f t="shared" si="14"/>
        <v>-1.4126140218181217E-3</v>
      </c>
    </row>
    <row r="34" spans="3:32" x14ac:dyDescent="0.2">
      <c r="C34" s="167">
        <f t="shared" ref="C34:C49" si="15">IF($C$33="FLAT",J15,IF($C$33="linear",K15,L15))</f>
        <v>6.7463264809219936E-4</v>
      </c>
      <c r="AB34" s="169">
        <f>_xll.qlCalendarAdvance(Calendar,AB33,"1d","mf",,Trigger)</f>
        <v>42205</v>
      </c>
      <c r="AC34" s="155">
        <f>_xll.qlDayCounterYearFraction(DayCounter,SettlementDate,AB34,,,Trigger)</f>
        <v>0.125</v>
      </c>
      <c r="AD34" s="167">
        <f t="shared" si="0"/>
        <v>2.8005420474306623E-3</v>
      </c>
      <c r="AE34" s="167">
        <f t="shared" si="13"/>
        <v>2.1035544634356376E-3</v>
      </c>
      <c r="AF34" s="167">
        <f t="shared" si="14"/>
        <v>-1.218993244686713E-3</v>
      </c>
    </row>
    <row r="35" spans="3:32" x14ac:dyDescent="0.2">
      <c r="C35" s="167">
        <f t="shared" si="15"/>
        <v>6.8470011225356994E-4</v>
      </c>
      <c r="AB35" s="169">
        <f>_xll.qlCalendarAdvance(Calendar,AB34,"1d","mf",,Trigger)</f>
        <v>42206</v>
      </c>
      <c r="AC35" s="155">
        <f>_xll.qlDayCounterYearFraction(DayCounter,SettlementDate,AB35,,,Trigger)</f>
        <v>0.12777777777777777</v>
      </c>
      <c r="AD35" s="167">
        <f t="shared" si="0"/>
        <v>2.8005420474306623E-3</v>
      </c>
      <c r="AE35" s="167">
        <f t="shared" si="13"/>
        <v>2.1085868647641218E-3</v>
      </c>
      <c r="AF35" s="167">
        <f t="shared" si="14"/>
        <v>-1.1550914019930667E-3</v>
      </c>
    </row>
    <row r="36" spans="3:32" x14ac:dyDescent="0.2">
      <c r="C36" s="167">
        <f t="shared" si="15"/>
        <v>7.323065650106335E-4</v>
      </c>
      <c r="AB36" s="169">
        <f>_xll.qlCalendarAdvance(Calendar,AB35,"1d","mf",,Trigger)</f>
        <v>42207</v>
      </c>
      <c r="AC36" s="155">
        <f>_xll.qlDayCounterYearFraction(DayCounter,SettlementDate,AB36,,,Trigger)</f>
        <v>0.13055555555555556</v>
      </c>
      <c r="AD36" s="167">
        <f t="shared" si="0"/>
        <v>2.8005420474306623E-3</v>
      </c>
      <c r="AE36" s="167">
        <f t="shared" si="13"/>
        <v>2.1136192660926056E-3</v>
      </c>
      <c r="AF36" s="167">
        <f t="shared" si="14"/>
        <v>-1.0915087674744979E-3</v>
      </c>
    </row>
    <row r="37" spans="3:32" x14ac:dyDescent="0.2">
      <c r="C37" s="167">
        <f t="shared" si="15"/>
        <v>7.4991240601285369E-4</v>
      </c>
      <c r="AB37" s="169">
        <f>_xll.qlCalendarAdvance(Calendar,AB36,"1d","mf",,Trigger)</f>
        <v>42208</v>
      </c>
      <c r="AC37" s="155">
        <f>_xll.qlDayCounterYearFraction(DayCounter,SettlementDate,AB37,,,Trigger)</f>
        <v>0.13333333333333333</v>
      </c>
      <c r="AD37" s="167">
        <f t="shared" si="0"/>
        <v>2.8005420474306623E-3</v>
      </c>
      <c r="AE37" s="167">
        <f t="shared" si="13"/>
        <v>2.1186516674210898E-3</v>
      </c>
      <c r="AF37" s="167">
        <f t="shared" si="14"/>
        <v>-1.0282453411310081E-3</v>
      </c>
    </row>
    <row r="38" spans="3:32" x14ac:dyDescent="0.2">
      <c r="C38" s="167">
        <f t="shared" si="15"/>
        <v>7.6572509712032999E-4</v>
      </c>
      <c r="AB38" s="169">
        <f>_xll.qlCalendarAdvance(Calendar,AB37,"1d","mf",,Trigger)</f>
        <v>42209</v>
      </c>
      <c r="AC38" s="155">
        <f>_xll.qlDayCounterYearFraction(DayCounter,SettlementDate,AB38,,,Trigger)</f>
        <v>0.1361111111111111</v>
      </c>
      <c r="AD38" s="167">
        <f t="shared" si="0"/>
        <v>2.8005420474306623E-3</v>
      </c>
      <c r="AE38" s="167">
        <f t="shared" si="13"/>
        <v>2.1236840687495736E-3</v>
      </c>
      <c r="AF38" s="167">
        <f t="shared" si="14"/>
        <v>-9.653011229625966E-4</v>
      </c>
    </row>
    <row r="39" spans="3:32" x14ac:dyDescent="0.2">
      <c r="C39" s="167">
        <f t="shared" si="15"/>
        <v>8.1305902712131462E-4</v>
      </c>
      <c r="AB39" s="169">
        <f>_xll.qlCalendarAdvance(Calendar,AB38,"1d","mf",,Trigger)</f>
        <v>42212</v>
      </c>
      <c r="AC39" s="155">
        <f>_xll.qlDayCounterYearFraction(DayCounter,SettlementDate,AB39,,,Trigger)</f>
        <v>0.14444444444444443</v>
      </c>
      <c r="AD39" s="167">
        <f t="shared" si="0"/>
        <v>2.8005420474306623E-3</v>
      </c>
      <c r="AE39" s="167">
        <f t="shared" si="13"/>
        <v>2.1387812727350253E-3</v>
      </c>
      <c r="AF39" s="167">
        <f t="shared" si="14"/>
        <v>-7.7838371750783104E-4</v>
      </c>
    </row>
    <row r="40" spans="3:32" x14ac:dyDescent="0.2">
      <c r="C40" s="167">
        <f t="shared" si="15"/>
        <v>8.6051228962265921E-4</v>
      </c>
      <c r="AB40" s="169">
        <f>_xll.qlCalendarAdvance(Calendar,AB39,"1d","mf",,Trigger)</f>
        <v>42213</v>
      </c>
      <c r="AC40" s="155">
        <f>_xll.qlDayCounterYearFraction(DayCounter,SettlementDate,AB40,,,Trigger)</f>
        <v>0.14722222222222223</v>
      </c>
      <c r="AD40" s="167">
        <f t="shared" si="0"/>
        <v>2.8005420474306623E-3</v>
      </c>
      <c r="AE40" s="167">
        <f t="shared" si="13"/>
        <v>2.1438136740635095E-3</v>
      </c>
      <c r="AF40" s="167">
        <f t="shared" si="14"/>
        <v>-7.1671633203973127E-4</v>
      </c>
    </row>
    <row r="41" spans="3:32" x14ac:dyDescent="0.2">
      <c r="C41" s="167">
        <f t="shared" si="15"/>
        <v>9.2558554009575331E-4</v>
      </c>
      <c r="AB41" s="169">
        <f>_xll.qlCalendarAdvance(Calendar,AB40,"1d","mf",,Trigger)</f>
        <v>42214</v>
      </c>
      <c r="AC41" s="155">
        <f>_xll.qlDayCounterYearFraction(DayCounter,SettlementDate,AB41,,,Trigger)</f>
        <v>0.15</v>
      </c>
      <c r="AD41" s="167">
        <f t="shared" si="0"/>
        <v>2.8005420474306623E-3</v>
      </c>
      <c r="AE41" s="167">
        <f t="shared" si="13"/>
        <v>2.1488460753919933E-3</v>
      </c>
      <c r="AF41" s="167">
        <f t="shared" si="14"/>
        <v>-6.5536815474671124E-4</v>
      </c>
    </row>
    <row r="42" spans="3:32" x14ac:dyDescent="0.2">
      <c r="C42" s="167">
        <f t="shared" si="15"/>
        <v>1.0005714297074942E-3</v>
      </c>
      <c r="AB42" s="169">
        <f>_xll.qlCalendarAdvance(Calendar,AB41,"1d","mf",,Trigger)</f>
        <v>42215</v>
      </c>
      <c r="AC42" s="155">
        <f>_xll.qlDayCounterYearFraction(DayCounter,SettlementDate,AB42,,,Trigger)</f>
        <v>0.15277777777777779</v>
      </c>
      <c r="AD42" s="167">
        <f t="shared" si="0"/>
        <v>2.8005420474306623E-3</v>
      </c>
      <c r="AE42" s="167">
        <f t="shared" si="13"/>
        <v>2.153878476720477E-3</v>
      </c>
      <c r="AF42" s="167">
        <f t="shared" si="14"/>
        <v>-5.9433918562876793E-4</v>
      </c>
    </row>
    <row r="43" spans="3:32" ht="11.25" customHeight="1" x14ac:dyDescent="0.2">
      <c r="C43" s="167">
        <f t="shared" si="15"/>
        <v>1.0788374176735377E-3</v>
      </c>
      <c r="M43" s="139"/>
      <c r="AB43" s="169">
        <f>_xll.qlCalendarAdvance(Calendar,AB42,"1d","mf",,Trigger)</f>
        <v>42216</v>
      </c>
      <c r="AC43" s="155">
        <f>_xll.qlDayCounterYearFraction(DayCounter,SettlementDate,AB43,,,Trigger)</f>
        <v>0.15555555555555556</v>
      </c>
      <c r="AD43" s="167">
        <f t="shared" si="0"/>
        <v>2.8005420474306623E-3</v>
      </c>
      <c r="AE43" s="167">
        <f t="shared" si="13"/>
        <v>2.1589108780489608E-3</v>
      </c>
      <c r="AF43" s="167">
        <f t="shared" si="14"/>
        <v>-5.3362942468590437E-4</v>
      </c>
    </row>
    <row r="44" spans="3:32" x14ac:dyDescent="0.2">
      <c r="C44" s="167">
        <f t="shared" si="15"/>
        <v>1.1834731435663517E-3</v>
      </c>
      <c r="M44" s="139"/>
      <c r="AB44" s="169">
        <f>_xll.qlCalendarAdvance(Calendar,AB43,"1d","mf",,Trigger)</f>
        <v>42219</v>
      </c>
      <c r="AC44" s="155">
        <f>_xll.qlDayCounterYearFraction(DayCounter,SettlementDate,AB44,,,Trigger)</f>
        <v>0.16388888888888889</v>
      </c>
      <c r="AD44" s="167">
        <f t="shared" si="0"/>
        <v>2.8005420474306623E-3</v>
      </c>
      <c r="AE44" s="167">
        <f t="shared" si="13"/>
        <v>2.174008082034413E-3</v>
      </c>
      <c r="AF44" s="167">
        <f t="shared" si="14"/>
        <v>-3.534153909077808E-4</v>
      </c>
    </row>
    <row r="45" spans="3:32" x14ac:dyDescent="0.2">
      <c r="C45" s="167">
        <f t="shared" si="15"/>
        <v>1.2580921172753129E-3</v>
      </c>
      <c r="M45" s="139"/>
      <c r="AB45" s="169">
        <f>_xll.qlCalendarAdvance(Calendar,AB44,"1d","mf",,Trigger)</f>
        <v>42220</v>
      </c>
      <c r="AC45" s="155">
        <f>_xll.qlDayCounterYearFraction(DayCounter,SettlementDate,AB45,,,Trigger)</f>
        <v>0.16666666666666666</v>
      </c>
      <c r="AD45" s="167">
        <f t="shared" si="0"/>
        <v>2.8005420474306623E-3</v>
      </c>
      <c r="AE45" s="167">
        <f t="shared" si="13"/>
        <v>2.1790404833628967E-3</v>
      </c>
      <c r="AF45" s="167">
        <f t="shared" si="14"/>
        <v>-2.9398246266523016E-4</v>
      </c>
    </row>
    <row r="46" spans="3:32" x14ac:dyDescent="0.2">
      <c r="C46" s="167">
        <f t="shared" si="15"/>
        <v>1.3365362878190745E-3</v>
      </c>
      <c r="M46" s="139"/>
      <c r="AB46" s="169">
        <f>_xll.qlCalendarAdvance(Calendar,AB45,"1d","mf",,Trigger)</f>
        <v>42221</v>
      </c>
      <c r="AC46" s="155">
        <f>_xll.qlDayCounterYearFraction(DayCounter,SettlementDate,AB46,,,Trigger)</f>
        <v>0.16944444444444445</v>
      </c>
      <c r="AD46" s="167">
        <f t="shared" si="0"/>
        <v>2.8005420474306623E-3</v>
      </c>
      <c r="AE46" s="167">
        <f t="shared" si="13"/>
        <v>2.1840728846913805E-3</v>
      </c>
      <c r="AF46" s="167">
        <f t="shared" si="14"/>
        <v>-2.3486874259775624E-4</v>
      </c>
    </row>
    <row r="47" spans="3:32" x14ac:dyDescent="0.2">
      <c r="C47" s="167">
        <f t="shared" si="15"/>
        <v>1.4179808367093985E-3</v>
      </c>
      <c r="M47" s="139"/>
      <c r="AB47" s="169">
        <f>_xll.qlCalendarAdvance(Calendar,AB46,"1d","mf",,Trigger)</f>
        <v>42222</v>
      </c>
      <c r="AC47" s="155">
        <f>_xll.qlDayCounterYearFraction(DayCounter,SettlementDate,AB47,,,Trigger)</f>
        <v>0.17222222222222222</v>
      </c>
      <c r="AD47" s="167">
        <f t="shared" si="0"/>
        <v>2.8005420474306623E-3</v>
      </c>
      <c r="AE47" s="167">
        <f t="shared" si="13"/>
        <v>2.1891052860198647E-3</v>
      </c>
      <c r="AF47" s="167">
        <f t="shared" si="14"/>
        <v>-1.7607423070536206E-4</v>
      </c>
    </row>
    <row r="48" spans="3:32" x14ac:dyDescent="0.2">
      <c r="C48" s="167">
        <f t="shared" si="15"/>
        <v>1.5107722652824586E-3</v>
      </c>
      <c r="AB48" s="169">
        <f>_xll.qlCalendarAdvance(Calendar,AB47,"1d","mf",,Trigger)</f>
        <v>42223</v>
      </c>
      <c r="AC48" s="155">
        <f>_xll.qlDayCounterYearFraction(DayCounter,SettlementDate,AB48,,,Trigger)</f>
        <v>0.17499999999999999</v>
      </c>
      <c r="AD48" s="167">
        <f t="shared" si="0"/>
        <v>2.8005420474306623E-3</v>
      </c>
      <c r="AE48" s="167">
        <f t="shared" si="13"/>
        <v>2.1941376873483485E-3</v>
      </c>
      <c r="AF48" s="167">
        <f t="shared" si="14"/>
        <v>-1.1759892698804525E-4</v>
      </c>
    </row>
    <row r="49" spans="3:32" x14ac:dyDescent="0.2">
      <c r="C49" s="176">
        <f t="shared" si="15"/>
        <v>1.6000000000000272E-3</v>
      </c>
      <c r="AB49" s="169">
        <f>_xll.qlCalendarAdvance(Calendar,AB48,"1d","mf",,Trigger)</f>
        <v>42226</v>
      </c>
      <c r="AC49" s="155">
        <f>_xll.qlDayCounterYearFraction(DayCounter,SettlementDate,AB49,,,Trigger)</f>
        <v>0.18333333333333332</v>
      </c>
      <c r="AD49" s="167">
        <f t="shared" si="0"/>
        <v>2.8005420474306623E-3</v>
      </c>
      <c r="AE49" s="167">
        <f t="shared" si="13"/>
        <v>2.2092348913338002E-3</v>
      </c>
      <c r="AF49" s="167">
        <f t="shared" si="14"/>
        <v>5.5911735113434711E-5</v>
      </c>
    </row>
    <row r="50" spans="3:32" x14ac:dyDescent="0.2">
      <c r="I50" s="140"/>
      <c r="J50" s="140"/>
      <c r="AB50" s="169">
        <f>_xll.qlCalendarAdvance(Calendar,AB49,"1d","mf",,Trigger)</f>
        <v>42227</v>
      </c>
      <c r="AC50" s="155">
        <f>_xll.qlDayCounterYearFraction(DayCounter,SettlementDate,AB50,,,Trigger)</f>
        <v>0.18611111111111112</v>
      </c>
      <c r="AD50" s="167">
        <f t="shared" si="0"/>
        <v>2.8005420474306623E-3</v>
      </c>
      <c r="AE50" s="167">
        <f t="shared" si="13"/>
        <v>2.2142672926622844E-3</v>
      </c>
      <c r="AF50" s="167">
        <f t="shared" si="14"/>
        <v>1.1311020613043925E-4</v>
      </c>
    </row>
    <row r="51" spans="3:32" x14ac:dyDescent="0.2">
      <c r="AB51" s="169">
        <f>_xll.qlCalendarAdvance(Calendar,AB50,"1d","mf",,Trigger)</f>
        <v>42228</v>
      </c>
      <c r="AC51" s="155">
        <f>_xll.qlDayCounterYearFraction(DayCounter,SettlementDate,AB51,,,Trigger)</f>
        <v>0.18888888888888888</v>
      </c>
      <c r="AD51" s="167">
        <f t="shared" si="0"/>
        <v>2.8005420474306623E-3</v>
      </c>
      <c r="AE51" s="167">
        <f t="shared" si="13"/>
        <v>2.2192996939907682E-3</v>
      </c>
      <c r="AF51" s="167">
        <f t="shared" si="14"/>
        <v>1.6998946897236404E-4</v>
      </c>
    </row>
    <row r="52" spans="3:32" x14ac:dyDescent="0.2">
      <c r="AB52" s="169">
        <f>_xll.qlCalendarAdvance(Calendar,AB51,"1d","mf",,Trigger)</f>
        <v>42229</v>
      </c>
      <c r="AC52" s="155">
        <f>_xll.qlDayCounterYearFraction(DayCounter,SettlementDate,AB52,,,Trigger)</f>
        <v>0.19166666666666668</v>
      </c>
      <c r="AD52" s="167">
        <f t="shared" si="0"/>
        <v>2.8005420474306623E-3</v>
      </c>
      <c r="AE52" s="167">
        <f t="shared" si="13"/>
        <v>2.2243320953192519E-3</v>
      </c>
      <c r="AF52" s="167">
        <f t="shared" si="14"/>
        <v>2.2654952363921211E-4</v>
      </c>
    </row>
    <row r="53" spans="3:32" x14ac:dyDescent="0.2">
      <c r="AB53" s="169">
        <f>_xll.qlCalendarAdvance(Calendar,AB52,"1d","mf",,Trigger)</f>
        <v>42230</v>
      </c>
      <c r="AC53" s="155">
        <f>_xll.qlDayCounterYearFraction(DayCounter,SettlementDate,AB53,,,Trigger)</f>
        <v>0.19444444444444445</v>
      </c>
      <c r="AD53" s="167">
        <f t="shared" si="0"/>
        <v>2.8005420474306623E-3</v>
      </c>
      <c r="AE53" s="167">
        <f t="shared" si="13"/>
        <v>2.2293644966477361E-3</v>
      </c>
      <c r="AF53" s="167">
        <f t="shared" si="14"/>
        <v>2.8279037013098044E-4</v>
      </c>
    </row>
    <row r="54" spans="3:32" x14ac:dyDescent="0.2">
      <c r="AB54" s="169">
        <f>_xll.qlCalendarAdvance(Calendar,AB53,"1d","mf",,Trigger)</f>
        <v>42233</v>
      </c>
      <c r="AC54" s="155">
        <f>_xll.qlDayCounterYearFraction(DayCounter,SettlementDate,AB54,,,Trigger)</f>
        <v>0.20277777777777778</v>
      </c>
      <c r="AD54" s="167">
        <f t="shared" si="0"/>
        <v>2.8005420474306623E-3</v>
      </c>
      <c r="AE54" s="167">
        <f t="shared" si="13"/>
        <v>2.2444617006331879E-3</v>
      </c>
      <c r="AF54" s="167">
        <f t="shared" si="14"/>
        <v>4.4959766055581842E-4</v>
      </c>
    </row>
    <row r="55" spans="3:32" x14ac:dyDescent="0.2">
      <c r="AB55" s="169">
        <f>_xll.qlCalendarAdvance(Calendar,AB54,"1d","mf",,Trigger)</f>
        <v>42234</v>
      </c>
      <c r="AC55" s="155">
        <f>_xll.qlDayCounterYearFraction(DayCounter,SettlementDate,AB55,,,Trigger)</f>
        <v>0.20555555555555555</v>
      </c>
      <c r="AD55" s="167">
        <f t="shared" si="0"/>
        <v>2.8005420474306623E-3</v>
      </c>
      <c r="AE55" s="167">
        <f t="shared" si="13"/>
        <v>2.2494941019616716E-3</v>
      </c>
      <c r="AF55" s="167">
        <f t="shared" si="14"/>
        <v>5.0456167434727393E-4</v>
      </c>
    </row>
    <row r="56" spans="3:32" x14ac:dyDescent="0.2">
      <c r="AB56" s="169">
        <f>_xll.qlCalendarAdvance(Calendar,AB55,"1d","mf",,Trigger)</f>
        <v>42235</v>
      </c>
      <c r="AC56" s="155">
        <f>_xll.qlDayCounterYearFraction(DayCounter,SettlementDate,AB56,,,Trigger)</f>
        <v>0.20833333333333334</v>
      </c>
      <c r="AD56" s="167">
        <f t="shared" si="0"/>
        <v>2.8005420474306623E-3</v>
      </c>
      <c r="AE56" s="167">
        <f t="shared" si="13"/>
        <v>2.2545265032901558E-3</v>
      </c>
      <c r="AF56" s="167">
        <f t="shared" si="14"/>
        <v>5.5920647996365262E-4</v>
      </c>
    </row>
    <row r="57" spans="3:32" x14ac:dyDescent="0.2">
      <c r="AB57" s="169">
        <f>_xll.qlCalendarAdvance(Calendar,AB56,"1d","mf",,Trigger)</f>
        <v>42236</v>
      </c>
      <c r="AC57" s="155">
        <f>_xll.qlDayCounterYearFraction(DayCounter,SettlementDate,AB57,,,Trigger)</f>
        <v>0.21111111111111111</v>
      </c>
      <c r="AD57" s="167">
        <f t="shared" si="0"/>
        <v>2.8005420474306623E-3</v>
      </c>
      <c r="AE57" s="167">
        <f t="shared" si="13"/>
        <v>2.2595589046186396E-3</v>
      </c>
      <c r="AF57" s="167">
        <f t="shared" si="14"/>
        <v>6.1353207740495166E-4</v>
      </c>
    </row>
    <row r="58" spans="3:32" x14ac:dyDescent="0.2">
      <c r="AB58" s="169">
        <f>_xll.qlCalendarAdvance(Calendar,AB57,"1d","mf",,Trigger)</f>
        <v>42237</v>
      </c>
      <c r="AC58" s="155">
        <f>_xll.qlDayCounterYearFraction(DayCounter,SettlementDate,AB58,,,Trigger)</f>
        <v>0.21388888888888888</v>
      </c>
      <c r="AD58" s="167">
        <f t="shared" si="0"/>
        <v>2.8005420474306623E-3</v>
      </c>
      <c r="AE58" s="167">
        <f t="shared" si="13"/>
        <v>2.2645913059471234E-3</v>
      </c>
      <c r="AF58" s="167">
        <f t="shared" si="14"/>
        <v>6.6753846667117324E-4</v>
      </c>
    </row>
    <row r="59" spans="3:32" x14ac:dyDescent="0.2">
      <c r="AB59" s="169">
        <f>_xll.qlCalendarAdvance(Calendar,AB58,"1d","mf",,Trigger)</f>
        <v>42240</v>
      </c>
      <c r="AC59" s="155">
        <f>_xll.qlDayCounterYearFraction(DayCounter,SettlementDate,AB59,,,Trigger)</f>
        <v>0.22222222222222221</v>
      </c>
      <c r="AD59" s="167">
        <f t="shared" si="0"/>
        <v>2.8005420474306623E-3</v>
      </c>
      <c r="AE59" s="167">
        <f t="shared" si="13"/>
        <v>2.2796885099325751E-3</v>
      </c>
      <c r="AF59" s="167">
        <f t="shared" si="14"/>
        <v>8.2764238541936761E-4</v>
      </c>
    </row>
    <row r="60" spans="3:32" x14ac:dyDescent="0.2">
      <c r="AB60" s="169">
        <f>_xll.qlCalendarAdvance(Calendar,AB59,"1d","mf",,Trigger)</f>
        <v>42241</v>
      </c>
      <c r="AC60" s="155">
        <f>_xll.qlDayCounterYearFraction(DayCounter,SettlementDate,AB60,,,Trigger)</f>
        <v>0.22500000000000001</v>
      </c>
      <c r="AD60" s="167">
        <f t="shared" si="0"/>
        <v>2.8005420474306623E-3</v>
      </c>
      <c r="AE60" s="167">
        <f t="shared" si="13"/>
        <v>2.2847209112610593E-3</v>
      </c>
      <c r="AF60" s="167">
        <f t="shared" si="14"/>
        <v>8.8037194198527691E-4</v>
      </c>
    </row>
    <row r="61" spans="3:32" x14ac:dyDescent="0.2">
      <c r="AB61" s="169">
        <f>_xll.qlCalendarAdvance(Calendar,AB60,"1d","mf",,Trigger)</f>
        <v>42242</v>
      </c>
      <c r="AC61" s="155">
        <f>_xll.qlDayCounterYearFraction(DayCounter,SettlementDate,AB61,,,Trigger)</f>
        <v>0.22777777777777777</v>
      </c>
      <c r="AD61" s="167">
        <f t="shared" si="0"/>
        <v>2.8005420474306623E-3</v>
      </c>
      <c r="AE61" s="167">
        <f t="shared" si="13"/>
        <v>2.2897533125895431E-3</v>
      </c>
      <c r="AF61" s="167">
        <f t="shared" si="14"/>
        <v>9.3278229037610646E-4</v>
      </c>
    </row>
    <row r="62" spans="3:32" x14ac:dyDescent="0.2">
      <c r="AB62" s="169">
        <f>_xll.qlCalendarAdvance(Calendar,AB61,"1d","mf",,Trigger)</f>
        <v>42243</v>
      </c>
      <c r="AC62" s="155">
        <f>_xll.qlDayCounterYearFraction(DayCounter,SettlementDate,AB62,,,Trigger)</f>
        <v>0.23055555555555557</v>
      </c>
      <c r="AD62" s="167">
        <f t="shared" si="0"/>
        <v>2.8005420474306623E-3</v>
      </c>
      <c r="AE62" s="167">
        <f t="shared" si="13"/>
        <v>2.2947857139180268E-3</v>
      </c>
      <c r="AF62" s="167">
        <f t="shared" si="14"/>
        <v>9.848734305918593E-4</v>
      </c>
    </row>
    <row r="63" spans="3:32" x14ac:dyDescent="0.2">
      <c r="AB63" s="169">
        <f>_xll.qlCalendarAdvance(Calendar,AB62,"1d","mf",,Trigger)</f>
        <v>42244</v>
      </c>
      <c r="AC63" s="155">
        <f>_xll.qlDayCounterYearFraction(DayCounter,SettlementDate,AB63,,,Trigger)</f>
        <v>0.23333333333333334</v>
      </c>
      <c r="AD63" s="167">
        <f t="shared" si="0"/>
        <v>2.8005420474306623E-3</v>
      </c>
      <c r="AE63" s="167">
        <f t="shared" si="13"/>
        <v>2.299818115246511E-3</v>
      </c>
      <c r="AF63" s="167">
        <f t="shared" si="14"/>
        <v>1.0366453626325324E-3</v>
      </c>
    </row>
    <row r="64" spans="3:32" x14ac:dyDescent="0.2">
      <c r="AB64" s="169">
        <f>_xll.qlCalendarAdvance(Calendar,AB63,"1d","mf",,Trigger)</f>
        <v>42247</v>
      </c>
      <c r="AC64" s="155">
        <f>_xll.qlDayCounterYearFraction(DayCounter,SettlementDate,AB64,,,Trigger)</f>
        <v>0.24166666666666667</v>
      </c>
      <c r="AD64" s="167">
        <f t="shared" si="0"/>
        <v>2.8005420474306623E-3</v>
      </c>
      <c r="AE64" s="167">
        <f t="shared" si="13"/>
        <v>2.3149153192319628E-3</v>
      </c>
      <c r="AF64" s="167">
        <f t="shared" si="14"/>
        <v>1.1900459097040851E-3</v>
      </c>
    </row>
    <row r="65" spans="9:32" x14ac:dyDescent="0.2">
      <c r="AB65" s="169">
        <f>_xll.qlCalendarAdvance(Calendar,AB64,"1d","mf",,Trigger)</f>
        <v>42248</v>
      </c>
      <c r="AC65" s="155">
        <f>_xll.qlDayCounterYearFraction(DayCounter,SettlementDate,AB65,,,Trigger)</f>
        <v>0.24444444444444444</v>
      </c>
      <c r="AD65" s="167">
        <f t="shared" si="0"/>
        <v>2.8005420474306623E-3</v>
      </c>
      <c r="AE65" s="167">
        <f t="shared" si="13"/>
        <v>2.3199477205604465E-3</v>
      </c>
      <c r="AF65" s="167">
        <f t="shared" si="14"/>
        <v>1.2405410090444451E-3</v>
      </c>
    </row>
    <row r="66" spans="9:32" x14ac:dyDescent="0.2">
      <c r="AB66" s="169">
        <f>_xll.qlCalendarAdvance(Calendar,AB65,"1d","mf",,Trigger)</f>
        <v>42249</v>
      </c>
      <c r="AC66" s="155">
        <f>_xll.qlDayCounterYearFraction(DayCounter,SettlementDate,AB66,,,Trigger)</f>
        <v>0.24722222222222223</v>
      </c>
      <c r="AD66" s="167">
        <f t="shared" si="0"/>
        <v>2.8005420474306623E-3</v>
      </c>
      <c r="AE66" s="167">
        <f t="shared" si="13"/>
        <v>2.3249801218889307E-3</v>
      </c>
      <c r="AF66" s="167">
        <f t="shared" si="14"/>
        <v>1.2907169002097276E-3</v>
      </c>
    </row>
    <row r="67" spans="9:32" x14ac:dyDescent="0.2">
      <c r="AB67" s="169">
        <f>_xll.qlCalendarAdvance(Calendar,AB66,"1d","mf",,Trigger)</f>
        <v>42250</v>
      </c>
      <c r="AC67" s="155">
        <f>_xll.qlDayCounterYearFraction(DayCounter,SettlementDate,AB67,,,Trigger)</f>
        <v>0.25</v>
      </c>
      <c r="AD67" s="167">
        <f t="shared" ref="AD67:AD130" si="16">$S$13</f>
        <v>2.8005420474306623E-3</v>
      </c>
      <c r="AE67" s="167">
        <f t="shared" si="13"/>
        <v>2.3300125232174145E-3</v>
      </c>
      <c r="AF67" s="167">
        <f t="shared" si="14"/>
        <v>1.3405735831999324E-3</v>
      </c>
    </row>
    <row r="68" spans="9:32" x14ac:dyDescent="0.2">
      <c r="AB68" s="169">
        <f>_xll.qlCalendarAdvance(Calendar,AB67,"1d","mf",,Trigger)</f>
        <v>42251</v>
      </c>
      <c r="AC68" s="155">
        <f>_xll.qlDayCounterYearFraction(DayCounter,SettlementDate,AB68,,,Trigger)</f>
        <v>0.25277777777777777</v>
      </c>
      <c r="AD68" s="167">
        <f t="shared" si="16"/>
        <v>2.8005420474306623E-3</v>
      </c>
      <c r="AE68" s="167">
        <f t="shared" si="13"/>
        <v>2.3350449245458983E-3</v>
      </c>
      <c r="AF68" s="167">
        <f t="shared" si="14"/>
        <v>1.390111058015059E-3</v>
      </c>
    </row>
    <row r="69" spans="9:32" x14ac:dyDescent="0.2">
      <c r="I69" s="140"/>
      <c r="AB69" s="169">
        <f>_xll.qlCalendarAdvance(Calendar,AB68,"1d","mf",,Trigger)</f>
        <v>42254</v>
      </c>
      <c r="AC69" s="155">
        <f>_xll.qlDayCounterYearFraction(DayCounter,SettlementDate,AB69,,,Trigger)</f>
        <v>0.26111111111111113</v>
      </c>
      <c r="AD69" s="167">
        <f t="shared" si="16"/>
        <v>2.8005420474306623E-3</v>
      </c>
      <c r="AE69" s="167">
        <f t="shared" si="13"/>
        <v>2.35014212853135E-3</v>
      </c>
      <c r="AF69" s="167">
        <f t="shared" si="14"/>
        <v>1.5368082334099682E-3</v>
      </c>
    </row>
    <row r="70" spans="9:32" x14ac:dyDescent="0.2">
      <c r="I70" s="140"/>
      <c r="AB70" s="169">
        <f>_xll.qlCalendarAdvance(Calendar,AB69,"1d","mf",,Trigger)</f>
        <v>42255</v>
      </c>
      <c r="AC70" s="155">
        <f>_xll.qlDayCounterYearFraction(DayCounter,SettlementDate,AB70,,,Trigger)</f>
        <v>0.2638888888888889</v>
      </c>
      <c r="AD70" s="167">
        <f t="shared" si="16"/>
        <v>2.8005420474306623E-3</v>
      </c>
      <c r="AE70" s="167">
        <f t="shared" si="13"/>
        <v>2.3551745298598342E-3</v>
      </c>
      <c r="AF70" s="167">
        <f t="shared" si="14"/>
        <v>1.5850688755247807E-3</v>
      </c>
    </row>
    <row r="71" spans="9:32" x14ac:dyDescent="0.2">
      <c r="I71" s="140"/>
      <c r="AB71" s="169">
        <f>_xll.qlCalendarAdvance(Calendar,AB70,"1d","mf",,Trigger)</f>
        <v>42256</v>
      </c>
      <c r="AC71" s="155">
        <f>_xll.qlDayCounterYearFraction(DayCounter,SettlementDate,AB71,,,Trigger)</f>
        <v>0.26666666666666666</v>
      </c>
      <c r="AD71" s="167">
        <f t="shared" si="16"/>
        <v>2.8005420474306623E-3</v>
      </c>
      <c r="AE71" s="167">
        <f t="shared" si="13"/>
        <v>2.360206931188318E-3</v>
      </c>
      <c r="AF71" s="167">
        <f t="shared" si="14"/>
        <v>1.6330103094645161E-3</v>
      </c>
    </row>
    <row r="72" spans="9:32" x14ac:dyDescent="0.2">
      <c r="I72" s="140"/>
      <c r="AB72" s="169">
        <f>_xll.qlCalendarAdvance(Calendar,AB71,"1d","mf",,Trigger)</f>
        <v>42257</v>
      </c>
      <c r="AC72" s="155">
        <f>_xll.qlDayCounterYearFraction(DayCounter,SettlementDate,AB72,,,Trigger)</f>
        <v>0.26944444444444443</v>
      </c>
      <c r="AD72" s="167">
        <f t="shared" si="16"/>
        <v>2.8005420474306623E-3</v>
      </c>
      <c r="AE72" s="167">
        <f t="shared" si="13"/>
        <v>2.3652393325168022E-3</v>
      </c>
      <c r="AF72" s="167">
        <f t="shared" si="14"/>
        <v>1.6806325352291724E-3</v>
      </c>
    </row>
    <row r="73" spans="9:32" x14ac:dyDescent="0.2">
      <c r="I73" s="140"/>
      <c r="AB73" s="169">
        <f>_xll.qlCalendarAdvance(Calendar,AB72,"1d","mf",,Trigger)</f>
        <v>42258</v>
      </c>
      <c r="AC73" s="155">
        <f>_xll.qlDayCounterYearFraction(DayCounter,SettlementDate,AB73,,,Trigger)</f>
        <v>0.2722222222222222</v>
      </c>
      <c r="AD73" s="167">
        <f t="shared" si="16"/>
        <v>2.8005420474306623E-3</v>
      </c>
      <c r="AE73" s="167">
        <f t="shared" si="13"/>
        <v>2.3702717338452859E-3</v>
      </c>
      <c r="AF73" s="167">
        <f t="shared" si="14"/>
        <v>1.7279355528187512E-3</v>
      </c>
    </row>
    <row r="74" spans="9:32" x14ac:dyDescent="0.2">
      <c r="I74" s="140"/>
      <c r="AB74" s="169">
        <f>_xll.qlCalendarAdvance(Calendar,AB73,"1d","mf",,Trigger)</f>
        <v>42261</v>
      </c>
      <c r="AC74" s="155">
        <f>_xll.qlDayCounterYearFraction(DayCounter,SettlementDate,AB74,,,Trigger)</f>
        <v>0.28055555555555556</v>
      </c>
      <c r="AD74" s="167">
        <f t="shared" si="16"/>
        <v>2.8005420474306623E-3</v>
      </c>
      <c r="AE74" s="167">
        <f t="shared" si="13"/>
        <v>2.3853689378307377E-3</v>
      </c>
      <c r="AF74" s="167">
        <f t="shared" si="14"/>
        <v>1.8679293565370177E-3</v>
      </c>
    </row>
    <row r="75" spans="9:32" x14ac:dyDescent="0.2">
      <c r="I75" s="140"/>
      <c r="J75" s="140"/>
      <c r="AB75" s="169">
        <f>_xll.qlCalendarAdvance(Calendar,AB74,"1d","mf",,Trigger)</f>
        <v>42262</v>
      </c>
      <c r="AC75" s="155">
        <f>_xll.qlDayCounterYearFraction(DayCounter,SettlementDate,AB75,,,Trigger)</f>
        <v>0.28333333333333333</v>
      </c>
      <c r="AD75" s="167">
        <f t="shared" si="16"/>
        <v>2.8005420474306623E-3</v>
      </c>
      <c r="AE75" s="167">
        <f t="shared" si="13"/>
        <v>2.3904013391592214E-3</v>
      </c>
      <c r="AF75" s="167">
        <f t="shared" si="14"/>
        <v>1.9139555414262838E-3</v>
      </c>
    </row>
    <row r="76" spans="9:32" x14ac:dyDescent="0.2">
      <c r="I76" s="140"/>
      <c r="J76" s="140"/>
      <c r="AB76" s="169">
        <f>_xll.qlCalendarAdvance(Calendar,AB75,"1d","mf",,Trigger)</f>
        <v>42263</v>
      </c>
      <c r="AC76" s="155">
        <f>_xll.qlDayCounterYearFraction(DayCounter,SettlementDate,AB76,,,Trigger)</f>
        <v>0.28611111111111109</v>
      </c>
      <c r="AD76" s="167">
        <f t="shared" si="16"/>
        <v>2.8005420474306623E-3</v>
      </c>
      <c r="AE76" s="167">
        <f t="shared" si="13"/>
        <v>2.3954337404877056E-3</v>
      </c>
      <c r="AF76" s="167">
        <f t="shared" si="14"/>
        <v>1.9596625181404715E-3</v>
      </c>
    </row>
    <row r="77" spans="9:32" x14ac:dyDescent="0.2">
      <c r="I77" s="140"/>
      <c r="J77" s="140"/>
      <c r="AB77" s="169">
        <f>_xll.qlCalendarAdvance(Calendar,AB76,"1d","mf",,Trigger)</f>
        <v>42264</v>
      </c>
      <c r="AC77" s="155">
        <f>_xll.qlDayCounterYearFraction(DayCounter,SettlementDate,AB77,,,Trigger)</f>
        <v>0.28888888888888886</v>
      </c>
      <c r="AD77" s="167">
        <f t="shared" si="16"/>
        <v>2.8005420474306623E-3</v>
      </c>
      <c r="AE77" s="167">
        <f t="shared" si="13"/>
        <v>2.4004661418161894E-3</v>
      </c>
      <c r="AF77" s="167">
        <f t="shared" si="14"/>
        <v>2.0050502866795789E-3</v>
      </c>
    </row>
    <row r="78" spans="9:32" x14ac:dyDescent="0.2">
      <c r="I78" s="140"/>
      <c r="J78" s="140"/>
      <c r="AB78" s="169">
        <f>_xll.qlCalendarAdvance(Calendar,AB77,"1d","mf",,Trigger)</f>
        <v>42265</v>
      </c>
      <c r="AC78" s="155">
        <f>_xll.qlDayCounterYearFraction(DayCounter,SettlementDate,AB78,,,Trigger)</f>
        <v>0.29166666666666669</v>
      </c>
      <c r="AD78" s="167">
        <f t="shared" si="16"/>
        <v>2.8005420474306623E-3</v>
      </c>
      <c r="AE78" s="167">
        <f t="shared" si="13"/>
        <v>2.4054985431446732E-3</v>
      </c>
      <c r="AF78" s="167">
        <f t="shared" si="14"/>
        <v>2.0501188470436111E-3</v>
      </c>
    </row>
    <row r="79" spans="9:32" x14ac:dyDescent="0.2">
      <c r="I79" s="140"/>
      <c r="J79" s="140"/>
      <c r="AB79" s="169">
        <f>_xll.qlCalendarAdvance(Calendar,AB78,"1d","mf",,Trigger)</f>
        <v>42268</v>
      </c>
      <c r="AC79" s="155">
        <f>_xll.qlDayCounterYearFraction(DayCounter,SettlementDate,AB79,,,Trigger)</f>
        <v>0.3</v>
      </c>
      <c r="AD79" s="167">
        <f t="shared" si="16"/>
        <v>2.8005420474306623E-3</v>
      </c>
      <c r="AE79" s="167">
        <f t="shared" si="13"/>
        <v>2.4205957471301253E-3</v>
      </c>
      <c r="AF79" s="167">
        <f t="shared" si="14"/>
        <v>2.183409279085234E-3</v>
      </c>
    </row>
    <row r="80" spans="9:32" x14ac:dyDescent="0.2">
      <c r="I80" s="140"/>
      <c r="J80" s="140"/>
      <c r="AB80" s="169">
        <f>_xll.qlCalendarAdvance(Calendar,AB79,"1d","mf",,Trigger)</f>
        <v>42269</v>
      </c>
      <c r="AC80" s="155">
        <f>_xll.qlDayCounterYearFraction(DayCounter,SettlementDate,AB80,,,Trigger)</f>
        <v>0.30277777777777776</v>
      </c>
      <c r="AD80" s="167">
        <f t="shared" si="16"/>
        <v>2.8005420474306623E-3</v>
      </c>
      <c r="AE80" s="167">
        <f t="shared" si="13"/>
        <v>2.4256281484586091E-3</v>
      </c>
      <c r="AF80" s="167">
        <f t="shared" si="14"/>
        <v>2.2272010067489519E-3</v>
      </c>
    </row>
    <row r="81" spans="9:32" x14ac:dyDescent="0.2">
      <c r="I81" s="140"/>
      <c r="J81" s="140"/>
      <c r="AB81" s="169">
        <f>_xll.qlCalendarAdvance(Calendar,AB80,"1d","mf",,Trigger)</f>
        <v>42270</v>
      </c>
      <c r="AC81" s="155">
        <f>_xll.qlDayCounterYearFraction(DayCounter,SettlementDate,AB81,,,Trigger)</f>
        <v>0.30555555555555558</v>
      </c>
      <c r="AD81" s="167">
        <f t="shared" si="16"/>
        <v>2.8005420474306623E-3</v>
      </c>
      <c r="AE81" s="167">
        <f t="shared" si="13"/>
        <v>2.4306605497870929E-3</v>
      </c>
      <c r="AF81" s="167">
        <f t="shared" si="14"/>
        <v>2.2706735262375934E-3</v>
      </c>
    </row>
    <row r="82" spans="9:32" x14ac:dyDescent="0.2">
      <c r="I82" s="140"/>
      <c r="J82" s="140"/>
      <c r="AB82" s="169">
        <f>_xll.qlCalendarAdvance(Calendar,AB81,"1d","mf",,Trigger)</f>
        <v>42271</v>
      </c>
      <c r="AC82" s="155">
        <f>_xll.qlDayCounterYearFraction(DayCounter,SettlementDate,AB82,,,Trigger)</f>
        <v>0.30833333333333335</v>
      </c>
      <c r="AD82" s="167">
        <f t="shared" si="16"/>
        <v>2.8005420474306623E-3</v>
      </c>
      <c r="AE82" s="167">
        <f t="shared" si="13"/>
        <v>2.4356929511155771E-3</v>
      </c>
      <c r="AF82" s="167">
        <f t="shared" si="14"/>
        <v>2.3138268375511553E-3</v>
      </c>
    </row>
    <row r="83" spans="9:32" x14ac:dyDescent="0.2">
      <c r="I83" s="140"/>
      <c r="J83" s="140"/>
      <c r="AB83" s="169">
        <f>_xll.qlCalendarAdvance(Calendar,AB82,"1d","mf",,Trigger)</f>
        <v>42272</v>
      </c>
      <c r="AC83" s="155">
        <f>_xll.qlDayCounterYearFraction(DayCounter,SettlementDate,AB83,,,Trigger)</f>
        <v>0.31111111111111112</v>
      </c>
      <c r="AD83" s="167">
        <f t="shared" si="16"/>
        <v>2.8005420474306623E-3</v>
      </c>
      <c r="AE83" s="167">
        <f t="shared" si="13"/>
        <v>2.4407253524440608E-3</v>
      </c>
      <c r="AF83" s="167">
        <f t="shared" si="14"/>
        <v>2.3566609406896373E-3</v>
      </c>
    </row>
    <row r="84" spans="9:32" x14ac:dyDescent="0.2">
      <c r="I84" s="140"/>
      <c r="J84" s="140"/>
      <c r="AB84" s="169">
        <f>_xll.qlCalendarAdvance(Calendar,AB83,"1d","mf",,Trigger)</f>
        <v>42275</v>
      </c>
      <c r="AC84" s="155">
        <f>_xll.qlDayCounterYearFraction(DayCounter,SettlementDate,AB84,,,Trigger)</f>
        <v>0.31944444444444442</v>
      </c>
      <c r="AD84" s="167">
        <f t="shared" si="16"/>
        <v>2.8005420474306623E-3</v>
      </c>
      <c r="AE84" s="167">
        <f t="shared" si="13"/>
        <v>2.4558225564295126E-3</v>
      </c>
      <c r="AF84" s="167">
        <f t="shared" si="14"/>
        <v>2.4832480010546186E-3</v>
      </c>
    </row>
    <row r="85" spans="9:32" x14ac:dyDescent="0.2">
      <c r="I85" s="140"/>
      <c r="J85" s="140"/>
      <c r="AB85" s="169">
        <f>_xll.qlCalendarAdvance(Calendar,AB84,"1d","mf",,Trigger)</f>
        <v>42276</v>
      </c>
      <c r="AC85" s="155">
        <f>_xll.qlDayCounterYearFraction(DayCounter,SettlementDate,AB85,,,Trigger)</f>
        <v>0.32222222222222224</v>
      </c>
      <c r="AD85" s="167">
        <f t="shared" si="16"/>
        <v>2.8005420474306623E-3</v>
      </c>
      <c r="AE85" s="167">
        <f t="shared" si="13"/>
        <v>2.4608549577579963E-3</v>
      </c>
      <c r="AF85" s="167">
        <f t="shared" si="14"/>
        <v>2.5248052714927885E-3</v>
      </c>
    </row>
    <row r="86" spans="9:32" x14ac:dyDescent="0.2">
      <c r="I86" s="140"/>
      <c r="J86" s="140"/>
      <c r="AB86" s="169">
        <f>_xll.qlCalendarAdvance(Calendar,AB85,"1d","mf",,Trigger)</f>
        <v>42277</v>
      </c>
      <c r="AC86" s="155">
        <f>_xll.qlDayCounterYearFraction(DayCounter,SettlementDate,AB86,,,Trigger)</f>
        <v>0.32500000000000001</v>
      </c>
      <c r="AD86" s="167">
        <f t="shared" si="16"/>
        <v>2.8005420474306623E-3</v>
      </c>
      <c r="AE86" s="167">
        <f t="shared" ref="AE86:AE145" si="17">$S$10+$S$9*AC86</f>
        <v>2.4658873590864805E-3</v>
      </c>
      <c r="AF86" s="167">
        <f t="shared" ref="AF86:AF145" si="18">($S$5+$S$4*AC86+$S$3*AC86^2)</f>
        <v>2.5660433337558811E-3</v>
      </c>
    </row>
    <row r="87" spans="9:32" x14ac:dyDescent="0.2">
      <c r="I87" s="140"/>
      <c r="J87" s="140"/>
      <c r="AB87" s="169">
        <f>_xll.qlCalendarAdvance(Calendar,AB86,"1d","mf",,Trigger)</f>
        <v>42278</v>
      </c>
      <c r="AC87" s="155">
        <f>_xll.qlDayCounterYearFraction(DayCounter,SettlementDate,AB87,,,Trigger)</f>
        <v>0.32777777777777778</v>
      </c>
      <c r="AD87" s="167">
        <f t="shared" si="16"/>
        <v>2.8005420474306623E-3</v>
      </c>
      <c r="AE87" s="167">
        <f t="shared" si="17"/>
        <v>2.4709197604149643E-3</v>
      </c>
      <c r="AF87" s="167">
        <f t="shared" si="18"/>
        <v>2.6069621878438954E-3</v>
      </c>
    </row>
    <row r="88" spans="9:32" x14ac:dyDescent="0.2">
      <c r="I88" s="140"/>
      <c r="J88" s="140"/>
      <c r="AB88" s="169">
        <f>_xll.qlCalendarAdvance(Calendar,AB87,"1d","mf",,Trigger)</f>
        <v>42279</v>
      </c>
      <c r="AC88" s="155">
        <f>_xll.qlDayCounterYearFraction(DayCounter,SettlementDate,AB88,,,Trigger)</f>
        <v>0.33055555555555555</v>
      </c>
      <c r="AD88" s="167">
        <f t="shared" si="16"/>
        <v>2.8005420474306623E-3</v>
      </c>
      <c r="AE88" s="167">
        <f t="shared" si="17"/>
        <v>2.4759521617434485E-3</v>
      </c>
      <c r="AF88" s="167">
        <f t="shared" si="18"/>
        <v>2.6475618337568315E-3</v>
      </c>
    </row>
    <row r="89" spans="9:32" x14ac:dyDescent="0.2">
      <c r="I89" s="140"/>
      <c r="J89" s="140"/>
      <c r="AB89" s="169">
        <f>_xll.qlCalendarAdvance(Calendar,AB88,"1d","mf",,Trigger)</f>
        <v>42282</v>
      </c>
      <c r="AC89" s="155">
        <f>_xll.qlDayCounterYearFraction(DayCounter,SettlementDate,AB89,,,Trigger)</f>
        <v>0.33888888888888891</v>
      </c>
      <c r="AD89" s="167">
        <f t="shared" si="16"/>
        <v>2.8005420474306623E-3</v>
      </c>
      <c r="AE89" s="167">
        <f t="shared" si="17"/>
        <v>2.4910493657289002E-3</v>
      </c>
      <c r="AF89" s="167">
        <f t="shared" si="18"/>
        <v>2.7674455224451695E-3</v>
      </c>
    </row>
    <row r="90" spans="9:32" x14ac:dyDescent="0.2">
      <c r="I90" s="140"/>
      <c r="J90" s="140"/>
      <c r="AB90" s="169">
        <f>_xll.qlCalendarAdvance(Calendar,AB89,"1d","mf",,Trigger)</f>
        <v>42283</v>
      </c>
      <c r="AC90" s="155">
        <f>_xll.qlDayCounterYearFraction(DayCounter,SettlementDate,AB90,,,Trigger)</f>
        <v>0.34166666666666667</v>
      </c>
      <c r="AD90" s="167">
        <f t="shared" si="16"/>
        <v>2.8005420474306623E-3</v>
      </c>
      <c r="AE90" s="167">
        <f t="shared" si="17"/>
        <v>2.496081767057384E-3</v>
      </c>
      <c r="AF90" s="167">
        <f t="shared" si="18"/>
        <v>2.8067683356577926E-3</v>
      </c>
    </row>
    <row r="91" spans="9:32" x14ac:dyDescent="0.2">
      <c r="I91" s="140"/>
      <c r="J91" s="140"/>
      <c r="AB91" s="169">
        <f>_xll.qlCalendarAdvance(Calendar,AB90,"1d","mf",,Trigger)</f>
        <v>42284</v>
      </c>
      <c r="AC91" s="155">
        <f>_xll.qlDayCounterYearFraction(DayCounter,SettlementDate,AB91,,,Trigger)</f>
        <v>0.34444444444444444</v>
      </c>
      <c r="AD91" s="167">
        <f t="shared" si="16"/>
        <v>2.8005420474306623E-3</v>
      </c>
      <c r="AE91" s="167">
        <f t="shared" si="17"/>
        <v>2.5011141683858682E-3</v>
      </c>
      <c r="AF91" s="167">
        <f t="shared" si="18"/>
        <v>2.8457719406953358E-3</v>
      </c>
    </row>
    <row r="92" spans="9:32" x14ac:dyDescent="0.2">
      <c r="I92" s="140"/>
      <c r="J92" s="140"/>
      <c r="AB92" s="169">
        <f>_xll.qlCalendarAdvance(Calendar,AB91,"1d","mf",,Trigger)</f>
        <v>42285</v>
      </c>
      <c r="AC92" s="155">
        <f>_xll.qlDayCounterYearFraction(DayCounter,SettlementDate,AB92,,,Trigger)</f>
        <v>0.34722222222222221</v>
      </c>
      <c r="AD92" s="167">
        <f t="shared" si="16"/>
        <v>2.8005420474306623E-3</v>
      </c>
      <c r="AE92" s="167">
        <f t="shared" si="17"/>
        <v>2.506146569714352E-3</v>
      </c>
      <c r="AF92" s="167">
        <f t="shared" si="18"/>
        <v>2.8844563375578025E-3</v>
      </c>
    </row>
    <row r="93" spans="9:32" x14ac:dyDescent="0.2">
      <c r="I93" s="140"/>
      <c r="J93" s="140"/>
      <c r="AB93" s="169">
        <f>_xll.qlCalendarAdvance(Calendar,AB92,"1d","mf",,Trigger)</f>
        <v>42286</v>
      </c>
      <c r="AC93" s="155">
        <f>_xll.qlDayCounterYearFraction(DayCounter,SettlementDate,AB93,,,Trigger)</f>
        <v>0.35</v>
      </c>
      <c r="AD93" s="167">
        <f t="shared" si="16"/>
        <v>2.8005420474306623E-3</v>
      </c>
      <c r="AE93" s="167">
        <f t="shared" si="17"/>
        <v>2.5111789710428357E-3</v>
      </c>
      <c r="AF93" s="167">
        <f t="shared" si="18"/>
        <v>2.922821526245191E-3</v>
      </c>
    </row>
    <row r="94" spans="9:32" x14ac:dyDescent="0.2">
      <c r="I94" s="140"/>
      <c r="J94" s="140"/>
      <c r="AB94" s="169">
        <f>_xll.qlCalendarAdvance(Calendar,AB93,"1d","mf",,Trigger)</f>
        <v>42289</v>
      </c>
      <c r="AC94" s="155">
        <f>_xll.qlDayCounterYearFraction(DayCounter,SettlementDate,AB94,,,Trigger)</f>
        <v>0.35833333333333334</v>
      </c>
      <c r="AD94" s="167">
        <f t="shared" si="16"/>
        <v>2.8005420474306623E-3</v>
      </c>
      <c r="AE94" s="167">
        <f t="shared" si="17"/>
        <v>2.5262761750282875E-3</v>
      </c>
      <c r="AF94" s="167">
        <f t="shared" si="18"/>
        <v>3.0360018432568862E-3</v>
      </c>
    </row>
    <row r="95" spans="9:32" x14ac:dyDescent="0.2">
      <c r="I95" s="140"/>
      <c r="J95" s="140"/>
      <c r="AB95" s="169">
        <f>_xll.qlCalendarAdvance(Calendar,AB94,"1d","mf",,Trigger)</f>
        <v>42290</v>
      </c>
      <c r="AC95" s="155">
        <f>_xll.qlDayCounterYearFraction(DayCounter,SettlementDate,AB95,,,Trigger)</f>
        <v>0.3611111111111111</v>
      </c>
      <c r="AD95" s="167">
        <f t="shared" si="16"/>
        <v>2.8005420474306623E-3</v>
      </c>
      <c r="AE95" s="167">
        <f t="shared" si="17"/>
        <v>2.5313085763567717E-3</v>
      </c>
      <c r="AF95" s="167">
        <f t="shared" si="18"/>
        <v>3.0730901992439617E-3</v>
      </c>
    </row>
    <row r="96" spans="9:32" x14ac:dyDescent="0.2">
      <c r="I96" s="140"/>
      <c r="J96" s="140"/>
      <c r="AB96" s="169">
        <f>_xll.qlCalendarAdvance(Calendar,AB95,"1d","mf",,Trigger)</f>
        <v>42291</v>
      </c>
      <c r="AC96" s="155">
        <f>_xll.qlDayCounterYearFraction(DayCounter,SettlementDate,AB96,,,Trigger)</f>
        <v>0.36388888888888887</v>
      </c>
      <c r="AD96" s="167">
        <f t="shared" si="16"/>
        <v>2.8005420474306623E-3</v>
      </c>
      <c r="AE96" s="167">
        <f t="shared" si="17"/>
        <v>2.5363409776852554E-3</v>
      </c>
      <c r="AF96" s="167">
        <f t="shared" si="18"/>
        <v>3.109859347055959E-3</v>
      </c>
    </row>
    <row r="97" spans="9:32" x14ac:dyDescent="0.2">
      <c r="I97" s="140"/>
      <c r="J97" s="140"/>
      <c r="AB97" s="169">
        <f>_xll.qlCalendarAdvance(Calendar,AB96,"1d","mf",,Trigger)</f>
        <v>42292</v>
      </c>
      <c r="AC97" s="155">
        <f>_xll.qlDayCounterYearFraction(DayCounter,SettlementDate,AB97,,,Trigger)</f>
        <v>0.36666666666666664</v>
      </c>
      <c r="AD97" s="167">
        <f t="shared" si="16"/>
        <v>2.8005420474306623E-3</v>
      </c>
      <c r="AE97" s="167">
        <f t="shared" si="17"/>
        <v>2.5413733790137392E-3</v>
      </c>
      <c r="AF97" s="167">
        <f t="shared" si="18"/>
        <v>3.1463092866928764E-3</v>
      </c>
    </row>
    <row r="98" spans="9:32" x14ac:dyDescent="0.2">
      <c r="I98" s="140"/>
      <c r="J98" s="140"/>
      <c r="AB98" s="169">
        <f>_xll.qlCalendarAdvance(Calendar,AB97,"1d","mf",,Trigger)</f>
        <v>42293</v>
      </c>
      <c r="AC98" s="155">
        <f>_xll.qlDayCounterYearFraction(DayCounter,SettlementDate,AB98,,,Trigger)</f>
        <v>0.36944444444444446</v>
      </c>
      <c r="AD98" s="167">
        <f t="shared" si="16"/>
        <v>2.8005420474306623E-3</v>
      </c>
      <c r="AE98" s="167">
        <f t="shared" si="17"/>
        <v>2.5464057803422234E-3</v>
      </c>
      <c r="AF98" s="167">
        <f t="shared" si="18"/>
        <v>3.1824400181547181E-3</v>
      </c>
    </row>
    <row r="99" spans="9:32" x14ac:dyDescent="0.2">
      <c r="I99" s="140"/>
      <c r="J99" s="140"/>
      <c r="AB99" s="169">
        <f>_xll.qlCalendarAdvance(Calendar,AB98,"1d","mf",,Trigger)</f>
        <v>42296</v>
      </c>
      <c r="AC99" s="155">
        <f>_xll.qlDayCounterYearFraction(DayCounter,SettlementDate,AB99,,,Trigger)</f>
        <v>0.37777777777777777</v>
      </c>
      <c r="AD99" s="167">
        <f t="shared" si="16"/>
        <v>2.8005420474306623E-3</v>
      </c>
      <c r="AE99" s="167">
        <f t="shared" si="17"/>
        <v>2.5615029843276751E-3</v>
      </c>
      <c r="AF99" s="167">
        <f t="shared" si="18"/>
        <v>3.2889169634897695E-3</v>
      </c>
    </row>
    <row r="100" spans="9:32" x14ac:dyDescent="0.2">
      <c r="I100" s="140"/>
      <c r="J100" s="140"/>
      <c r="AB100" s="169">
        <f>_xll.qlCalendarAdvance(Calendar,AB99,"1d","mf",,Trigger)</f>
        <v>42297</v>
      </c>
      <c r="AC100" s="155">
        <f>_xll.qlDayCounterYearFraction(DayCounter,SettlementDate,AB100,,,Trigger)</f>
        <v>0.38055555555555554</v>
      </c>
      <c r="AD100" s="167">
        <f t="shared" si="16"/>
        <v>2.8005420474306623E-3</v>
      </c>
      <c r="AE100" s="167">
        <f t="shared" si="17"/>
        <v>2.5665353856561589E-3</v>
      </c>
      <c r="AF100" s="167">
        <f t="shared" si="18"/>
        <v>3.3237708622512975E-3</v>
      </c>
    </row>
    <row r="101" spans="9:32" x14ac:dyDescent="0.2">
      <c r="I101" s="140"/>
      <c r="J101" s="140"/>
      <c r="AB101" s="169">
        <f>_xll.qlCalendarAdvance(Calendar,AB100,"1d","mf",,Trigger)</f>
        <v>42298</v>
      </c>
      <c r="AC101" s="155">
        <f>_xll.qlDayCounterYearFraction(DayCounter,SettlementDate,AB101,,,Trigger)</f>
        <v>0.38333333333333336</v>
      </c>
      <c r="AD101" s="167">
        <f t="shared" si="16"/>
        <v>2.8005420474306623E-3</v>
      </c>
      <c r="AE101" s="167">
        <f t="shared" si="17"/>
        <v>2.5715677869846431E-3</v>
      </c>
      <c r="AF101" s="167">
        <f t="shared" si="18"/>
        <v>3.358305552837748E-3</v>
      </c>
    </row>
    <row r="102" spans="9:32" x14ac:dyDescent="0.2">
      <c r="I102" s="140"/>
      <c r="J102" s="140"/>
      <c r="AB102" s="169">
        <f>_xll.qlCalendarAdvance(Calendar,AB101,"1d","mf",,Trigger)</f>
        <v>42299</v>
      </c>
      <c r="AC102" s="155">
        <f>_xll.qlDayCounterYearFraction(DayCounter,SettlementDate,AB102,,,Trigger)</f>
        <v>0.38611111111111113</v>
      </c>
      <c r="AD102" s="167">
        <f t="shared" si="16"/>
        <v>2.8005420474306623E-3</v>
      </c>
      <c r="AE102" s="167">
        <f t="shared" si="17"/>
        <v>2.5766001883131269E-3</v>
      </c>
      <c r="AF102" s="167">
        <f t="shared" si="18"/>
        <v>3.3925210352491182E-3</v>
      </c>
    </row>
    <row r="103" spans="9:32" x14ac:dyDescent="0.2">
      <c r="I103" s="140"/>
      <c r="J103" s="140"/>
      <c r="AB103" s="169">
        <f>_xll.qlCalendarAdvance(Calendar,AB102,"1d","mf",,Trigger)</f>
        <v>42300</v>
      </c>
      <c r="AC103" s="155">
        <f>_xll.qlDayCounterYearFraction(DayCounter,SettlementDate,AB103,,,Trigger)</f>
        <v>0.3888888888888889</v>
      </c>
      <c r="AD103" s="167">
        <f t="shared" si="16"/>
        <v>2.8005420474306623E-3</v>
      </c>
      <c r="AE103" s="167">
        <f t="shared" si="17"/>
        <v>2.5816325896416106E-3</v>
      </c>
      <c r="AF103" s="167">
        <f t="shared" si="18"/>
        <v>3.426417309485411E-3</v>
      </c>
    </row>
    <row r="104" spans="9:32" x14ac:dyDescent="0.2">
      <c r="I104" s="140"/>
      <c r="J104" s="140"/>
      <c r="AB104" s="169">
        <f>_xll.qlCalendarAdvance(Calendar,AB103,"1d","mf",,Trigger)</f>
        <v>42303</v>
      </c>
      <c r="AC104" s="155">
        <f>_xll.qlDayCounterYearFraction(DayCounter,SettlementDate,AB104,,,Trigger)</f>
        <v>0.3972222222222222</v>
      </c>
      <c r="AD104" s="167">
        <f t="shared" si="16"/>
        <v>2.8005420474306623E-3</v>
      </c>
      <c r="AE104" s="167">
        <f t="shared" si="17"/>
        <v>2.5967297936270624E-3</v>
      </c>
      <c r="AF104" s="167">
        <f t="shared" si="18"/>
        <v>3.52619088314382E-3</v>
      </c>
    </row>
    <row r="105" spans="9:32" x14ac:dyDescent="0.2">
      <c r="I105" s="140"/>
      <c r="J105" s="140"/>
      <c r="AB105" s="169">
        <f>_xll.qlCalendarAdvance(Calendar,AB104,"1d","mf",,Trigger)</f>
        <v>42304</v>
      </c>
      <c r="AC105" s="155">
        <f>_xll.qlDayCounterYearFraction(DayCounter,SettlementDate,AB105,,,Trigger)</f>
        <v>0.4</v>
      </c>
      <c r="AD105" s="167">
        <f t="shared" si="16"/>
        <v>2.8005420474306623E-3</v>
      </c>
      <c r="AE105" s="167">
        <f t="shared" si="17"/>
        <v>2.6017621949555466E-3</v>
      </c>
      <c r="AF105" s="167">
        <f t="shared" si="18"/>
        <v>3.5588103246798008E-3</v>
      </c>
    </row>
    <row r="106" spans="9:32" x14ac:dyDescent="0.2">
      <c r="I106" s="140"/>
      <c r="J106" s="140"/>
      <c r="AB106" s="169">
        <f>_xll.qlCalendarAdvance(Calendar,AB105,"1d","mf",,Trigger)</f>
        <v>42305</v>
      </c>
      <c r="AC106" s="155">
        <f>_xll.qlDayCounterYearFraction(DayCounter,SettlementDate,AB106,,,Trigger)</f>
        <v>0.40277777777777779</v>
      </c>
      <c r="AD106" s="167">
        <f t="shared" si="16"/>
        <v>2.8005420474306623E-3</v>
      </c>
      <c r="AE106" s="167">
        <f t="shared" si="17"/>
        <v>2.6067945962840303E-3</v>
      </c>
      <c r="AF106" s="167">
        <f t="shared" si="18"/>
        <v>3.5911105580407033E-3</v>
      </c>
    </row>
    <row r="107" spans="9:32" x14ac:dyDescent="0.2">
      <c r="I107" s="140"/>
      <c r="J107" s="140"/>
      <c r="AB107" s="169">
        <f>_xll.qlCalendarAdvance(Calendar,AB106,"1d","mf",,Trigger)</f>
        <v>42306</v>
      </c>
      <c r="AC107" s="155">
        <f>_xll.qlDayCounterYearFraction(DayCounter,SettlementDate,AB107,,,Trigger)</f>
        <v>0.40555555555555556</v>
      </c>
      <c r="AD107" s="167">
        <f t="shared" si="16"/>
        <v>2.8005420474306623E-3</v>
      </c>
      <c r="AE107" s="167">
        <f t="shared" si="17"/>
        <v>2.6118269976125146E-3</v>
      </c>
      <c r="AF107" s="167">
        <f t="shared" si="18"/>
        <v>3.6230915832265267E-3</v>
      </c>
    </row>
    <row r="108" spans="9:32" x14ac:dyDescent="0.2">
      <c r="I108" s="140"/>
      <c r="J108" s="140"/>
      <c r="AB108" s="169">
        <f>_xll.qlCalendarAdvance(Calendar,AB107,"1d","mf",,Trigger)</f>
        <v>42307</v>
      </c>
      <c r="AC108" s="155">
        <f>_xll.qlDayCounterYearFraction(DayCounter,SettlementDate,AB108,,,Trigger)</f>
        <v>0.40833333333333333</v>
      </c>
      <c r="AD108" s="167">
        <f t="shared" si="16"/>
        <v>2.8005420474306623E-3</v>
      </c>
      <c r="AE108" s="167">
        <f t="shared" si="17"/>
        <v>2.6168593989409983E-3</v>
      </c>
      <c r="AF108" s="167">
        <f t="shared" si="18"/>
        <v>3.654753400237271E-3</v>
      </c>
    </row>
    <row r="109" spans="9:32" x14ac:dyDescent="0.2">
      <c r="I109" s="140"/>
      <c r="J109" s="140"/>
      <c r="AB109" s="169">
        <f>_xll.qlCalendarAdvance(Calendar,AB108,"1d","mf",,Trigger)</f>
        <v>42310</v>
      </c>
      <c r="AC109" s="155">
        <f>_xll.qlDayCounterYearFraction(DayCounter,SettlementDate,AB109,,,Trigger)</f>
        <v>0.41666666666666669</v>
      </c>
      <c r="AD109" s="167">
        <f t="shared" si="16"/>
        <v>2.8005420474306623E-3</v>
      </c>
      <c r="AE109" s="167">
        <f t="shared" si="17"/>
        <v>2.6319566029264501E-3</v>
      </c>
      <c r="AF109" s="167">
        <f t="shared" si="18"/>
        <v>3.7478236022190393E-3</v>
      </c>
    </row>
    <row r="110" spans="9:32" x14ac:dyDescent="0.2">
      <c r="I110" s="140"/>
      <c r="J110" s="140"/>
      <c r="AB110" s="169">
        <f>_xll.qlCalendarAdvance(Calendar,AB109,"1d","mf",,Trigger)</f>
        <v>42311</v>
      </c>
      <c r="AC110" s="155">
        <f>_xll.qlDayCounterYearFraction(DayCounter,SettlementDate,AB110,,,Trigger)</f>
        <v>0.41944444444444445</v>
      </c>
      <c r="AD110" s="167">
        <f t="shared" si="16"/>
        <v>2.8005420474306623E-3</v>
      </c>
      <c r="AE110" s="167">
        <f t="shared" si="17"/>
        <v>2.6369890042549343E-3</v>
      </c>
      <c r="AF110" s="167">
        <f t="shared" si="18"/>
        <v>3.7782085865294707E-3</v>
      </c>
    </row>
    <row r="111" spans="9:32" x14ac:dyDescent="0.2">
      <c r="I111" s="140"/>
      <c r="J111" s="140"/>
      <c r="AB111" s="169">
        <f>_xll.qlCalendarAdvance(Calendar,AB110,"1d","mf",,Trigger)</f>
        <v>42312</v>
      </c>
      <c r="AC111" s="155">
        <f>_xll.qlDayCounterYearFraction(DayCounter,SettlementDate,AB111,,,Trigger)</f>
        <v>0.42222222222222222</v>
      </c>
      <c r="AD111" s="167">
        <f t="shared" si="16"/>
        <v>2.8005420474306623E-3</v>
      </c>
      <c r="AE111" s="167">
        <f t="shared" si="17"/>
        <v>2.642021405583418E-3</v>
      </c>
      <c r="AF111" s="167">
        <f t="shared" si="18"/>
        <v>3.8082743626648252E-3</v>
      </c>
    </row>
    <row r="112" spans="9:32" x14ac:dyDescent="0.2">
      <c r="I112" s="140"/>
      <c r="J112" s="140"/>
      <c r="AB112" s="169">
        <f>_xll.qlCalendarAdvance(Calendar,AB111,"1d","mf",,Trigger)</f>
        <v>42313</v>
      </c>
      <c r="AC112" s="155">
        <f>_xll.qlDayCounterYearFraction(DayCounter,SettlementDate,AB112,,,Trigger)</f>
        <v>0.42499999999999999</v>
      </c>
      <c r="AD112" s="167">
        <f t="shared" si="16"/>
        <v>2.8005420474306623E-3</v>
      </c>
      <c r="AE112" s="167">
        <f t="shared" si="17"/>
        <v>2.6470538069119018E-3</v>
      </c>
      <c r="AF112" s="167">
        <f t="shared" si="18"/>
        <v>3.8380209306251014E-3</v>
      </c>
    </row>
    <row r="113" spans="9:32" x14ac:dyDescent="0.2">
      <c r="I113" s="140"/>
      <c r="J113" s="140"/>
      <c r="AB113" s="169">
        <f>_xll.qlCalendarAdvance(Calendar,AB112,"1d","mf",,Trigger)</f>
        <v>42314</v>
      </c>
      <c r="AC113" s="155">
        <f>_xll.qlDayCounterYearFraction(DayCounter,SettlementDate,AB113,,,Trigger)</f>
        <v>0.42777777777777776</v>
      </c>
      <c r="AD113" s="167">
        <f t="shared" si="16"/>
        <v>2.8005420474306623E-3</v>
      </c>
      <c r="AE113" s="167">
        <f t="shared" si="17"/>
        <v>2.6520862082403856E-3</v>
      </c>
      <c r="AF113" s="167">
        <f t="shared" si="18"/>
        <v>3.8674482904102994E-3</v>
      </c>
    </row>
    <row r="114" spans="9:32" x14ac:dyDescent="0.2">
      <c r="I114" s="140"/>
      <c r="J114" s="140"/>
      <c r="AB114" s="169">
        <f>_xll.qlCalendarAdvance(Calendar,AB113,"1d","mf",,Trigger)</f>
        <v>42317</v>
      </c>
      <c r="AC114" s="155">
        <f>_xll.qlDayCounterYearFraction(DayCounter,SettlementDate,AB114,,,Trigger)</f>
        <v>0.43611111111111112</v>
      </c>
      <c r="AD114" s="167">
        <f t="shared" si="16"/>
        <v>2.8005420474306623E-3</v>
      </c>
      <c r="AE114" s="167">
        <f t="shared" si="17"/>
        <v>2.6671834122258377E-3</v>
      </c>
      <c r="AF114" s="167">
        <f t="shared" si="18"/>
        <v>3.9538151207154232E-3</v>
      </c>
    </row>
    <row r="115" spans="9:32" x14ac:dyDescent="0.2">
      <c r="I115" s="140"/>
      <c r="J115" s="140"/>
      <c r="AB115" s="169">
        <f>_xll.qlCalendarAdvance(Calendar,AB114,"1d","mf",,Trigger)</f>
        <v>42318</v>
      </c>
      <c r="AC115" s="155">
        <f>_xll.qlDayCounterYearFraction(DayCounter,SettlementDate,AB115,,,Trigger)</f>
        <v>0.43888888888888888</v>
      </c>
      <c r="AD115" s="167">
        <f t="shared" si="16"/>
        <v>2.8005420474306623E-3</v>
      </c>
      <c r="AE115" s="167">
        <f t="shared" si="17"/>
        <v>2.6722158135543215E-3</v>
      </c>
      <c r="AF115" s="167">
        <f t="shared" si="18"/>
        <v>3.9819656478003078E-3</v>
      </c>
    </row>
    <row r="116" spans="9:32" x14ac:dyDescent="0.2">
      <c r="I116" s="140"/>
      <c r="J116" s="140"/>
      <c r="AB116" s="169">
        <f>_xll.qlCalendarAdvance(Calendar,AB115,"1d","mf",,Trigger)</f>
        <v>42319</v>
      </c>
      <c r="AC116" s="155">
        <f>_xll.qlDayCounterYearFraction(DayCounter,SettlementDate,AB116,,,Trigger)</f>
        <v>0.44166666666666665</v>
      </c>
      <c r="AD116" s="167">
        <f t="shared" si="16"/>
        <v>2.8005420474306623E-3</v>
      </c>
      <c r="AE116" s="167">
        <f t="shared" si="17"/>
        <v>2.6772482148828053E-3</v>
      </c>
      <c r="AF116" s="167">
        <f t="shared" si="18"/>
        <v>4.0097969667101134E-3</v>
      </c>
    </row>
    <row r="117" spans="9:32" x14ac:dyDescent="0.2">
      <c r="I117" s="140"/>
      <c r="J117" s="140"/>
      <c r="AB117" s="169">
        <f>_xll.qlCalendarAdvance(Calendar,AB116,"1d","mf",,Trigger)</f>
        <v>42320</v>
      </c>
      <c r="AC117" s="155">
        <f>_xll.qlDayCounterYearFraction(DayCounter,SettlementDate,AB117,,,Trigger)</f>
        <v>0.44444444444444442</v>
      </c>
      <c r="AD117" s="167">
        <f t="shared" si="16"/>
        <v>2.8005420474306623E-3</v>
      </c>
      <c r="AE117" s="167">
        <f t="shared" si="17"/>
        <v>2.682280616211289E-3</v>
      </c>
      <c r="AF117" s="167">
        <f t="shared" si="18"/>
        <v>4.0373090774448424E-3</v>
      </c>
    </row>
    <row r="118" spans="9:32" x14ac:dyDescent="0.2">
      <c r="I118" s="140"/>
      <c r="J118" s="140"/>
      <c r="AB118" s="169">
        <f>_xll.qlCalendarAdvance(Calendar,AB117,"1d","mf",,Trigger)</f>
        <v>42321</v>
      </c>
      <c r="AC118" s="155">
        <f>_xll.qlDayCounterYearFraction(DayCounter,SettlementDate,AB118,,,Trigger)</f>
        <v>0.44722222222222224</v>
      </c>
      <c r="AD118" s="167">
        <f t="shared" si="16"/>
        <v>2.8005420474306623E-3</v>
      </c>
      <c r="AE118" s="167">
        <f t="shared" si="17"/>
        <v>2.6873130175397732E-3</v>
      </c>
      <c r="AF118" s="167">
        <f t="shared" si="18"/>
        <v>4.0645019800044941E-3</v>
      </c>
    </row>
    <row r="119" spans="9:32" x14ac:dyDescent="0.2">
      <c r="I119" s="140"/>
      <c r="J119" s="140"/>
      <c r="AB119" s="169">
        <f>_xll.qlCalendarAdvance(Calendar,AB118,"1d","mf",,Trigger)</f>
        <v>42324</v>
      </c>
      <c r="AC119" s="155">
        <f>_xll.qlDayCounterYearFraction(DayCounter,SettlementDate,AB119,,,Trigger)</f>
        <v>0.45555555555555555</v>
      </c>
      <c r="AD119" s="167">
        <f t="shared" si="16"/>
        <v>2.8005420474306623E-3</v>
      </c>
      <c r="AE119" s="167">
        <f t="shared" si="17"/>
        <v>2.702410221525225E-3</v>
      </c>
      <c r="AF119" s="167">
        <f t="shared" si="18"/>
        <v>4.1441654386329737E-3</v>
      </c>
    </row>
    <row r="120" spans="9:32" x14ac:dyDescent="0.2">
      <c r="I120" s="140"/>
      <c r="J120" s="140"/>
      <c r="AB120" s="169">
        <f>_xll.qlCalendarAdvance(Calendar,AB119,"1d","mf",,Trigger)</f>
        <v>42325</v>
      </c>
      <c r="AC120" s="155">
        <f>_xll.qlDayCounterYearFraction(DayCounter,SettlementDate,AB120,,,Trigger)</f>
        <v>0.45833333333333331</v>
      </c>
      <c r="AD120" s="167">
        <f t="shared" si="16"/>
        <v>2.8005420474306623E-3</v>
      </c>
      <c r="AE120" s="167">
        <f t="shared" si="17"/>
        <v>2.7074426228537087E-3</v>
      </c>
      <c r="AF120" s="167">
        <f t="shared" si="18"/>
        <v>4.1700815084923116E-3</v>
      </c>
    </row>
    <row r="121" spans="9:32" x14ac:dyDescent="0.2">
      <c r="I121" s="140"/>
      <c r="J121" s="140"/>
      <c r="AB121" s="169">
        <f>_xll.qlCalendarAdvance(Calendar,AB120,"1d","mf",,Trigger)</f>
        <v>42326</v>
      </c>
      <c r="AC121" s="155">
        <f>_xll.qlDayCounterYearFraction(DayCounter,SettlementDate,AB121,,,Trigger)</f>
        <v>0.46111111111111114</v>
      </c>
      <c r="AD121" s="167">
        <f t="shared" si="16"/>
        <v>2.8005420474306623E-3</v>
      </c>
      <c r="AE121" s="167">
        <f t="shared" si="17"/>
        <v>2.7124750241821929E-3</v>
      </c>
      <c r="AF121" s="167">
        <f t="shared" si="18"/>
        <v>4.1956783701765712E-3</v>
      </c>
    </row>
    <row r="122" spans="9:32" x14ac:dyDescent="0.2">
      <c r="I122" s="141"/>
      <c r="J122" s="140"/>
      <c r="AB122" s="169">
        <f>_xll.qlCalendarAdvance(Calendar,AB121,"1d","mf",,Trigger)</f>
        <v>42327</v>
      </c>
      <c r="AC122" s="155">
        <f>_xll.qlDayCounterYearFraction(DayCounter,SettlementDate,AB122,,,Trigger)</f>
        <v>0.46388888888888891</v>
      </c>
      <c r="AD122" s="167">
        <f t="shared" si="16"/>
        <v>2.8005420474306623E-3</v>
      </c>
      <c r="AE122" s="167">
        <f t="shared" si="17"/>
        <v>2.7175074255106767E-3</v>
      </c>
      <c r="AF122" s="167">
        <f t="shared" si="18"/>
        <v>4.2209560236857509E-3</v>
      </c>
    </row>
    <row r="123" spans="9:32" x14ac:dyDescent="0.2">
      <c r="I123" s="141"/>
      <c r="J123" s="140"/>
      <c r="AB123" s="169">
        <f>_xll.qlCalendarAdvance(Calendar,AB122,"1d","mf",,Trigger)</f>
        <v>42328</v>
      </c>
      <c r="AC123" s="155">
        <f>_xll.qlDayCounterYearFraction(DayCounter,SettlementDate,AB123,,,Trigger)</f>
        <v>0.46666666666666667</v>
      </c>
      <c r="AD123" s="167">
        <f t="shared" si="16"/>
        <v>2.8005420474306623E-3</v>
      </c>
      <c r="AE123" s="167">
        <f t="shared" si="17"/>
        <v>2.7225398268391609E-3</v>
      </c>
      <c r="AF123" s="167">
        <f t="shared" si="18"/>
        <v>4.2459144690198533E-3</v>
      </c>
    </row>
    <row r="124" spans="9:32" x14ac:dyDescent="0.2">
      <c r="I124" s="141"/>
      <c r="J124" s="140"/>
      <c r="AB124" s="169">
        <f>_xll.qlCalendarAdvance(Calendar,AB123,"1d","mf",,Trigger)</f>
        <v>42331</v>
      </c>
      <c r="AC124" s="155">
        <f>_xll.qlDayCounterYearFraction(DayCounter,SettlementDate,AB124,,,Trigger)</f>
        <v>0.47499999999999998</v>
      </c>
      <c r="AD124" s="167">
        <f t="shared" si="16"/>
        <v>2.8005420474306623E-3</v>
      </c>
      <c r="AE124" s="167">
        <f t="shared" si="17"/>
        <v>2.7376370308246122E-3</v>
      </c>
      <c r="AF124" s="167">
        <f t="shared" si="18"/>
        <v>4.3188745559716909E-3</v>
      </c>
    </row>
    <row r="125" spans="9:32" x14ac:dyDescent="0.2">
      <c r="I125" s="141"/>
      <c r="J125" s="140"/>
      <c r="AB125" s="169">
        <f>_xll.qlCalendarAdvance(Calendar,AB124,"1d","mf",,Trigger)</f>
        <v>42332</v>
      </c>
      <c r="AC125" s="155">
        <f>_xll.qlDayCounterYearFraction(DayCounter,SettlementDate,AB125,,,Trigger)</f>
        <v>0.4777777777777778</v>
      </c>
      <c r="AD125" s="167">
        <f t="shared" si="16"/>
        <v>2.8005420474306623E-3</v>
      </c>
      <c r="AE125" s="167">
        <f t="shared" si="17"/>
        <v>2.7426694321530964E-3</v>
      </c>
      <c r="AF125" s="167">
        <f t="shared" si="18"/>
        <v>4.342556168605482E-3</v>
      </c>
    </row>
    <row r="126" spans="9:32" x14ac:dyDescent="0.2">
      <c r="I126" s="141"/>
      <c r="J126" s="140"/>
      <c r="AB126" s="169">
        <f>_xll.qlCalendarAdvance(Calendar,AB125,"1d","mf",,Trigger)</f>
        <v>42333</v>
      </c>
      <c r="AC126" s="155">
        <f>_xll.qlDayCounterYearFraction(DayCounter,SettlementDate,AB126,,,Trigger)</f>
        <v>0.48055555555555557</v>
      </c>
      <c r="AD126" s="167">
        <f t="shared" si="16"/>
        <v>2.8005420474306623E-3</v>
      </c>
      <c r="AE126" s="167">
        <f t="shared" si="17"/>
        <v>2.7477018334815806E-3</v>
      </c>
      <c r="AF126" s="167">
        <f t="shared" si="18"/>
        <v>4.3659185730641932E-3</v>
      </c>
    </row>
    <row r="127" spans="9:32" x14ac:dyDescent="0.2">
      <c r="I127" s="141"/>
      <c r="J127" s="140"/>
      <c r="AB127" s="169">
        <f>_xll.qlCalendarAdvance(Calendar,AB126,"1d","mf",,Trigger)</f>
        <v>42334</v>
      </c>
      <c r="AC127" s="155">
        <f>_xll.qlDayCounterYearFraction(DayCounter,SettlementDate,AB127,,,Trigger)</f>
        <v>0.48333333333333334</v>
      </c>
      <c r="AD127" s="167">
        <f t="shared" si="16"/>
        <v>2.8005420474306623E-3</v>
      </c>
      <c r="AE127" s="167">
        <f t="shared" si="17"/>
        <v>2.7527342348100644E-3</v>
      </c>
      <c r="AF127" s="167">
        <f t="shared" si="18"/>
        <v>4.3889617693478279E-3</v>
      </c>
    </row>
    <row r="128" spans="9:32" x14ac:dyDescent="0.2">
      <c r="I128" s="141"/>
      <c r="J128" s="141"/>
      <c r="AB128" s="169">
        <f>_xll.qlCalendarAdvance(Calendar,AB127,"1d","mf",,Trigger)</f>
        <v>42335</v>
      </c>
      <c r="AC128" s="155">
        <f>_xll.qlDayCounterYearFraction(DayCounter,SettlementDate,AB128,,,Trigger)</f>
        <v>0.4861111111111111</v>
      </c>
      <c r="AD128" s="167">
        <f t="shared" si="16"/>
        <v>2.8005420474306623E-3</v>
      </c>
      <c r="AE128" s="167">
        <f t="shared" si="17"/>
        <v>2.7577666361385481E-3</v>
      </c>
      <c r="AF128" s="167">
        <f t="shared" si="18"/>
        <v>4.4116857574563809E-3</v>
      </c>
    </row>
    <row r="129" spans="9:32" x14ac:dyDescent="0.2">
      <c r="I129" s="141"/>
      <c r="J129" s="141"/>
      <c r="AB129" s="169">
        <f>_xll.qlCalendarAdvance(Calendar,AB128,"1d","mf",,Trigger)</f>
        <v>42338</v>
      </c>
      <c r="AC129" s="155">
        <f>_xll.qlDayCounterYearFraction(DayCounter,SettlementDate,AB129,,,Trigger)</f>
        <v>0.49444444444444446</v>
      </c>
      <c r="AD129" s="167">
        <f t="shared" si="16"/>
        <v>2.8005420474306623E-3</v>
      </c>
      <c r="AE129" s="167">
        <f t="shared" si="17"/>
        <v>2.7728638401239999E-3</v>
      </c>
      <c r="AF129" s="167">
        <f t="shared" si="18"/>
        <v>4.4779424727315756E-3</v>
      </c>
    </row>
    <row r="130" spans="9:32" x14ac:dyDescent="0.2">
      <c r="I130" s="141"/>
      <c r="J130" s="141"/>
      <c r="AB130" s="169">
        <f>_xll.qlCalendarAdvance(Calendar,AB129,"1d","mf",,Trigger)</f>
        <v>42339</v>
      </c>
      <c r="AC130" s="155">
        <f>_xll.qlDayCounterYearFraction(DayCounter,SettlementDate,AB130,,,Trigger)</f>
        <v>0.49722222222222223</v>
      </c>
      <c r="AD130" s="167">
        <f t="shared" si="16"/>
        <v>2.8005420474306623E-3</v>
      </c>
      <c r="AE130" s="167">
        <f t="shared" si="17"/>
        <v>2.7778962414524841E-3</v>
      </c>
      <c r="AF130" s="167">
        <f t="shared" si="18"/>
        <v>4.4993896281398183E-3</v>
      </c>
    </row>
    <row r="131" spans="9:32" x14ac:dyDescent="0.2">
      <c r="I131" s="141"/>
      <c r="J131" s="141"/>
      <c r="AB131" s="169">
        <f>_xll.qlCalendarAdvance(Calendar,AB130,"1d","mf",,Trigger)</f>
        <v>42340</v>
      </c>
      <c r="AC131" s="155">
        <f>_xll.qlDayCounterYearFraction(DayCounter,SettlementDate,AB131,,,Trigger)</f>
        <v>0.5</v>
      </c>
      <c r="AD131" s="167">
        <f t="shared" ref="AD131:AD194" si="19">$S$13</f>
        <v>2.8005420474306623E-3</v>
      </c>
      <c r="AE131" s="167">
        <f t="shared" si="17"/>
        <v>2.7829286427809678E-3</v>
      </c>
      <c r="AF131" s="167">
        <f t="shared" si="18"/>
        <v>4.5205175753729827E-3</v>
      </c>
    </row>
    <row r="132" spans="9:32" x14ac:dyDescent="0.2">
      <c r="I132" s="141"/>
      <c r="J132" s="141"/>
      <c r="AB132" s="169">
        <f>_xll.qlCalendarAdvance(Calendar,AB131,"1d","mf",,Trigger)</f>
        <v>42341</v>
      </c>
      <c r="AC132" s="155">
        <f>_xll.qlDayCounterYearFraction(DayCounter,SettlementDate,AB132,,,Trigger)</f>
        <v>0.50277777777777777</v>
      </c>
      <c r="AD132" s="167">
        <f t="shared" si="19"/>
        <v>2.8005420474306623E-3</v>
      </c>
      <c r="AE132" s="167">
        <f t="shared" si="17"/>
        <v>2.7879610441094516E-3</v>
      </c>
      <c r="AF132" s="167">
        <f t="shared" si="18"/>
        <v>4.5413263144310689E-3</v>
      </c>
    </row>
    <row r="133" spans="9:32" x14ac:dyDescent="0.2">
      <c r="I133" s="141"/>
      <c r="J133" s="141"/>
      <c r="AB133" s="169">
        <f>_xll.qlCalendarAdvance(Calendar,AB132,"1d","mf",,Trigger)</f>
        <v>42342</v>
      </c>
      <c r="AC133" s="155">
        <f>_xll.qlDayCounterYearFraction(DayCounter,SettlementDate,AB133,,,Trigger)</f>
        <v>0.50555555555555554</v>
      </c>
      <c r="AD133" s="167">
        <f t="shared" si="19"/>
        <v>2.8005420474306623E-3</v>
      </c>
      <c r="AE133" s="167">
        <f t="shared" si="17"/>
        <v>2.7929934454379358E-3</v>
      </c>
      <c r="AF133" s="167">
        <f t="shared" si="18"/>
        <v>4.5618158453140769E-3</v>
      </c>
    </row>
    <row r="134" spans="9:32" x14ac:dyDescent="0.2">
      <c r="I134" s="141"/>
      <c r="J134" s="141"/>
      <c r="AB134" s="169">
        <f>_xll.qlCalendarAdvance(Calendar,AB133,"1d","mf",,Trigger)</f>
        <v>42345</v>
      </c>
      <c r="AC134" s="155">
        <f>_xll.qlDayCounterYearFraction(DayCounter,SettlementDate,AB134,,,Trigger)</f>
        <v>0.51388888888888884</v>
      </c>
      <c r="AD134" s="167">
        <f t="shared" si="19"/>
        <v>2.8005420474306623E-3</v>
      </c>
      <c r="AE134" s="167">
        <f t="shared" si="17"/>
        <v>2.8080906494233875E-3</v>
      </c>
      <c r="AF134" s="167">
        <f t="shared" si="18"/>
        <v>4.6213691889126288E-3</v>
      </c>
    </row>
    <row r="135" spans="9:32" x14ac:dyDescent="0.2">
      <c r="I135" s="141"/>
      <c r="J135" s="141"/>
      <c r="AB135" s="169">
        <f>_xll.qlCalendarAdvance(Calendar,AB134,"1d","mf",,Trigger)</f>
        <v>42346</v>
      </c>
      <c r="AC135" s="155">
        <f>_xll.qlDayCounterYearFraction(DayCounter,SettlementDate,AB135,,,Trigger)</f>
        <v>0.51666666666666672</v>
      </c>
      <c r="AD135" s="167">
        <f t="shared" si="19"/>
        <v>2.8005420474306623E-3</v>
      </c>
      <c r="AE135" s="167">
        <f t="shared" si="17"/>
        <v>2.8131230507518713E-3</v>
      </c>
      <c r="AF135" s="167">
        <f t="shared" si="18"/>
        <v>4.6405818870953229E-3</v>
      </c>
    </row>
    <row r="136" spans="9:32" x14ac:dyDescent="0.2">
      <c r="I136" s="141"/>
      <c r="J136" s="141"/>
      <c r="AB136" s="169">
        <f>_xll.qlCalendarAdvance(Calendar,AB135,"1d","mf",,Trigger)</f>
        <v>42347</v>
      </c>
      <c r="AC136" s="155">
        <f>_xll.qlDayCounterYearFraction(DayCounter,SettlementDate,AB136,,,Trigger)</f>
        <v>0.51944444444444449</v>
      </c>
      <c r="AD136" s="167">
        <f t="shared" si="19"/>
        <v>2.8005420474306623E-3</v>
      </c>
      <c r="AE136" s="167">
        <f t="shared" si="17"/>
        <v>2.8181554520803555E-3</v>
      </c>
      <c r="AF136" s="167">
        <f t="shared" si="18"/>
        <v>4.6594753771029397E-3</v>
      </c>
    </row>
    <row r="137" spans="9:32" x14ac:dyDescent="0.2">
      <c r="I137" s="141"/>
      <c r="J137" s="141"/>
      <c r="AB137" s="169">
        <f>_xll.qlCalendarAdvance(Calendar,AB136,"1d","mf",,Trigger)</f>
        <v>42348</v>
      </c>
      <c r="AC137" s="155">
        <f>_xll.qlDayCounterYearFraction(DayCounter,SettlementDate,AB137,,,Trigger)</f>
        <v>0.52222222222222225</v>
      </c>
      <c r="AD137" s="167">
        <f t="shared" si="19"/>
        <v>2.8005420474306623E-3</v>
      </c>
      <c r="AE137" s="167">
        <f t="shared" si="17"/>
        <v>2.8231878534088393E-3</v>
      </c>
      <c r="AF137" s="167">
        <f t="shared" si="18"/>
        <v>4.6780496589354775E-3</v>
      </c>
    </row>
    <row r="138" spans="9:32" x14ac:dyDescent="0.2">
      <c r="J138" s="141"/>
      <c r="AB138" s="169">
        <f>_xll.qlCalendarAdvance(Calendar,AB137,"1d","mf",,Trigger)</f>
        <v>42349</v>
      </c>
      <c r="AC138" s="155">
        <f>_xll.qlDayCounterYearFraction(DayCounter,SettlementDate,AB138,,,Trigger)</f>
        <v>0.52500000000000002</v>
      </c>
      <c r="AD138" s="167">
        <f t="shared" si="19"/>
        <v>2.8005420474306623E-3</v>
      </c>
      <c r="AE138" s="167">
        <f t="shared" si="17"/>
        <v>2.8282202547373235E-3</v>
      </c>
      <c r="AF138" s="167">
        <f t="shared" si="18"/>
        <v>4.6963047325929378E-3</v>
      </c>
    </row>
    <row r="139" spans="9:32" x14ac:dyDescent="0.2">
      <c r="J139" s="141"/>
      <c r="AB139" s="169">
        <f>_xll.qlCalendarAdvance(Calendar,AB138,"1d","mf",,Trigger)</f>
        <v>42352</v>
      </c>
      <c r="AC139" s="155">
        <f>_xll.qlDayCounterYearFraction(DayCounter,SettlementDate,AB139,,,Trigger)</f>
        <v>0.53333333333333333</v>
      </c>
      <c r="AD139" s="167">
        <f t="shared" si="19"/>
        <v>2.8005420474306623E-3</v>
      </c>
      <c r="AE139" s="167">
        <f t="shared" si="17"/>
        <v>2.8433174587227748E-3</v>
      </c>
      <c r="AF139" s="167">
        <f t="shared" si="18"/>
        <v>4.7491547045148469E-3</v>
      </c>
    </row>
    <row r="140" spans="9:32" x14ac:dyDescent="0.2">
      <c r="J140" s="141"/>
      <c r="AB140" s="169">
        <f>_xll.qlCalendarAdvance(Calendar,AB139,"1d","mf",,Trigger)</f>
        <v>42353</v>
      </c>
      <c r="AC140" s="155">
        <f>_xll.qlDayCounterYearFraction(DayCounter,SettlementDate,AB140,,,Trigger)</f>
        <v>0.53611111111111109</v>
      </c>
      <c r="AD140" s="167">
        <f t="shared" si="19"/>
        <v>2.8005420474306623E-3</v>
      </c>
      <c r="AE140" s="167">
        <f t="shared" si="17"/>
        <v>2.848349860051259E-3</v>
      </c>
      <c r="AF140" s="167">
        <f t="shared" si="18"/>
        <v>4.7661329454719943E-3</v>
      </c>
    </row>
    <row r="141" spans="9:32" x14ac:dyDescent="0.2">
      <c r="J141" s="141"/>
      <c r="AB141" s="169">
        <f>_xll.qlCalendarAdvance(Calendar,AB140,"1d","mf",,Trigger)</f>
        <v>42354</v>
      </c>
      <c r="AC141" s="155">
        <f>_xll.qlDayCounterYearFraction(DayCounter,SettlementDate,AB141,,,Trigger)</f>
        <v>0.53888888888888886</v>
      </c>
      <c r="AD141" s="167">
        <f t="shared" si="19"/>
        <v>2.8005420474306623E-3</v>
      </c>
      <c r="AE141" s="167">
        <f t="shared" si="17"/>
        <v>2.8533822613797427E-3</v>
      </c>
      <c r="AF141" s="167">
        <f t="shared" si="18"/>
        <v>4.7827919782540617E-3</v>
      </c>
    </row>
    <row r="142" spans="9:32" x14ac:dyDescent="0.2">
      <c r="J142" s="141"/>
      <c r="AB142" s="169">
        <f>_xll.qlCalendarAdvance(Calendar,AB141,"1d","mf",,Trigger)</f>
        <v>42355</v>
      </c>
      <c r="AC142" s="155">
        <f>_xll.qlDayCounterYearFraction(DayCounter,SettlementDate,AB142,,,Trigger)</f>
        <v>0.54166666666666663</v>
      </c>
      <c r="AD142" s="167">
        <f t="shared" si="19"/>
        <v>2.8005420474306623E-3</v>
      </c>
      <c r="AE142" s="167">
        <f t="shared" si="17"/>
        <v>2.8584146627082269E-3</v>
      </c>
      <c r="AF142" s="167">
        <f t="shared" si="18"/>
        <v>4.7991318028610518E-3</v>
      </c>
    </row>
    <row r="143" spans="9:32" x14ac:dyDescent="0.2">
      <c r="J143" s="141"/>
      <c r="AB143" s="169">
        <f>_xll.qlCalendarAdvance(Calendar,AB142,"1d","mf",,Trigger)</f>
        <v>42356</v>
      </c>
      <c r="AC143" s="155">
        <f>_xll.qlDayCounterYearFraction(DayCounter,SettlementDate,AB143,,,Trigger)</f>
        <v>0.5444444444444444</v>
      </c>
      <c r="AD143" s="167">
        <f t="shared" si="19"/>
        <v>2.8005420474306623E-3</v>
      </c>
      <c r="AE143" s="167">
        <f t="shared" si="17"/>
        <v>2.8634470640367107E-3</v>
      </c>
      <c r="AF143" s="167">
        <f t="shared" si="18"/>
        <v>4.8151524192929646E-3</v>
      </c>
    </row>
    <row r="144" spans="9:32" x14ac:dyDescent="0.2">
      <c r="AB144" s="169">
        <f>_xll.qlCalendarAdvance(Calendar,AB143,"1d","mf",,Trigger)</f>
        <v>42359</v>
      </c>
      <c r="AC144" s="155">
        <f>_xll.qlDayCounterYearFraction(DayCounter,SettlementDate,AB144,,,Trigger)</f>
        <v>0.55277777777777781</v>
      </c>
      <c r="AD144" s="167">
        <f t="shared" si="19"/>
        <v>2.8005420474306623E-3</v>
      </c>
      <c r="AE144" s="167">
        <f t="shared" si="17"/>
        <v>2.8785442680221624E-3</v>
      </c>
      <c r="AF144" s="167">
        <f t="shared" si="18"/>
        <v>4.8612990195382325E-3</v>
      </c>
    </row>
    <row r="145" spans="28:32" x14ac:dyDescent="0.2">
      <c r="AB145" s="169">
        <f>_xll.qlCalendarAdvance(Calendar,AB144,"1d","mf",,Trigger)</f>
        <v>42360</v>
      </c>
      <c r="AC145" s="155">
        <f>_xll.qlDayCounterYearFraction(DayCounter,SettlementDate,AB145,,,Trigger)</f>
        <v>0.55555555555555558</v>
      </c>
      <c r="AD145" s="167">
        <f t="shared" si="19"/>
        <v>2.8005420474306623E-3</v>
      </c>
      <c r="AE145" s="167">
        <f t="shared" si="17"/>
        <v>2.8835766693506466E-3</v>
      </c>
      <c r="AF145" s="167">
        <f t="shared" si="18"/>
        <v>4.8760428032698297E-3</v>
      </c>
    </row>
    <row r="146" spans="28:32" x14ac:dyDescent="0.2">
      <c r="AB146" s="169">
        <f>_xll.qlCalendarAdvance(Calendar,AB145,"1d","mf",,Trigger)</f>
        <v>42361</v>
      </c>
      <c r="AC146" s="155">
        <f>_xll.qlDayCounterYearFraction(DayCounter,SettlementDate,AB146,,,Trigger)</f>
        <v>0.55833333333333335</v>
      </c>
      <c r="AD146" s="167">
        <f t="shared" si="19"/>
        <v>2.8005420474306623E-3</v>
      </c>
      <c r="AE146" s="167">
        <f t="shared" ref="AE146:AE187" si="20">$S$10+$S$9*AC146</f>
        <v>2.8886090706791304E-3</v>
      </c>
      <c r="AF146" s="167">
        <f t="shared" ref="AF146:AF187" si="21">($S$5+$S$4*AC146+$S$3*AC146^2)</f>
        <v>4.890467378826353E-3</v>
      </c>
    </row>
    <row r="147" spans="28:32" x14ac:dyDescent="0.2">
      <c r="AB147" s="169">
        <f>_xll.qlCalendarAdvance(Calendar,AB146,"1d","mf",,Trigger)</f>
        <v>42362</v>
      </c>
      <c r="AC147" s="155">
        <f>_xll.qlDayCounterYearFraction(DayCounter,SettlementDate,AB147,,,Trigger)</f>
        <v>0.56111111111111112</v>
      </c>
      <c r="AD147" s="167">
        <f t="shared" si="19"/>
        <v>2.8005420474306623E-3</v>
      </c>
      <c r="AE147" s="167">
        <f t="shared" si="20"/>
        <v>2.8936414720076142E-3</v>
      </c>
      <c r="AF147" s="167">
        <f t="shared" si="21"/>
        <v>4.9045727462077946E-3</v>
      </c>
    </row>
    <row r="148" spans="28:32" x14ac:dyDescent="0.2">
      <c r="AB148" s="169">
        <f>_xll.qlCalendarAdvance(Calendar,AB147,"1d","mf",,Trigger)</f>
        <v>42366</v>
      </c>
      <c r="AC148" s="155">
        <f>_xll.qlDayCounterYearFraction(DayCounter,SettlementDate,AB148,,,Trigger)</f>
        <v>0.57222222222222219</v>
      </c>
      <c r="AD148" s="167">
        <f t="shared" si="19"/>
        <v>2.8005420474306623E-3</v>
      </c>
      <c r="AE148" s="167">
        <f t="shared" si="20"/>
        <v>2.9137710773215501E-3</v>
      </c>
      <c r="AF148" s="167">
        <f t="shared" si="21"/>
        <v>4.9578021339827848E-3</v>
      </c>
    </row>
    <row r="149" spans="28:32" x14ac:dyDescent="0.2">
      <c r="AB149" s="169">
        <f>_xll.qlCalendarAdvance(Calendar,AB148,"1d","mf",,Trigger)</f>
        <v>42367</v>
      </c>
      <c r="AC149" s="155">
        <f>_xll.qlDayCounterYearFraction(DayCounter,SettlementDate,AB149,,,Trigger)</f>
        <v>0.57499999999999996</v>
      </c>
      <c r="AD149" s="167">
        <f t="shared" si="19"/>
        <v>2.8005420474306623E-3</v>
      </c>
      <c r="AE149" s="167">
        <f t="shared" si="20"/>
        <v>2.9188034786500339E-3</v>
      </c>
      <c r="AF149" s="167">
        <f t="shared" si="21"/>
        <v>4.9703114604888344E-3</v>
      </c>
    </row>
    <row r="150" spans="28:32" x14ac:dyDescent="0.2">
      <c r="AB150" s="169">
        <f>_xll.qlCalendarAdvance(Calendar,AB149,"1d","mf",,Trigger)</f>
        <v>42368</v>
      </c>
      <c r="AC150" s="155">
        <f>_xll.qlDayCounterYearFraction(DayCounter,SettlementDate,AB150,,,Trigger)</f>
        <v>0.57777777777777772</v>
      </c>
      <c r="AD150" s="167">
        <f t="shared" si="19"/>
        <v>2.8005420474306623E-3</v>
      </c>
      <c r="AE150" s="167">
        <f t="shared" si="20"/>
        <v>2.9238358799785176E-3</v>
      </c>
      <c r="AF150" s="167">
        <f t="shared" si="21"/>
        <v>4.9825015788198066E-3</v>
      </c>
    </row>
    <row r="151" spans="28:32" x14ac:dyDescent="0.2">
      <c r="AB151" s="169">
        <f>_xll.qlCalendarAdvance(Calendar,AB150,"1d","mf",,Trigger)</f>
        <v>42369</v>
      </c>
      <c r="AC151" s="155">
        <f>_xll.qlDayCounterYearFraction(DayCounter,SettlementDate,AB151,,,Trigger)</f>
        <v>0.5805555555555556</v>
      </c>
      <c r="AD151" s="167">
        <f t="shared" si="19"/>
        <v>2.8005420474306623E-3</v>
      </c>
      <c r="AE151" s="167">
        <f t="shared" si="20"/>
        <v>2.9288682813070018E-3</v>
      </c>
      <c r="AF151" s="167">
        <f t="shared" si="21"/>
        <v>4.9943724889757049E-3</v>
      </c>
    </row>
    <row r="152" spans="28:32" x14ac:dyDescent="0.2">
      <c r="AB152" s="169">
        <f>_xll.qlCalendarAdvance(Calendar,AB151,"1d","mf",,Trigger)</f>
        <v>42373</v>
      </c>
      <c r="AC152" s="155">
        <f>_xll.qlDayCounterYearFraction(DayCounter,SettlementDate,AB152,,,Trigger)</f>
        <v>0.59166666666666667</v>
      </c>
      <c r="AD152" s="167">
        <f t="shared" si="19"/>
        <v>2.8005420474306623E-3</v>
      </c>
      <c r="AE152" s="167">
        <f t="shared" si="20"/>
        <v>2.9489978866209373E-3</v>
      </c>
      <c r="AF152" s="167">
        <f t="shared" si="21"/>
        <v>5.0386640478485021E-3</v>
      </c>
    </row>
    <row r="153" spans="28:32" x14ac:dyDescent="0.2">
      <c r="AB153" s="169">
        <f>_xll.qlCalendarAdvance(Calendar,AB152,"1d","mf",,Trigger)</f>
        <v>42374</v>
      </c>
      <c r="AC153" s="155">
        <f>_xll.qlDayCounterYearFraction(DayCounter,SettlementDate,AB153,,,Trigger)</f>
        <v>0.59444444444444444</v>
      </c>
      <c r="AD153" s="167">
        <f t="shared" si="19"/>
        <v>2.8005420474306623E-3</v>
      </c>
      <c r="AE153" s="167">
        <f t="shared" si="20"/>
        <v>2.9540302879494211E-3</v>
      </c>
      <c r="AF153" s="167">
        <f t="shared" si="21"/>
        <v>5.0489389171290075E-3</v>
      </c>
    </row>
    <row r="154" spans="28:32" x14ac:dyDescent="0.2">
      <c r="AB154" s="169">
        <f>_xll.qlCalendarAdvance(Calendar,AB153,"1d","mf",,Trigger)</f>
        <v>42375</v>
      </c>
      <c r="AC154" s="155">
        <f>_xll.qlDayCounterYearFraction(DayCounter,SettlementDate,AB154,,,Trigger)</f>
        <v>0.59722222222222221</v>
      </c>
      <c r="AD154" s="167">
        <f t="shared" si="19"/>
        <v>2.8005420474306623E-3</v>
      </c>
      <c r="AE154" s="167">
        <f t="shared" si="20"/>
        <v>2.9590626892779053E-3</v>
      </c>
      <c r="AF154" s="167">
        <f t="shared" si="21"/>
        <v>5.0588945782344321E-3</v>
      </c>
    </row>
    <row r="155" spans="28:32" x14ac:dyDescent="0.2">
      <c r="AB155" s="169">
        <f>_xll.qlCalendarAdvance(Calendar,AB154,"1d","mf",,Trigger)</f>
        <v>42376</v>
      </c>
      <c r="AC155" s="155">
        <f>_xll.qlDayCounterYearFraction(DayCounter,SettlementDate,AB155,,,Trigger)</f>
        <v>0.6</v>
      </c>
      <c r="AD155" s="167">
        <f t="shared" si="19"/>
        <v>2.8005420474306623E-3</v>
      </c>
      <c r="AE155" s="167">
        <f t="shared" si="20"/>
        <v>2.9640950906063891E-3</v>
      </c>
      <c r="AF155" s="167">
        <f t="shared" si="21"/>
        <v>5.0685310311647776E-3</v>
      </c>
    </row>
    <row r="156" spans="28:32" x14ac:dyDescent="0.2">
      <c r="AB156" s="169">
        <f>_xll.qlCalendarAdvance(Calendar,AB155,"1d","mf",,Trigger)</f>
        <v>42377</v>
      </c>
      <c r="AC156" s="155">
        <f>_xll.qlDayCounterYearFraction(DayCounter,SettlementDate,AB156,,,Trigger)</f>
        <v>0.60277777777777775</v>
      </c>
      <c r="AD156" s="167">
        <f t="shared" si="19"/>
        <v>2.8005420474306623E-3</v>
      </c>
      <c r="AE156" s="167">
        <f t="shared" si="20"/>
        <v>2.9691274919348733E-3</v>
      </c>
      <c r="AF156" s="167">
        <f t="shared" si="21"/>
        <v>5.0778482759200501E-3</v>
      </c>
    </row>
    <row r="157" spans="28:32" x14ac:dyDescent="0.2">
      <c r="AB157" s="169">
        <f>_xll.qlCalendarAdvance(Calendar,AB156,"1d","mf",,Trigger)</f>
        <v>42380</v>
      </c>
      <c r="AC157" s="155">
        <f>_xll.qlDayCounterYearFraction(DayCounter,SettlementDate,AB157,,,Trigger)</f>
        <v>0.61111111111111116</v>
      </c>
      <c r="AD157" s="167">
        <f t="shared" si="19"/>
        <v>2.8005420474306623E-3</v>
      </c>
      <c r="AE157" s="167">
        <f t="shared" si="20"/>
        <v>2.984224695920325E-3</v>
      </c>
      <c r="AF157" s="167">
        <f t="shared" si="21"/>
        <v>5.1038847611353886E-3</v>
      </c>
    </row>
    <row r="158" spans="28:32" x14ac:dyDescent="0.2">
      <c r="AB158" s="169">
        <f>_xll.qlCalendarAdvance(Calendar,AB157,"1d","mf",,Trigger)</f>
        <v>42381</v>
      </c>
      <c r="AC158" s="155">
        <f>_xll.qlDayCounterYearFraction(DayCounter,SettlementDate,AB158,,,Trigger)</f>
        <v>0.61388888888888893</v>
      </c>
      <c r="AD158" s="167">
        <f t="shared" si="19"/>
        <v>2.8005420474306623E-3</v>
      </c>
      <c r="AE158" s="167">
        <f t="shared" si="20"/>
        <v>2.9892570972488088E-3</v>
      </c>
      <c r="AF158" s="167">
        <f t="shared" si="21"/>
        <v>5.1119251731903438E-3</v>
      </c>
    </row>
    <row r="159" spans="28:32" x14ac:dyDescent="0.2">
      <c r="AB159" s="169">
        <f>_xll.qlCalendarAdvance(Calendar,AB158,"1d","mf",,Trigger)</f>
        <v>42382</v>
      </c>
      <c r="AC159" s="155">
        <f>_xll.qlDayCounterYearFraction(DayCounter,SettlementDate,AB159,,,Trigger)</f>
        <v>0.6166666666666667</v>
      </c>
      <c r="AD159" s="167">
        <f t="shared" si="19"/>
        <v>2.8005420474306623E-3</v>
      </c>
      <c r="AE159" s="167">
        <f t="shared" si="20"/>
        <v>2.994289498577293E-3</v>
      </c>
      <c r="AF159" s="167">
        <f t="shared" si="21"/>
        <v>5.1196463770702243E-3</v>
      </c>
    </row>
    <row r="160" spans="28:32" x14ac:dyDescent="0.2">
      <c r="AB160" s="169">
        <f>_xll.qlCalendarAdvance(Calendar,AB159,"1d","mf",,Trigger)</f>
        <v>42383</v>
      </c>
      <c r="AC160" s="155">
        <f>_xll.qlDayCounterYearFraction(DayCounter,SettlementDate,AB160,,,Trigger)</f>
        <v>0.61944444444444446</v>
      </c>
      <c r="AD160" s="167">
        <f t="shared" si="19"/>
        <v>2.8005420474306623E-3</v>
      </c>
      <c r="AE160" s="167">
        <f t="shared" si="20"/>
        <v>2.9993218999057767E-3</v>
      </c>
      <c r="AF160" s="167">
        <f t="shared" si="21"/>
        <v>5.127048372775023E-3</v>
      </c>
    </row>
    <row r="161" spans="28:32" x14ac:dyDescent="0.2">
      <c r="AB161" s="169">
        <f>_xll.qlCalendarAdvance(Calendar,AB160,"1d","mf",,Trigger)</f>
        <v>42384</v>
      </c>
      <c r="AC161" s="155">
        <f>_xll.qlDayCounterYearFraction(DayCounter,SettlementDate,AB161,,,Trigger)</f>
        <v>0.62222222222222223</v>
      </c>
      <c r="AD161" s="167">
        <f t="shared" si="19"/>
        <v>2.8005420474306623E-3</v>
      </c>
      <c r="AE161" s="167">
        <f t="shared" si="20"/>
        <v>3.0043543012342605E-3</v>
      </c>
      <c r="AF161" s="167">
        <f t="shared" si="21"/>
        <v>5.1341311603047435E-3</v>
      </c>
    </row>
    <row r="162" spans="28:32" x14ac:dyDescent="0.2">
      <c r="AB162" s="169">
        <f>_xll.qlCalendarAdvance(Calendar,AB161,"1d","mf",,Trigger)</f>
        <v>42387</v>
      </c>
      <c r="AC162" s="155">
        <f>_xll.qlDayCounterYearFraction(DayCounter,SettlementDate,AB162,,,Trigger)</f>
        <v>0.63055555555555554</v>
      </c>
      <c r="AD162" s="167">
        <f t="shared" si="19"/>
        <v>2.8005420474306623E-3</v>
      </c>
      <c r="AE162" s="167">
        <f t="shared" si="20"/>
        <v>3.0194515052197122E-3</v>
      </c>
      <c r="AF162" s="167">
        <f t="shared" si="21"/>
        <v>5.1534642738434427E-3</v>
      </c>
    </row>
    <row r="163" spans="28:32" x14ac:dyDescent="0.2">
      <c r="AB163" s="169">
        <f>_xll.qlCalendarAdvance(Calendar,AB162,"1d","mf",,Trigger)</f>
        <v>42388</v>
      </c>
      <c r="AC163" s="155">
        <f>_xll.qlDayCounterYearFraction(DayCounter,SettlementDate,AB163,,,Trigger)</f>
        <v>0.6333333333333333</v>
      </c>
      <c r="AD163" s="167">
        <f t="shared" si="19"/>
        <v>2.8005420474306623E-3</v>
      </c>
      <c r="AE163" s="167">
        <f t="shared" si="20"/>
        <v>3.0244839065481964E-3</v>
      </c>
      <c r="AF163" s="167">
        <f t="shared" si="21"/>
        <v>5.1592702286728485E-3</v>
      </c>
    </row>
    <row r="164" spans="28:32" x14ac:dyDescent="0.2">
      <c r="AB164" s="169">
        <f>_xll.qlCalendarAdvance(Calendar,AB163,"1d","mf",,Trigger)</f>
        <v>42389</v>
      </c>
      <c r="AC164" s="155">
        <f>_xll.qlDayCounterYearFraction(DayCounter,SettlementDate,AB164,,,Trigger)</f>
        <v>0.63611111111111107</v>
      </c>
      <c r="AD164" s="167">
        <f t="shared" si="19"/>
        <v>2.8005420474306623E-3</v>
      </c>
      <c r="AE164" s="167">
        <f t="shared" si="20"/>
        <v>3.0295163078766802E-3</v>
      </c>
      <c r="AF164" s="167">
        <f t="shared" si="21"/>
        <v>5.1647569753271796E-3</v>
      </c>
    </row>
    <row r="165" spans="28:32" x14ac:dyDescent="0.2">
      <c r="AB165" s="169">
        <f>_xll.qlCalendarAdvance(Calendar,AB164,"1d","mf",,Trigger)</f>
        <v>42390</v>
      </c>
      <c r="AC165" s="155">
        <f>_xll.qlDayCounterYearFraction(DayCounter,SettlementDate,AB165,,,Trigger)</f>
        <v>0.63888888888888884</v>
      </c>
      <c r="AD165" s="167">
        <f t="shared" si="19"/>
        <v>2.8005420474306623E-3</v>
      </c>
      <c r="AE165" s="167">
        <f t="shared" si="20"/>
        <v>3.034548709205164E-3</v>
      </c>
      <c r="AF165" s="167">
        <f t="shared" si="21"/>
        <v>5.1699245138064325E-3</v>
      </c>
    </row>
    <row r="166" spans="28:32" x14ac:dyDescent="0.2">
      <c r="AB166" s="169">
        <f>_xll.qlCalendarAdvance(Calendar,AB165,"1d","mf",,Trigger)</f>
        <v>42391</v>
      </c>
      <c r="AC166" s="155">
        <f>_xll.qlDayCounterYearFraction(DayCounter,SettlementDate,AB166,,,Trigger)</f>
        <v>0.64166666666666672</v>
      </c>
      <c r="AD166" s="167">
        <f t="shared" si="19"/>
        <v>2.8005420474306623E-3</v>
      </c>
      <c r="AE166" s="167">
        <f t="shared" si="20"/>
        <v>3.0395811105336482E-3</v>
      </c>
      <c r="AF166" s="167">
        <f t="shared" si="21"/>
        <v>5.1747728441106054E-3</v>
      </c>
    </row>
    <row r="167" spans="28:32" x14ac:dyDescent="0.2">
      <c r="AB167" s="169">
        <f>_xll.qlCalendarAdvance(Calendar,AB166,"1d","mf",,Trigger)</f>
        <v>42394</v>
      </c>
      <c r="AC167" s="155">
        <f>_xll.qlDayCounterYearFraction(DayCounter,SettlementDate,AB167,,,Trigger)</f>
        <v>0.65</v>
      </c>
      <c r="AD167" s="167">
        <f t="shared" si="19"/>
        <v>2.8005420474306623E-3</v>
      </c>
      <c r="AE167" s="167">
        <f t="shared" si="20"/>
        <v>3.0546783145190999E-3</v>
      </c>
      <c r="AF167" s="167">
        <f t="shared" si="21"/>
        <v>5.1874025859726582E-3</v>
      </c>
    </row>
    <row r="168" spans="28:32" x14ac:dyDescent="0.2">
      <c r="AB168" s="169">
        <f>_xll.qlCalendarAdvance(Calendar,AB167,"1d","mf",,Trigger)</f>
        <v>42395</v>
      </c>
      <c r="AC168" s="155">
        <f>_xll.qlDayCounterYearFraction(DayCounter,SettlementDate,AB168,,,Trigger)</f>
        <v>0.65277777777777779</v>
      </c>
      <c r="AD168" s="167">
        <f t="shared" si="19"/>
        <v>2.8005420474306623E-3</v>
      </c>
      <c r="AE168" s="167">
        <f t="shared" si="20"/>
        <v>3.0597107158475837E-3</v>
      </c>
      <c r="AF168" s="167">
        <f t="shared" si="21"/>
        <v>5.1909740835765199E-3</v>
      </c>
    </row>
    <row r="169" spans="28:32" x14ac:dyDescent="0.2">
      <c r="AB169" s="169">
        <f>_xll.qlCalendarAdvance(Calendar,AB168,"1d","mf",,Trigger)</f>
        <v>42396</v>
      </c>
      <c r="AC169" s="155">
        <f>_xll.qlDayCounterYearFraction(DayCounter,SettlementDate,AB169,,,Trigger)</f>
        <v>0.65555555555555556</v>
      </c>
      <c r="AD169" s="167">
        <f t="shared" si="19"/>
        <v>2.8005420474306623E-3</v>
      </c>
      <c r="AE169" s="167">
        <f t="shared" si="20"/>
        <v>3.0647431171760674E-3</v>
      </c>
      <c r="AF169" s="167">
        <f t="shared" si="21"/>
        <v>5.1942263730053034E-3</v>
      </c>
    </row>
    <row r="170" spans="28:32" x14ac:dyDescent="0.2">
      <c r="AB170" s="169">
        <f>_xll.qlCalendarAdvance(Calendar,AB169,"1d","mf",,Trigger)</f>
        <v>42397</v>
      </c>
      <c r="AC170" s="155">
        <f>_xll.qlDayCounterYearFraction(DayCounter,SettlementDate,AB170,,,Trigger)</f>
        <v>0.65833333333333333</v>
      </c>
      <c r="AD170" s="167">
        <f t="shared" si="19"/>
        <v>2.8005420474306623E-3</v>
      </c>
      <c r="AE170" s="167">
        <f t="shared" si="20"/>
        <v>3.0697755185045516E-3</v>
      </c>
      <c r="AF170" s="167">
        <f t="shared" si="21"/>
        <v>5.197159454259007E-3</v>
      </c>
    </row>
    <row r="171" spans="28:32" x14ac:dyDescent="0.2">
      <c r="AB171" s="169">
        <f>_xll.qlCalendarAdvance(Calendar,AB170,"1d","mf",,Trigger)</f>
        <v>42398</v>
      </c>
      <c r="AC171" s="155">
        <f>_xll.qlDayCounterYearFraction(DayCounter,SettlementDate,AB171,,,Trigger)</f>
        <v>0.66111111111111109</v>
      </c>
      <c r="AD171" s="167">
        <f t="shared" si="19"/>
        <v>2.8005420474306623E-3</v>
      </c>
      <c r="AE171" s="167">
        <f t="shared" si="20"/>
        <v>3.0748079198330354E-3</v>
      </c>
      <c r="AF171" s="167">
        <f t="shared" si="21"/>
        <v>5.1997733273376357E-3</v>
      </c>
    </row>
    <row r="172" spans="28:32" x14ac:dyDescent="0.2">
      <c r="AB172" s="169">
        <f>_xll.qlCalendarAdvance(Calendar,AB171,"1d","mf",,Trigger)</f>
        <v>42401</v>
      </c>
      <c r="AC172" s="155">
        <f>_xll.qlDayCounterYearFraction(DayCounter,SettlementDate,AB172,,,Trigger)</f>
        <v>0.6694444444444444</v>
      </c>
      <c r="AD172" s="167">
        <f t="shared" si="19"/>
        <v>2.8005420474306623E-3</v>
      </c>
      <c r="AE172" s="167">
        <f t="shared" si="20"/>
        <v>3.0899051238184871E-3</v>
      </c>
      <c r="AF172" s="167">
        <f t="shared" si="21"/>
        <v>5.2056996975230457E-3</v>
      </c>
    </row>
    <row r="173" spans="28:32" x14ac:dyDescent="0.2">
      <c r="AB173" s="169">
        <f>_xll.qlCalendarAdvance(Calendar,AB172,"1d","mf",,Trigger)</f>
        <v>42402</v>
      </c>
      <c r="AC173" s="155">
        <f>_xll.qlDayCounterYearFraction(DayCounter,SettlementDate,AB173,,,Trigger)</f>
        <v>0.67222222222222228</v>
      </c>
      <c r="AD173" s="167">
        <f t="shared" si="19"/>
        <v>2.8005420474306623E-3</v>
      </c>
      <c r="AE173" s="167">
        <f t="shared" si="20"/>
        <v>3.0949375251469713E-3</v>
      </c>
      <c r="AF173" s="167">
        <f t="shared" si="21"/>
        <v>5.207036737901358E-3</v>
      </c>
    </row>
    <row r="174" spans="28:32" x14ac:dyDescent="0.2">
      <c r="AB174" s="169">
        <f>_xll.qlCalendarAdvance(Calendar,AB173,"1d","mf",,Trigger)</f>
        <v>42403</v>
      </c>
      <c r="AC174" s="155">
        <f>_xll.qlDayCounterYearFraction(DayCounter,SettlementDate,AB174,,,Trigger)</f>
        <v>0.67500000000000004</v>
      </c>
      <c r="AD174" s="167">
        <f t="shared" si="19"/>
        <v>2.8005420474306623E-3</v>
      </c>
      <c r="AE174" s="167">
        <f t="shared" si="20"/>
        <v>3.0999699264754555E-3</v>
      </c>
      <c r="AF174" s="167">
        <f t="shared" si="21"/>
        <v>5.2080545701045922E-3</v>
      </c>
    </row>
    <row r="175" spans="28:32" x14ac:dyDescent="0.2">
      <c r="AB175" s="169">
        <f>_xll.qlCalendarAdvance(Calendar,AB174,"1d","mf",,Trigger)</f>
        <v>42404</v>
      </c>
      <c r="AC175" s="155">
        <f>_xll.qlDayCounterYearFraction(DayCounter,SettlementDate,AB175,,,Trigger)</f>
        <v>0.67777777777777781</v>
      </c>
      <c r="AD175" s="167">
        <f t="shared" si="19"/>
        <v>2.8005420474306623E-3</v>
      </c>
      <c r="AE175" s="167">
        <f t="shared" si="20"/>
        <v>3.1050023278039393E-3</v>
      </c>
      <c r="AF175" s="167">
        <f t="shared" si="21"/>
        <v>5.2087531941327515E-3</v>
      </c>
    </row>
    <row r="176" spans="28:32" x14ac:dyDescent="0.2">
      <c r="AB176" s="169">
        <f>_xll.qlCalendarAdvance(Calendar,AB175,"1d","mf",,Trigger)</f>
        <v>42405</v>
      </c>
      <c r="AC176" s="155">
        <f>_xll.qlDayCounterYearFraction(DayCounter,SettlementDate,AB176,,,Trigger)</f>
        <v>0.68055555555555558</v>
      </c>
      <c r="AD176" s="167">
        <f t="shared" si="19"/>
        <v>2.8005420474306623E-3</v>
      </c>
      <c r="AE176" s="167">
        <f t="shared" si="20"/>
        <v>3.1100347291324231E-3</v>
      </c>
      <c r="AF176" s="167">
        <f t="shared" si="21"/>
        <v>5.2091326099858292E-3</v>
      </c>
    </row>
    <row r="177" spans="28:32" x14ac:dyDescent="0.2">
      <c r="AB177" s="169">
        <f>_xll.qlCalendarAdvance(Calendar,AB176,"1d","mf",,Trigger)</f>
        <v>42408</v>
      </c>
      <c r="AC177" s="155">
        <f>_xll.qlDayCounterYearFraction(DayCounter,SettlementDate,AB177,,,Trigger)</f>
        <v>0.68888888888888888</v>
      </c>
      <c r="AD177" s="167">
        <f t="shared" si="19"/>
        <v>2.8005420474306623E-3</v>
      </c>
      <c r="AE177" s="167">
        <f t="shared" si="20"/>
        <v>3.1251319331178748E-3</v>
      </c>
      <c r="AF177" s="167">
        <f t="shared" si="21"/>
        <v>5.2083556084945963E-3</v>
      </c>
    </row>
    <row r="178" spans="28:32" x14ac:dyDescent="0.2">
      <c r="AB178" s="169">
        <f>_xll.qlCalendarAdvance(Calendar,AB177,"1d","mf",,Trigger)</f>
        <v>42409</v>
      </c>
      <c r="AC178" s="155">
        <f>_xll.qlDayCounterYearFraction(DayCounter,SettlementDate,AB178,,,Trigger)</f>
        <v>0.69166666666666665</v>
      </c>
      <c r="AD178" s="167">
        <f t="shared" si="19"/>
        <v>2.8005420474306623E-3</v>
      </c>
      <c r="AE178" s="167">
        <f t="shared" si="20"/>
        <v>3.1301643344463586E-3</v>
      </c>
      <c r="AF178" s="167">
        <f t="shared" si="21"/>
        <v>5.2074581916473645E-3</v>
      </c>
    </row>
    <row r="179" spans="28:32" x14ac:dyDescent="0.2">
      <c r="AB179" s="169">
        <f>_xll.qlCalendarAdvance(Calendar,AB178,"1d","mf",,Trigger)</f>
        <v>42410</v>
      </c>
      <c r="AC179" s="155">
        <f>_xll.qlDayCounterYearFraction(DayCounter,SettlementDate,AB179,,,Trigger)</f>
        <v>0.69444444444444442</v>
      </c>
      <c r="AD179" s="167">
        <f t="shared" si="19"/>
        <v>2.8005420474306623E-3</v>
      </c>
      <c r="AE179" s="167">
        <f t="shared" si="20"/>
        <v>3.1351967357748428E-3</v>
      </c>
      <c r="AF179" s="167">
        <f t="shared" si="21"/>
        <v>5.206241566625051E-3</v>
      </c>
    </row>
    <row r="180" spans="28:32" x14ac:dyDescent="0.2">
      <c r="AB180" s="169">
        <f>_xll.qlCalendarAdvance(Calendar,AB179,"1d","mf",,Trigger)</f>
        <v>42411</v>
      </c>
      <c r="AC180" s="155">
        <f>_xll.qlDayCounterYearFraction(DayCounter,SettlementDate,AB180,,,Trigger)</f>
        <v>0.69722222222222219</v>
      </c>
      <c r="AD180" s="167">
        <f t="shared" si="19"/>
        <v>2.8005420474306623E-3</v>
      </c>
      <c r="AE180" s="167">
        <f t="shared" si="20"/>
        <v>3.1402291371033265E-3</v>
      </c>
      <c r="AF180" s="167">
        <f t="shared" si="21"/>
        <v>5.2047057334276593E-3</v>
      </c>
    </row>
    <row r="181" spans="28:32" x14ac:dyDescent="0.2">
      <c r="AB181" s="169">
        <f>_xll.qlCalendarAdvance(Calendar,AB180,"1d","mf",,Trigger)</f>
        <v>42412</v>
      </c>
      <c r="AC181" s="155">
        <f>_xll.qlDayCounterYearFraction(DayCounter,SettlementDate,AB181,,,Trigger)</f>
        <v>0.7</v>
      </c>
      <c r="AD181" s="167">
        <f t="shared" si="19"/>
        <v>2.8005420474306623E-3</v>
      </c>
      <c r="AE181" s="167">
        <f t="shared" si="20"/>
        <v>3.1452615384318103E-3</v>
      </c>
      <c r="AF181" s="167">
        <f t="shared" si="21"/>
        <v>5.2028506920551928E-3</v>
      </c>
    </row>
    <row r="182" spans="28:32" x14ac:dyDescent="0.2">
      <c r="AB182" s="169">
        <f>_xll.qlCalendarAdvance(Calendar,AB181,"1d","mf",,Trigger)</f>
        <v>42415</v>
      </c>
      <c r="AC182" s="155">
        <f>_xll.qlDayCounterYearFraction(DayCounter,SettlementDate,AB182,,,Trigger)</f>
        <v>0.70833333333333337</v>
      </c>
      <c r="AD182" s="167">
        <f t="shared" si="19"/>
        <v>2.8005420474306623E-3</v>
      </c>
      <c r="AE182" s="167">
        <f t="shared" si="20"/>
        <v>3.1603587424172625E-3</v>
      </c>
      <c r="AF182" s="167">
        <f t="shared" si="21"/>
        <v>5.1953703188873171E-3</v>
      </c>
    </row>
    <row r="183" spans="28:32" x14ac:dyDescent="0.2">
      <c r="AB183" s="169">
        <f>_xll.qlCalendarAdvance(Calendar,AB182,"1d","mf",,Trigger)</f>
        <v>42416</v>
      </c>
      <c r="AC183" s="155">
        <f>_xll.qlDayCounterYearFraction(DayCounter,SettlementDate,AB183,,,Trigger)</f>
        <v>0.71111111111111114</v>
      </c>
      <c r="AD183" s="167">
        <f t="shared" si="19"/>
        <v>2.8005420474306623E-3</v>
      </c>
      <c r="AE183" s="167">
        <f t="shared" si="20"/>
        <v>3.1653911437457462E-3</v>
      </c>
      <c r="AF183" s="167">
        <f t="shared" si="21"/>
        <v>5.192238444814536E-3</v>
      </c>
    </row>
    <row r="184" spans="28:32" x14ac:dyDescent="0.2">
      <c r="AB184" s="169">
        <f>_xll.qlCalendarAdvance(Calendar,AB183,"1d","mf",,Trigger)</f>
        <v>42417</v>
      </c>
      <c r="AC184" s="155">
        <f>_xll.qlDayCounterYearFraction(DayCounter,SettlementDate,AB184,,,Trigger)</f>
        <v>0.71388888888888891</v>
      </c>
      <c r="AD184" s="167">
        <f t="shared" si="19"/>
        <v>2.8005420474306623E-3</v>
      </c>
      <c r="AE184" s="167">
        <f t="shared" si="20"/>
        <v>3.17042354507423E-3</v>
      </c>
      <c r="AF184" s="167">
        <f t="shared" si="21"/>
        <v>5.1887873625666766E-3</v>
      </c>
    </row>
    <row r="185" spans="28:32" x14ac:dyDescent="0.2">
      <c r="AB185" s="169">
        <f>_xll.qlCalendarAdvance(Calendar,AB184,"1d","mf",,Trigger)</f>
        <v>42418</v>
      </c>
      <c r="AC185" s="155">
        <f>_xll.qlDayCounterYearFraction(DayCounter,SettlementDate,AB185,,,Trigger)</f>
        <v>0.71666666666666667</v>
      </c>
      <c r="AD185" s="167">
        <f t="shared" si="19"/>
        <v>2.8005420474306623E-3</v>
      </c>
      <c r="AE185" s="167">
        <f t="shared" si="20"/>
        <v>3.1754559464027138E-3</v>
      </c>
      <c r="AF185" s="167">
        <f t="shared" si="21"/>
        <v>5.1850170721437355E-3</v>
      </c>
    </row>
    <row r="186" spans="28:32" x14ac:dyDescent="0.2">
      <c r="AB186" s="169">
        <f>_xll.qlCalendarAdvance(Calendar,AB185,"1d","mf",,Trigger)</f>
        <v>42419</v>
      </c>
      <c r="AC186" s="155">
        <f>_xll.qlDayCounterYearFraction(DayCounter,SettlementDate,AB186,,,Trigger)</f>
        <v>0.71944444444444444</v>
      </c>
      <c r="AD186" s="167">
        <f t="shared" si="19"/>
        <v>2.8005420474306623E-3</v>
      </c>
      <c r="AE186" s="167">
        <f t="shared" si="20"/>
        <v>3.180488347731198E-3</v>
      </c>
      <c r="AF186" s="167">
        <f t="shared" si="21"/>
        <v>5.1809275735457232E-3</v>
      </c>
    </row>
    <row r="187" spans="28:32" x14ac:dyDescent="0.2">
      <c r="AB187" s="169">
        <f>_xll.qlCalendarAdvance(Calendar,AB186,"1d","mf",,Trigger)</f>
        <v>42422</v>
      </c>
      <c r="AC187" s="155">
        <f>_xll.qlDayCounterYearFraction(DayCounter,SettlementDate,AB187,,,Trigger)</f>
        <v>0.72777777777777775</v>
      </c>
      <c r="AD187" s="167">
        <f t="shared" si="19"/>
        <v>2.8005420474306623E-3</v>
      </c>
      <c r="AE187" s="167">
        <f t="shared" si="20"/>
        <v>3.1955855517166497E-3</v>
      </c>
      <c r="AF187" s="167">
        <f t="shared" si="21"/>
        <v>5.1667438287012028E-3</v>
      </c>
    </row>
    <row r="188" spans="28:32" x14ac:dyDescent="0.2">
      <c r="AB188" s="169">
        <f>_xll.qlCalendarAdvance(Calendar,AB187,"1d","mf",,Trigger)</f>
        <v>42423</v>
      </c>
      <c r="AC188" s="155">
        <f>_xll.qlDayCounterYearFraction(DayCounter,SettlementDate,AB188,,,Trigger)</f>
        <v>0.73055555555555551</v>
      </c>
      <c r="AD188" s="167">
        <f t="shared" si="19"/>
        <v>2.8005420474306623E-3</v>
      </c>
      <c r="AE188" s="167">
        <f t="shared" ref="AE188:AE251" si="22">$S$10+$S$9*AC188</f>
        <v>3.2006179530451335E-3</v>
      </c>
      <c r="AF188" s="167">
        <f t="shared" ref="AF188:AF251" si="23">($S$5+$S$4*AC188+$S$3*AC188^2)</f>
        <v>5.1613774974028758E-3</v>
      </c>
    </row>
    <row r="189" spans="28:32" x14ac:dyDescent="0.2">
      <c r="AB189" s="169">
        <f>_xll.qlCalendarAdvance(Calendar,AB188,"1d","mf",,Trigger)</f>
        <v>42424</v>
      </c>
      <c r="AC189" s="155">
        <f>_xll.qlDayCounterYearFraction(DayCounter,SettlementDate,AB189,,,Trigger)</f>
        <v>0.73333333333333328</v>
      </c>
      <c r="AD189" s="167">
        <f t="shared" si="19"/>
        <v>2.8005420474306623E-3</v>
      </c>
      <c r="AE189" s="167">
        <f t="shared" si="22"/>
        <v>3.2056503543736172E-3</v>
      </c>
      <c r="AF189" s="167">
        <f t="shared" si="23"/>
        <v>5.1556919579294636E-3</v>
      </c>
    </row>
    <row r="190" spans="28:32" x14ac:dyDescent="0.2">
      <c r="AB190" s="169">
        <f>_xll.qlCalendarAdvance(Calendar,AB189,"1d","mf",,Trigger)</f>
        <v>42425</v>
      </c>
      <c r="AC190" s="155">
        <f>_xll.qlDayCounterYearFraction(DayCounter,SettlementDate,AB190,,,Trigger)</f>
        <v>0.73611111111111116</v>
      </c>
      <c r="AD190" s="167">
        <f t="shared" si="19"/>
        <v>2.8005420474306623E-3</v>
      </c>
      <c r="AE190" s="167">
        <f t="shared" si="22"/>
        <v>3.2106827557021019E-3</v>
      </c>
      <c r="AF190" s="167">
        <f t="shared" si="23"/>
        <v>5.1496872102809836E-3</v>
      </c>
    </row>
    <row r="191" spans="28:32" x14ac:dyDescent="0.2">
      <c r="AB191" s="169">
        <f>_xll.qlCalendarAdvance(Calendar,AB190,"1d","mf",,Trigger)</f>
        <v>42426</v>
      </c>
      <c r="AC191" s="155">
        <f>_xll.qlDayCounterYearFraction(DayCounter,SettlementDate,AB191,,,Trigger)</f>
        <v>0.73888888888888893</v>
      </c>
      <c r="AD191" s="167">
        <f t="shared" si="19"/>
        <v>2.8005420474306623E-3</v>
      </c>
      <c r="AE191" s="167">
        <f t="shared" si="22"/>
        <v>3.2157151570305856E-3</v>
      </c>
      <c r="AF191" s="167">
        <f t="shared" si="23"/>
        <v>5.143363254457415E-3</v>
      </c>
    </row>
    <row r="192" spans="28:32" x14ac:dyDescent="0.2">
      <c r="AB192" s="169">
        <f>_xll.qlCalendarAdvance(Calendar,AB191,"1d","mf",,Trigger)</f>
        <v>42429</v>
      </c>
      <c r="AC192" s="155">
        <f>_xll.qlDayCounterYearFraction(DayCounter,SettlementDate,AB192,,,Trigger)</f>
        <v>0.74722222222222223</v>
      </c>
      <c r="AD192" s="167">
        <f t="shared" si="19"/>
        <v>2.8005420474306623E-3</v>
      </c>
      <c r="AE192" s="167">
        <f t="shared" si="22"/>
        <v>3.230812361016037E-3</v>
      </c>
      <c r="AF192" s="167">
        <f t="shared" si="23"/>
        <v>5.1224761379362535E-3</v>
      </c>
    </row>
    <row r="193" spans="28:32" x14ac:dyDescent="0.2">
      <c r="AB193" s="169">
        <f>_xll.qlCalendarAdvance(Calendar,AB192,"1d","mf",,Trigger)</f>
        <v>42430</v>
      </c>
      <c r="AC193" s="155">
        <f>_xll.qlDayCounterYearFraction(DayCounter,SettlementDate,AB193,,,Trigger)</f>
        <v>0.75</v>
      </c>
      <c r="AD193" s="167">
        <f t="shared" si="19"/>
        <v>2.8005420474306623E-3</v>
      </c>
      <c r="AE193" s="167">
        <f t="shared" si="22"/>
        <v>3.2358447623445212E-3</v>
      </c>
      <c r="AF193" s="167">
        <f t="shared" si="23"/>
        <v>5.1148753494123789E-3</v>
      </c>
    </row>
    <row r="194" spans="28:32" x14ac:dyDescent="0.2">
      <c r="AB194" s="169">
        <f>_xll.qlCalendarAdvance(Calendar,AB193,"1d","mf",,Trigger)</f>
        <v>42431</v>
      </c>
      <c r="AC194" s="155">
        <f>_xll.qlDayCounterYearFraction(DayCounter,SettlementDate,AB194,,,Trigger)</f>
        <v>0.75277777777777777</v>
      </c>
      <c r="AD194" s="167">
        <f t="shared" si="19"/>
        <v>2.8005420474306623E-3</v>
      </c>
      <c r="AE194" s="167">
        <f t="shared" si="22"/>
        <v>3.2408771636730054E-3</v>
      </c>
      <c r="AF194" s="167">
        <f t="shared" si="23"/>
        <v>5.106955352713426E-3</v>
      </c>
    </row>
    <row r="195" spans="28:32" x14ac:dyDescent="0.2">
      <c r="AB195" s="169">
        <f>_xll.qlCalendarAdvance(Calendar,AB194,"1d","mf",,Trigger)</f>
        <v>42432</v>
      </c>
      <c r="AC195" s="155">
        <f>_xll.qlDayCounterYearFraction(DayCounter,SettlementDate,AB195,,,Trigger)</f>
        <v>0.75555555555555554</v>
      </c>
      <c r="AD195" s="167">
        <f t="shared" ref="AD195:AD257" si="24">$S$13</f>
        <v>2.8005420474306623E-3</v>
      </c>
      <c r="AE195" s="167">
        <f t="shared" si="22"/>
        <v>3.2459095650014891E-3</v>
      </c>
      <c r="AF195" s="167">
        <f t="shared" si="23"/>
        <v>5.098716147839388E-3</v>
      </c>
    </row>
    <row r="196" spans="28:32" x14ac:dyDescent="0.2">
      <c r="AB196" s="169">
        <f>_xll.qlCalendarAdvance(Calendar,AB195,"1d","mf",,Trigger)</f>
        <v>42433</v>
      </c>
      <c r="AC196" s="155">
        <f>_xll.qlDayCounterYearFraction(DayCounter,SettlementDate,AB196,,,Trigger)</f>
        <v>0.7583333333333333</v>
      </c>
      <c r="AD196" s="167">
        <f t="shared" si="24"/>
        <v>2.8005420474306623E-3</v>
      </c>
      <c r="AE196" s="167">
        <f t="shared" si="22"/>
        <v>3.2509419663299729E-3</v>
      </c>
      <c r="AF196" s="167">
        <f t="shared" si="23"/>
        <v>5.0901577347902786E-3</v>
      </c>
    </row>
    <row r="197" spans="28:32" x14ac:dyDescent="0.2">
      <c r="AB197" s="169">
        <f>_xll.qlCalendarAdvance(Calendar,AB196,"1d","mf",,Trigger)</f>
        <v>42436</v>
      </c>
      <c r="AC197" s="155">
        <f>_xll.qlDayCounterYearFraction(DayCounter,SettlementDate,AB197,,,Trigger)</f>
        <v>0.76666666666666672</v>
      </c>
      <c r="AD197" s="167">
        <f t="shared" si="24"/>
        <v>2.8005420474306623E-3</v>
      </c>
      <c r="AE197" s="167">
        <f t="shared" si="22"/>
        <v>3.2660391703154251E-3</v>
      </c>
      <c r="AF197" s="167">
        <f t="shared" si="23"/>
        <v>5.0625672465924778E-3</v>
      </c>
    </row>
    <row r="198" spans="28:32" x14ac:dyDescent="0.2">
      <c r="AB198" s="169">
        <f>_xll.qlCalendarAdvance(Calendar,AB197,"1d","mf",,Trigger)</f>
        <v>42437</v>
      </c>
      <c r="AC198" s="155">
        <f>_xll.qlDayCounterYearFraction(DayCounter,SettlementDate,AB198,,,Trigger)</f>
        <v>0.76944444444444449</v>
      </c>
      <c r="AD198" s="167">
        <f t="shared" si="24"/>
        <v>2.8005420474306623E-3</v>
      </c>
      <c r="AE198" s="167">
        <f t="shared" si="22"/>
        <v>3.2710715716439088E-3</v>
      </c>
      <c r="AF198" s="167">
        <f t="shared" si="23"/>
        <v>5.0527320008430503E-3</v>
      </c>
    </row>
    <row r="199" spans="28:32" x14ac:dyDescent="0.2">
      <c r="AB199" s="169">
        <f>_xll.qlCalendarAdvance(Calendar,AB198,"1d","mf",,Trigger)</f>
        <v>42438</v>
      </c>
      <c r="AC199" s="155">
        <f>_xll.qlDayCounterYearFraction(DayCounter,SettlementDate,AB199,,,Trigger)</f>
        <v>0.77222222222222225</v>
      </c>
      <c r="AD199" s="167">
        <f t="shared" si="24"/>
        <v>2.8005420474306623E-3</v>
      </c>
      <c r="AE199" s="167">
        <f t="shared" si="22"/>
        <v>3.2761039729723926E-3</v>
      </c>
      <c r="AF199" s="167">
        <f t="shared" si="23"/>
        <v>5.0425775469185499E-3</v>
      </c>
    </row>
    <row r="200" spans="28:32" x14ac:dyDescent="0.2">
      <c r="AB200" s="169">
        <f>_xll.qlCalendarAdvance(Calendar,AB199,"1d","mf",,Trigger)</f>
        <v>42439</v>
      </c>
      <c r="AC200" s="155">
        <f>_xll.qlDayCounterYearFraction(DayCounter,SettlementDate,AB200,,,Trigger)</f>
        <v>0.77500000000000002</v>
      </c>
      <c r="AD200" s="167">
        <f t="shared" si="24"/>
        <v>2.8005420474306623E-3</v>
      </c>
      <c r="AE200" s="167">
        <f t="shared" si="22"/>
        <v>3.2811363743008764E-3</v>
      </c>
      <c r="AF200" s="167">
        <f t="shared" si="23"/>
        <v>5.0321038848189694E-3</v>
      </c>
    </row>
    <row r="201" spans="28:32" x14ac:dyDescent="0.2">
      <c r="AB201" s="169">
        <f>_xll.qlCalendarAdvance(Calendar,AB200,"1d","mf",,Trigger)</f>
        <v>42440</v>
      </c>
      <c r="AC201" s="155">
        <f>_xll.qlDayCounterYearFraction(DayCounter,SettlementDate,AB201,,,Trigger)</f>
        <v>0.77777777777777779</v>
      </c>
      <c r="AD201" s="167">
        <f t="shared" si="24"/>
        <v>2.8005420474306623E-3</v>
      </c>
      <c r="AE201" s="167">
        <f t="shared" si="22"/>
        <v>3.2861687756293601E-3</v>
      </c>
      <c r="AF201" s="167">
        <f t="shared" si="23"/>
        <v>5.0213110145443055E-3</v>
      </c>
    </row>
    <row r="202" spans="28:32" x14ac:dyDescent="0.2">
      <c r="AB202" s="169">
        <f>_xll.qlCalendarAdvance(Calendar,AB201,"1d","mf",,Trigger)</f>
        <v>42443</v>
      </c>
      <c r="AC202" s="155">
        <f>_xll.qlDayCounterYearFraction(DayCounter,SettlementDate,AB202,,,Trigger)</f>
        <v>0.78611111111111109</v>
      </c>
      <c r="AD202" s="167">
        <f t="shared" si="24"/>
        <v>2.8005420474306623E-3</v>
      </c>
      <c r="AE202" s="167">
        <f t="shared" si="22"/>
        <v>3.3012659796148123E-3</v>
      </c>
      <c r="AF202" s="167">
        <f t="shared" si="23"/>
        <v>4.9870171546698584E-3</v>
      </c>
    </row>
    <row r="203" spans="28:32" x14ac:dyDescent="0.2">
      <c r="AB203" s="169">
        <f>_xll.qlCalendarAdvance(Calendar,AB202,"1d","mf",,Trigger)</f>
        <v>42444</v>
      </c>
      <c r="AC203" s="155">
        <f>_xll.qlDayCounterYearFraction(DayCounter,SettlementDate,AB203,,,Trigger)</f>
        <v>0.78888888888888886</v>
      </c>
      <c r="AD203" s="167">
        <f t="shared" si="24"/>
        <v>2.8005420474306623E-3</v>
      </c>
      <c r="AE203" s="167">
        <f t="shared" si="22"/>
        <v>3.3062983809432961E-3</v>
      </c>
      <c r="AF203" s="167">
        <f t="shared" si="23"/>
        <v>4.9749474516948902E-3</v>
      </c>
    </row>
    <row r="204" spans="28:32" x14ac:dyDescent="0.2">
      <c r="AB204" s="169">
        <f>_xll.qlCalendarAdvance(Calendar,AB203,"1d","mf",,Trigger)</f>
        <v>42445</v>
      </c>
      <c r="AC204" s="155">
        <f>_xll.qlDayCounterYearFraction(DayCounter,SettlementDate,AB204,,,Trigger)</f>
        <v>0.79166666666666663</v>
      </c>
      <c r="AD204" s="167">
        <f t="shared" si="24"/>
        <v>2.8005420474306623E-3</v>
      </c>
      <c r="AE204" s="167">
        <f t="shared" si="22"/>
        <v>3.3113307822717798E-3</v>
      </c>
      <c r="AF204" s="167">
        <f t="shared" si="23"/>
        <v>4.9625585405448421E-3</v>
      </c>
    </row>
    <row r="205" spans="28:32" x14ac:dyDescent="0.2">
      <c r="AB205" s="169">
        <f>_xll.qlCalendarAdvance(Calendar,AB204,"1d","mf",,Trigger)</f>
        <v>42446</v>
      </c>
      <c r="AC205" s="155">
        <f>_xll.qlDayCounterYearFraction(DayCounter,SettlementDate,AB205,,,Trigger)</f>
        <v>0.7944444444444444</v>
      </c>
      <c r="AD205" s="167">
        <f t="shared" si="24"/>
        <v>2.8005420474306623E-3</v>
      </c>
      <c r="AE205" s="167">
        <f t="shared" si="22"/>
        <v>3.3163631836002636E-3</v>
      </c>
      <c r="AF205" s="167">
        <f t="shared" si="23"/>
        <v>4.9498504212197088E-3</v>
      </c>
    </row>
    <row r="206" spans="28:32" x14ac:dyDescent="0.2">
      <c r="AB206" s="169">
        <f>_xll.qlCalendarAdvance(Calendar,AB205,"1d","mf",,Trigger)</f>
        <v>42447</v>
      </c>
      <c r="AC206" s="155">
        <f>_xll.qlDayCounterYearFraction(DayCounter,SettlementDate,AB206,,,Trigger)</f>
        <v>0.79722222222222228</v>
      </c>
      <c r="AD206" s="167">
        <f t="shared" si="24"/>
        <v>2.8005420474306623E-3</v>
      </c>
      <c r="AE206" s="167">
        <f t="shared" si="22"/>
        <v>3.3213955849287482E-3</v>
      </c>
      <c r="AF206" s="167">
        <f t="shared" si="23"/>
        <v>4.9368230937195078E-3</v>
      </c>
    </row>
    <row r="207" spans="28:32" x14ac:dyDescent="0.2">
      <c r="AB207" s="169">
        <f>_xll.qlCalendarAdvance(Calendar,AB206,"1d","mf",,Trigger)</f>
        <v>42450</v>
      </c>
      <c r="AC207" s="155">
        <f>_xll.qlDayCounterYearFraction(DayCounter,SettlementDate,AB207,,,Trigger)</f>
        <v>0.80555555555555558</v>
      </c>
      <c r="AD207" s="167">
        <f t="shared" si="24"/>
        <v>2.8005420474306623E-3</v>
      </c>
      <c r="AE207" s="167">
        <f t="shared" si="22"/>
        <v>3.3364927889141995E-3</v>
      </c>
      <c r="AF207" s="167">
        <f t="shared" si="23"/>
        <v>4.8958258621684177E-3</v>
      </c>
    </row>
    <row r="208" spans="28:32" x14ac:dyDescent="0.2">
      <c r="AB208" s="169">
        <f>_xll.qlCalendarAdvance(Calendar,AB207,"1d","mf",,Trigger)</f>
        <v>42451</v>
      </c>
      <c r="AC208" s="155">
        <f>_xll.qlDayCounterYearFraction(DayCounter,SettlementDate,AB208,,,Trigger)</f>
        <v>0.80833333333333335</v>
      </c>
      <c r="AD208" s="167">
        <f t="shared" si="24"/>
        <v>2.8005420474306623E-3</v>
      </c>
      <c r="AE208" s="167">
        <f t="shared" si="22"/>
        <v>3.3415251902426837E-3</v>
      </c>
      <c r="AF208" s="167">
        <f t="shared" si="23"/>
        <v>4.8815217019678933E-3</v>
      </c>
    </row>
    <row r="209" spans="28:32" x14ac:dyDescent="0.2">
      <c r="AB209" s="169">
        <f>_xll.qlCalendarAdvance(Calendar,AB208,"1d","mf",,Trigger)</f>
        <v>42452</v>
      </c>
      <c r="AC209" s="155">
        <f>_xll.qlDayCounterYearFraction(DayCounter,SettlementDate,AB209,,,Trigger)</f>
        <v>0.81111111111111112</v>
      </c>
      <c r="AD209" s="167">
        <f t="shared" si="24"/>
        <v>2.8005420474306623E-3</v>
      </c>
      <c r="AE209" s="167">
        <f t="shared" si="22"/>
        <v>3.3465575915711675E-3</v>
      </c>
      <c r="AF209" s="167">
        <f t="shared" si="23"/>
        <v>4.8668983335922959E-3</v>
      </c>
    </row>
    <row r="210" spans="28:32" x14ac:dyDescent="0.2">
      <c r="AB210" s="169">
        <f>_xll.qlCalendarAdvance(Calendar,AB209,"1d","mf",,Trigger)</f>
        <v>42453</v>
      </c>
      <c r="AC210" s="155">
        <f>_xll.qlDayCounterYearFraction(DayCounter,SettlementDate,AB210,,,Trigger)</f>
        <v>0.81388888888888888</v>
      </c>
      <c r="AD210" s="167">
        <f t="shared" si="24"/>
        <v>2.8005420474306623E-3</v>
      </c>
      <c r="AE210" s="167">
        <f t="shared" si="22"/>
        <v>3.3515899928996517E-3</v>
      </c>
      <c r="AF210" s="167">
        <f t="shared" si="23"/>
        <v>4.8519557570416236E-3</v>
      </c>
    </row>
    <row r="211" spans="28:32" x14ac:dyDescent="0.2">
      <c r="AB211" s="169">
        <f>_xll.qlCalendarAdvance(Calendar,AB210,"1d","mf",,Trigger)</f>
        <v>42458</v>
      </c>
      <c r="AC211" s="155">
        <f>_xll.qlDayCounterYearFraction(DayCounter,SettlementDate,AB211,,,Trigger)</f>
        <v>0.82777777777777772</v>
      </c>
      <c r="AD211" s="167">
        <f t="shared" si="24"/>
        <v>2.8005420474306623E-3</v>
      </c>
      <c r="AE211" s="167">
        <f t="shared" si="22"/>
        <v>3.376751999542071E-3</v>
      </c>
      <c r="AF211" s="167">
        <f t="shared" si="23"/>
        <v>4.7724547516620665E-3</v>
      </c>
    </row>
    <row r="212" spans="28:32" x14ac:dyDescent="0.2">
      <c r="AB212" s="169">
        <f>_xll.qlCalendarAdvance(Calendar,AB211,"1d","mf",,Trigger)</f>
        <v>42459</v>
      </c>
      <c r="AC212" s="155">
        <f>_xll.qlDayCounterYearFraction(DayCounter,SettlementDate,AB212,,,Trigger)</f>
        <v>0.8305555555555556</v>
      </c>
      <c r="AD212" s="167">
        <f t="shared" si="24"/>
        <v>2.8005420474306623E-3</v>
      </c>
      <c r="AE212" s="167">
        <f t="shared" si="22"/>
        <v>3.3817844008705552E-3</v>
      </c>
      <c r="AF212" s="167">
        <f t="shared" si="23"/>
        <v>4.7555969260609197E-3</v>
      </c>
    </row>
    <row r="213" spans="28:32" x14ac:dyDescent="0.2">
      <c r="AB213" s="169">
        <f>_xll.qlCalendarAdvance(Calendar,AB212,"1d","mf",,Trigger)</f>
        <v>42460</v>
      </c>
      <c r="AC213" s="155">
        <f>_xll.qlDayCounterYearFraction(DayCounter,SettlementDate,AB213,,,Trigger)</f>
        <v>0.83333333333333337</v>
      </c>
      <c r="AD213" s="167">
        <f t="shared" si="24"/>
        <v>2.8005420474306623E-3</v>
      </c>
      <c r="AE213" s="167">
        <f t="shared" si="22"/>
        <v>3.3868168021990389E-3</v>
      </c>
      <c r="AF213" s="167">
        <f t="shared" si="23"/>
        <v>4.7384198922846982E-3</v>
      </c>
    </row>
    <row r="214" spans="28:32" x14ac:dyDescent="0.2">
      <c r="AB214" s="169">
        <f>_xll.qlCalendarAdvance(Calendar,AB213,"1d","mf",,Trigger)</f>
        <v>42461</v>
      </c>
      <c r="AC214" s="155">
        <f>_xll.qlDayCounterYearFraction(DayCounter,SettlementDate,AB214,,,Trigger)</f>
        <v>0.83611111111111114</v>
      </c>
      <c r="AD214" s="167">
        <f t="shared" si="24"/>
        <v>2.8005420474306623E-3</v>
      </c>
      <c r="AE214" s="167">
        <f t="shared" si="22"/>
        <v>3.3918492035275227E-3</v>
      </c>
      <c r="AF214" s="167">
        <f t="shared" si="23"/>
        <v>4.7209236503333984E-3</v>
      </c>
    </row>
    <row r="215" spans="28:32" x14ac:dyDescent="0.2">
      <c r="AB215" s="169">
        <f>_xll.qlCalendarAdvance(Calendar,AB214,"1d","mf",,Trigger)</f>
        <v>42464</v>
      </c>
      <c r="AC215" s="155">
        <f>_xll.qlDayCounterYearFraction(DayCounter,SettlementDate,AB215,,,Trigger)</f>
        <v>0.84444444444444444</v>
      </c>
      <c r="AD215" s="167">
        <f t="shared" si="24"/>
        <v>2.8005420474306623E-3</v>
      </c>
      <c r="AE215" s="167">
        <f t="shared" si="22"/>
        <v>3.4069464075129749E-3</v>
      </c>
      <c r="AF215" s="167">
        <f t="shared" si="23"/>
        <v>4.6665196754290244E-3</v>
      </c>
    </row>
    <row r="216" spans="28:32" x14ac:dyDescent="0.2">
      <c r="AB216" s="169">
        <f>_xll.qlCalendarAdvance(Calendar,AB215,"1d","mf",,Trigger)</f>
        <v>42465</v>
      </c>
      <c r="AC216" s="155">
        <f>_xll.qlDayCounterYearFraction(DayCounter,SettlementDate,AB216,,,Trigger)</f>
        <v>0.84722222222222221</v>
      </c>
      <c r="AD216" s="167">
        <f t="shared" si="24"/>
        <v>2.8005420474306623E-3</v>
      </c>
      <c r="AE216" s="167">
        <f t="shared" si="22"/>
        <v>3.4119788088414586E-3</v>
      </c>
      <c r="AF216" s="167">
        <f t="shared" si="23"/>
        <v>4.6477466007774099E-3</v>
      </c>
    </row>
    <row r="217" spans="28:32" x14ac:dyDescent="0.2">
      <c r="AB217" s="169">
        <f>_xll.qlCalendarAdvance(Calendar,AB216,"1d","mf",,Trigger)</f>
        <v>42466</v>
      </c>
      <c r="AC217" s="155">
        <f>_xll.qlDayCounterYearFraction(DayCounter,SettlementDate,AB217,,,Trigger)</f>
        <v>0.85</v>
      </c>
      <c r="AD217" s="167">
        <f t="shared" si="24"/>
        <v>2.8005420474306623E-3</v>
      </c>
      <c r="AE217" s="167">
        <f t="shared" si="22"/>
        <v>3.4170112101699424E-3</v>
      </c>
      <c r="AF217" s="167">
        <f t="shared" si="23"/>
        <v>4.6286543179507138E-3</v>
      </c>
    </row>
    <row r="218" spans="28:32" x14ac:dyDescent="0.2">
      <c r="AB218" s="169">
        <f>_xll.qlCalendarAdvance(Calendar,AB217,"1d","mf",,Trigger)</f>
        <v>42467</v>
      </c>
      <c r="AC218" s="155">
        <f>_xll.qlDayCounterYearFraction(DayCounter,SettlementDate,AB218,,,Trigger)</f>
        <v>0.85277777777777775</v>
      </c>
      <c r="AD218" s="167">
        <f t="shared" si="24"/>
        <v>2.8005420474306623E-3</v>
      </c>
      <c r="AE218" s="167">
        <f t="shared" si="22"/>
        <v>3.4220436114984262E-3</v>
      </c>
      <c r="AF218" s="167">
        <f t="shared" si="23"/>
        <v>4.6092428269489446E-3</v>
      </c>
    </row>
    <row r="219" spans="28:32" x14ac:dyDescent="0.2">
      <c r="AB219" s="169">
        <f>_xll.qlCalendarAdvance(Calendar,AB218,"1d","mf",,Trigger)</f>
        <v>42468</v>
      </c>
      <c r="AC219" s="155">
        <f>_xll.qlDayCounterYearFraction(DayCounter,SettlementDate,AB219,,,Trigger)</f>
        <v>0.85555555555555551</v>
      </c>
      <c r="AD219" s="167">
        <f t="shared" si="24"/>
        <v>2.8005420474306623E-3</v>
      </c>
      <c r="AE219" s="167">
        <f t="shared" si="22"/>
        <v>3.4270760128269104E-3</v>
      </c>
      <c r="AF219" s="167">
        <f t="shared" si="23"/>
        <v>4.5895121277720972E-3</v>
      </c>
    </row>
    <row r="220" spans="28:32" x14ac:dyDescent="0.2">
      <c r="AB220" s="169">
        <f>_xll.qlCalendarAdvance(Calendar,AB219,"1d","mf",,Trigger)</f>
        <v>42471</v>
      </c>
      <c r="AC220" s="155">
        <f>_xll.qlDayCounterYearFraction(DayCounter,SettlementDate,AB220,,,Trigger)</f>
        <v>0.86388888888888893</v>
      </c>
      <c r="AD220" s="167">
        <f t="shared" si="24"/>
        <v>2.8005420474306623E-3</v>
      </c>
      <c r="AE220" s="167">
        <f t="shared" si="22"/>
        <v>3.4421732168123621E-3</v>
      </c>
      <c r="AF220" s="167">
        <f t="shared" si="23"/>
        <v>4.5284047811910734E-3</v>
      </c>
    </row>
    <row r="221" spans="28:32" x14ac:dyDescent="0.2">
      <c r="AB221" s="169">
        <f>_xll.qlCalendarAdvance(Calendar,AB220,"1d","mf",,Trigger)</f>
        <v>42472</v>
      </c>
      <c r="AC221" s="155">
        <f>_xll.qlDayCounterYearFraction(DayCounter,SettlementDate,AB221,,,Trigger)</f>
        <v>0.8666666666666667</v>
      </c>
      <c r="AD221" s="167">
        <f t="shared" si="24"/>
        <v>2.8005420474306623E-3</v>
      </c>
      <c r="AE221" s="167">
        <f t="shared" si="22"/>
        <v>3.4472056181408459E-3</v>
      </c>
      <c r="AF221" s="167">
        <f t="shared" si="23"/>
        <v>4.5073972493139148E-3</v>
      </c>
    </row>
    <row r="222" spans="28:32" x14ac:dyDescent="0.2">
      <c r="AB222" s="169">
        <f>_xll.qlCalendarAdvance(Calendar,AB221,"1d","mf",,Trigger)</f>
        <v>42473</v>
      </c>
      <c r="AC222" s="155">
        <f>_xll.qlDayCounterYearFraction(DayCounter,SettlementDate,AB222,,,Trigger)</f>
        <v>0.86944444444444446</v>
      </c>
      <c r="AD222" s="167">
        <f t="shared" si="24"/>
        <v>2.8005420474306623E-3</v>
      </c>
      <c r="AE222" s="167">
        <f t="shared" si="22"/>
        <v>3.4522380194693301E-3</v>
      </c>
      <c r="AF222" s="167">
        <f t="shared" si="23"/>
        <v>4.4860705092616693E-3</v>
      </c>
    </row>
    <row r="223" spans="28:32" x14ac:dyDescent="0.2">
      <c r="AB223" s="169">
        <f>_xll.qlCalendarAdvance(Calendar,AB222,"1d","mf",,Trigger)</f>
        <v>42474</v>
      </c>
      <c r="AC223" s="155">
        <f>_xll.qlDayCounterYearFraction(DayCounter,SettlementDate,AB223,,,Trigger)</f>
        <v>0.87222222222222223</v>
      </c>
      <c r="AD223" s="167">
        <f t="shared" si="24"/>
        <v>2.8005420474306623E-3</v>
      </c>
      <c r="AE223" s="167">
        <f t="shared" si="22"/>
        <v>3.4572704207978138E-3</v>
      </c>
      <c r="AF223" s="167">
        <f t="shared" si="23"/>
        <v>4.4644245610343525E-3</v>
      </c>
    </row>
    <row r="224" spans="28:32" x14ac:dyDescent="0.2">
      <c r="AB224" s="169">
        <f>_xll.qlCalendarAdvance(Calendar,AB223,"1d","mf",,Trigger)</f>
        <v>42475</v>
      </c>
      <c r="AC224" s="155">
        <f>_xll.qlDayCounterYearFraction(DayCounter,SettlementDate,AB224,,,Trigger)</f>
        <v>0.875</v>
      </c>
      <c r="AD224" s="167">
        <f t="shared" si="24"/>
        <v>2.8005420474306623E-3</v>
      </c>
      <c r="AE224" s="167">
        <f t="shared" si="22"/>
        <v>3.462302822126298E-3</v>
      </c>
      <c r="AF224" s="167">
        <f t="shared" si="23"/>
        <v>4.4424594046319592E-3</v>
      </c>
    </row>
    <row r="225" spans="28:32" x14ac:dyDescent="0.2">
      <c r="AB225" s="169">
        <f>_xll.qlCalendarAdvance(Calendar,AB224,"1d","mf",,Trigger)</f>
        <v>42478</v>
      </c>
      <c r="AC225" s="155">
        <f>_xll.qlDayCounterYearFraction(DayCounter,SettlementDate,AB225,,,Trigger)</f>
        <v>0.8833333333333333</v>
      </c>
      <c r="AD225" s="167">
        <f t="shared" si="24"/>
        <v>2.8005420474306623E-3</v>
      </c>
      <c r="AE225" s="167">
        <f t="shared" si="22"/>
        <v>3.4774000261117493E-3</v>
      </c>
      <c r="AF225" s="167">
        <f t="shared" si="23"/>
        <v>4.374648686374296E-3</v>
      </c>
    </row>
    <row r="226" spans="28:32" x14ac:dyDescent="0.2">
      <c r="AB226" s="169">
        <f>_xll.qlCalendarAdvance(Calendar,AB225,"1d","mf",,Trigger)</f>
        <v>42479</v>
      </c>
      <c r="AC226" s="155">
        <f>_xll.qlDayCounterYearFraction(DayCounter,SettlementDate,AB226,,,Trigger)</f>
        <v>0.88611111111111107</v>
      </c>
      <c r="AD226" s="167">
        <f t="shared" si="24"/>
        <v>2.8005420474306623E-3</v>
      </c>
      <c r="AE226" s="167">
        <f t="shared" si="22"/>
        <v>3.4824324274402335E-3</v>
      </c>
      <c r="AF226" s="167">
        <f t="shared" si="23"/>
        <v>4.3514066972715898E-3</v>
      </c>
    </row>
    <row r="227" spans="28:32" x14ac:dyDescent="0.2">
      <c r="AB227" s="169">
        <f>_xll.qlCalendarAdvance(Calendar,AB226,"1d","mf",,Trigger)</f>
        <v>42480</v>
      </c>
      <c r="AC227" s="155">
        <f>_xll.qlDayCounterYearFraction(DayCounter,SettlementDate,AB227,,,Trigger)</f>
        <v>0.88888888888888884</v>
      </c>
      <c r="AD227" s="167">
        <f t="shared" si="24"/>
        <v>2.8005420474306623E-3</v>
      </c>
      <c r="AE227" s="167">
        <f t="shared" si="22"/>
        <v>3.4874648287687173E-3</v>
      </c>
      <c r="AF227" s="167">
        <f t="shared" si="23"/>
        <v>4.3278454999937967E-3</v>
      </c>
    </row>
    <row r="228" spans="28:32" x14ac:dyDescent="0.2">
      <c r="AB228" s="169">
        <f>_xll.qlCalendarAdvance(Calendar,AB227,"1d","mf",,Trigger)</f>
        <v>42481</v>
      </c>
      <c r="AC228" s="155">
        <f>_xll.qlDayCounterYearFraction(DayCounter,SettlementDate,AB228,,,Trigger)</f>
        <v>0.89166666666666672</v>
      </c>
      <c r="AD228" s="167">
        <f t="shared" si="24"/>
        <v>2.8005420474306623E-3</v>
      </c>
      <c r="AE228" s="167">
        <f t="shared" si="22"/>
        <v>3.4924972300972015E-3</v>
      </c>
      <c r="AF228" s="167">
        <f t="shared" si="23"/>
        <v>4.3039650945409305E-3</v>
      </c>
    </row>
    <row r="229" spans="28:32" x14ac:dyDescent="0.2">
      <c r="AB229" s="169">
        <f>_xll.qlCalendarAdvance(Calendar,AB228,"1d","mf",,Trigger)</f>
        <v>42482</v>
      </c>
      <c r="AC229" s="155">
        <f>_xll.qlDayCounterYearFraction(DayCounter,SettlementDate,AB229,,,Trigger)</f>
        <v>0.89444444444444449</v>
      </c>
      <c r="AD229" s="167">
        <f t="shared" si="24"/>
        <v>2.8005420474306623E-3</v>
      </c>
      <c r="AE229" s="167">
        <f t="shared" si="22"/>
        <v>3.4975296314256853E-3</v>
      </c>
      <c r="AF229" s="167">
        <f t="shared" si="23"/>
        <v>4.2797654809129879E-3</v>
      </c>
    </row>
    <row r="230" spans="28:32" x14ac:dyDescent="0.2">
      <c r="AB230" s="169">
        <f>_xll.qlCalendarAdvance(Calendar,AB229,"1d","mf",,Trigger)</f>
        <v>42485</v>
      </c>
      <c r="AC230" s="155">
        <f>_xll.qlDayCounterYearFraction(DayCounter,SettlementDate,AB230,,,Trigger)</f>
        <v>0.90277777777777779</v>
      </c>
      <c r="AD230" s="167">
        <f t="shared" si="24"/>
        <v>2.8005420474306623E-3</v>
      </c>
      <c r="AE230" s="167">
        <f t="shared" si="22"/>
        <v>3.512626835411137E-3</v>
      </c>
      <c r="AF230" s="167">
        <f t="shared" si="23"/>
        <v>4.2052513909786836E-3</v>
      </c>
    </row>
    <row r="231" spans="28:32" x14ac:dyDescent="0.2">
      <c r="AB231" s="169">
        <f>_xll.qlCalendarAdvance(Calendar,AB230,"1d","mf",,Trigger)</f>
        <v>42486</v>
      </c>
      <c r="AC231" s="155">
        <f>_xll.qlDayCounterYearFraction(DayCounter,SettlementDate,AB231,,,Trigger)</f>
        <v>0.90555555555555556</v>
      </c>
      <c r="AD231" s="167">
        <f t="shared" si="24"/>
        <v>2.8005420474306623E-3</v>
      </c>
      <c r="AE231" s="167">
        <f t="shared" si="22"/>
        <v>3.5176592367396212E-3</v>
      </c>
      <c r="AF231" s="167">
        <f t="shared" si="23"/>
        <v>4.1797749446504245E-3</v>
      </c>
    </row>
    <row r="232" spans="28:32" x14ac:dyDescent="0.2">
      <c r="AB232" s="169">
        <f>_xll.qlCalendarAdvance(Calendar,AB231,"1d","mf",,Trigger)</f>
        <v>42487</v>
      </c>
      <c r="AC232" s="155">
        <f>_xll.qlDayCounterYearFraction(DayCounter,SettlementDate,AB232,,,Trigger)</f>
        <v>0.90833333333333333</v>
      </c>
      <c r="AD232" s="167">
        <f t="shared" si="24"/>
        <v>2.8005420474306623E-3</v>
      </c>
      <c r="AE232" s="167">
        <f t="shared" si="22"/>
        <v>3.522691638068105E-3</v>
      </c>
      <c r="AF232" s="167">
        <f t="shared" si="23"/>
        <v>4.1539792901470925E-3</v>
      </c>
    </row>
    <row r="233" spans="28:32" x14ac:dyDescent="0.2">
      <c r="AB233" s="169">
        <f>_xll.qlCalendarAdvance(Calendar,AB232,"1d","mf",,Trigger)</f>
        <v>42488</v>
      </c>
      <c r="AC233" s="155">
        <f>_xll.qlDayCounterYearFraction(DayCounter,SettlementDate,AB233,,,Trigger)</f>
        <v>0.91111111111111109</v>
      </c>
      <c r="AD233" s="167">
        <f t="shared" si="24"/>
        <v>2.8005420474306623E-3</v>
      </c>
      <c r="AE233" s="167">
        <f t="shared" si="22"/>
        <v>3.5277240393965887E-3</v>
      </c>
      <c r="AF233" s="167">
        <f t="shared" si="23"/>
        <v>4.1278644274686735E-3</v>
      </c>
    </row>
    <row r="234" spans="28:32" x14ac:dyDescent="0.2">
      <c r="AB234" s="169">
        <f>_xll.qlCalendarAdvance(Calendar,AB233,"1d","mf",,Trigger)</f>
        <v>42489</v>
      </c>
      <c r="AC234" s="155">
        <f>_xll.qlDayCounterYearFraction(DayCounter,SettlementDate,AB234,,,Trigger)</f>
        <v>0.91388888888888886</v>
      </c>
      <c r="AD234" s="167">
        <f t="shared" si="24"/>
        <v>2.8005420474306623E-3</v>
      </c>
      <c r="AE234" s="167">
        <f t="shared" si="22"/>
        <v>3.5327564407250725E-3</v>
      </c>
      <c r="AF234" s="167">
        <f t="shared" si="23"/>
        <v>4.101430356615185E-3</v>
      </c>
    </row>
    <row r="235" spans="28:32" x14ac:dyDescent="0.2">
      <c r="AB235" s="169">
        <f>_xll.qlCalendarAdvance(Calendar,AB234,"1d","mf",,Trigger)</f>
        <v>42492</v>
      </c>
      <c r="AC235" s="155">
        <f>_xll.qlDayCounterYearFraction(DayCounter,SettlementDate,AB235,,,Trigger)</f>
        <v>0.92222222222222228</v>
      </c>
      <c r="AD235" s="167">
        <f t="shared" si="24"/>
        <v>2.8005420474306623E-3</v>
      </c>
      <c r="AE235" s="167">
        <f t="shared" si="22"/>
        <v>3.5478536447105247E-3</v>
      </c>
      <c r="AF235" s="167">
        <f t="shared" si="23"/>
        <v>4.0202128950042396E-3</v>
      </c>
    </row>
    <row r="236" spans="28:32" x14ac:dyDescent="0.2">
      <c r="AB236" s="169">
        <f>_xll.qlCalendarAdvance(Calendar,AB235,"1d","mf",,Trigger)</f>
        <v>42493</v>
      </c>
      <c r="AC236" s="155">
        <f>_xll.qlDayCounterYearFraction(DayCounter,SettlementDate,AB236,,,Trigger)</f>
        <v>0.92500000000000004</v>
      </c>
      <c r="AD236" s="167">
        <f t="shared" si="24"/>
        <v>2.8005420474306623E-3</v>
      </c>
      <c r="AE236" s="167">
        <f t="shared" si="22"/>
        <v>3.5528860460390084E-3</v>
      </c>
      <c r="AF236" s="167">
        <f t="shared" si="23"/>
        <v>3.9925019914504312E-3</v>
      </c>
    </row>
    <row r="237" spans="28:32" x14ac:dyDescent="0.2">
      <c r="AB237" s="169">
        <f>_xll.qlCalendarAdvance(Calendar,AB236,"1d","mf",,Trigger)</f>
        <v>42494</v>
      </c>
      <c r="AC237" s="155">
        <f>_xll.qlDayCounterYearFraction(DayCounter,SettlementDate,AB237,,,Trigger)</f>
        <v>0.92777777777777781</v>
      </c>
      <c r="AD237" s="167">
        <f t="shared" si="24"/>
        <v>2.8005420474306623E-3</v>
      </c>
      <c r="AE237" s="167">
        <f t="shared" si="22"/>
        <v>3.5579184473674922E-3</v>
      </c>
      <c r="AF237" s="167">
        <f t="shared" si="23"/>
        <v>3.9644718797215497E-3</v>
      </c>
    </row>
    <row r="238" spans="28:32" x14ac:dyDescent="0.2">
      <c r="AB238" s="169">
        <f>_xll.qlCalendarAdvance(Calendar,AB237,"1d","mf",,Trigger)</f>
        <v>42495</v>
      </c>
      <c r="AC238" s="155">
        <f>_xll.qlDayCounterYearFraction(DayCounter,SettlementDate,AB238,,,Trigger)</f>
        <v>0.93055555555555558</v>
      </c>
      <c r="AD238" s="167">
        <f t="shared" si="24"/>
        <v>2.8005420474306623E-3</v>
      </c>
      <c r="AE238" s="167">
        <f t="shared" si="22"/>
        <v>3.5629508486959764E-3</v>
      </c>
      <c r="AF238" s="167">
        <f t="shared" si="23"/>
        <v>3.9361225598175918E-3</v>
      </c>
    </row>
    <row r="239" spans="28:32" x14ac:dyDescent="0.2">
      <c r="AB239" s="169">
        <f>_xll.qlCalendarAdvance(Calendar,AB238,"1d","mf",,Trigger)</f>
        <v>42496</v>
      </c>
      <c r="AC239" s="155">
        <f>_xll.qlDayCounterYearFraction(DayCounter,SettlementDate,AB239,,,Trigger)</f>
        <v>0.93333333333333335</v>
      </c>
      <c r="AD239" s="167">
        <f t="shared" si="24"/>
        <v>2.8005420474306623E-3</v>
      </c>
      <c r="AE239" s="167">
        <f t="shared" si="22"/>
        <v>3.5679832500244606E-3</v>
      </c>
      <c r="AF239" s="167">
        <f t="shared" si="23"/>
        <v>3.9074540317385435E-3</v>
      </c>
    </row>
    <row r="240" spans="28:32" x14ac:dyDescent="0.2">
      <c r="AB240" s="169">
        <f>_xll.qlCalendarAdvance(Calendar,AB239,"1d","mf",,Trigger)</f>
        <v>42499</v>
      </c>
      <c r="AC240" s="155">
        <f>_xll.qlDayCounterYearFraction(DayCounter,SettlementDate,AB240,,,Trigger)</f>
        <v>0.94166666666666665</v>
      </c>
      <c r="AD240" s="167">
        <f t="shared" si="24"/>
        <v>2.8005420474306623E-3</v>
      </c>
      <c r="AE240" s="167">
        <f t="shared" si="22"/>
        <v>3.5830804540099119E-3</v>
      </c>
      <c r="AF240" s="167">
        <f t="shared" si="23"/>
        <v>3.819533198450957E-3</v>
      </c>
    </row>
    <row r="241" spans="28:32" x14ac:dyDescent="0.2">
      <c r="AB241" s="169">
        <f>_xll.qlCalendarAdvance(Calendar,AB240,"1d","mf",,Trigger)</f>
        <v>42500</v>
      </c>
      <c r="AC241" s="155">
        <f>_xll.qlDayCounterYearFraction(DayCounter,SettlementDate,AB241,,,Trigger)</f>
        <v>0.94444444444444442</v>
      </c>
      <c r="AD241" s="167">
        <f t="shared" si="24"/>
        <v>2.8005420474306623E-3</v>
      </c>
      <c r="AE241" s="167">
        <f t="shared" si="22"/>
        <v>3.5881128553383957E-3</v>
      </c>
      <c r="AF241" s="167">
        <f t="shared" si="23"/>
        <v>3.7895878376716062E-3</v>
      </c>
    </row>
    <row r="242" spans="28:32" x14ac:dyDescent="0.2">
      <c r="AB242" s="169">
        <f>_xll.qlCalendarAdvance(Calendar,AB241,"1d","mf",,Trigger)</f>
        <v>42501</v>
      </c>
      <c r="AC242" s="155">
        <f>_xll.qlDayCounterYearFraction(DayCounter,SettlementDate,AB242,,,Trigger)</f>
        <v>0.94722222222222219</v>
      </c>
      <c r="AD242" s="167">
        <f t="shared" si="24"/>
        <v>2.8005420474306623E-3</v>
      </c>
      <c r="AE242" s="167">
        <f t="shared" si="22"/>
        <v>3.5931452566668799E-3</v>
      </c>
      <c r="AF242" s="167">
        <f t="shared" si="23"/>
        <v>3.7593232687171754E-3</v>
      </c>
    </row>
    <row r="243" spans="28:32" x14ac:dyDescent="0.2">
      <c r="AB243" s="169">
        <f>_xll.qlCalendarAdvance(Calendar,AB242,"1d","mf",,Trigger)</f>
        <v>42502</v>
      </c>
      <c r="AC243" s="155">
        <f>_xll.qlDayCounterYearFraction(DayCounter,SettlementDate,AB243,,,Trigger)</f>
        <v>0.95</v>
      </c>
      <c r="AD243" s="167">
        <f t="shared" si="24"/>
        <v>2.8005420474306623E-3</v>
      </c>
      <c r="AE243" s="167">
        <f t="shared" si="22"/>
        <v>3.5981776579953636E-3</v>
      </c>
      <c r="AF243" s="167">
        <f t="shared" si="23"/>
        <v>3.7287394915876612E-3</v>
      </c>
    </row>
    <row r="244" spans="28:32" x14ac:dyDescent="0.2">
      <c r="AB244" s="169">
        <f>_xll.qlCalendarAdvance(Calendar,AB243,"1d","mf",,Trigger)</f>
        <v>42503</v>
      </c>
      <c r="AC244" s="155">
        <f>_xll.qlDayCounterYearFraction(DayCounter,SettlementDate,AB244,,,Trigger)</f>
        <v>0.95277777777777772</v>
      </c>
      <c r="AD244" s="167">
        <f t="shared" si="24"/>
        <v>2.8005420474306623E-3</v>
      </c>
      <c r="AE244" s="167">
        <f t="shared" si="22"/>
        <v>3.6032100593238478E-3</v>
      </c>
      <c r="AF244" s="167">
        <f t="shared" si="23"/>
        <v>3.6978365062830774E-3</v>
      </c>
    </row>
    <row r="245" spans="28:32" x14ac:dyDescent="0.2">
      <c r="AB245" s="169">
        <f>_xll.qlCalendarAdvance(Calendar,AB244,"1d","mf",,Trigger)</f>
        <v>42506</v>
      </c>
      <c r="AC245" s="155">
        <f>_xll.qlDayCounterYearFraction(DayCounter,SettlementDate,AB245,,,Trigger)</f>
        <v>0.96111111111111114</v>
      </c>
      <c r="AD245" s="167">
        <f t="shared" si="24"/>
        <v>2.8005420474306623E-3</v>
      </c>
      <c r="AE245" s="167">
        <f t="shared" si="22"/>
        <v>3.6183072633092996E-3</v>
      </c>
      <c r="AF245" s="167">
        <f t="shared" si="23"/>
        <v>3.6032123013188463E-3</v>
      </c>
    </row>
    <row r="246" spans="28:32" x14ac:dyDescent="0.2">
      <c r="AB246" s="169">
        <f>_xll.qlCalendarAdvance(Calendar,AB245,"1d","mf",,Trigger)</f>
        <v>42507</v>
      </c>
      <c r="AC246" s="155">
        <f>_xll.qlDayCounterYearFraction(DayCounter,SettlementDate,AB246,,,Trigger)</f>
        <v>0.96388888888888891</v>
      </c>
      <c r="AD246" s="167">
        <f t="shared" si="24"/>
        <v>2.8005420474306623E-3</v>
      </c>
      <c r="AE246" s="167">
        <f t="shared" si="22"/>
        <v>3.6233396646377838E-3</v>
      </c>
      <c r="AF246" s="167">
        <f t="shared" si="23"/>
        <v>3.5710324833139427E-3</v>
      </c>
    </row>
    <row r="247" spans="28:32" x14ac:dyDescent="0.2">
      <c r="AB247" s="169">
        <f>_xll.qlCalendarAdvance(Calendar,AB246,"1d","mf",,Trigger)</f>
        <v>42508</v>
      </c>
      <c r="AC247" s="155">
        <f>_xll.qlDayCounterYearFraction(DayCounter,SettlementDate,AB247,,,Trigger)</f>
        <v>0.96666666666666667</v>
      </c>
      <c r="AD247" s="167">
        <f t="shared" si="24"/>
        <v>2.8005420474306623E-3</v>
      </c>
      <c r="AE247" s="167">
        <f t="shared" si="22"/>
        <v>3.6283720659662675E-3</v>
      </c>
      <c r="AF247" s="167">
        <f t="shared" si="23"/>
        <v>3.5385334571339695E-3</v>
      </c>
    </row>
    <row r="248" spans="28:32" x14ac:dyDescent="0.2">
      <c r="AB248" s="169">
        <f>_xll.qlCalendarAdvance(Calendar,AB247,"1d","mf",,Trigger)</f>
        <v>42509</v>
      </c>
      <c r="AC248" s="155">
        <f>_xll.qlDayCounterYearFraction(DayCounter,SettlementDate,AB248,,,Trigger)</f>
        <v>0.96944444444444444</v>
      </c>
      <c r="AD248" s="167">
        <f t="shared" si="24"/>
        <v>2.8005420474306623E-3</v>
      </c>
      <c r="AE248" s="167">
        <f t="shared" si="22"/>
        <v>3.6334044672947513E-3</v>
      </c>
      <c r="AF248" s="167">
        <f t="shared" si="23"/>
        <v>3.5057152227789129E-3</v>
      </c>
    </row>
    <row r="249" spans="28:32" x14ac:dyDescent="0.2">
      <c r="AB249" s="169">
        <f>_xll.qlCalendarAdvance(Calendar,AB248,"1d","mf",,Trigger)</f>
        <v>42510</v>
      </c>
      <c r="AC249" s="155">
        <f>_xll.qlDayCounterYearFraction(DayCounter,SettlementDate,AB249,,,Trigger)</f>
        <v>0.97222222222222221</v>
      </c>
      <c r="AD249" s="167">
        <f t="shared" si="24"/>
        <v>2.8005420474306623E-3</v>
      </c>
      <c r="AE249" s="167">
        <f t="shared" si="22"/>
        <v>3.6384368686232351E-3</v>
      </c>
      <c r="AF249" s="167">
        <f t="shared" si="23"/>
        <v>3.4725777802487728E-3</v>
      </c>
    </row>
    <row r="250" spans="28:32" x14ac:dyDescent="0.2">
      <c r="AB250" s="169">
        <f>_xll.qlCalendarAdvance(Calendar,AB249,"1d","mf",,Trigger)</f>
        <v>42513</v>
      </c>
      <c r="AC250" s="155">
        <f>_xll.qlDayCounterYearFraction(DayCounter,SettlementDate,AB250,,,Trigger)</f>
        <v>0.98055555555555551</v>
      </c>
      <c r="AD250" s="167">
        <f t="shared" si="24"/>
        <v>2.8005420474306623E-3</v>
      </c>
      <c r="AE250" s="167">
        <f t="shared" si="22"/>
        <v>3.6535340726086872E-3</v>
      </c>
      <c r="AF250" s="167">
        <f t="shared" si="23"/>
        <v>3.3712502036078972E-3</v>
      </c>
    </row>
    <row r="251" spans="28:32" x14ac:dyDescent="0.2">
      <c r="AB251" s="169">
        <f>_xll.qlCalendarAdvance(Calendar,AB250,"1d","mf",,Trigger)</f>
        <v>42514</v>
      </c>
      <c r="AC251" s="155">
        <f>_xll.qlDayCounterYearFraction(DayCounter,SettlementDate,AB251,,,Trigger)</f>
        <v>0.98333333333333328</v>
      </c>
      <c r="AD251" s="167">
        <f t="shared" si="24"/>
        <v>2.8005420474306623E-3</v>
      </c>
      <c r="AE251" s="167">
        <f t="shared" si="22"/>
        <v>3.658566473937171E-3</v>
      </c>
      <c r="AF251" s="167">
        <f t="shared" si="23"/>
        <v>3.3368359283774511E-3</v>
      </c>
    </row>
    <row r="252" spans="28:32" x14ac:dyDescent="0.2">
      <c r="AB252" s="169">
        <f>_xll.qlCalendarAdvance(Calendar,AB251,"1d","mf",,Trigger)</f>
        <v>42515</v>
      </c>
      <c r="AC252" s="155">
        <f>_xll.qlDayCounterYearFraction(DayCounter,SettlementDate,AB252,,,Trigger)</f>
        <v>0.98611111111111116</v>
      </c>
      <c r="AD252" s="167">
        <f t="shared" si="24"/>
        <v>2.8005420474306623E-3</v>
      </c>
      <c r="AE252" s="167">
        <f t="shared" ref="AE252:AE257" si="25">$S$10+$S$9*AC252</f>
        <v>3.6635988752656548E-3</v>
      </c>
      <c r="AF252" s="167">
        <f t="shared" ref="AF252:AF257" si="26">($S$5+$S$4*AC252+$S$3*AC252^2)</f>
        <v>3.3021024449719216E-3</v>
      </c>
    </row>
    <row r="253" spans="28:32" x14ac:dyDescent="0.2">
      <c r="AB253" s="169">
        <f>_xll.qlCalendarAdvance(Calendar,AB252,"1d","mf",,Trigger)</f>
        <v>42516</v>
      </c>
      <c r="AC253" s="155">
        <f>_xll.qlDayCounterYearFraction(DayCounter,SettlementDate,AB253,,,Trigger)</f>
        <v>0.98888888888888893</v>
      </c>
      <c r="AD253" s="167">
        <f t="shared" si="24"/>
        <v>2.8005420474306623E-3</v>
      </c>
      <c r="AE253" s="167">
        <f t="shared" si="25"/>
        <v>3.6686312765941385E-3</v>
      </c>
      <c r="AF253" s="167">
        <f t="shared" si="26"/>
        <v>3.2670497533913191E-3</v>
      </c>
    </row>
    <row r="254" spans="28:32" x14ac:dyDescent="0.2">
      <c r="AB254" s="169">
        <f>_xll.qlCalendarAdvance(Calendar,AB253,"1d","mf",,Trigger)</f>
        <v>42517</v>
      </c>
      <c r="AC254" s="155">
        <f>_xll.qlDayCounterYearFraction(DayCounter,SettlementDate,AB254,,,Trigger)</f>
        <v>0.9916666666666667</v>
      </c>
      <c r="AD254" s="167">
        <f t="shared" si="24"/>
        <v>2.8005420474306623E-3</v>
      </c>
      <c r="AE254" s="167">
        <f t="shared" si="25"/>
        <v>3.6736636779226227E-3</v>
      </c>
      <c r="AF254" s="167">
        <f t="shared" si="26"/>
        <v>3.2316778536356401E-3</v>
      </c>
    </row>
    <row r="255" spans="28:32" x14ac:dyDescent="0.2">
      <c r="AB255" s="169">
        <f>_xll.qlCalendarAdvance(Calendar,AB254,"1d","mf",,Trigger)</f>
        <v>42520</v>
      </c>
      <c r="AC255" s="155">
        <f>_xll.qlDayCounterYearFraction(DayCounter,SettlementDate,AB255,,,Trigger)</f>
        <v>1</v>
      </c>
      <c r="AD255" s="167">
        <f t="shared" si="24"/>
        <v>2.8005420474306623E-3</v>
      </c>
      <c r="AE255" s="167">
        <f t="shared" si="25"/>
        <v>3.6887608819080745E-3</v>
      </c>
      <c r="AF255" s="167">
        <f t="shared" si="26"/>
        <v>3.1236469053181233E-3</v>
      </c>
    </row>
    <row r="256" spans="28:32" x14ac:dyDescent="0.2">
      <c r="AB256" s="169">
        <f>_xll.qlCalendarAdvance(Calendar,AB255,"1d","mf",,Trigger)</f>
        <v>42521</v>
      </c>
      <c r="AC256" s="155">
        <f>_xll.qlDayCounterYearFraction(DayCounter,SettlementDate,AB256,,,Trigger)</f>
        <v>1.0027777777777778</v>
      </c>
      <c r="AD256" s="167">
        <f t="shared" si="24"/>
        <v>2.8005420474306623E-3</v>
      </c>
      <c r="AE256" s="167">
        <f t="shared" si="25"/>
        <v>3.6937932832365582E-3</v>
      </c>
      <c r="AF256" s="167">
        <f t="shared" si="26"/>
        <v>3.086998172862121E-3</v>
      </c>
    </row>
    <row r="257" spans="28:32" x14ac:dyDescent="0.2">
      <c r="AB257" s="173">
        <f>_xll.qlCalendarAdvance(Calendar,AB256,"1d","mf",,Trigger)</f>
        <v>42522</v>
      </c>
      <c r="AC257" s="160">
        <f>_xll.qlDayCounterYearFraction(DayCounter,SettlementDate,AB257,,,Trigger)</f>
        <v>1.0055555555555555</v>
      </c>
      <c r="AD257" s="176">
        <f t="shared" si="24"/>
        <v>2.8005420474306623E-3</v>
      </c>
      <c r="AE257" s="176">
        <f t="shared" si="25"/>
        <v>3.698825684565042E-3</v>
      </c>
      <c r="AF257" s="176">
        <f t="shared" si="26"/>
        <v>3.0500302322310525E-3</v>
      </c>
    </row>
  </sheetData>
  <mergeCells count="5">
    <mergeCell ref="W2:Y2"/>
    <mergeCell ref="N3:N5"/>
    <mergeCell ref="N9:N10"/>
    <mergeCell ref="R9:R10"/>
    <mergeCell ref="T9:T10"/>
  </mergeCells>
  <dataValidations count="3">
    <dataValidation type="list" allowBlank="1" showInputMessage="1" showErrorMessage="1" sqref="C33">
      <formula1>"flat,linear,quadratic"</formula1>
    </dataValidation>
    <dataValidation type="list" allowBlank="1" showInputMessage="1" showErrorMessage="1" sqref="D12">
      <formula1>"Delta(0M;1Y)extrap,fixing"</formula1>
    </dataValidation>
    <dataValidation type="list" allowBlank="1" showInputMessage="1" showErrorMessage="1" sqref="D11">
      <formula1>"linear,MonotonicCubicNaturalSpline, CubicNaturalSpline"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AC56"/>
  <sheetViews>
    <sheetView workbookViewId="0"/>
  </sheetViews>
  <sheetFormatPr defaultRowHeight="11.25" outlineLevelCol="1" x14ac:dyDescent="0.2"/>
  <cols>
    <col min="1" max="1" width="3.5" style="203" bestFit="1" customWidth="1"/>
    <col min="2" max="2" width="20.1640625" style="203" customWidth="1"/>
    <col min="3" max="3" width="17.6640625" style="203" hidden="1" customWidth="1" outlineLevel="1"/>
    <col min="4" max="4" width="20.1640625" style="203" customWidth="1" collapsed="1"/>
    <col min="5" max="5" width="20.1640625" style="203" customWidth="1"/>
    <col min="6" max="8" width="10.5" style="203" bestFit="1" customWidth="1"/>
    <col min="9" max="9" width="17.6640625" style="203" bestFit="1" customWidth="1"/>
    <col min="10" max="10" width="9.33203125" style="203"/>
    <col min="11" max="15" width="9.33203125" style="204"/>
    <col min="16" max="16" width="2.83203125" style="203" customWidth="1"/>
    <col min="17" max="17" width="27.5" style="203" bestFit="1" customWidth="1"/>
    <col min="18" max="18" width="20.1640625" style="203" hidden="1" customWidth="1"/>
    <col min="19" max="19" width="20.1640625" style="203" bestFit="1" customWidth="1"/>
    <col min="20" max="20" width="20.1640625" style="203" customWidth="1"/>
    <col min="21" max="21" width="20.1640625" style="203" hidden="1" customWidth="1"/>
    <col min="22" max="22" width="10" style="203" bestFit="1" customWidth="1"/>
    <col min="23" max="23" width="9.33203125" style="203" customWidth="1"/>
    <col min="24" max="24" width="10" style="203" bestFit="1" customWidth="1"/>
    <col min="25" max="25" width="9.33203125" style="203"/>
    <col min="26" max="26" width="2.83203125" style="203" customWidth="1"/>
    <col min="27" max="16384" width="9.33203125" style="203"/>
  </cols>
  <sheetData>
    <row r="1" spans="1:29" ht="22.5" x14ac:dyDescent="0.2">
      <c r="A1" s="202"/>
      <c r="B1" s="202" t="s">
        <v>69</v>
      </c>
      <c r="C1" s="202"/>
      <c r="D1" s="202" t="s">
        <v>70</v>
      </c>
      <c r="E1" s="202" t="s">
        <v>71</v>
      </c>
      <c r="F1" s="202" t="s">
        <v>34</v>
      </c>
      <c r="G1" s="202" t="s">
        <v>72</v>
      </c>
      <c r="H1" s="202" t="s">
        <v>73</v>
      </c>
    </row>
    <row r="2" spans="1:29" x14ac:dyDescent="0.2">
      <c r="A2" s="207">
        <v>0</v>
      </c>
      <c r="B2" s="208">
        <f>_xll.qlInterestRateIndexFixingDate(IborIndex1Y,D2)</f>
        <v>42158</v>
      </c>
      <c r="C2" s="207" t="str">
        <f>_xll.qlMakeDatedOIS(,D2,E2,OvernightIndex,0,DayCounter,0)</f>
        <v>obj_00898#0000</v>
      </c>
      <c r="D2" s="208">
        <f>_xll.qlCalendarAdvance(Calendar,SettlementDate,A2&amp;"M","mf")</f>
        <v>42160</v>
      </c>
      <c r="E2" s="208">
        <f>_xll.qlInterestRateIndexMaturity(IborIndex1Y,D2)</f>
        <v>42527</v>
      </c>
      <c r="F2" s="209">
        <f>_xll.qlOvernightIndexedSwapFairRate(C2,_xll.ohTrigger(InterestRatesTrigger))</f>
        <v>-1.2011214837239056E-3</v>
      </c>
      <c r="G2" s="210">
        <f>_xll.qlInterpolationInterpolate(BasisInterpolator,D2,TRUE,F2)</f>
        <v>2.8011095602860957E-3</v>
      </c>
      <c r="H2" s="209">
        <f t="shared" ref="H2:H33" si="0">F2+G2</f>
        <v>1.5999880765621901E-3</v>
      </c>
      <c r="AA2" s="205"/>
      <c r="AB2" s="205"/>
      <c r="AC2" s="206"/>
    </row>
    <row r="3" spans="1:29" x14ac:dyDescent="0.2">
      <c r="A3" s="211">
        <v>1</v>
      </c>
      <c r="B3" s="212">
        <f>_xll.qlInterestRateIndexFixingDate(IborIndex1Y,D3)</f>
        <v>42187</v>
      </c>
      <c r="C3" s="211" t="str">
        <f>_xll.qlMakeDatedOIS(,D3,E3,OvernightIndex,0,DayCounter,0)</f>
        <v>obj_00894#0000</v>
      </c>
      <c r="D3" s="212">
        <f>_xll.qlCalendarAdvance(Calendar,SettlementDate,A3&amp;"M","mf")</f>
        <v>42191</v>
      </c>
      <c r="E3" s="212">
        <f>_xll.qlInterestRateIndexMaturity(IborIndex1Y,D3)</f>
        <v>42557</v>
      </c>
      <c r="F3" s="213">
        <f>_xll.qlOvernightIndexedSwapFairRate(C3,_xll.ohTrigger(InterestRatesTrigger))</f>
        <v>-1.1888944124326232E-3</v>
      </c>
      <c r="G3" s="214">
        <f>_xll.qlInterpolationInterpolate(BasisInterpolator,D3,TRUE,F3)</f>
        <v>2.8941849243320265E-3</v>
      </c>
      <c r="H3" s="213">
        <f t="shared" si="0"/>
        <v>1.7052905118994032E-3</v>
      </c>
      <c r="AA3" s="205"/>
      <c r="AB3" s="205"/>
      <c r="AC3" s="206"/>
    </row>
    <row r="4" spans="1:29" x14ac:dyDescent="0.2">
      <c r="A4" s="211">
        <v>2</v>
      </c>
      <c r="B4" s="212">
        <f>_xll.qlInterestRateIndexFixingDate(IborIndex1Y,D4)</f>
        <v>42219</v>
      </c>
      <c r="C4" s="211" t="str">
        <f>_xll.qlMakeDatedOIS(,D4,E4,OvernightIndex,0,DayCounter,0)</f>
        <v>obj_00899#0000</v>
      </c>
      <c r="D4" s="212">
        <f>_xll.qlCalendarAdvance(Calendar,SettlementDate,A4&amp;"M","mf")</f>
        <v>42221</v>
      </c>
      <c r="E4" s="212">
        <f>_xll.qlInterestRateIndexMaturity(IborIndex1Y,D4)</f>
        <v>42587</v>
      </c>
      <c r="F4" s="213">
        <f>_xll.qlOvernightIndexedSwapFairRate(C4,_xll.ohTrigger(InterestRatesTrigger))</f>
        <v>-1.1640562220076515E-3</v>
      </c>
      <c r="G4" s="214">
        <f>_xll.qlInterpolationInterpolate(BasisInterpolator,D4,TRUE,F4)</f>
        <v>2.9821336577385768E-3</v>
      </c>
      <c r="H4" s="213">
        <f t="shared" si="0"/>
        <v>1.8180774357309253E-3</v>
      </c>
      <c r="AA4" s="205"/>
      <c r="AB4" s="205"/>
      <c r="AC4" s="206"/>
    </row>
    <row r="5" spans="1:29" x14ac:dyDescent="0.2">
      <c r="A5" s="211">
        <v>3</v>
      </c>
      <c r="B5" s="212">
        <f>_xll.qlInterestRateIndexFixingDate(IborIndex1Y,D5)</f>
        <v>42250</v>
      </c>
      <c r="C5" s="211" t="str">
        <f>_xll.qlMakeDatedOIS(,D5,E5,OvernightIndex,0,DayCounter,0)</f>
        <v>obj_0087e#0000</v>
      </c>
      <c r="D5" s="212">
        <f>_xll.qlCalendarAdvance(Calendar,SettlementDate,A5&amp;"M","mf")</f>
        <v>42254</v>
      </c>
      <c r="E5" s="212">
        <f>_xll.qlInterestRateIndexMaturity(IborIndex1Y,D5)</f>
        <v>42620</v>
      </c>
      <c r="F5" s="213">
        <f>_xll.qlOvernightIndexedSwapFairRate(C5,_xll.ohTrigger(InterestRatesTrigger))</f>
        <v>-1.1215978054548948E-3</v>
      </c>
      <c r="G5" s="214">
        <f>_xll.qlInterpolationInterpolate(BasisInterpolator,D5,TRUE,F5)</f>
        <v>3.0739983430237024E-3</v>
      </c>
      <c r="H5" s="213">
        <f t="shared" si="0"/>
        <v>1.9524005375688076E-3</v>
      </c>
      <c r="AA5" s="205"/>
      <c r="AB5" s="205"/>
      <c r="AC5" s="206"/>
    </row>
    <row r="6" spans="1:29" x14ac:dyDescent="0.2">
      <c r="A6" s="211">
        <v>4</v>
      </c>
      <c r="B6" s="212">
        <f>_xll.qlInterestRateIndexFixingDate(IborIndex1Y,D6)</f>
        <v>42278</v>
      </c>
      <c r="C6" s="211" t="str">
        <f>_xll.qlMakeDatedOIS(,D6,E6,OvernightIndex,0,DayCounter,0)</f>
        <v>obj_0087d#0000</v>
      </c>
      <c r="D6" s="212">
        <f>_xll.qlCalendarAdvance(Calendar,SettlementDate,A6&amp;"M","mf")</f>
        <v>42282</v>
      </c>
      <c r="E6" s="212">
        <f>_xll.qlInterestRateIndexMaturity(IborIndex1Y,D6)</f>
        <v>42648</v>
      </c>
      <c r="F6" s="213">
        <f>_xll.qlOvernightIndexedSwapFairRate(C6,_xll.ohTrigger(InterestRatesTrigger))</f>
        <v>-1.0824234548778022E-3</v>
      </c>
      <c r="G6" s="214">
        <f>_xll.qlInterpolationInterpolate(BasisInterpolator,D6,TRUE,F6)</f>
        <v>3.1459748280333942E-3</v>
      </c>
      <c r="H6" s="213">
        <f t="shared" si="0"/>
        <v>2.0635513731555918E-3</v>
      </c>
      <c r="AA6" s="205"/>
      <c r="AB6" s="205"/>
      <c r="AC6" s="206"/>
    </row>
    <row r="7" spans="1:29" x14ac:dyDescent="0.2">
      <c r="A7" s="211">
        <v>5</v>
      </c>
      <c r="B7" s="212">
        <f>_xll.qlInterestRateIndexFixingDate(IborIndex1Y,D7)</f>
        <v>42311</v>
      </c>
      <c r="C7" s="211" t="str">
        <f>_xll.qlMakeDatedOIS(,D7,E7,OvernightIndex,0,DayCounter,0)</f>
        <v>obj_00895#0000</v>
      </c>
      <c r="D7" s="212">
        <f>_xll.qlCalendarAdvance(Calendar,SettlementDate,A7&amp;"M","mf")</f>
        <v>42313</v>
      </c>
      <c r="E7" s="212">
        <f>_xll.qlInterestRateIndexMaturity(IborIndex1Y,D7)</f>
        <v>42681</v>
      </c>
      <c r="F7" s="213">
        <f>_xll.qlOvernightIndexedSwapFairRate(C7,_xll.ohTrigger(InterestRatesTrigger))</f>
        <v>-1.0333702103925526E-3</v>
      </c>
      <c r="G7" s="214">
        <f>_xll.qlInterpolationInterpolate(BasisInterpolator,D7,TRUE,F7)</f>
        <v>3.2171478476802923E-3</v>
      </c>
      <c r="H7" s="213">
        <f t="shared" si="0"/>
        <v>2.1837776372877395E-3</v>
      </c>
      <c r="AA7" s="205"/>
      <c r="AB7" s="205"/>
      <c r="AC7" s="206"/>
    </row>
    <row r="8" spans="1:29" x14ac:dyDescent="0.2">
      <c r="A8" s="211">
        <v>6</v>
      </c>
      <c r="B8" s="212">
        <f>_xll.qlInterestRateIndexFixingDate(IborIndex1Y,D8)</f>
        <v>42341</v>
      </c>
      <c r="C8" s="211" t="str">
        <f>_xll.qlMakeDatedOIS(,D8,E8,OvernightIndex,0,DayCounter,0)</f>
        <v>obj_0088c#0000</v>
      </c>
      <c r="D8" s="212">
        <f>_xll.qlCalendarAdvance(Calendar,SettlementDate,A8&amp;"M","mf")</f>
        <v>42345</v>
      </c>
      <c r="E8" s="212">
        <f>_xll.qlInterestRateIndexMaturity(IborIndex1Y,D8)</f>
        <v>42711</v>
      </c>
      <c r="F8" s="213">
        <f>_xll.qlOvernightIndexedSwapFairRate(C8,_xll.ohTrigger(InterestRatesTrigger))</f>
        <v>-9.8516568540744768E-4</v>
      </c>
      <c r="G8" s="214">
        <f>_xll.qlInterpolationInterpolate(BasisInterpolator,D8,TRUE,F8)</f>
        <v>3.2789162622389335E-3</v>
      </c>
      <c r="H8" s="213">
        <f t="shared" si="0"/>
        <v>2.293750576831486E-3</v>
      </c>
      <c r="AA8" s="205"/>
      <c r="AB8" s="205"/>
      <c r="AC8" s="206"/>
    </row>
    <row r="9" spans="1:29" x14ac:dyDescent="0.2">
      <c r="A9" s="211">
        <v>7</v>
      </c>
      <c r="B9" s="212">
        <f>_xll.qlInterestRateIndexFixingDate(IborIndex1Y,D9)</f>
        <v>42369</v>
      </c>
      <c r="C9" s="211" t="str">
        <f>_xll.qlMakeDatedOIS(,D9,E9,OvernightIndex,0,DayCounter,0)</f>
        <v>obj_0088b#0000</v>
      </c>
      <c r="D9" s="212">
        <f>_xll.qlCalendarAdvance(Calendar,SettlementDate,A9&amp;"M","mf")</f>
        <v>42374</v>
      </c>
      <c r="E9" s="212">
        <f>_xll.qlInterestRateIndexMaturity(IborIndex1Y,D9)</f>
        <v>42740</v>
      </c>
      <c r="F9" s="213">
        <f>_xll.qlOvernightIndexedSwapFairRate(C9,_xll.ohTrigger(InterestRatesTrigger))</f>
        <v>-9.2386864229892422E-4</v>
      </c>
      <c r="G9" s="214">
        <f>_xll.qlInterpolationInterpolate(BasisInterpolator,D9,TRUE,F9)</f>
        <v>3.3225735305941781E-3</v>
      </c>
      <c r="H9" s="213">
        <f t="shared" si="0"/>
        <v>2.398704888295254E-3</v>
      </c>
      <c r="I9" s="206"/>
      <c r="AA9" s="205"/>
      <c r="AB9" s="205"/>
      <c r="AC9" s="206"/>
    </row>
    <row r="10" spans="1:29" x14ac:dyDescent="0.2">
      <c r="A10" s="211">
        <v>8</v>
      </c>
      <c r="B10" s="212">
        <f>_xll.qlInterestRateIndexFixingDate(IborIndex1Y,D10)</f>
        <v>42403</v>
      </c>
      <c r="C10" s="211" t="str">
        <f>_xll.qlMakeDatedOIS(,D10,E10,OvernightIndex,0,DayCounter,0)</f>
        <v>obj_008a6#0000</v>
      </c>
      <c r="D10" s="212">
        <f>_xll.qlCalendarAdvance(Calendar,SettlementDate,A10&amp;"M","mf")</f>
        <v>42405</v>
      </c>
      <c r="E10" s="212">
        <f>_xll.qlInterestRateIndexMaturity(IborIndex1Y,D10)</f>
        <v>42772</v>
      </c>
      <c r="F10" s="213">
        <f>_xll.qlOvernightIndexedSwapFairRate(C10,_xll.ohTrigger(InterestRatesTrigger))</f>
        <v>-8.6876986143949355E-4</v>
      </c>
      <c r="G10" s="214">
        <f>_xll.qlInterpolationInterpolate(BasisInterpolator,D10,TRUE,F10)</f>
        <v>3.3541284876519345E-3</v>
      </c>
      <c r="H10" s="213">
        <f t="shared" si="0"/>
        <v>2.4853586262124409E-3</v>
      </c>
      <c r="I10" s="206"/>
      <c r="AA10" s="205"/>
      <c r="AB10" s="205"/>
      <c r="AC10" s="206"/>
    </row>
    <row r="11" spans="1:29" x14ac:dyDescent="0.2">
      <c r="A11" s="211">
        <v>9</v>
      </c>
      <c r="B11" s="212">
        <f>_xll.qlInterestRateIndexFixingDate(IborIndex1Y,D11)</f>
        <v>42432</v>
      </c>
      <c r="C11" s="211" t="str">
        <f>_xll.qlMakeDatedOIS(,D11,E11,OvernightIndex,0,DayCounter,0)</f>
        <v>obj_00887#0000</v>
      </c>
      <c r="D11" s="212">
        <f>_xll.qlCalendarAdvance(Calendar,SettlementDate,A11&amp;"M","mf")</f>
        <v>42436</v>
      </c>
      <c r="E11" s="212">
        <f>_xll.qlInterestRateIndexMaturity(IborIndex1Y,D11)</f>
        <v>42801</v>
      </c>
      <c r="F11" s="213">
        <f>_xll.qlOvernightIndexedSwapFairRate(C11,_xll.ohTrigger(InterestRatesTrigger))</f>
        <v>-8.0285864206814067E-4</v>
      </c>
      <c r="G11" s="214">
        <f>_xll.qlInterpolationInterpolate(BasisInterpolator,D11,TRUE,F11)</f>
        <v>3.3678597753953599E-3</v>
      </c>
      <c r="H11" s="213">
        <f t="shared" si="0"/>
        <v>2.565001133327219E-3</v>
      </c>
      <c r="I11" s="206"/>
      <c r="AA11" s="205"/>
      <c r="AB11" s="205"/>
      <c r="AC11" s="206"/>
    </row>
    <row r="12" spans="1:29" x14ac:dyDescent="0.2">
      <c r="A12" s="211">
        <v>10</v>
      </c>
      <c r="B12" s="212">
        <f>_xll.qlInterestRateIndexFixingDate(IborIndex1Y,D12)</f>
        <v>42461</v>
      </c>
      <c r="C12" s="211" t="str">
        <f>_xll.qlMakeDatedOIS(,D12,E12,OvernightIndex,0,DayCounter,0)</f>
        <v>obj_008aa#0000</v>
      </c>
      <c r="D12" s="212">
        <f>_xll.qlCalendarAdvance(Calendar,SettlementDate,A12&amp;"M","mf")</f>
        <v>42465</v>
      </c>
      <c r="E12" s="212">
        <f>_xll.qlInterestRateIndexMaturity(IborIndex1Y,D12)</f>
        <v>42830</v>
      </c>
      <c r="F12" s="213">
        <f>_xll.qlOvernightIndexedSwapFairRate(C12,_xll.ohTrigger(InterestRatesTrigger))</f>
        <v>-7.2557273185702253E-4</v>
      </c>
      <c r="G12" s="214">
        <f>_xll.qlInterpolationInterpolate(BasisInterpolator,D12,TRUE,F12)</f>
        <v>3.3625715043952256E-3</v>
      </c>
      <c r="H12" s="213">
        <f t="shared" si="0"/>
        <v>2.6369987725382033E-3</v>
      </c>
      <c r="I12" s="206"/>
      <c r="AA12" s="205"/>
      <c r="AB12" s="205"/>
      <c r="AC12" s="206"/>
    </row>
    <row r="13" spans="1:29" x14ac:dyDescent="0.2">
      <c r="A13" s="215">
        <v>11</v>
      </c>
      <c r="B13" s="216">
        <f>_xll.qlInterestRateIndexFixingDate(IborIndex1Y,D13)</f>
        <v>42493</v>
      </c>
      <c r="C13" s="215" t="str">
        <f>_xll.qlMakeDatedOIS(,D13,E13,OvernightIndex,0,DayCounter,0)</f>
        <v>obj_008a7#0000</v>
      </c>
      <c r="D13" s="216">
        <f>_xll.qlCalendarAdvance(Calendar,SettlementDate,A13&amp;"M","mf")</f>
        <v>42495</v>
      </c>
      <c r="E13" s="216">
        <f>_xll.qlInterestRateIndexMaturity(IborIndex1Y,D13)</f>
        <v>42860</v>
      </c>
      <c r="F13" s="217">
        <f>_xll.qlOvernightIndexedSwapFairRate(C13,_xll.ohTrigger(InterestRatesTrigger))</f>
        <v>-6.3518195195697968E-4</v>
      </c>
      <c r="G13" s="218">
        <f>_xll.qlInterpolationInterpolate(BasisInterpolator,D13,TRUE,F13)</f>
        <v>3.3366446710971298E-3</v>
      </c>
      <c r="H13" s="217">
        <f t="shared" si="0"/>
        <v>2.7014627191401502E-3</v>
      </c>
      <c r="I13" s="206"/>
      <c r="AA13" s="205"/>
      <c r="AB13" s="205"/>
      <c r="AC13" s="206"/>
    </row>
    <row r="14" spans="1:29" x14ac:dyDescent="0.2">
      <c r="A14" s="207">
        <v>12</v>
      </c>
      <c r="B14" s="208">
        <f>_xll.qlInterestRateIndexFixingDate(IborIndex1Y,D14)</f>
        <v>42523</v>
      </c>
      <c r="C14" s="207" t="str">
        <f>_xll.qlMakeDatedOIS(,D14,E14,OvernightIndex,0,DayCounter,0)</f>
        <v>obj_00892#0000</v>
      </c>
      <c r="D14" s="208">
        <f>_xll.qlCalendarAdvance(Calendar,SettlementDate,A14&amp;"M","mf")</f>
        <v>42527</v>
      </c>
      <c r="E14" s="208">
        <f>_xll.qlInterestRateIndexMaturity(IborIndex1Y,D14)</f>
        <v>42892</v>
      </c>
      <c r="F14" s="209">
        <f>_xll.qlOvernightIndexedSwapFairRate(C14,_xll.ohTrigger(InterestRatesTrigger))</f>
        <v>-5.1378201248554456E-4</v>
      </c>
      <c r="G14" s="210">
        <f>_xll.qlInterpolationInterpolate(BasisInterpolator,D14,TRUE,F14)</f>
        <v>3.2837820124856781E-3</v>
      </c>
      <c r="H14" s="209">
        <f t="shared" si="0"/>
        <v>2.7700000000001335E-3</v>
      </c>
      <c r="I14" s="206"/>
      <c r="AA14" s="205"/>
      <c r="AB14" s="205"/>
      <c r="AC14" s="206"/>
    </row>
    <row r="15" spans="1:29" x14ac:dyDescent="0.2">
      <c r="A15" s="211">
        <v>13</v>
      </c>
      <c r="B15" s="212">
        <f>_xll.qlInterestRateIndexFixingDate(IborIndex1Y,D15)</f>
        <v>42552</v>
      </c>
      <c r="C15" s="211" t="str">
        <f>_xll.qlMakeDatedOIS(,D15,E15,OvernightIndex,0,DayCounter,0)</f>
        <v>obj_0088f#0000</v>
      </c>
      <c r="D15" s="212">
        <f>_xll.qlCalendarAdvance(Calendar,SettlementDate,A15&amp;"M","mf")</f>
        <v>42556</v>
      </c>
      <c r="E15" s="212">
        <f>_xll.qlInterestRateIndexMaturity(IborIndex1Y,D15)</f>
        <v>42921</v>
      </c>
      <c r="F15" s="213">
        <f>_xll.qlOvernightIndexedSwapFairRate(C15,_xll.ohTrigger(InterestRatesTrigger))</f>
        <v>-3.9573545889957647E-4</v>
      </c>
      <c r="G15" s="214">
        <f>_xll.qlInterpolationInterpolate(BasisInterpolator,D15,TRUE,F15)</f>
        <v>3.2118583302124938E-3</v>
      </c>
      <c r="H15" s="213">
        <f t="shared" si="0"/>
        <v>2.8161228713129175E-3</v>
      </c>
      <c r="I15" s="206"/>
      <c r="AA15" s="205"/>
      <c r="AB15" s="205"/>
      <c r="AC15" s="206"/>
    </row>
    <row r="16" spans="1:29" x14ac:dyDescent="0.2">
      <c r="A16" s="211">
        <v>14</v>
      </c>
      <c r="B16" s="212">
        <f>_xll.qlInterestRateIndexFixingDate(IborIndex1Y,D16)</f>
        <v>42585</v>
      </c>
      <c r="C16" s="211" t="str">
        <f>_xll.qlMakeDatedOIS(,D16,E16,OvernightIndex,0,DayCounter,0)</f>
        <v>obj_00889#0000</v>
      </c>
      <c r="D16" s="212">
        <f>_xll.qlCalendarAdvance(Calendar,SettlementDate,A16&amp;"M","mf")</f>
        <v>42587</v>
      </c>
      <c r="E16" s="212">
        <f>_xll.qlInterestRateIndexMaturity(IborIndex1Y,D16)</f>
        <v>42954</v>
      </c>
      <c r="F16" s="213">
        <f>_xll.qlOvernightIndexedSwapFairRate(C16,_xll.ohTrigger(InterestRatesTrigger))</f>
        <v>-2.5737422103351722E-4</v>
      </c>
      <c r="G16" s="214">
        <f>_xll.qlInterpolationInterpolate(BasisInterpolator,D16,TRUE,F16)</f>
        <v>3.1103730959104901E-3</v>
      </c>
      <c r="H16" s="213">
        <f t="shared" si="0"/>
        <v>2.8529988748769728E-3</v>
      </c>
      <c r="I16" s="206"/>
      <c r="AA16" s="205"/>
      <c r="AB16" s="205"/>
      <c r="AC16" s="206"/>
    </row>
    <row r="17" spans="1:29" x14ac:dyDescent="0.2">
      <c r="A17" s="211">
        <v>15</v>
      </c>
      <c r="B17" s="212">
        <f>_xll.qlInterestRateIndexFixingDate(IborIndex1Y,D17)</f>
        <v>42614</v>
      </c>
      <c r="C17" s="211" t="str">
        <f>_xll.qlMakeDatedOIS(,D17,E17,OvernightIndex,0,DayCounter,0)</f>
        <v>obj_0089e#0000</v>
      </c>
      <c r="D17" s="212">
        <f>_xll.qlCalendarAdvance(Calendar,SettlementDate,A17&amp;"M","mf")</f>
        <v>42618</v>
      </c>
      <c r="E17" s="212">
        <f>_xll.qlInterestRateIndexMaturity(IborIndex1Y,D17)</f>
        <v>42983</v>
      </c>
      <c r="F17" s="213">
        <f>_xll.qlOvernightIndexedSwapFairRate(C17,_xll.ohTrigger(InterestRatesTrigger))</f>
        <v>-1.2088242218597135E-4</v>
      </c>
      <c r="G17" s="214">
        <f>_xll.qlInterpolationInterpolate(BasisInterpolator,D17,TRUE,F17)</f>
        <v>2.9847730223804747E-3</v>
      </c>
      <c r="H17" s="213">
        <f t="shared" si="0"/>
        <v>2.8638906001945035E-3</v>
      </c>
      <c r="I17" s="206"/>
      <c r="AA17" s="205"/>
      <c r="AB17" s="205"/>
      <c r="AC17" s="206"/>
    </row>
    <row r="18" spans="1:29" x14ac:dyDescent="0.2">
      <c r="A18" s="211">
        <v>16</v>
      </c>
      <c r="B18" s="212">
        <f>_xll.qlInterestRateIndexFixingDate(IborIndex1Y,D18)</f>
        <v>42646</v>
      </c>
      <c r="C18" s="211" t="str">
        <f>_xll.qlMakeDatedOIS(,D18,E18,OvernightIndex,0,DayCounter,0)</f>
        <v>obj_008ac#0000</v>
      </c>
      <c r="D18" s="212">
        <f>_xll.qlCalendarAdvance(Calendar,SettlementDate,A18&amp;"M","mf")</f>
        <v>42648</v>
      </c>
      <c r="E18" s="212">
        <f>_xll.qlInterestRateIndexMaturity(IborIndex1Y,D18)</f>
        <v>43013</v>
      </c>
      <c r="F18" s="213">
        <f>_xll.qlOvernightIndexedSwapFairRate(C18,_xll.ohTrigger(InterestRatesTrigger))</f>
        <v>2.6956322393314079E-5</v>
      </c>
      <c r="G18" s="214">
        <f>_xll.qlInterpolationInterpolate(BasisInterpolator,D18,TRUE,F18)</f>
        <v>2.8415216591864056E-3</v>
      </c>
      <c r="H18" s="213">
        <f t="shared" si="0"/>
        <v>2.8684779815797198E-3</v>
      </c>
      <c r="I18" s="206"/>
      <c r="AA18" s="205"/>
      <c r="AB18" s="205"/>
      <c r="AC18" s="206"/>
    </row>
    <row r="19" spans="1:29" x14ac:dyDescent="0.2">
      <c r="A19" s="211">
        <v>17</v>
      </c>
      <c r="B19" s="212">
        <f>_xll.qlInterestRateIndexFixingDate(IborIndex1Y,D19)</f>
        <v>42677</v>
      </c>
      <c r="C19" s="211" t="str">
        <f>_xll.qlMakeDatedOIS(,D19,E19,OvernightIndex,0,DayCounter,0)</f>
        <v>obj_008a9#0000</v>
      </c>
      <c r="D19" s="212">
        <f>_xll.qlCalendarAdvance(Calendar,SettlementDate,A19&amp;"M","mf")</f>
        <v>42681</v>
      </c>
      <c r="E19" s="212">
        <f>_xll.qlInterestRateIndexMaturity(IborIndex1Y,D19)</f>
        <v>43046</v>
      </c>
      <c r="F19" s="213">
        <f>_xll.qlOvernightIndexedSwapFairRate(C19,_xll.ohTrigger(InterestRatesTrigger))</f>
        <v>2.0624533247976966E-4</v>
      </c>
      <c r="G19" s="214">
        <f>_xll.qlInterpolationInterpolate(BasisInterpolator,D19,TRUE,F19)</f>
        <v>2.6607490510645224E-3</v>
      </c>
      <c r="H19" s="213">
        <f t="shared" si="0"/>
        <v>2.8669943835442921E-3</v>
      </c>
      <c r="I19" s="206"/>
      <c r="AA19" s="205"/>
      <c r="AB19" s="205"/>
      <c r="AC19" s="206"/>
    </row>
    <row r="20" spans="1:29" x14ac:dyDescent="0.2">
      <c r="A20" s="211">
        <v>18</v>
      </c>
      <c r="B20" s="212">
        <f>_xll.qlInterestRateIndexFixingDate(IborIndex1Y,D20)</f>
        <v>42705</v>
      </c>
      <c r="C20" s="211" t="str">
        <f>_xll.qlMakeDatedOIS(,D20,E20,OvernightIndex,0,DayCounter,0)</f>
        <v>obj_0089d#0000</v>
      </c>
      <c r="D20" s="212">
        <f>_xll.qlCalendarAdvance(Calendar,SettlementDate,A20&amp;"M","mf")</f>
        <v>42709</v>
      </c>
      <c r="E20" s="212">
        <f>_xll.qlInterestRateIndexMaturity(IborIndex1Y,D20)</f>
        <v>43074</v>
      </c>
      <c r="F20" s="213">
        <f>_xll.qlOvernightIndexedSwapFairRate(C20,_xll.ohTrigger(InterestRatesTrigger))</f>
        <v>3.7624103632638269E-4</v>
      </c>
      <c r="G20" s="214">
        <f>_xll.qlInterpolationInterpolate(BasisInterpolator,D20,TRUE,F20)</f>
        <v>2.4894705294619011E-3</v>
      </c>
      <c r="H20" s="213">
        <f t="shared" si="0"/>
        <v>2.8657115657882838E-3</v>
      </c>
      <c r="I20" s="206"/>
      <c r="AA20" s="205"/>
      <c r="AB20" s="205"/>
      <c r="AC20" s="206"/>
    </row>
    <row r="21" spans="1:29" x14ac:dyDescent="0.2">
      <c r="A21" s="211">
        <v>19</v>
      </c>
      <c r="B21" s="212">
        <f>_xll.qlInterestRateIndexFixingDate(IborIndex1Y,D21)</f>
        <v>42738</v>
      </c>
      <c r="C21" s="211" t="str">
        <f>_xll.qlMakeDatedOIS(,D21,E21,OvernightIndex,0,DayCounter,0)</f>
        <v>obj_00888#0000</v>
      </c>
      <c r="D21" s="212">
        <f>_xll.qlCalendarAdvance(Calendar,SettlementDate,A21&amp;"M","mf")</f>
        <v>42740</v>
      </c>
      <c r="E21" s="212">
        <f>_xll.qlInterestRateIndexMaturity(IborIndex1Y,D21)</f>
        <v>43105</v>
      </c>
      <c r="F21" s="213">
        <f>_xll.qlOvernightIndexedSwapFairRate(C21,_xll.ohTrigger(InterestRatesTrigger))</f>
        <v>5.505868477280459E-4</v>
      </c>
      <c r="G21" s="214">
        <f>_xll.qlInterpolationInterpolate(BasisInterpolator,D21,TRUE,F21)</f>
        <v>2.2819341949446344E-3</v>
      </c>
      <c r="H21" s="213">
        <f t="shared" si="0"/>
        <v>2.8325210426726802E-3</v>
      </c>
      <c r="I21" s="206"/>
      <c r="AA21" s="205"/>
      <c r="AB21" s="205"/>
      <c r="AC21" s="206"/>
    </row>
    <row r="22" spans="1:29" x14ac:dyDescent="0.2">
      <c r="A22" s="211">
        <v>20</v>
      </c>
      <c r="B22" s="212">
        <f>_xll.qlInterestRateIndexFixingDate(IborIndex1Y,D22)</f>
        <v>42768</v>
      </c>
      <c r="C22" s="211" t="str">
        <f>_xll.qlMakeDatedOIS(,D22,E22,OvernightIndex,0,DayCounter,0)</f>
        <v>obj_00891#0000</v>
      </c>
      <c r="D22" s="212">
        <f>_xll.qlCalendarAdvance(Calendar,SettlementDate,A22&amp;"M","mf")</f>
        <v>42772</v>
      </c>
      <c r="E22" s="212">
        <f>_xll.qlInterestRateIndexMaturity(IborIndex1Y,D22)</f>
        <v>43137</v>
      </c>
      <c r="F22" s="213">
        <f>_xll.qlOvernightIndexedSwapFairRate(C22,_xll.ohTrigger(InterestRatesTrigger))</f>
        <v>7.8477983473531927E-4</v>
      </c>
      <c r="G22" s="214">
        <f>_xll.qlInterpolationInterpolate(BasisInterpolator,D22,TRUE,F22)</f>
        <v>2.0493362022499717E-3</v>
      </c>
      <c r="H22" s="213">
        <f t="shared" si="0"/>
        <v>2.8341160369852909E-3</v>
      </c>
      <c r="I22" s="206"/>
      <c r="AA22" s="205"/>
      <c r="AB22" s="205"/>
      <c r="AC22" s="206"/>
    </row>
    <row r="23" spans="1:29" x14ac:dyDescent="0.2">
      <c r="A23" s="211">
        <v>21</v>
      </c>
      <c r="B23" s="212">
        <f>_xll.qlInterestRateIndexFixingDate(IborIndex1Y,D23)</f>
        <v>42796</v>
      </c>
      <c r="C23" s="211" t="str">
        <f>_xll.qlMakeDatedOIS(,D23,E23,OvernightIndex,0,DayCounter,0)</f>
        <v>obj_00880#0000</v>
      </c>
      <c r="D23" s="212">
        <f>_xll.qlCalendarAdvance(Calendar,SettlementDate,A23&amp;"M","mf")</f>
        <v>42800</v>
      </c>
      <c r="E23" s="212">
        <f>_xll.qlInterestRateIndexMaturity(IborIndex1Y,D23)</f>
        <v>43165</v>
      </c>
      <c r="F23" s="213">
        <f>_xll.qlOvernightIndexedSwapFairRate(C23,_xll.ohTrigger(InterestRatesTrigger))</f>
        <v>9.9774307818473727E-4</v>
      </c>
      <c r="G23" s="214">
        <f>_xll.qlInterpolationInterpolate(BasisInterpolator,D23,TRUE,F23)</f>
        <v>1.8316491769899993E-3</v>
      </c>
      <c r="H23" s="213">
        <f t="shared" si="0"/>
        <v>2.8293922551747364E-3</v>
      </c>
      <c r="I23" s="206"/>
      <c r="AA23" s="205"/>
      <c r="AB23" s="205"/>
      <c r="AC23" s="206"/>
    </row>
    <row r="24" spans="1:29" x14ac:dyDescent="0.2">
      <c r="A24" s="211">
        <v>22</v>
      </c>
      <c r="B24" s="212">
        <f>_xll.qlInterestRateIndexFixingDate(IborIndex1Y,D24)</f>
        <v>42828</v>
      </c>
      <c r="C24" s="211" t="str">
        <f>_xll.qlMakeDatedOIS(,D24,E24,OvernightIndex,0,DayCounter,0)</f>
        <v>obj_00884#0000</v>
      </c>
      <c r="D24" s="212">
        <f>_xll.qlCalendarAdvance(Calendar,SettlementDate,A24&amp;"M","mf")</f>
        <v>42830</v>
      </c>
      <c r="E24" s="212">
        <f>_xll.qlInterestRateIndexMaturity(IborIndex1Y,D24)</f>
        <v>43195</v>
      </c>
      <c r="F24" s="213">
        <f>_xll.qlOvernightIndexedSwapFairRate(C24,_xll.ohTrigger(InterestRatesTrigger))</f>
        <v>1.2293669032267572E-3</v>
      </c>
      <c r="G24" s="214">
        <f>_xll.qlInterpolationInterpolate(BasisInterpolator,D24,TRUE,F24)</f>
        <v>1.5849132353359453E-3</v>
      </c>
      <c r="H24" s="213">
        <f t="shared" si="0"/>
        <v>2.8142801385627027E-3</v>
      </c>
      <c r="I24" s="206"/>
      <c r="AA24" s="205"/>
      <c r="AB24" s="205"/>
      <c r="AC24" s="206"/>
    </row>
    <row r="25" spans="1:29" x14ac:dyDescent="0.2">
      <c r="A25" s="215">
        <v>23</v>
      </c>
      <c r="B25" s="216">
        <f>_xll.qlInterestRateIndexFixingDate(IborIndex1Y,D25)</f>
        <v>42858</v>
      </c>
      <c r="C25" s="215" t="str">
        <f>_xll.qlMakeDatedOIS(,D25,E25,OvernightIndex,0,DayCounter,0)</f>
        <v>obj_008a8#0000</v>
      </c>
      <c r="D25" s="216">
        <f>_xll.qlCalendarAdvance(Calendar,SettlementDate,A25&amp;"M","mf")</f>
        <v>42860</v>
      </c>
      <c r="E25" s="216">
        <f>_xll.qlInterestRateIndexMaturity(IborIndex1Y,D25)</f>
        <v>43227</v>
      </c>
      <c r="F25" s="217">
        <f>_xll.qlOvernightIndexedSwapFairRate(C25,_xll.ohTrigger(InterestRatesTrigger))</f>
        <v>1.4764333900765584E-3</v>
      </c>
      <c r="G25" s="218">
        <f>_xll.qlInterpolationInterpolate(BasisInterpolator,D25,TRUE,F25)</f>
        <v>1.3253951723603448E-3</v>
      </c>
      <c r="H25" s="217">
        <f t="shared" si="0"/>
        <v>2.8018285624369032E-3</v>
      </c>
      <c r="I25" s="206"/>
      <c r="AA25" s="205"/>
      <c r="AB25" s="205"/>
      <c r="AC25" s="206"/>
    </row>
    <row r="26" spans="1:29" x14ac:dyDescent="0.2">
      <c r="A26" s="207">
        <v>24</v>
      </c>
      <c r="B26" s="208">
        <f>_xll.qlInterestRateIndexFixingDate(IborIndex1Y,D26)</f>
        <v>42887</v>
      </c>
      <c r="C26" s="207" t="str">
        <f>_xll.qlMakeDatedOIS(,D26,E26,OvernightIndex,0,DayCounter,0)</f>
        <v>obj_00883#0000</v>
      </c>
      <c r="D26" s="208">
        <f>_xll.qlCalendarAdvance(Calendar,SettlementDate,A26&amp;"M","mf")</f>
        <v>42891</v>
      </c>
      <c r="E26" s="208">
        <f>_xll.qlInterestRateIndexMaturity(IborIndex1Y,D26)</f>
        <v>43256</v>
      </c>
      <c r="F26" s="209">
        <f>_xll.qlOvernightIndexedSwapFairRate(C26,_xll.ohTrigger(InterestRatesTrigger))</f>
        <v>1.7249163917751036E-3</v>
      </c>
      <c r="G26" s="210">
        <f>_xll.qlInterpolationInterpolate(BasisInterpolator,D26,TRUE,F26)</f>
        <v>1.0450836082248113E-3</v>
      </c>
      <c r="H26" s="209">
        <f t="shared" si="0"/>
        <v>2.7699999999999149E-3</v>
      </c>
      <c r="I26" s="206"/>
      <c r="AA26" s="205"/>
      <c r="AB26" s="205"/>
      <c r="AC26" s="206"/>
    </row>
    <row r="27" spans="1:29" x14ac:dyDescent="0.2">
      <c r="A27" s="211">
        <v>25</v>
      </c>
      <c r="B27" s="212">
        <f>_xll.qlInterestRateIndexFixingDate(IborIndex1Y,D27)</f>
        <v>42919</v>
      </c>
      <c r="C27" s="211" t="str">
        <f>_xll.qlMakeDatedOIS(,D27,E27,OvernightIndex,0,DayCounter,0)</f>
        <v>obj_008a3#0000</v>
      </c>
      <c r="D27" s="212">
        <f>_xll.qlCalendarAdvance(Calendar,SettlementDate,A27&amp;"M","mf")</f>
        <v>42921</v>
      </c>
      <c r="E27" s="212">
        <f>_xll.qlInterestRateIndexMaturity(IborIndex1Y,D27)</f>
        <v>43286</v>
      </c>
      <c r="F27" s="213">
        <f>_xll.qlOvernightIndexedSwapFairRate(C27,_xll.ohTrigger(InterestRatesTrigger))</f>
        <v>1.989221614262059E-3</v>
      </c>
      <c r="G27" s="214">
        <f>_xll.qlInterpolationInterpolate(BasisInterpolator,D27,TRUE,F27)</f>
        <v>7.6325266873546486E-4</v>
      </c>
      <c r="H27" s="213">
        <f t="shared" si="0"/>
        <v>2.7524742829975238E-3</v>
      </c>
      <c r="I27" s="206"/>
      <c r="AA27" s="205"/>
      <c r="AB27" s="205"/>
      <c r="AC27" s="206"/>
    </row>
    <row r="28" spans="1:29" x14ac:dyDescent="0.2">
      <c r="A28" s="211">
        <v>26</v>
      </c>
      <c r="B28" s="212">
        <f>_xll.qlInterestRateIndexFixingDate(IborIndex1Y,D28)</f>
        <v>42950</v>
      </c>
      <c r="C28" s="211" t="str">
        <f>_xll.qlMakeDatedOIS(,D28,E28,OvernightIndex,0,DayCounter,0)</f>
        <v>obj_008a4#0000</v>
      </c>
      <c r="D28" s="212">
        <f>_xll.qlCalendarAdvance(Calendar,SettlementDate,A28&amp;"M","mf")</f>
        <v>42954</v>
      </c>
      <c r="E28" s="212">
        <f>_xll.qlInterestRateIndexMaturity(IborIndex1Y,D28)</f>
        <v>43319</v>
      </c>
      <c r="F28" s="213">
        <f>_xll.qlOvernightIndexedSwapFairRate(C28,_xll.ohTrigger(InterestRatesTrigger))</f>
        <v>2.2965694116369828E-3</v>
      </c>
      <c r="G28" s="214">
        <f>_xll.qlInterpolationInterpolate(BasisInterpolator,D28,TRUE,F28)</f>
        <v>4.4237159494528509E-4</v>
      </c>
      <c r="H28" s="213">
        <f t="shared" si="0"/>
        <v>2.7389410065822677E-3</v>
      </c>
      <c r="I28" s="206"/>
      <c r="AA28" s="205"/>
      <c r="AB28" s="205"/>
      <c r="AC28" s="206"/>
    </row>
    <row r="29" spans="1:29" x14ac:dyDescent="0.2">
      <c r="A29" s="211">
        <v>27</v>
      </c>
      <c r="B29" s="212">
        <f>_xll.qlInterestRateIndexFixingDate(IborIndex1Y,D29)</f>
        <v>42979</v>
      </c>
      <c r="C29" s="211" t="str">
        <f>_xll.qlMakeDatedOIS(,D29,E29,OvernightIndex,0,DayCounter,0)</f>
        <v>obj_0089b#0000</v>
      </c>
      <c r="D29" s="212">
        <f>_xll.qlCalendarAdvance(Calendar,SettlementDate,A29&amp;"M","mf")</f>
        <v>42983</v>
      </c>
      <c r="E29" s="212">
        <f>_xll.qlInterestRateIndexMaturity(IborIndex1Y,D29)</f>
        <v>43348</v>
      </c>
      <c r="F29" s="213">
        <f>_xll.qlOvernightIndexedSwapFairRate(C29,_xll.ohTrigger(InterestRatesTrigger))</f>
        <v>2.5795724966438168E-3</v>
      </c>
      <c r="G29" s="214">
        <f>_xll.qlInterpolationInterpolate(BasisInterpolator,D29,TRUE,F29)</f>
        <v>1.5188897924766926E-4</v>
      </c>
      <c r="H29" s="213">
        <f t="shared" si="0"/>
        <v>2.7314614758914861E-3</v>
      </c>
      <c r="I29" s="206"/>
      <c r="AA29" s="205"/>
      <c r="AB29" s="205"/>
      <c r="AC29" s="206"/>
    </row>
    <row r="30" spans="1:29" x14ac:dyDescent="0.2">
      <c r="A30" s="211">
        <v>28</v>
      </c>
      <c r="B30" s="212">
        <f>_xll.qlInterestRateIndexFixingDate(IborIndex1Y,D30)</f>
        <v>43011</v>
      </c>
      <c r="C30" s="211" t="str">
        <f>_xll.qlMakeDatedOIS(,D30,E30,OvernightIndex,0,DayCounter,0)</f>
        <v>obj_00885#0000</v>
      </c>
      <c r="D30" s="212">
        <f>_xll.qlCalendarAdvance(Calendar,SettlementDate,A30&amp;"M","mf")</f>
        <v>43013</v>
      </c>
      <c r="E30" s="212">
        <f>_xll.qlInterestRateIndexMaturity(IborIndex1Y,D30)</f>
        <v>43378</v>
      </c>
      <c r="F30" s="213">
        <f>_xll.qlOvernightIndexedSwapFairRate(C30,_xll.ohTrigger(InterestRatesTrigger))</f>
        <v>2.8836071664789715E-3</v>
      </c>
      <c r="G30" s="214">
        <f>_xll.qlInterpolationInterpolate(BasisInterpolator,D30,TRUE,F30)</f>
        <v>-1.5608621122067132E-4</v>
      </c>
      <c r="H30" s="213">
        <f t="shared" si="0"/>
        <v>2.7275209552583002E-3</v>
      </c>
      <c r="I30" s="206"/>
      <c r="AA30" s="205"/>
      <c r="AB30" s="205"/>
      <c r="AC30" s="206"/>
    </row>
    <row r="31" spans="1:29" x14ac:dyDescent="0.2">
      <c r="A31" s="211">
        <v>29</v>
      </c>
      <c r="B31" s="212">
        <f>_xll.qlInterestRateIndexFixingDate(IborIndex1Y,D31)</f>
        <v>43041</v>
      </c>
      <c r="C31" s="211" t="str">
        <f>_xll.qlMakeDatedOIS(,D31,E31,OvernightIndex,0,DayCounter,0)</f>
        <v>obj_00882#0000</v>
      </c>
      <c r="D31" s="212">
        <f>_xll.qlCalendarAdvance(Calendar,SettlementDate,A31&amp;"M","mf")</f>
        <v>43045</v>
      </c>
      <c r="E31" s="212">
        <f>_xll.qlInterestRateIndexMaturity(IborIndex1Y,D31)</f>
        <v>43410</v>
      </c>
      <c r="F31" s="213">
        <f>_xll.qlOvernightIndexedSwapFairRate(C31,_xll.ohTrigger(InterestRatesTrigger))</f>
        <v>3.2189533111681343E-3</v>
      </c>
      <c r="G31" s="214">
        <f>_xll.qlInterpolationInterpolate(BasisInterpolator,D31,TRUE,F31)</f>
        <v>-4.9198836872310463E-4</v>
      </c>
      <c r="H31" s="213">
        <f t="shared" si="0"/>
        <v>2.7269649424450297E-3</v>
      </c>
      <c r="I31" s="206"/>
      <c r="AA31" s="205"/>
      <c r="AB31" s="205"/>
      <c r="AC31" s="206"/>
    </row>
    <row r="32" spans="1:29" x14ac:dyDescent="0.2">
      <c r="A32" s="211">
        <v>30</v>
      </c>
      <c r="B32" s="212">
        <f>_xll.qlInterestRateIndexFixingDate(IborIndex1Y,D32)</f>
        <v>43070</v>
      </c>
      <c r="C32" s="211" t="str">
        <f>_xll.qlMakeDatedOIS(,D32,E32,OvernightIndex,0,DayCounter,0)</f>
        <v>obj_00897#0000</v>
      </c>
      <c r="D32" s="212">
        <f>_xll.qlCalendarAdvance(Calendar,SettlementDate,A32&amp;"M","mf")</f>
        <v>43074</v>
      </c>
      <c r="E32" s="212">
        <f>_xll.qlInterestRateIndexMaturity(IborIndex1Y,D32)</f>
        <v>43439</v>
      </c>
      <c r="F32" s="213">
        <f>_xll.qlOvernightIndexedSwapFairRate(C32,_xll.ohTrigger(InterestRatesTrigger))</f>
        <v>3.5312844912349863E-3</v>
      </c>
      <c r="G32" s="214">
        <f>_xll.qlInterpolationInterpolate(BasisInterpolator,D32,TRUE,F32)</f>
        <v>-8.0211575581597681E-4</v>
      </c>
      <c r="H32" s="213">
        <f t="shared" si="0"/>
        <v>2.7291687354190092E-3</v>
      </c>
      <c r="I32" s="206"/>
      <c r="AA32" s="205"/>
      <c r="AB32" s="205"/>
      <c r="AC32" s="206"/>
    </row>
    <row r="33" spans="1:29" x14ac:dyDescent="0.2">
      <c r="A33" s="211">
        <v>31</v>
      </c>
      <c r="B33" s="212">
        <f>_xll.qlInterestRateIndexFixingDate(IborIndex1Y,D33)</f>
        <v>43103</v>
      </c>
      <c r="C33" s="211" t="str">
        <f>_xll.qlMakeDatedOIS(,D33,E33,OvernightIndex,0,DayCounter,0)</f>
        <v>obj_00893#0000</v>
      </c>
      <c r="D33" s="212">
        <f>_xll.qlCalendarAdvance(Calendar,SettlementDate,A33&amp;"M","mf")</f>
        <v>43105</v>
      </c>
      <c r="E33" s="212">
        <f>_xll.qlInterestRateIndexMaturity(IborIndex1Y,D33)</f>
        <v>43472</v>
      </c>
      <c r="F33" s="213">
        <f>_xll.qlOvernightIndexedSwapFairRate(C33,_xll.ohTrigger(InterestRatesTrigger))</f>
        <v>3.8838537096882886E-3</v>
      </c>
      <c r="G33" s="214">
        <f>_xll.qlInterpolationInterpolate(BasisInterpolator,D33,TRUE,F33)</f>
        <v>-1.138708212414566E-3</v>
      </c>
      <c r="H33" s="213">
        <f t="shared" si="0"/>
        <v>2.7451454972737227E-3</v>
      </c>
      <c r="I33" s="206"/>
      <c r="AA33" s="205"/>
      <c r="AB33" s="205"/>
      <c r="AC33" s="206"/>
    </row>
    <row r="34" spans="1:29" x14ac:dyDescent="0.2">
      <c r="A34" s="211">
        <v>32</v>
      </c>
      <c r="B34" s="212">
        <f>_xll.qlInterestRateIndexFixingDate(IborIndex1Y,D34)</f>
        <v>43132</v>
      </c>
      <c r="C34" s="211" t="str">
        <f>_xll.qlMakeDatedOIS(,D34,E34,OvernightIndex,0,DayCounter,0)</f>
        <v>obj_008a2#0000</v>
      </c>
      <c r="D34" s="212">
        <f>_xll.qlCalendarAdvance(Calendar,SettlementDate,A34&amp;"M","mf")</f>
        <v>43136</v>
      </c>
      <c r="E34" s="212">
        <f>_xll.qlInterestRateIndexMaturity(IborIndex1Y,D34)</f>
        <v>43501</v>
      </c>
      <c r="F34" s="213">
        <f>_xll.qlOvernightIndexedSwapFairRate(C34,_xll.ohTrigger(InterestRatesTrigger))</f>
        <v>4.2197537879996756E-3</v>
      </c>
      <c r="G34" s="214">
        <f>_xll.qlInterpolationInterpolate(BasisInterpolator,D34,TRUE,F34)</f>
        <v>-1.4795931263853934E-3</v>
      </c>
      <c r="H34" s="213">
        <f t="shared" ref="H34:H50" si="1">F34+G34</f>
        <v>2.7401606616142822E-3</v>
      </c>
      <c r="I34" s="206"/>
      <c r="AA34" s="205"/>
      <c r="AB34" s="205"/>
      <c r="AC34" s="206"/>
    </row>
    <row r="35" spans="1:29" x14ac:dyDescent="0.2">
      <c r="A35" s="211">
        <v>33</v>
      </c>
      <c r="B35" s="212">
        <f>_xll.qlInterestRateIndexFixingDate(IborIndex1Y,D35)</f>
        <v>43160</v>
      </c>
      <c r="C35" s="211" t="str">
        <f>_xll.qlMakeDatedOIS(,D35,E35,OvernightIndex,0,DayCounter,0)</f>
        <v>obj_0087c#0000</v>
      </c>
      <c r="D35" s="212">
        <f>_xll.qlCalendarAdvance(Calendar,SettlementDate,A35&amp;"M","mf")</f>
        <v>43164</v>
      </c>
      <c r="E35" s="212">
        <f>_xll.qlInterestRateIndexMaturity(IborIndex1Y,D35)</f>
        <v>43529</v>
      </c>
      <c r="F35" s="213">
        <f>_xll.qlOvernightIndexedSwapFairRate(C35,_xll.ohTrigger(InterestRatesTrigger))</f>
        <v>4.5372757689857062E-3</v>
      </c>
      <c r="G35" s="214">
        <f>_xll.qlInterpolationInterpolate(BasisInterpolator,D35,TRUE,F35)</f>
        <v>-1.7903678772728917E-3</v>
      </c>
      <c r="H35" s="213">
        <f t="shared" si="1"/>
        <v>2.7469078917128145E-3</v>
      </c>
      <c r="I35" s="206"/>
      <c r="AA35" s="205"/>
      <c r="AB35" s="205"/>
      <c r="AC35" s="206"/>
    </row>
    <row r="36" spans="1:29" x14ac:dyDescent="0.2">
      <c r="A36" s="211">
        <v>34</v>
      </c>
      <c r="B36" s="212">
        <f>_xll.qlInterestRateIndexFixingDate(IborIndex1Y,D36)</f>
        <v>43193</v>
      </c>
      <c r="C36" s="211" t="str">
        <f>_xll.qlMakeDatedOIS(,D36,E36,OvernightIndex,0,DayCounter,0)</f>
        <v>obj_008ab#0000</v>
      </c>
      <c r="D36" s="212">
        <f>_xll.qlCalendarAdvance(Calendar,SettlementDate,A36&amp;"M","mf")</f>
        <v>43195</v>
      </c>
      <c r="E36" s="212">
        <f>_xll.qlInterestRateIndexMaturity(IborIndex1Y,D36)</f>
        <v>43560</v>
      </c>
      <c r="F36" s="213">
        <f>_xll.qlOvernightIndexedSwapFairRate(C36,_xll.ohTrigger(InterestRatesTrigger))</f>
        <v>4.8916442171630858E-3</v>
      </c>
      <c r="G36" s="214">
        <f>_xll.qlInterpolationInterpolate(BasisInterpolator,D36,TRUE,F36)</f>
        <v>-2.1367294283856004E-3</v>
      </c>
      <c r="H36" s="213">
        <f t="shared" si="1"/>
        <v>2.7549147887774854E-3</v>
      </c>
      <c r="I36" s="206"/>
      <c r="AA36" s="205"/>
      <c r="AB36" s="205"/>
      <c r="AC36" s="206"/>
    </row>
    <row r="37" spans="1:29" x14ac:dyDescent="0.2">
      <c r="A37" s="215">
        <v>35</v>
      </c>
      <c r="B37" s="216">
        <f>_xll.qlInterestRateIndexFixingDate(IborIndex1Y,D37)</f>
        <v>43223</v>
      </c>
      <c r="C37" s="215" t="str">
        <f>_xll.qlMakeDatedOIS(,D37,E37,OvernightIndex,0,DayCounter,0)</f>
        <v>obj_0089f#0000</v>
      </c>
      <c r="D37" s="216">
        <f>_xll.qlCalendarAdvance(Calendar,SettlementDate,A37&amp;"M","mf")</f>
        <v>43227</v>
      </c>
      <c r="E37" s="216">
        <f>_xll.qlInterestRateIndexMaturity(IborIndex1Y,D37)</f>
        <v>43592</v>
      </c>
      <c r="F37" s="217">
        <f>_xll.qlOvernightIndexedSwapFairRate(C37,_xll.ohTrigger(InterestRatesTrigger))</f>
        <v>5.2589280223553437E-3</v>
      </c>
      <c r="G37" s="218">
        <f>_xll.qlInterpolationInterpolate(BasisInterpolator,D37,TRUE,F37)</f>
        <v>-2.49578712679106E-3</v>
      </c>
      <c r="H37" s="217">
        <f t="shared" si="1"/>
        <v>2.7631408955642836E-3</v>
      </c>
      <c r="I37" s="206"/>
      <c r="AA37" s="205"/>
      <c r="AB37" s="205"/>
      <c r="AC37" s="206"/>
    </row>
    <row r="38" spans="1:29" x14ac:dyDescent="0.2">
      <c r="A38" s="207">
        <v>36</v>
      </c>
      <c r="B38" s="208">
        <f>_xll.qlInterestRateIndexFixingDate(IborIndex1Y,D38)</f>
        <v>43252</v>
      </c>
      <c r="C38" s="207" t="str">
        <f>_xll.qlMakeDatedOIS(,D38,E38,OvernightIndex,0,DayCounter,0)</f>
        <v>obj_00896#0000</v>
      </c>
      <c r="D38" s="208">
        <f>_xll.qlCalendarAdvance(Calendar,SettlementDate,A38&amp;"M","mf")</f>
        <v>43256</v>
      </c>
      <c r="E38" s="208">
        <f>_xll.qlInterestRateIndexMaturity(IborIndex1Y,D38)</f>
        <v>43621</v>
      </c>
      <c r="F38" s="209">
        <f>_xll.qlOvernightIndexedSwapFairRate(C38,_xll.ohTrigger(InterestRatesTrigger))</f>
        <v>5.5916322659185849E-3</v>
      </c>
      <c r="G38" s="210">
        <f>_xll.qlInterpolationInterpolate(BasisInterpolator,D38,TRUE,F38)</f>
        <v>-2.821632265918451E-3</v>
      </c>
      <c r="H38" s="209">
        <f t="shared" si="1"/>
        <v>2.7700000000001339E-3</v>
      </c>
      <c r="I38" s="206"/>
      <c r="AA38" s="205"/>
      <c r="AB38" s="205"/>
      <c r="AC38" s="206"/>
    </row>
    <row r="39" spans="1:29" x14ac:dyDescent="0.2">
      <c r="A39" s="211">
        <v>37</v>
      </c>
      <c r="B39" s="212">
        <f>_xll.qlInterestRateIndexFixingDate(IborIndex1Y,D39)</f>
        <v>43284</v>
      </c>
      <c r="C39" s="211" t="str">
        <f>_xll.qlMakeDatedOIS(,D39,E39,OvernightIndex,0,DayCounter,0)</f>
        <v>obj_0088e#0000</v>
      </c>
      <c r="D39" s="212">
        <f>_xll.qlCalendarAdvance(Calendar,SettlementDate,A39&amp;"M","mf")</f>
        <v>43286</v>
      </c>
      <c r="E39" s="212">
        <f>_xll.qlInterestRateIndexMaturity(IborIndex1Y,D39)</f>
        <v>43651</v>
      </c>
      <c r="F39" s="213">
        <f>_xll.qlOvernightIndexedSwapFairRate(C39,_xll.ohTrigger(InterestRatesTrigger))</f>
        <v>5.9343070389922285E-3</v>
      </c>
      <c r="G39" s="214">
        <f>_xll.qlInterpolationInterpolate(BasisInterpolator,D39,TRUE,F39)</f>
        <v>-3.1582698892814488E-3</v>
      </c>
      <c r="H39" s="213">
        <f t="shared" si="1"/>
        <v>2.7760371497107797E-3</v>
      </c>
      <c r="I39" s="206"/>
      <c r="AA39" s="205"/>
      <c r="AB39" s="205"/>
      <c r="AC39" s="206"/>
    </row>
    <row r="40" spans="1:29" x14ac:dyDescent="0.2">
      <c r="A40" s="211">
        <v>38</v>
      </c>
      <c r="B40" s="212">
        <f>_xll.qlInterestRateIndexFixingDate(IborIndex1Y,D40)</f>
        <v>43314</v>
      </c>
      <c r="C40" s="211" t="str">
        <f>_xll.qlMakeDatedOIS(,D40,E40,OvernightIndex,0,DayCounter,0)</f>
        <v>obj_0088d#0000</v>
      </c>
      <c r="D40" s="212">
        <f>_xll.qlCalendarAdvance(Calendar,SettlementDate,A40&amp;"M","mf")</f>
        <v>43318</v>
      </c>
      <c r="E40" s="212">
        <f>_xll.qlInterestRateIndexMaturity(IborIndex1Y,D40)</f>
        <v>43683</v>
      </c>
      <c r="F40" s="213">
        <f>_xll.qlOvernightIndexedSwapFairRate(C40,_xll.ohTrigger(InterestRatesTrigger))</f>
        <v>6.2969872816637075E-3</v>
      </c>
      <c r="G40" s="214">
        <f>_xll.qlInterpolationInterpolate(BasisInterpolator,D40,TRUE,F40)</f>
        <v>-3.5157860643223156E-3</v>
      </c>
      <c r="H40" s="213">
        <f t="shared" si="1"/>
        <v>2.7812012173413919E-3</v>
      </c>
      <c r="I40" s="206"/>
      <c r="AA40" s="205"/>
      <c r="AB40" s="205"/>
      <c r="AC40" s="206"/>
    </row>
    <row r="41" spans="1:29" x14ac:dyDescent="0.2">
      <c r="A41" s="211">
        <v>39</v>
      </c>
      <c r="B41" s="212">
        <f>_xll.qlInterestRateIndexFixingDate(IborIndex1Y,D41)</f>
        <v>43346</v>
      </c>
      <c r="C41" s="211" t="str">
        <f>_xll.qlMakeDatedOIS(,D41,E41,OvernightIndex,0,DayCounter,0)</f>
        <v>obj_00890#0000</v>
      </c>
      <c r="D41" s="212">
        <f>_xll.qlCalendarAdvance(Calendar,SettlementDate,A41&amp;"M","mf")</f>
        <v>43348</v>
      </c>
      <c r="E41" s="212">
        <f>_xll.qlInterestRateIndexMaturity(IborIndex1Y,D41)</f>
        <v>43713</v>
      </c>
      <c r="F41" s="213">
        <f>_xll.qlOvernightIndexedSwapFairRate(C41,_xll.ohTrigger(InterestRatesTrigger))</f>
        <v>6.6333212202565293E-3</v>
      </c>
      <c r="G41" s="214">
        <f>_xll.qlInterpolationInterpolate(BasisInterpolator,D41,TRUE,F41)</f>
        <v>-3.8484656977499816E-3</v>
      </c>
      <c r="H41" s="213">
        <f t="shared" si="1"/>
        <v>2.7848555225065477E-3</v>
      </c>
      <c r="I41" s="206"/>
      <c r="AA41" s="205"/>
      <c r="AB41" s="205"/>
      <c r="AC41" s="206"/>
    </row>
    <row r="42" spans="1:29" x14ac:dyDescent="0.2">
      <c r="A42" s="211">
        <v>40</v>
      </c>
      <c r="B42" s="212">
        <f>_xll.qlInterestRateIndexFixingDate(IborIndex1Y,D42)</f>
        <v>43376</v>
      </c>
      <c r="C42" s="211" t="str">
        <f>_xll.qlMakeDatedOIS(,D42,E42,OvernightIndex,0,DayCounter,0)</f>
        <v>obj_0088a#0000</v>
      </c>
      <c r="D42" s="212">
        <f>_xll.qlCalendarAdvance(Calendar,SettlementDate,A42&amp;"M","mf")</f>
        <v>43378</v>
      </c>
      <c r="E42" s="212">
        <f>_xll.qlInterestRateIndexMaturity(IborIndex1Y,D42)</f>
        <v>43745</v>
      </c>
      <c r="F42" s="213">
        <f>_xll.qlOvernightIndexedSwapFairRate(C42,_xll.ohTrigger(InterestRatesTrigger))</f>
        <v>6.9754857073759131E-3</v>
      </c>
      <c r="G42" s="214">
        <f>_xll.qlInterpolationInterpolate(BasisInterpolator,D42,TRUE,F42)</f>
        <v>-4.177741442063997E-3</v>
      </c>
      <c r="H42" s="213">
        <f t="shared" si="1"/>
        <v>2.7977442653119161E-3</v>
      </c>
      <c r="I42" s="206"/>
      <c r="AA42" s="205"/>
      <c r="AB42" s="205"/>
      <c r="AC42" s="206"/>
    </row>
    <row r="43" spans="1:29" x14ac:dyDescent="0.2">
      <c r="A43" s="211">
        <v>41</v>
      </c>
      <c r="B43" s="212">
        <f>_xll.qlInterestRateIndexFixingDate(IborIndex1Y,D43)</f>
        <v>43405</v>
      </c>
      <c r="C43" s="211" t="str">
        <f>_xll.qlMakeDatedOIS(,D43,E43,OvernightIndex,0,DayCounter,0)</f>
        <v>obj_008a0#0000</v>
      </c>
      <c r="D43" s="212">
        <f>_xll.qlCalendarAdvance(Calendar,SettlementDate,A43&amp;"M","mf")</f>
        <v>43409</v>
      </c>
      <c r="E43" s="212">
        <f>_xll.qlInterestRateIndexMaturity(IborIndex1Y,D43)</f>
        <v>43774</v>
      </c>
      <c r="F43" s="213">
        <f>_xll.qlOvernightIndexedSwapFairRate(C43,_xll.ohTrigger(InterestRatesTrigger))</f>
        <v>7.3021576151659556E-3</v>
      </c>
      <c r="G43" s="214">
        <f>_xll.qlInterpolationInterpolate(BasisInterpolator,D43,TRUE,F43)</f>
        <v>-4.513385738942422E-3</v>
      </c>
      <c r="H43" s="213">
        <f t="shared" si="1"/>
        <v>2.7887718762235336E-3</v>
      </c>
      <c r="I43" s="206"/>
      <c r="AA43" s="205"/>
      <c r="AB43" s="205"/>
      <c r="AC43" s="206"/>
    </row>
    <row r="44" spans="1:29" x14ac:dyDescent="0.2">
      <c r="A44" s="211">
        <v>42</v>
      </c>
      <c r="B44" s="212">
        <f>_xll.qlInterestRateIndexFixingDate(IborIndex1Y,D44)</f>
        <v>43437</v>
      </c>
      <c r="C44" s="211" t="str">
        <f>_xll.qlMakeDatedOIS(,D44,E44,OvernightIndex,0,DayCounter,0)</f>
        <v>obj_0089a#0000</v>
      </c>
      <c r="D44" s="212">
        <f>_xll.qlCalendarAdvance(Calendar,SettlementDate,A44&amp;"M","mf")</f>
        <v>43439</v>
      </c>
      <c r="E44" s="212">
        <f>_xll.qlInterestRateIndexMaturity(IborIndex1Y,D44)</f>
        <v>43804</v>
      </c>
      <c r="F44" s="213">
        <f>_xll.qlOvernightIndexedSwapFairRate(C44,_xll.ohTrigger(InterestRatesTrigger))</f>
        <v>7.6217263997688843E-3</v>
      </c>
      <c r="G44" s="214">
        <f>_xll.qlInterpolationInterpolate(BasisInterpolator,D44,TRUE,F44)</f>
        <v>-4.8327460553990193E-3</v>
      </c>
      <c r="H44" s="213">
        <f t="shared" si="1"/>
        <v>2.788980344369865E-3</v>
      </c>
      <c r="I44" s="206"/>
      <c r="AA44" s="205"/>
      <c r="AB44" s="205"/>
      <c r="AC44" s="206"/>
    </row>
    <row r="45" spans="1:29" x14ac:dyDescent="0.2">
      <c r="A45" s="211">
        <v>43</v>
      </c>
      <c r="B45" s="212">
        <f>_xll.qlInterestRateIndexFixingDate(IborIndex1Y,D45)</f>
        <v>43468</v>
      </c>
      <c r="C45" s="211" t="str">
        <f>_xll.qlMakeDatedOIS(,D45,E45,OvernightIndex,0,DayCounter,0)</f>
        <v>obj_00881#0000</v>
      </c>
      <c r="D45" s="212">
        <f>_xll.qlCalendarAdvance(Calendar,SettlementDate,A45&amp;"M","mf")</f>
        <v>43472</v>
      </c>
      <c r="E45" s="212">
        <f>_xll.qlInterestRateIndexMaturity(IborIndex1Y,D45)</f>
        <v>43837</v>
      </c>
      <c r="F45" s="213">
        <f>_xll.qlOvernightIndexedSwapFairRate(C45,_xll.ohTrigger(InterestRatesTrigger))</f>
        <v>7.9645795312287774E-3</v>
      </c>
      <c r="G45" s="214">
        <f>_xll.qlInterpolationInterpolate(BasisInterpolator,D45,TRUE,F45)</f>
        <v>-5.1766719390534191E-3</v>
      </c>
      <c r="H45" s="213">
        <f t="shared" si="1"/>
        <v>2.7879075921753583E-3</v>
      </c>
      <c r="I45" s="206"/>
      <c r="AA45" s="205"/>
      <c r="AB45" s="205"/>
      <c r="AC45" s="206"/>
    </row>
    <row r="46" spans="1:29" x14ac:dyDescent="0.2">
      <c r="A46" s="211">
        <v>44</v>
      </c>
      <c r="B46" s="212">
        <f>_xll.qlInterestRateIndexFixingDate(IborIndex1Y,D46)</f>
        <v>43497</v>
      </c>
      <c r="C46" s="211" t="str">
        <f>_xll.qlMakeDatedOIS(,D46,E46,OvernightIndex,0,DayCounter,0)</f>
        <v>obj_00886#0000</v>
      </c>
      <c r="D46" s="212">
        <f>_xll.qlCalendarAdvance(Calendar,SettlementDate,A46&amp;"M","mf")</f>
        <v>43501</v>
      </c>
      <c r="E46" s="212">
        <f>_xll.qlInterestRateIndexMaturity(IborIndex1Y,D46)</f>
        <v>43866</v>
      </c>
      <c r="F46" s="213">
        <f>_xll.qlOvernightIndexedSwapFairRate(C46,_xll.ohTrigger(InterestRatesTrigger))</f>
        <v>8.2573854175337601E-3</v>
      </c>
      <c r="G46" s="214">
        <f>_xll.qlInterpolationInterpolate(BasisInterpolator,D46,TRUE,F46)</f>
        <v>-5.4715441870066359E-3</v>
      </c>
      <c r="H46" s="213">
        <f t="shared" si="1"/>
        <v>2.7858412305271241E-3</v>
      </c>
      <c r="I46" s="206"/>
      <c r="AA46" s="205"/>
      <c r="AB46" s="205"/>
      <c r="AC46" s="206"/>
    </row>
    <row r="47" spans="1:29" x14ac:dyDescent="0.2">
      <c r="A47" s="211">
        <v>45</v>
      </c>
      <c r="B47" s="212">
        <f>_xll.qlInterestRateIndexFixingDate(IborIndex1Y,D47)</f>
        <v>43525</v>
      </c>
      <c r="C47" s="211" t="str">
        <f>_xll.qlMakeDatedOIS(,D47,E47,OvernightIndex,0,DayCounter,0)</f>
        <v>obj_008a5#0000</v>
      </c>
      <c r="D47" s="212">
        <f>_xll.qlCalendarAdvance(Calendar,SettlementDate,A47&amp;"M","mf")</f>
        <v>43529</v>
      </c>
      <c r="E47" s="212">
        <f>_xll.qlInterestRateIndexMaturity(IborIndex1Y,D47)</f>
        <v>43895</v>
      </c>
      <c r="F47" s="213">
        <f>_xll.qlOvernightIndexedSwapFairRate(C47,_xll.ohTrigger(InterestRatesTrigger))</f>
        <v>8.5362271304476097E-3</v>
      </c>
      <c r="G47" s="214">
        <f>_xll.qlInterpolationInterpolate(BasisInterpolator,D47,TRUE,F47)</f>
        <v>-5.7488494097878394E-3</v>
      </c>
      <c r="H47" s="213">
        <f t="shared" si="1"/>
        <v>2.7873777206597703E-3</v>
      </c>
      <c r="I47" s="206"/>
      <c r="AA47" s="205"/>
      <c r="AB47" s="205"/>
      <c r="AC47" s="206"/>
    </row>
    <row r="48" spans="1:29" x14ac:dyDescent="0.2">
      <c r="A48" s="211">
        <v>46</v>
      </c>
      <c r="B48" s="212">
        <f>_xll.qlInterestRateIndexFixingDate(IborIndex1Y,D48)</f>
        <v>43558</v>
      </c>
      <c r="C48" s="211" t="str">
        <f>_xll.qlMakeDatedOIS(,D48,E48,OvernightIndex,0,DayCounter,0)</f>
        <v>obj_0087f#0000</v>
      </c>
      <c r="D48" s="212">
        <f>_xll.qlCalendarAdvance(Calendar,SettlementDate,A48&amp;"M","mf")</f>
        <v>43560</v>
      </c>
      <c r="E48" s="212">
        <f>_xll.qlInterestRateIndexMaturity(IborIndex1Y,D48)</f>
        <v>43927</v>
      </c>
      <c r="F48" s="213">
        <f>_xll.qlOvernightIndexedSwapFairRate(C48,_xll.ohTrigger(InterestRatesTrigger))</f>
        <v>8.8327963203251453E-3</v>
      </c>
      <c r="G48" s="214">
        <f>_xll.qlInterpolationInterpolate(BasisInterpolator,D48,TRUE,F48)</f>
        <v>-6.0464220759049083E-3</v>
      </c>
      <c r="H48" s="213">
        <f t="shared" si="1"/>
        <v>2.786374244420237E-3</v>
      </c>
      <c r="I48" s="206"/>
      <c r="AA48" s="205"/>
      <c r="AB48" s="205"/>
      <c r="AC48" s="206"/>
    </row>
    <row r="49" spans="1:29" x14ac:dyDescent="0.2">
      <c r="A49" s="215">
        <v>47</v>
      </c>
      <c r="B49" s="216">
        <f>_xll.qlInterestRateIndexFixingDate(IborIndex1Y,D49)</f>
        <v>43587</v>
      </c>
      <c r="C49" s="215" t="str">
        <f>_xll.qlMakeDatedOIS(,D49,E49,OvernightIndex,0,DayCounter,0)</f>
        <v>obj_0089c#0000</v>
      </c>
      <c r="D49" s="216">
        <f>_xll.qlCalendarAdvance(Calendar,SettlementDate,A49&amp;"M","mf")</f>
        <v>43591</v>
      </c>
      <c r="E49" s="216">
        <f>_xll.qlInterestRateIndexMaturity(IborIndex1Y,D49)</f>
        <v>43957</v>
      </c>
      <c r="F49" s="217">
        <f>_xll.qlOvernightIndexedSwapFairRate(C49,_xll.ohTrigger(InterestRatesTrigger))</f>
        <v>9.1098730909399891E-3</v>
      </c>
      <c r="G49" s="218">
        <f>_xll.qlInterpolationInterpolate(BasisInterpolator,D49,TRUE,F49)</f>
        <v>-6.3330339977892411E-3</v>
      </c>
      <c r="H49" s="217">
        <f t="shared" si="1"/>
        <v>2.7768390931507481E-3</v>
      </c>
      <c r="I49" s="206"/>
      <c r="AA49" s="205"/>
      <c r="AB49" s="205"/>
      <c r="AC49" s="206"/>
    </row>
    <row r="50" spans="1:29" x14ac:dyDescent="0.2">
      <c r="A50" s="215">
        <v>48</v>
      </c>
      <c r="B50" s="216">
        <f>_xll.qlInterestRateIndexFixingDate(IborIndex1Y,D50)</f>
        <v>43619</v>
      </c>
      <c r="C50" s="215" t="str">
        <f>_xll.qlMakeDatedOIS(,D50,E50,OvernightIndex,0,DayCounter,0)</f>
        <v>obj_008a1#0000</v>
      </c>
      <c r="D50" s="216">
        <f>_xll.qlCalendarAdvance(Calendar,SettlementDate,A50&amp;"M","mf")</f>
        <v>43621</v>
      </c>
      <c r="E50" s="216">
        <f>_xll.qlInterestRateIndexMaturity(IborIndex1Y,D50)</f>
        <v>43987</v>
      </c>
      <c r="F50" s="217">
        <f>_xll.qlOvernightIndexedSwapFairRate(C50,_xll.ohTrigger(InterestRatesTrigger))</f>
        <v>9.3689659023188012E-3</v>
      </c>
      <c r="G50" s="218">
        <f>_xll.qlInterpolationInterpolate(BasisInterpolator,D50,TRUE,F50)</f>
        <v>-6.5989552554483587E-3</v>
      </c>
      <c r="H50" s="217">
        <f t="shared" si="1"/>
        <v>2.7700106468704425E-3</v>
      </c>
      <c r="I50" s="206"/>
      <c r="AA50" s="205"/>
      <c r="AB50" s="205"/>
      <c r="AC50" s="206"/>
    </row>
    <row r="51" spans="1:29" x14ac:dyDescent="0.2">
      <c r="I51" s="206"/>
    </row>
    <row r="52" spans="1:29" x14ac:dyDescent="0.2">
      <c r="I52" s="206"/>
    </row>
    <row r="53" spans="1:29" x14ac:dyDescent="0.2">
      <c r="I53" s="206"/>
    </row>
    <row r="54" spans="1:29" x14ac:dyDescent="0.2">
      <c r="I54" s="206"/>
    </row>
    <row r="55" spans="1:29" x14ac:dyDescent="0.2">
      <c r="I55" s="206"/>
    </row>
    <row r="56" spans="1:29" x14ac:dyDescent="0.2">
      <c r="I56" s="206"/>
    </row>
  </sheetData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37"/>
  <sheetViews>
    <sheetView topLeftCell="M1" workbookViewId="0"/>
  </sheetViews>
  <sheetFormatPr defaultRowHeight="11.25" outlineLevelCol="1" x14ac:dyDescent="0.2"/>
  <cols>
    <col min="1" max="1" width="3.1640625" style="222" hidden="1" customWidth="1" outlineLevel="1"/>
    <col min="2" max="2" width="7" style="222" hidden="1" customWidth="1" outlineLevel="1"/>
    <col min="3" max="3" width="3.5" style="222" hidden="1" customWidth="1" outlineLevel="1"/>
    <col min="4" max="4" width="2.33203125" style="239" hidden="1" customWidth="1" outlineLevel="1"/>
    <col min="5" max="5" width="4.6640625" style="239" hidden="1" customWidth="1" outlineLevel="1"/>
    <col min="6" max="6" width="8.1640625" style="222" hidden="1" customWidth="1" outlineLevel="1"/>
    <col min="7" max="7" width="22.5" style="222" hidden="1" customWidth="1" outlineLevel="1"/>
    <col min="8" max="8" width="12.83203125" style="222" hidden="1" customWidth="1" outlineLevel="1"/>
    <col min="9" max="9" width="9.33203125" style="222" hidden="1" customWidth="1" outlineLevel="1"/>
    <col min="10" max="10" width="31.1640625" style="222" hidden="1" customWidth="1" outlineLevel="1"/>
    <col min="11" max="11" width="17.83203125" style="241" hidden="1" customWidth="1" outlineLevel="1"/>
    <col min="12" max="12" width="26.33203125" style="222" hidden="1" customWidth="1" outlineLevel="1"/>
    <col min="13" max="13" width="3.5" style="222" customWidth="1" collapsed="1"/>
    <col min="14" max="14" width="3.5" style="222" customWidth="1"/>
    <col min="15" max="15" width="31.1640625" style="222" bestFit="1" customWidth="1"/>
    <col min="16" max="20" width="20.1640625" style="222" bestFit="1" customWidth="1"/>
    <col min="21" max="21" width="20.1640625" style="222" hidden="1" customWidth="1" outlineLevel="1"/>
    <col min="22" max="22" width="14.1640625" style="222" hidden="1" customWidth="1" outlineLevel="1"/>
    <col min="23" max="23" width="10.5" style="222" bestFit="1" customWidth="1" collapsed="1"/>
    <col min="24" max="24" width="9.33203125" style="222" customWidth="1"/>
    <col min="25" max="25" width="9.33203125" style="222" bestFit="1" customWidth="1"/>
    <col min="26" max="26" width="7" style="222" bestFit="1" customWidth="1"/>
    <col min="27" max="16384" width="9.33203125" style="222"/>
  </cols>
  <sheetData>
    <row r="1" spans="1:20" ht="11.25" customHeight="1" x14ac:dyDescent="0.2">
      <c r="D1" s="222"/>
      <c r="E1" s="222"/>
      <c r="J1" s="222" t="s">
        <v>40</v>
      </c>
      <c r="K1" s="222" t="str">
        <f>_xll.qlEuribor(,J1,,,Trigger)</f>
        <v>obj_00855#0000</v>
      </c>
      <c r="L1" s="222" t="str">
        <f>_xll.ohRangeRetrieveError(K1)</f>
        <v/>
      </c>
    </row>
    <row r="2" spans="1:20" ht="24" customHeight="1" x14ac:dyDescent="0.2">
      <c r="A2" s="235"/>
      <c r="B2" s="223" t="s">
        <v>103</v>
      </c>
      <c r="C2" s="223"/>
      <c r="D2" s="224"/>
      <c r="E2" s="224"/>
      <c r="F2" s="223" t="s">
        <v>104</v>
      </c>
      <c r="G2" s="223" t="s">
        <v>105</v>
      </c>
      <c r="H2" s="223" t="s">
        <v>106</v>
      </c>
      <c r="I2" s="223" t="s">
        <v>107</v>
      </c>
      <c r="J2" s="223" t="s">
        <v>56</v>
      </c>
      <c r="K2" s="223" t="s">
        <v>57</v>
      </c>
      <c r="L2" s="225" t="s">
        <v>36</v>
      </c>
      <c r="M2" s="238"/>
      <c r="N2" s="238"/>
      <c r="O2" s="226" t="s">
        <v>108</v>
      </c>
      <c r="P2" s="226" t="s">
        <v>58</v>
      </c>
      <c r="Q2" s="226" t="s">
        <v>107</v>
      </c>
      <c r="R2" s="226" t="s">
        <v>59</v>
      </c>
      <c r="S2" s="223" t="s">
        <v>60</v>
      </c>
      <c r="T2" s="223" t="s">
        <v>61</v>
      </c>
    </row>
    <row r="3" spans="1:20" ht="11.25" customHeight="1" x14ac:dyDescent="0.2">
      <c r="A3" s="236"/>
      <c r="B3" s="33" t="s">
        <v>111</v>
      </c>
      <c r="C3" s="62"/>
      <c r="D3" s="63"/>
      <c r="E3" s="63"/>
      <c r="F3" s="60"/>
      <c r="G3" s="60"/>
      <c r="H3" s="60"/>
      <c r="I3" s="64"/>
      <c r="J3" s="54" t="str">
        <f>PROPER((Currency))&amp;IborType&amp;J1&amp;"LastFixing"&amp;QuoteSuffix</f>
        <v>Euribor1MLastFixing_Quote</v>
      </c>
      <c r="K3" s="61" t="str">
        <f>_xll.qlDepositRateHelper(,J3,K1,,Trigger)</f>
        <v>obj_00877#0000</v>
      </c>
      <c r="L3" s="72" t="str">
        <f>_xll.ohRangeRetrieveError(K3)</f>
        <v/>
      </c>
      <c r="M3" s="237"/>
      <c r="N3" s="237"/>
      <c r="O3" s="274" t="str">
        <f>_xll.qlRateHelperQuoteName(K3,Trigger)</f>
        <v>Euribor1MLastFixing_Quote</v>
      </c>
      <c r="P3" s="264">
        <f>_xll.qlQuoteValue(J3,AllTriggers)</f>
        <v>-6.0999999999999997E-4</v>
      </c>
      <c r="Q3" s="265" t="str">
        <f>IF(ISBLANK(I3),"--",_xll.qlSwapRateHelperSpread(K3,AllTriggers))</f>
        <v>--</v>
      </c>
      <c r="R3" s="274" t="b">
        <v>1</v>
      </c>
      <c r="S3" s="266">
        <f>_xll.qlRateHelperEarliestDate(K3,Trigger)</f>
        <v>42160</v>
      </c>
      <c r="T3" s="266">
        <f>_xll.qlRateHelperLatestDate(K3,Trigger)</f>
        <v>42191</v>
      </c>
    </row>
    <row r="4" spans="1:20" ht="11.25" customHeight="1" x14ac:dyDescent="0.2">
      <c r="A4" s="236"/>
      <c r="B4" s="65" t="s">
        <v>111</v>
      </c>
      <c r="C4" s="66" t="s">
        <v>47</v>
      </c>
      <c r="D4" s="67">
        <v>2</v>
      </c>
      <c r="E4" s="67" t="s">
        <v>112</v>
      </c>
      <c r="F4" s="65" t="s">
        <v>113</v>
      </c>
      <c r="G4" s="68" t="s">
        <v>109</v>
      </c>
      <c r="H4" s="68" t="s">
        <v>15</v>
      </c>
      <c r="I4" s="69">
        <v>0</v>
      </c>
      <c r="J4" s="70" t="str">
        <f t="shared" ref="J4:J9" si="0">Currency&amp;$D4&amp;$E4&amp;"_Quote"</f>
        <v>EUR2X1S_Quote</v>
      </c>
      <c r="K4" s="71" t="e">
        <f>_xll.qlSwapRateHelper2(,$J4,C4,Calendar,$F4,$G4,$H4,$K$1,$I4,B4,Discounting,Permanent,Trigger,ObjectOverwrite)</f>
        <v>#NUM!</v>
      </c>
      <c r="L4" s="72" t="str">
        <f ca="1">_xll.ohRangeRetrieveError(K4)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4" s="237"/>
      <c r="N4" s="237"/>
      <c r="O4" s="274" t="e">
        <f>_xll.qlRateHelperQuoteName(K4,Trigger)</f>
        <v>#VALUE!</v>
      </c>
      <c r="P4" s="264">
        <f>_xll.qlQuoteValue(J4,AllTriggers)</f>
        <v>-6.6E-4</v>
      </c>
      <c r="Q4" s="275" t="e">
        <f>IF(ISBLANK(I4),"--",_xll.qlSwapRateHelperSpread(K4,AllTriggers))</f>
        <v>#VALUE!</v>
      </c>
      <c r="R4" s="274" t="b">
        <v>1</v>
      </c>
      <c r="S4" s="266" t="e">
        <f>_xll.qlRateHelperEarliestDate(K4,Trigger)</f>
        <v>#VALUE!</v>
      </c>
      <c r="T4" s="266" t="e">
        <f>_xll.qlRateHelperLatestDate(K4,Trigger)</f>
        <v>#VALUE!</v>
      </c>
    </row>
    <row r="5" spans="1:20" ht="11.25" customHeight="1" x14ac:dyDescent="0.2">
      <c r="A5" s="236"/>
      <c r="B5" s="33" t="s">
        <v>111</v>
      </c>
      <c r="C5" s="34" t="s">
        <v>41</v>
      </c>
      <c r="D5" s="35">
        <v>3</v>
      </c>
      <c r="E5" s="35" t="s">
        <v>112</v>
      </c>
      <c r="F5" s="33" t="s">
        <v>113</v>
      </c>
      <c r="G5" s="36" t="s">
        <v>109</v>
      </c>
      <c r="H5" s="36" t="s">
        <v>15</v>
      </c>
      <c r="I5" s="37">
        <v>0</v>
      </c>
      <c r="J5" s="38" t="str">
        <f t="shared" si="0"/>
        <v>EUR3X1S_Quote</v>
      </c>
      <c r="K5" s="39" t="e">
        <f>_xll.qlSwapRateHelper2(,$J5,C5,Calendar,$F5,$G5,$H5,$K$1,$I5,B5,Discounting,Permanent,Trigger,ObjectOverwrite)</f>
        <v>#NUM!</v>
      </c>
      <c r="L5" s="40" t="str">
        <f ca="1">_xll.ohRangeRetrieveError(K5)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5" s="237"/>
      <c r="N5" s="237"/>
      <c r="O5" s="274" t="e">
        <f>_xll.qlRateHelperQuoteName(K5,Trigger)</f>
        <v>#VALUE!</v>
      </c>
      <c r="P5" s="264">
        <f>_xll.qlQuoteValue(J5,AllTriggers)</f>
        <v>-6.9000000000000008E-4</v>
      </c>
      <c r="Q5" s="275" t="e">
        <f>IF(ISBLANK(I5),"--",_xll.qlSwapRateHelperSpread(K5,AllTriggers))</f>
        <v>#VALUE!</v>
      </c>
      <c r="R5" s="274" t="b">
        <v>1</v>
      </c>
      <c r="S5" s="266" t="e">
        <f>_xll.qlRateHelperEarliestDate(K5,Trigger)</f>
        <v>#VALUE!</v>
      </c>
      <c r="T5" s="266" t="e">
        <f>_xll.qlRateHelperLatestDate(K5,Trigger)</f>
        <v>#VALUE!</v>
      </c>
    </row>
    <row r="6" spans="1:20" ht="11.25" customHeight="1" x14ac:dyDescent="0.2">
      <c r="A6" s="235"/>
      <c r="B6" s="33" t="s">
        <v>111</v>
      </c>
      <c r="C6" s="34" t="s">
        <v>48</v>
      </c>
      <c r="D6" s="35">
        <v>4</v>
      </c>
      <c r="E6" s="35" t="s">
        <v>112</v>
      </c>
      <c r="F6" s="33" t="s">
        <v>113</v>
      </c>
      <c r="G6" s="36" t="s">
        <v>109</v>
      </c>
      <c r="H6" s="36" t="s">
        <v>15</v>
      </c>
      <c r="I6" s="37">
        <v>0</v>
      </c>
      <c r="J6" s="38" t="str">
        <f t="shared" si="0"/>
        <v>EUR4X1S_Quote</v>
      </c>
      <c r="K6" s="39" t="e">
        <f>_xll.qlSwapRateHelper2(,$J6,C6,Calendar,$F6,$G6,$H6,$K$1,$I6,B6,Discounting,Permanent,Trigger,ObjectOverwrite)</f>
        <v>#NUM!</v>
      </c>
      <c r="L6" s="40" t="str">
        <f ca="1">_xll.ohRangeRetrieveError(K6)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6" s="237"/>
      <c r="N6" s="237"/>
      <c r="O6" s="274" t="e">
        <f>_xll.qlRateHelperQuoteName(K6,Trigger)</f>
        <v>#VALUE!</v>
      </c>
      <c r="P6" s="264">
        <f>_xll.qlQuoteValue(J6,AllTriggers)</f>
        <v>-6.8000000000000005E-4</v>
      </c>
      <c r="Q6" s="275" t="e">
        <f>IF(ISBLANK(I6),"--",_xll.qlSwapRateHelperSpread(K6,AllTriggers))</f>
        <v>#VALUE!</v>
      </c>
      <c r="R6" s="274" t="b">
        <v>1</v>
      </c>
      <c r="S6" s="266" t="e">
        <f>_xll.qlRateHelperEarliestDate(K6,Trigger)</f>
        <v>#VALUE!</v>
      </c>
      <c r="T6" s="266" t="e">
        <f>_xll.qlRateHelperLatestDate(K6,Trigger)</f>
        <v>#VALUE!</v>
      </c>
    </row>
    <row r="7" spans="1:20" ht="11.25" customHeight="1" x14ac:dyDescent="0.2">
      <c r="A7" s="235"/>
      <c r="B7" s="33" t="s">
        <v>111</v>
      </c>
      <c r="C7" s="34" t="s">
        <v>49</v>
      </c>
      <c r="D7" s="35">
        <v>5</v>
      </c>
      <c r="E7" s="35" t="s">
        <v>112</v>
      </c>
      <c r="F7" s="33" t="s">
        <v>113</v>
      </c>
      <c r="G7" s="36" t="s">
        <v>109</v>
      </c>
      <c r="H7" s="36" t="s">
        <v>15</v>
      </c>
      <c r="I7" s="37">
        <v>0</v>
      </c>
      <c r="J7" s="38" t="str">
        <f t="shared" si="0"/>
        <v>EUR5X1S_Quote</v>
      </c>
      <c r="K7" s="39" t="e">
        <f>_xll.qlSwapRateHelper2(,$J7,C7,Calendar,$F7,$G7,$H7,$K$1,$I7,B7,Discounting,Permanent,Trigger,ObjectOverwrite)</f>
        <v>#NUM!</v>
      </c>
      <c r="L7" s="40" t="str">
        <f ca="1">_xll.ohRangeRetrieveError(K7)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7" s="237"/>
      <c r="N7" s="237"/>
      <c r="O7" s="274" t="e">
        <f>_xll.qlRateHelperQuoteName(K7,Trigger)</f>
        <v>#VALUE!</v>
      </c>
      <c r="P7" s="264">
        <f>_xll.qlQuoteValue(J7,AllTriggers)</f>
        <v>-6.8000000000000005E-4</v>
      </c>
      <c r="Q7" s="275" t="e">
        <f>IF(ISBLANK(I7),"--",_xll.qlSwapRateHelperSpread(K7,AllTriggers))</f>
        <v>#VALUE!</v>
      </c>
      <c r="R7" s="274" t="b">
        <v>1</v>
      </c>
      <c r="S7" s="266" t="e">
        <f>_xll.qlRateHelperEarliestDate(K7,Trigger)</f>
        <v>#VALUE!</v>
      </c>
      <c r="T7" s="266" t="e">
        <f>_xll.qlRateHelperLatestDate(K7,Trigger)</f>
        <v>#VALUE!</v>
      </c>
    </row>
    <row r="8" spans="1:20" ht="11.25" customHeight="1" x14ac:dyDescent="0.2">
      <c r="A8" s="235"/>
      <c r="B8" s="33" t="s">
        <v>111</v>
      </c>
      <c r="C8" s="34" t="s">
        <v>42</v>
      </c>
      <c r="D8" s="35">
        <v>6</v>
      </c>
      <c r="E8" s="35" t="s">
        <v>112</v>
      </c>
      <c r="F8" s="33" t="s">
        <v>113</v>
      </c>
      <c r="G8" s="36" t="s">
        <v>109</v>
      </c>
      <c r="H8" s="36" t="s">
        <v>15</v>
      </c>
      <c r="I8" s="37">
        <v>0</v>
      </c>
      <c r="J8" s="38" t="str">
        <f t="shared" si="0"/>
        <v>EUR6X1S_Quote</v>
      </c>
      <c r="K8" s="39" t="e">
        <f>_xll.qlSwapRateHelper2(,$J8,C8,Calendar,$F8,$G8,$H8,$K$1,$I8,B8,Discounting,Permanent,Trigger,ObjectOverwrite)</f>
        <v>#NUM!</v>
      </c>
      <c r="L8" s="40" t="str">
        <f ca="1">_xll.ohRangeRetrieveError(K8)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8" s="237"/>
      <c r="N8" s="237"/>
      <c r="O8" s="274" t="e">
        <f>_xll.qlRateHelperQuoteName(K8,Trigger)</f>
        <v>#VALUE!</v>
      </c>
      <c r="P8" s="264">
        <f>_xll.qlQuoteValue(J8,AllTriggers)</f>
        <v>-6.9000000000000008E-4</v>
      </c>
      <c r="Q8" s="275" t="e">
        <f>IF(ISBLANK(I8),"--",_xll.qlSwapRateHelperSpread(K8,AllTriggers))</f>
        <v>#VALUE!</v>
      </c>
      <c r="R8" s="274" t="b">
        <v>0</v>
      </c>
      <c r="S8" s="266" t="e">
        <f>_xll.qlRateHelperEarliestDate(K8,Trigger)</f>
        <v>#VALUE!</v>
      </c>
      <c r="T8" s="266" t="e">
        <f>_xll.qlRateHelperLatestDate(K8,Trigger)</f>
        <v>#VALUE!</v>
      </c>
    </row>
    <row r="9" spans="1:20" ht="11.25" customHeight="1" x14ac:dyDescent="0.2">
      <c r="B9" s="43" t="s">
        <v>111</v>
      </c>
      <c r="C9" s="44" t="s">
        <v>50</v>
      </c>
      <c r="D9" s="45">
        <v>7</v>
      </c>
      <c r="E9" s="45" t="s">
        <v>112</v>
      </c>
      <c r="F9" s="43" t="s">
        <v>113</v>
      </c>
      <c r="G9" s="46" t="s">
        <v>109</v>
      </c>
      <c r="H9" s="46" t="s">
        <v>15</v>
      </c>
      <c r="I9" s="47">
        <v>0</v>
      </c>
      <c r="J9" s="58" t="str">
        <f t="shared" si="0"/>
        <v>EUR7X1S_Quote</v>
      </c>
      <c r="K9" s="59" t="e">
        <f>_xll.qlSwapRateHelper2(,$J9,C9,Calendar,$F9,$G9,$H9,$K$1,$I9,B9,Discounting,Permanent,Trigger,ObjectOverwrite)</f>
        <v>#NUM!</v>
      </c>
      <c r="L9" s="48" t="str">
        <f ca="1">_xll.ohRangeRetrieveError(K9)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O9" s="276" t="e">
        <f>_xll.qlRateHelperQuoteName(K9,Trigger)</f>
        <v>#VALUE!</v>
      </c>
      <c r="P9" s="269">
        <f>_xll.qlQuoteValue(J9,AllTriggers)</f>
        <v>-6.6E-4</v>
      </c>
      <c r="Q9" s="277" t="e">
        <f>IF(ISBLANK(I9),"--",_xll.qlSwapRateHelperSpread(K9,AllTriggers))</f>
        <v>#VALUE!</v>
      </c>
      <c r="R9" s="276" t="b">
        <v>0</v>
      </c>
      <c r="S9" s="271" t="e">
        <f>_xll.qlRateHelperEarliestDate(K9,Trigger)</f>
        <v>#VALUE!</v>
      </c>
      <c r="T9" s="271" t="e">
        <f>_xll.qlRateHelperLatestDate(K9,Trigger)</f>
        <v>#VALUE!</v>
      </c>
    </row>
    <row r="10" spans="1:20" x14ac:dyDescent="0.2">
      <c r="D10" s="222"/>
      <c r="E10" s="222"/>
      <c r="K10" s="222"/>
      <c r="L10" s="237"/>
    </row>
    <row r="11" spans="1:20" x14ac:dyDescent="0.2">
      <c r="I11" s="240"/>
      <c r="J11" s="240"/>
      <c r="O11" s="227" t="str">
        <f>J1&amp;" "&amp;PROPER(Currency)&amp;IborType&amp;" Curve"</f>
        <v>1M Euribor Curve</v>
      </c>
      <c r="P11" s="228"/>
      <c r="Q11" s="228"/>
      <c r="R11" s="228"/>
      <c r="S11" s="228"/>
      <c r="T11" s="229" t="s">
        <v>136</v>
      </c>
    </row>
    <row r="12" spans="1:20" ht="11.25" customHeight="1" x14ac:dyDescent="0.2">
      <c r="L12" s="226" t="s">
        <v>110</v>
      </c>
      <c r="O12" s="226" t="s">
        <v>67</v>
      </c>
      <c r="P12" s="226" t="s">
        <v>68</v>
      </c>
      <c r="Q12" s="226" t="s">
        <v>107</v>
      </c>
      <c r="R12" s="226" t="s">
        <v>60</v>
      </c>
      <c r="S12" s="226" t="s">
        <v>61</v>
      </c>
      <c r="T12" s="273">
        <f t="array" ref="T12:T21">_xll.qlPiecewiseYieldCurveData('General Settings'!I34,InterestRatesTrigger)</f>
        <v>1</v>
      </c>
    </row>
    <row r="13" spans="1:20" x14ac:dyDescent="0.2">
      <c r="I13" s="240"/>
      <c r="J13" s="240"/>
      <c r="L13" s="54" t="str">
        <f t="array" ref="L13:L21">_xll.ohFilter(K3:K9,R3:R9)</f>
        <v>obj_00877#0000</v>
      </c>
      <c r="O13" s="263" t="str">
        <f t="array" ref="O13:O21">_xll.ohFilter(O3:O8,R3:R8)</f>
        <v>Euribor1MLastFixing_Quote</v>
      </c>
      <c r="P13" s="264">
        <f t="array" ref="P13:P21">_xll.ohFilter(P3:P8,R3:R8)</f>
        <v>-6.0999999999999997E-4</v>
      </c>
      <c r="Q13" s="265" t="str">
        <f t="array" ref="Q13:Q21">_xll.ohFilter(Q3:Q8,R3:R8)</f>
        <v>--</v>
      </c>
      <c r="R13" s="266">
        <f t="array" ref="R13:R21">_xll.ohFilter(S3:S8,R3:R8)</f>
        <v>42160</v>
      </c>
      <c r="S13" s="266">
        <f t="array" ref="S13:S21">_xll.ohFilter(T3:T8,R3:R8)</f>
        <v>42191</v>
      </c>
      <c r="T13" s="267">
        <v>1.0000525305370902</v>
      </c>
    </row>
    <row r="14" spans="1:20" x14ac:dyDescent="0.2">
      <c r="L14" s="55" t="e">
        <v>#NUM!</v>
      </c>
      <c r="O14" s="263" t="e">
        <v>#VALUE!</v>
      </c>
      <c r="P14" s="264">
        <v>-6.6E-4</v>
      </c>
      <c r="Q14" s="265" t="e">
        <v>#VALUE!</v>
      </c>
      <c r="R14" s="266" t="e">
        <v>#VALUE!</v>
      </c>
      <c r="S14" s="266" t="e">
        <v>#VALUE!</v>
      </c>
      <c r="T14" s="267" t="e">
        <v>#N/A</v>
      </c>
    </row>
    <row r="15" spans="1:20" x14ac:dyDescent="0.2">
      <c r="I15" s="240"/>
      <c r="J15" s="240"/>
      <c r="L15" s="55" t="e">
        <v>#NUM!</v>
      </c>
      <c r="O15" s="263" t="e">
        <v>#VALUE!</v>
      </c>
      <c r="P15" s="264">
        <v>-6.9000000000000008E-4</v>
      </c>
      <c r="Q15" s="265" t="e">
        <v>#VALUE!</v>
      </c>
      <c r="R15" s="266" t="e">
        <v>#VALUE!</v>
      </c>
      <c r="S15" s="266" t="e">
        <v>#VALUE!</v>
      </c>
      <c r="T15" s="267" t="e">
        <v>#N/A</v>
      </c>
    </row>
    <row r="16" spans="1:20" x14ac:dyDescent="0.2">
      <c r="L16" s="55" t="e">
        <v>#NUM!</v>
      </c>
      <c r="O16" s="263" t="e">
        <v>#VALUE!</v>
      </c>
      <c r="P16" s="264">
        <v>-6.8000000000000005E-4</v>
      </c>
      <c r="Q16" s="265" t="e">
        <v>#VALUE!</v>
      </c>
      <c r="R16" s="266" t="e">
        <v>#VALUE!</v>
      </c>
      <c r="S16" s="266" t="e">
        <v>#VALUE!</v>
      </c>
      <c r="T16" s="267" t="e">
        <v>#N/A</v>
      </c>
    </row>
    <row r="17" spans="9:23" x14ac:dyDescent="0.2">
      <c r="I17" s="240"/>
      <c r="J17" s="240"/>
      <c r="L17" s="55" t="e">
        <v>#NUM!</v>
      </c>
      <c r="O17" s="263" t="e">
        <v>#VALUE!</v>
      </c>
      <c r="P17" s="264">
        <v>-6.8000000000000005E-4</v>
      </c>
      <c r="Q17" s="265" t="e">
        <v>#VALUE!</v>
      </c>
      <c r="R17" s="266" t="e">
        <v>#VALUE!</v>
      </c>
      <c r="S17" s="266" t="e">
        <v>#VALUE!</v>
      </c>
      <c r="T17" s="267" t="e">
        <v>#N/A</v>
      </c>
    </row>
    <row r="18" spans="9:23" x14ac:dyDescent="0.2">
      <c r="L18" s="55" t="e">
        <v>#N/A</v>
      </c>
      <c r="O18" s="263" t="e">
        <v>#N/A</v>
      </c>
      <c r="P18" s="264" t="e">
        <v>#N/A</v>
      </c>
      <c r="Q18" s="265" t="e">
        <v>#N/A</v>
      </c>
      <c r="R18" s="266" t="e">
        <v>#N/A</v>
      </c>
      <c r="S18" s="266" t="e">
        <v>#N/A</v>
      </c>
      <c r="T18" s="267" t="e">
        <v>#N/A</v>
      </c>
    </row>
    <row r="19" spans="9:23" x14ac:dyDescent="0.2">
      <c r="I19" s="240"/>
      <c r="J19" s="240"/>
      <c r="L19" s="55" t="e">
        <v>#N/A</v>
      </c>
      <c r="O19" s="263" t="e">
        <v>#N/A</v>
      </c>
      <c r="P19" s="264" t="e">
        <v>#N/A</v>
      </c>
      <c r="Q19" s="265" t="e">
        <v>#N/A</v>
      </c>
      <c r="R19" s="266" t="e">
        <v>#N/A</v>
      </c>
      <c r="S19" s="266" t="e">
        <v>#N/A</v>
      </c>
      <c r="T19" s="267" t="e">
        <v>#N/A</v>
      </c>
    </row>
    <row r="20" spans="9:23" x14ac:dyDescent="0.2">
      <c r="L20" s="55" t="e">
        <v>#N/A</v>
      </c>
      <c r="O20" s="263" t="e">
        <v>#N/A</v>
      </c>
      <c r="P20" s="264" t="e">
        <v>#N/A</v>
      </c>
      <c r="Q20" s="265" t="e">
        <v>#N/A</v>
      </c>
      <c r="R20" s="266" t="e">
        <v>#N/A</v>
      </c>
      <c r="S20" s="266" t="e">
        <v>#N/A</v>
      </c>
      <c r="T20" s="267" t="e">
        <v>#N/A</v>
      </c>
    </row>
    <row r="21" spans="9:23" x14ac:dyDescent="0.2">
      <c r="I21" s="240"/>
      <c r="J21" s="240"/>
      <c r="L21" s="56" t="e">
        <v>#N/A</v>
      </c>
      <c r="O21" s="268" t="e">
        <v>#N/A</v>
      </c>
      <c r="P21" s="269" t="e">
        <v>#N/A</v>
      </c>
      <c r="Q21" s="270" t="e">
        <v>#N/A</v>
      </c>
      <c r="R21" s="271" t="e">
        <v>#N/A</v>
      </c>
      <c r="S21" s="271" t="e">
        <v>#N/A</v>
      </c>
      <c r="T21" s="272" t="e">
        <v>#N/A</v>
      </c>
    </row>
    <row r="22" spans="9:23" x14ac:dyDescent="0.2">
      <c r="L22" s="242"/>
    </row>
    <row r="23" spans="9:23" x14ac:dyDescent="0.2">
      <c r="I23" s="240"/>
      <c r="J23" s="240"/>
    </row>
    <row r="24" spans="9:23" x14ac:dyDescent="0.2">
      <c r="O24" s="230" t="str">
        <f>"Delta "&amp;J1</f>
        <v>Delta 1M</v>
      </c>
      <c r="P24" s="231"/>
      <c r="Q24" s="232"/>
      <c r="R24" s="232"/>
      <c r="S24" s="233"/>
      <c r="T24" s="233"/>
      <c r="U24" s="233"/>
      <c r="V24" s="233"/>
      <c r="W24" s="234"/>
    </row>
    <row r="25" spans="9:23" x14ac:dyDescent="0.2">
      <c r="I25" s="240"/>
      <c r="J25" s="240"/>
      <c r="O25" s="142" t="str">
        <f>J1&amp;" Instruments"</f>
        <v>1M Instruments</v>
      </c>
      <c r="P25" s="142" t="s">
        <v>96</v>
      </c>
      <c r="Q25" s="142" t="s">
        <v>97</v>
      </c>
      <c r="R25" s="142" t="s">
        <v>122</v>
      </c>
      <c r="S25" s="142" t="str">
        <f>"F "&amp;J1</f>
        <v>F 1M</v>
      </c>
      <c r="T25" s="142" t="s">
        <v>125</v>
      </c>
      <c r="U25" s="142" t="s">
        <v>123</v>
      </c>
      <c r="V25" s="142" t="s">
        <v>124</v>
      </c>
      <c r="W25" s="142" t="s">
        <v>126</v>
      </c>
    </row>
    <row r="26" spans="9:23" x14ac:dyDescent="0.2">
      <c r="M26" s="222">
        <v>0</v>
      </c>
      <c r="N26" s="222">
        <f>M26+SUBSTITUTE($J$1,"M","")</f>
        <v>1</v>
      </c>
      <c r="O26" s="278" t="str">
        <f>M26&amp;"x"&amp;N26</f>
        <v>0x1</v>
      </c>
      <c r="P26" s="279">
        <f>SettlementDate</f>
        <v>42160</v>
      </c>
      <c r="Q26" s="279">
        <f>_xll.qlInterestRateIndexMaturity(iborindex1M,P26,Trigger)</f>
        <v>42191</v>
      </c>
      <c r="R26" s="155">
        <f>_xll.qlDayCounterYearFraction(DayCounter,P26,Q26,,,Trigger)</f>
        <v>8.611111111111111E-2</v>
      </c>
      <c r="S26" s="167">
        <f>_xll.qlIndexFixing(iborindex1M,_xll.qlInterestRateIndexFixingDate(iborindex1M,P26,Trigger),TRUE,AllTriggers)</f>
        <v>-6.1000000000103083E-4</v>
      </c>
      <c r="T26" s="167">
        <f>(U26/V26-1)/R26</f>
        <v>-1.1893378636920837E-3</v>
      </c>
      <c r="U26" s="170">
        <f>_xll.qlYieldTSDiscount(Discounting,P26,,AllTriggers)</f>
        <v>1.0000066667000043</v>
      </c>
      <c r="V26" s="170">
        <f>_xll.qlYieldTSDiscount(Discounting,Q26,,AllTriggers)</f>
        <v>1.0001090930777232</v>
      </c>
      <c r="W26" s="280">
        <f>LN((1+S26*R26)/(1+T26*R26))</f>
        <v>4.9891292314237967E-5</v>
      </c>
    </row>
    <row r="27" spans="9:23" x14ac:dyDescent="0.2">
      <c r="I27" s="240"/>
      <c r="J27" s="240"/>
      <c r="M27" s="222">
        <v>1</v>
      </c>
      <c r="N27" s="222">
        <f t="shared" ref="N27:N29" si="1">M27+SUBSTITUTE($J$1,"M","")</f>
        <v>2</v>
      </c>
      <c r="O27" s="278" t="str">
        <f t="shared" ref="O27:O29" si="2">M27&amp;"x"&amp;N27</f>
        <v>1x2</v>
      </c>
      <c r="P27" s="279">
        <f>Q26</f>
        <v>42191</v>
      </c>
      <c r="Q27" s="279">
        <f>_xll.qlInterestRateIndexMaturity(iborindex1M,P27,Trigger)</f>
        <v>42222</v>
      </c>
      <c r="R27" s="155">
        <f>_xll.qlDayCounterYearFraction(DayCounter,P27,Q27,,,Trigger)</f>
        <v>8.611111111111111E-2</v>
      </c>
      <c r="S27" s="167" t="e">
        <f>_xll.qlIndexFixing(iborindex1M,_xll.qlInterestRateIndexFixingDate(iborindex1M,P27,Trigger),TRUE,AllTriggers)</f>
        <v>#NUM!</v>
      </c>
      <c r="T27" s="167">
        <f>(U27/V27-1)/R27</f>
        <v>-1.2489704845901116E-3</v>
      </c>
      <c r="U27" s="170">
        <f>_xll.qlYieldTSDiscount(Discounting,P27,,AllTriggers)</f>
        <v>1.0001090930777232</v>
      </c>
      <c r="V27" s="170">
        <f>_xll.qlYieldTSDiscount(Discounting,Q27,,AllTriggers)</f>
        <v>1.000216666616442</v>
      </c>
      <c r="W27" s="280" t="e">
        <f>LN((1+S27*R27)/(1+T27*R27))</f>
        <v>#NUM!</v>
      </c>
    </row>
    <row r="28" spans="9:23" x14ac:dyDescent="0.2">
      <c r="M28" s="222">
        <v>2</v>
      </c>
      <c r="N28" s="222">
        <f t="shared" si="1"/>
        <v>3</v>
      </c>
      <c r="O28" s="278" t="str">
        <f t="shared" si="2"/>
        <v>2x3</v>
      </c>
      <c r="P28" s="279">
        <f>Q27</f>
        <v>42222</v>
      </c>
      <c r="Q28" s="279">
        <f>_xll.qlInterestRateIndexMaturity(iborindex1M,P28,Trigger)</f>
        <v>42254</v>
      </c>
      <c r="R28" s="155">
        <f>_xll.qlDayCounterYearFraction(DayCounter,P28,Q28,,,Trigger)</f>
        <v>8.8888888888888892E-2</v>
      </c>
      <c r="S28" s="167" t="e">
        <f>_xll.qlIndexFixing(iborindex1M,_xll.qlInterestRateIndexFixingDate(iborindex1M,P28,Trigger),TRUE,AllTriggers)</f>
        <v>#NUM!</v>
      </c>
      <c r="T28" s="167">
        <f>(U28/V28-1)/R28</f>
        <v>-1.3189730693279056E-3</v>
      </c>
      <c r="U28" s="170">
        <f>_xll.qlYieldTSDiscount(Discounting,P28,,AllTriggers)</f>
        <v>1.000216666616442</v>
      </c>
      <c r="V28" s="170">
        <f>_xll.qlYieldTSDiscount(Discounting,Q28,,AllTriggers)</f>
        <v>1.0003339478197761</v>
      </c>
      <c r="W28" s="280" t="e">
        <f>LN((1+S28*R28)/(1+T28*R28))</f>
        <v>#NUM!</v>
      </c>
    </row>
    <row r="29" spans="9:23" x14ac:dyDescent="0.2">
      <c r="I29" s="240"/>
      <c r="J29" s="240"/>
      <c r="M29" s="222">
        <v>3</v>
      </c>
      <c r="N29" s="222">
        <f t="shared" si="1"/>
        <v>4</v>
      </c>
      <c r="O29" s="281" t="str">
        <f t="shared" si="2"/>
        <v>3x4</v>
      </c>
      <c r="P29" s="282">
        <f>Q28</f>
        <v>42254</v>
      </c>
      <c r="Q29" s="282">
        <f>_xll.qlInterestRateIndexMaturity(iborindex1M,P29,Trigger)</f>
        <v>42284</v>
      </c>
      <c r="R29" s="160">
        <f>_xll.qlDayCounterYearFraction(DayCounter,P29,Q29,,,Trigger)</f>
        <v>8.3333333333333329E-2</v>
      </c>
      <c r="S29" s="176" t="e">
        <f>_xll.qlIndexFixing(iborindex1M,_xll.qlInterestRateIndexFixingDate(iborindex1M,P29,Trigger),TRUE,AllTriggers)</f>
        <v>#NUM!</v>
      </c>
      <c r="T29" s="176">
        <f>(U29/V29-1)/R29</f>
        <v>-1.2774965803927785E-3</v>
      </c>
      <c r="U29" s="174">
        <f>_xll.qlYieldTSDiscount(Discounting,P29,,AllTriggers)</f>
        <v>1.0003339478197761</v>
      </c>
      <c r="V29" s="174">
        <f>_xll.qlYieldTSDiscount(Discounting,Q29,,AllTriggers)</f>
        <v>1.0004404527578832</v>
      </c>
      <c r="W29" s="283" t="e">
        <f>LN((1+S29*R29)/(1+T29*R29))</f>
        <v>#NUM!</v>
      </c>
    </row>
    <row r="31" spans="9:23" x14ac:dyDescent="0.2">
      <c r="I31" s="240"/>
      <c r="J31" s="240"/>
    </row>
    <row r="33" spans="9:10" x14ac:dyDescent="0.2">
      <c r="I33" s="240"/>
      <c r="J33" s="240"/>
    </row>
    <row r="35" spans="9:10" x14ac:dyDescent="0.2">
      <c r="I35" s="240"/>
      <c r="J35" s="240"/>
    </row>
    <row r="37" spans="9:10" x14ac:dyDescent="0.2">
      <c r="I37" s="240"/>
      <c r="J37" s="240"/>
    </row>
  </sheetData>
  <dataValidations count="4">
    <dataValidation type="list" allowBlank="1" showInputMessage="1" showErrorMessage="1" sqref="R3:R9">
      <formula1>"TRUE,FALSE"</formula1>
    </dataValidation>
    <dataValidation type="list" allowBlank="1" showInputMessage="1" showErrorMessage="1" sqref="G4:G9">
      <formula1>"Following,Modified Following,Preceding,Modified Preceding,Month End Reference,Unadjusted Month End,Unadjusted"</formula1>
    </dataValidation>
    <dataValidation type="list" allowBlank="1" showInputMessage="1" showErrorMessage="1" sqref="H4:H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4:F9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38"/>
  <sheetViews>
    <sheetView topLeftCell="M1" workbookViewId="0"/>
  </sheetViews>
  <sheetFormatPr defaultRowHeight="11.25" outlineLevelCol="1" x14ac:dyDescent="0.2"/>
  <cols>
    <col min="1" max="1" width="3.1640625" style="222" hidden="1" customWidth="1" outlineLevel="1"/>
    <col min="2" max="3" width="7" style="222" hidden="1" customWidth="1" outlineLevel="1"/>
    <col min="4" max="4" width="7" style="239" hidden="1" customWidth="1" outlineLevel="1"/>
    <col min="5" max="5" width="3.5" style="239" hidden="1" customWidth="1" outlineLevel="1"/>
    <col min="6" max="6" width="8.1640625" style="222" hidden="1" customWidth="1" outlineLevel="1"/>
    <col min="7" max="7" width="22.6640625" style="222" hidden="1" customWidth="1" outlineLevel="1"/>
    <col min="8" max="8" width="23.83203125" style="222" hidden="1" customWidth="1" outlineLevel="1"/>
    <col min="9" max="9" width="9.33203125" style="222" hidden="1" customWidth="1" outlineLevel="1"/>
    <col min="10" max="10" width="31.1640625" style="222" hidden="1" customWidth="1" outlineLevel="1"/>
    <col min="11" max="11" width="17.83203125" style="241" hidden="1" customWidth="1" outlineLevel="1"/>
    <col min="12" max="12" width="26.33203125" style="222" hidden="1" customWidth="1" outlineLevel="1"/>
    <col min="13" max="13" width="3.5" style="222" bestFit="1" customWidth="1" collapsed="1"/>
    <col min="14" max="14" width="3.5" style="222" bestFit="1" customWidth="1"/>
    <col min="15" max="15" width="31.1640625" style="222" bestFit="1" customWidth="1"/>
    <col min="16" max="20" width="20.1640625" style="222" bestFit="1" customWidth="1"/>
    <col min="21" max="21" width="17.83203125" style="222" hidden="1" customWidth="1" outlineLevel="1"/>
    <col min="22" max="22" width="14.1640625" style="222" hidden="1" customWidth="1" outlineLevel="1"/>
    <col min="23" max="23" width="10.5" style="222" bestFit="1" customWidth="1" collapsed="1"/>
    <col min="24" max="24" width="11.6640625" style="222" bestFit="1" customWidth="1"/>
    <col min="25" max="26" width="20.1640625" style="222" bestFit="1" customWidth="1"/>
    <col min="27" max="27" width="9.33203125" style="222" bestFit="1" customWidth="1"/>
    <col min="28" max="28" width="17.83203125" style="222" customWidth="1"/>
    <col min="29" max="30" width="10.5" style="222" bestFit="1" customWidth="1"/>
    <col min="31" max="31" width="11.6640625" style="222" bestFit="1" customWidth="1"/>
    <col min="32" max="32" width="17.83203125" style="222" bestFit="1" customWidth="1"/>
    <col min="33" max="33" width="10.5" style="222" bestFit="1" customWidth="1"/>
    <col min="34" max="16384" width="9.33203125" style="222"/>
  </cols>
  <sheetData>
    <row r="1" spans="1:22" ht="11.25" customHeight="1" x14ac:dyDescent="0.2">
      <c r="D1" s="222"/>
      <c r="E1" s="222"/>
      <c r="J1" s="222" t="s">
        <v>27</v>
      </c>
      <c r="K1" s="222" t="str">
        <f>_xll.qlEuribor(,J1,,,Trigger)</f>
        <v>obj_00857#0000</v>
      </c>
      <c r="L1" s="222" t="str">
        <f>_xll.ohRangeRetrieveError(K1)</f>
        <v/>
      </c>
    </row>
    <row r="2" spans="1:22" ht="24" customHeight="1" x14ac:dyDescent="0.2">
      <c r="A2" s="235"/>
      <c r="B2" s="223" t="s">
        <v>103</v>
      </c>
      <c r="C2" s="223"/>
      <c r="D2" s="224"/>
      <c r="E2" s="224"/>
      <c r="F2" s="223" t="s">
        <v>104</v>
      </c>
      <c r="G2" s="223" t="s">
        <v>105</v>
      </c>
      <c r="H2" s="223" t="s">
        <v>106</v>
      </c>
      <c r="I2" s="223" t="s">
        <v>107</v>
      </c>
      <c r="J2" s="223" t="s">
        <v>56</v>
      </c>
      <c r="K2" s="223" t="s">
        <v>57</v>
      </c>
      <c r="L2" s="225" t="s">
        <v>36</v>
      </c>
      <c r="M2" s="238"/>
      <c r="N2" s="238"/>
      <c r="O2" s="226" t="s">
        <v>108</v>
      </c>
      <c r="P2" s="226" t="s">
        <v>58</v>
      </c>
      <c r="Q2" s="226" t="s">
        <v>107</v>
      </c>
      <c r="R2" s="226" t="s">
        <v>59</v>
      </c>
      <c r="S2" s="223" t="s">
        <v>60</v>
      </c>
      <c r="T2" s="223" t="s">
        <v>61</v>
      </c>
      <c r="U2" s="12"/>
      <c r="V2" s="12"/>
    </row>
    <row r="3" spans="1:22" ht="11.25" customHeight="1" x14ac:dyDescent="0.2">
      <c r="A3" s="236"/>
      <c r="B3" s="33" t="s">
        <v>111</v>
      </c>
      <c r="C3" s="62"/>
      <c r="D3" s="63"/>
      <c r="E3" s="63"/>
      <c r="F3" s="60"/>
      <c r="G3" s="60"/>
      <c r="H3" s="60"/>
      <c r="I3" s="64"/>
      <c r="J3" s="54" t="str">
        <f>PROPER((Currency))&amp;IborType&amp;J1&amp;"LastFixing"&amp;QuoteSuffix</f>
        <v>Euribor1YLastFixing_Quote</v>
      </c>
      <c r="K3" s="61" t="str">
        <f>_xll.qlDepositRateHelper(,J3,K1,,Trigger)</f>
        <v>obj_00875#0000</v>
      </c>
      <c r="L3" s="72" t="str">
        <f>_xll.ohRangeRetrieveError(K3)</f>
        <v/>
      </c>
      <c r="M3" s="237"/>
      <c r="N3" s="237"/>
      <c r="O3" s="40" t="str">
        <f>_xll.qlRateHelperQuoteName(K3,Trigger)</f>
        <v>Euribor1YLastFixing_Quote</v>
      </c>
      <c r="P3" s="41">
        <f>_xll.qlQuoteValue(J3,AllTriggers)</f>
        <v>1.6000000000000001E-3</v>
      </c>
      <c r="Q3" s="78" t="str">
        <f>IF(ISBLANK(I3),"--",_xll.qlSwapRateHelperSpread(K3,AllTriggers))</f>
        <v>--</v>
      </c>
      <c r="R3" s="40" t="b">
        <v>1</v>
      </c>
      <c r="S3" s="42">
        <f>_xll.qlRateHelperEarliestDate(K3,Trigger)</f>
        <v>42160</v>
      </c>
      <c r="T3" s="42">
        <f>_xll.qlRateHelperLatestDate(K3,Trigger)</f>
        <v>42527</v>
      </c>
      <c r="U3" s="12"/>
      <c r="V3" s="12"/>
    </row>
    <row r="4" spans="1:22" ht="11.25" customHeight="1" x14ac:dyDescent="0.2">
      <c r="A4" s="236"/>
      <c r="B4" s="75" t="s">
        <v>55</v>
      </c>
      <c r="C4" s="77">
        <v>12</v>
      </c>
      <c r="D4" s="76" t="s">
        <v>37</v>
      </c>
      <c r="E4" s="76">
        <v>24</v>
      </c>
      <c r="F4" s="60"/>
      <c r="G4" s="60"/>
      <c r="H4" s="60"/>
      <c r="I4" s="64"/>
      <c r="J4" s="54" t="str">
        <f>Currency&amp;C4&amp;D4&amp;E4&amp;"F"&amp;QuoteSuffix</f>
        <v>EUR12x24F_Quote</v>
      </c>
      <c r="K4" s="61" t="str">
        <f>_xll.qlFraRateHelper(,J4,B4,K1)</f>
        <v>obj_00858#0000</v>
      </c>
      <c r="L4" s="72" t="str">
        <f>_xll.ohRangeRetrieveError(K4)</f>
        <v/>
      </c>
      <c r="M4" s="237"/>
      <c r="N4" s="237"/>
      <c r="O4" s="40" t="str">
        <f>_xll.qlRateHelperQuoteName(K4,Trigger)</f>
        <v>EUR12x24F_Quote</v>
      </c>
      <c r="P4" s="41">
        <f>_xll.qlQuoteValue(J4,AllTriggers)</f>
        <v>2.7700000000000003E-3</v>
      </c>
      <c r="Q4" s="78" t="str">
        <f>IF(ISBLANK(I4),"--",_xll.qlSwapRateHelperSpread(K4,AllTriggers))</f>
        <v>--</v>
      </c>
      <c r="R4" s="40" t="b">
        <v>1</v>
      </c>
      <c r="S4" s="42">
        <f>_xll.qlRateHelperEarliestDate(K4,Trigger)</f>
        <v>42527</v>
      </c>
      <c r="T4" s="42">
        <f>_xll.qlRateHelperLatestDate(K4,Trigger)</f>
        <v>42892</v>
      </c>
      <c r="U4" s="12"/>
      <c r="V4" s="12"/>
    </row>
    <row r="5" spans="1:22" ht="11.25" customHeight="1" x14ac:dyDescent="0.2">
      <c r="A5" s="236"/>
      <c r="B5" s="65" t="s">
        <v>111</v>
      </c>
      <c r="C5" s="66" t="s">
        <v>62</v>
      </c>
      <c r="D5" s="67" t="s">
        <v>63</v>
      </c>
      <c r="E5" s="67" t="s">
        <v>64</v>
      </c>
      <c r="F5" s="65" t="s">
        <v>113</v>
      </c>
      <c r="G5" s="68" t="s">
        <v>109</v>
      </c>
      <c r="H5" s="68" t="s">
        <v>119</v>
      </c>
      <c r="I5" s="69">
        <v>0</v>
      </c>
      <c r="J5" s="70" t="str">
        <f t="shared" ref="J5:J10" si="0">Currency&amp;C5&amp;$D5&amp;$E5&amp;"_Quote"</f>
        <v>EURAB12EBASIS3Y_Quote</v>
      </c>
      <c r="K5" s="71" t="e">
        <f>_xll.qlSwapRateHelper2(,J5,E5,Calendar,F5,G5,H5,$K$1,I5,B5,Discounting,,Trigger)</f>
        <v>#NUM!</v>
      </c>
      <c r="L5" s="72" t="str">
        <f ca="1">_xll.ohRangeRetrieveError(K5)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5" s="237"/>
      <c r="N5" s="237"/>
      <c r="O5" s="40" t="e">
        <f>_xll.qlRateHelperQuoteName(K5,Trigger)</f>
        <v>#VALUE!</v>
      </c>
      <c r="P5" s="41">
        <f>_xll.qlQuoteValue(J5,AllTriggers)</f>
        <v>3.2500000000000003E-3</v>
      </c>
      <c r="Q5" s="78" t="e">
        <f>IF(ISBLANK(I5),"--",_xll.qlSwapRateHelperSpread(K5,AllTriggers))</f>
        <v>#VALUE!</v>
      </c>
      <c r="R5" s="40" t="b">
        <v>1</v>
      </c>
      <c r="S5" s="42" t="e">
        <f>_xll.qlRateHelperEarliestDate(K5,Trigger)</f>
        <v>#VALUE!</v>
      </c>
      <c r="T5" s="42" t="e">
        <f>_xll.qlRateHelperLatestDate(K5,Trigger)</f>
        <v>#VALUE!</v>
      </c>
      <c r="U5" s="12"/>
      <c r="V5" s="12"/>
    </row>
    <row r="6" spans="1:22" ht="11.25" customHeight="1" x14ac:dyDescent="0.2">
      <c r="A6" s="236"/>
      <c r="B6" s="33" t="s">
        <v>111</v>
      </c>
      <c r="C6" s="34" t="s">
        <v>62</v>
      </c>
      <c r="D6" s="35" t="s">
        <v>63</v>
      </c>
      <c r="E6" s="35" t="s">
        <v>65</v>
      </c>
      <c r="F6" s="33" t="s">
        <v>113</v>
      </c>
      <c r="G6" s="36" t="s">
        <v>109</v>
      </c>
      <c r="H6" s="36" t="s">
        <v>119</v>
      </c>
      <c r="I6" s="37">
        <v>0</v>
      </c>
      <c r="J6" s="38" t="str">
        <f t="shared" si="0"/>
        <v>EURAB12EBASIS4Y_Quote</v>
      </c>
      <c r="K6" s="39" t="e">
        <f>_xll.qlSwapRateHelper2(,J6,E6,Calendar,F6,G6,H6,$K$1,I6,B6,Discounting,,Trigger)</f>
        <v>#NUM!</v>
      </c>
      <c r="L6" s="40" t="str">
        <f ca="1">_xll.ohRangeRetrieveError(K6)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6" s="237"/>
      <c r="N6" s="237"/>
      <c r="O6" s="40" t="e">
        <f>_xll.qlRateHelperQuoteName(K6,Trigger)</f>
        <v>#VALUE!</v>
      </c>
      <c r="P6" s="41">
        <f>_xll.qlQuoteValue(J6,AllTriggers)</f>
        <v>4.7200000000000002E-3</v>
      </c>
      <c r="Q6" s="78" t="e">
        <f>IF(ISBLANK(I6),"--",_xll.qlSwapRateHelperSpread(K6,AllTriggers))</f>
        <v>#VALUE!</v>
      </c>
      <c r="R6" s="40" t="b">
        <v>1</v>
      </c>
      <c r="S6" s="42" t="e">
        <f>_xll.qlRateHelperEarliestDate(K6,Trigger)</f>
        <v>#VALUE!</v>
      </c>
      <c r="T6" s="42" t="e">
        <f>_xll.qlRateHelperLatestDate(K6,Trigger)</f>
        <v>#VALUE!</v>
      </c>
      <c r="U6" s="12"/>
      <c r="V6" s="12"/>
    </row>
    <row r="7" spans="1:22" ht="11.25" customHeight="1" x14ac:dyDescent="0.2">
      <c r="A7" s="235"/>
      <c r="B7" s="33" t="s">
        <v>111</v>
      </c>
      <c r="C7" s="34" t="s">
        <v>62</v>
      </c>
      <c r="D7" s="35" t="s">
        <v>63</v>
      </c>
      <c r="E7" s="35" t="s">
        <v>66</v>
      </c>
      <c r="F7" s="33" t="s">
        <v>113</v>
      </c>
      <c r="G7" s="36" t="s">
        <v>109</v>
      </c>
      <c r="H7" s="36" t="s">
        <v>119</v>
      </c>
      <c r="I7" s="37">
        <v>0</v>
      </c>
      <c r="J7" s="38" t="str">
        <f t="shared" si="0"/>
        <v>EURAB12EBASIS5Y_Quote</v>
      </c>
      <c r="K7" s="39" t="e">
        <f>_xll.qlSwapRateHelper2(,J7,E7,Calendar,F7,G7,H7,$K$1,I7,B7,Discounting,,Trigger)</f>
        <v>#NUM!</v>
      </c>
      <c r="L7" s="40" t="str">
        <f ca="1">_xll.ohRangeRetrieveError(K7)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7" s="237"/>
      <c r="N7" s="237"/>
      <c r="O7" s="40" t="e">
        <f>_xll.qlRateHelperQuoteName(K7,Trigger)</f>
        <v>#VALUE!</v>
      </c>
      <c r="P7" s="41">
        <f>_xll.qlQuoteValue(J7,AllTriggers)</f>
        <v>6.3800000000000003E-3</v>
      </c>
      <c r="Q7" s="78" t="e">
        <f>IF(ISBLANK(I7),"--",_xll.qlSwapRateHelperSpread(K7,AllTriggers))</f>
        <v>#VALUE!</v>
      </c>
      <c r="R7" s="40" t="b">
        <v>1</v>
      </c>
      <c r="S7" s="42" t="e">
        <f>_xll.qlRateHelperEarliestDate(K7,Trigger)</f>
        <v>#VALUE!</v>
      </c>
      <c r="T7" s="42" t="e">
        <f>_xll.qlRateHelperLatestDate(K7,Trigger)</f>
        <v>#VALUE!</v>
      </c>
      <c r="U7" s="12"/>
      <c r="V7" s="12"/>
    </row>
    <row r="8" spans="1:22" ht="11.25" customHeight="1" x14ac:dyDescent="0.2">
      <c r="A8" s="235"/>
      <c r="B8" s="33" t="s">
        <v>111</v>
      </c>
      <c r="C8" s="34" t="s">
        <v>62</v>
      </c>
      <c r="D8" s="35" t="s">
        <v>63</v>
      </c>
      <c r="E8" s="35" t="s">
        <v>116</v>
      </c>
      <c r="F8" s="33" t="s">
        <v>113</v>
      </c>
      <c r="G8" s="36" t="s">
        <v>109</v>
      </c>
      <c r="H8" s="36" t="s">
        <v>119</v>
      </c>
      <c r="I8" s="37">
        <v>0</v>
      </c>
      <c r="J8" s="38" t="str">
        <f t="shared" si="0"/>
        <v>EURAB12EBASIS6Y_Quote</v>
      </c>
      <c r="K8" s="39" t="e">
        <f>_xll.qlSwapRateHelper2(,J8,E8,Calendar,F8,G8,H8,$K$1,I8,B8,Discounting,,Trigger)</f>
        <v>#NUM!</v>
      </c>
      <c r="L8" s="40" t="str">
        <f ca="1">_xll.ohRangeRetrieveError(K8)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M8" s="237"/>
      <c r="N8" s="237"/>
      <c r="O8" s="40" t="e">
        <f>_xll.qlRateHelperQuoteName(K8,Trigger)</f>
        <v>#VALUE!</v>
      </c>
      <c r="P8" s="41">
        <f>_xll.qlQuoteValue(J8,AllTriggers)</f>
        <v>7.8700000000000003E-3</v>
      </c>
      <c r="Q8" s="78" t="e">
        <f>IF(ISBLANK(I8),"--",_xll.qlSwapRateHelperSpread(K8,AllTriggers))</f>
        <v>#VALUE!</v>
      </c>
      <c r="R8" s="40" t="b">
        <v>1</v>
      </c>
      <c r="S8" s="42" t="e">
        <f>_xll.qlRateHelperEarliestDate(K8,Trigger)</f>
        <v>#VALUE!</v>
      </c>
      <c r="T8" s="42" t="e">
        <f>_xll.qlRateHelperLatestDate(K8,Trigger)</f>
        <v>#VALUE!</v>
      </c>
      <c r="U8" s="12"/>
      <c r="V8" s="12"/>
    </row>
    <row r="9" spans="1:22" ht="11.25" customHeight="1" x14ac:dyDescent="0.2">
      <c r="A9" s="235"/>
      <c r="B9" s="33" t="s">
        <v>111</v>
      </c>
      <c r="C9" s="34" t="s">
        <v>62</v>
      </c>
      <c r="D9" s="35" t="s">
        <v>63</v>
      </c>
      <c r="E9" s="35" t="s">
        <v>117</v>
      </c>
      <c r="F9" s="33" t="s">
        <v>113</v>
      </c>
      <c r="G9" s="36" t="s">
        <v>109</v>
      </c>
      <c r="H9" s="36" t="s">
        <v>119</v>
      </c>
      <c r="I9" s="37">
        <v>0</v>
      </c>
      <c r="J9" s="38" t="str">
        <f t="shared" si="0"/>
        <v>EURAB12EBASIS7Y_Quote</v>
      </c>
      <c r="K9" s="39" t="e">
        <f>_xll.qlSwapRateHelper2(,J9,E9,Calendar,F9,G9,H9,$K$1,I9,B9,Discounting,,Trigger)</f>
        <v>#NUM!</v>
      </c>
      <c r="L9" s="40" t="str">
        <f ca="1">_xll.ohRangeRetrieveError(K9)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O9" s="40" t="e">
        <f>_xll.qlRateHelperQuoteName(K9,Trigger)</f>
        <v>#VALUE!</v>
      </c>
      <c r="P9" s="41">
        <f>_xll.qlQuoteValue(J9,AllTriggers)</f>
        <v>9.2699999999999987E-3</v>
      </c>
      <c r="Q9" s="78" t="e">
        <f>IF(ISBLANK(I9),"--",_xll.qlSwapRateHelperSpread(K9,AllTriggers))</f>
        <v>#VALUE!</v>
      </c>
      <c r="R9" s="40" t="b">
        <v>1</v>
      </c>
      <c r="S9" s="42" t="e">
        <f>_xll.qlRateHelperEarliestDate(K9,Trigger)</f>
        <v>#VALUE!</v>
      </c>
      <c r="T9" s="42" t="e">
        <f>_xll.qlRateHelperLatestDate(K9,Trigger)</f>
        <v>#VALUE!</v>
      </c>
      <c r="U9" s="12"/>
      <c r="V9" s="12"/>
    </row>
    <row r="10" spans="1:22" x14ac:dyDescent="0.2">
      <c r="B10" s="43" t="s">
        <v>111</v>
      </c>
      <c r="C10" s="44" t="s">
        <v>62</v>
      </c>
      <c r="D10" s="45" t="s">
        <v>63</v>
      </c>
      <c r="E10" s="45" t="s">
        <v>118</v>
      </c>
      <c r="F10" s="43" t="s">
        <v>113</v>
      </c>
      <c r="G10" s="46" t="s">
        <v>109</v>
      </c>
      <c r="H10" s="46" t="s">
        <v>119</v>
      </c>
      <c r="I10" s="47">
        <v>0</v>
      </c>
      <c r="J10" s="58" t="str">
        <f t="shared" si="0"/>
        <v>EURAB12EBASIS8Y_Quote</v>
      </c>
      <c r="K10" s="59" t="e">
        <f>_xll.qlSwapRateHelper2(,J10,E10,Calendar,F10,G10,H10,$K$1,I10,B10,Discounting,,Trigger)</f>
        <v>#NUM!</v>
      </c>
      <c r="L10" s="48" t="str">
        <f ca="1">_xll.ohRangeRetrieveError(K10)</f>
        <v>qlSwapRateHelper2 - Error converting parameter 'SettlDays' : 'Unable to convert type 'class std::basic_string&lt;char,struct std::char_traits&lt;char&gt;,class std::allocator&lt;char&gt; &gt;' to type 'long' - Error in call to Excel: (xlSpecial | 2) callback failed:  Comma</v>
      </c>
      <c r="O10" s="48" t="e">
        <f>_xll.qlRateHelperQuoteName(K10,Trigger)</f>
        <v>#VALUE!</v>
      </c>
      <c r="P10" s="49">
        <f>_xll.qlQuoteValue(J10,AllTriggers)</f>
        <v>1.0570000000000001E-2</v>
      </c>
      <c r="Q10" s="79" t="e">
        <f>IF(ISBLANK(I10),"--",_xll.qlSwapRateHelperSpread(K10,AllTriggers))</f>
        <v>#VALUE!</v>
      </c>
      <c r="R10" s="48" t="b">
        <v>0</v>
      </c>
      <c r="S10" s="50" t="e">
        <f>_xll.qlRateHelperEarliestDate(K10,Trigger)</f>
        <v>#VALUE!</v>
      </c>
      <c r="T10" s="50" t="e">
        <f>_xll.qlRateHelperLatestDate(K10,Trigger)</f>
        <v>#VALUE!</v>
      </c>
      <c r="U10" s="12"/>
      <c r="V10" s="12"/>
    </row>
    <row r="11" spans="1:22" x14ac:dyDescent="0.2">
      <c r="D11" s="222"/>
      <c r="E11" s="222"/>
      <c r="K11" s="222"/>
      <c r="L11" s="237"/>
    </row>
    <row r="12" spans="1:22" x14ac:dyDescent="0.2">
      <c r="I12" s="240"/>
      <c r="J12" s="240"/>
      <c r="O12" s="227" t="str">
        <f>J1&amp;" "&amp;PROPER(Currency)&amp;IborType&amp;" Curve"</f>
        <v>1Y Euribor Curve</v>
      </c>
      <c r="P12" s="228"/>
      <c r="Q12" s="228"/>
      <c r="R12" s="228"/>
      <c r="S12" s="228"/>
      <c r="T12" s="229" t="s">
        <v>120</v>
      </c>
      <c r="U12" s="12"/>
      <c r="V12" s="12"/>
    </row>
    <row r="13" spans="1:22" x14ac:dyDescent="0.2">
      <c r="L13" s="226" t="s">
        <v>110</v>
      </c>
      <c r="O13" s="290" t="s">
        <v>67</v>
      </c>
      <c r="P13" s="290" t="s">
        <v>68</v>
      </c>
      <c r="Q13" s="290" t="s">
        <v>107</v>
      </c>
      <c r="R13" s="290" t="s">
        <v>60</v>
      </c>
      <c r="S13" s="290" t="s">
        <v>61</v>
      </c>
      <c r="T13" s="51">
        <f t="array" ref="T13:T27">_xll.qlPiecewiseYieldCurveData('General Settings'!D34,InterestRatesTrigger)</f>
        <v>1</v>
      </c>
      <c r="U13" s="12"/>
      <c r="V13" s="12"/>
    </row>
    <row r="14" spans="1:22" x14ac:dyDescent="0.2">
      <c r="I14" s="240"/>
      <c r="J14" s="240"/>
      <c r="L14" s="54" t="str">
        <f t="array" ref="L14:L27">_xll.ohFilter(K3:K10,R3:R10)</f>
        <v>obj_00875#0000</v>
      </c>
      <c r="O14" s="72" t="str">
        <f t="array" ref="O14:O27">_xll.ohFilter(O3:O10,R3:R10)</f>
        <v>Euribor1YLastFixing_Quote</v>
      </c>
      <c r="P14" s="80">
        <f t="array" ref="P14:P27">_xll.ohFilter(P3:P10,R3:R10)</f>
        <v>1.6000000000000001E-3</v>
      </c>
      <c r="Q14" s="81" t="str">
        <f t="array" ref="Q14:Q27">_xll.ohFilter(Q3:Q10,R3:R10)</f>
        <v>--</v>
      </c>
      <c r="R14" s="82">
        <f t="array" ref="R14:R27">_xll.ohFilter(S3:S10,R3:R10)</f>
        <v>42160</v>
      </c>
      <c r="S14" s="82">
        <f t="array" ref="S14:S27">_xll.ohFilter(T3:T10,R3:R10)</f>
        <v>42527</v>
      </c>
      <c r="T14" s="52">
        <v>0.99837154507980319</v>
      </c>
      <c r="U14" s="12"/>
      <c r="V14" s="12"/>
    </row>
    <row r="15" spans="1:22" x14ac:dyDescent="0.2">
      <c r="L15" s="55" t="str">
        <v>obj_00858#0000</v>
      </c>
      <c r="O15" s="40" t="str">
        <v>EUR12x24F_Quote</v>
      </c>
      <c r="P15" s="41">
        <v>2.7700000000000003E-3</v>
      </c>
      <c r="Q15" s="78" t="str">
        <v>--</v>
      </c>
      <c r="R15" s="42">
        <v>42527</v>
      </c>
      <c r="S15" s="42">
        <v>42892</v>
      </c>
      <c r="T15" s="52">
        <v>0.99557549894588859</v>
      </c>
      <c r="U15" s="12"/>
      <c r="V15" s="12"/>
    </row>
    <row r="16" spans="1:22" x14ac:dyDescent="0.2">
      <c r="I16" s="240"/>
      <c r="J16" s="240"/>
      <c r="L16" s="55" t="e">
        <v>#NUM!</v>
      </c>
      <c r="O16" s="40" t="e">
        <v>#VALUE!</v>
      </c>
      <c r="P16" s="41">
        <v>3.2500000000000003E-3</v>
      </c>
      <c r="Q16" s="78" t="e">
        <v>#VALUE!</v>
      </c>
      <c r="R16" s="42" t="e">
        <v>#VALUE!</v>
      </c>
      <c r="S16" s="42" t="e">
        <v>#VALUE!</v>
      </c>
      <c r="T16" s="52" t="e">
        <v>#N/A</v>
      </c>
      <c r="U16" s="12"/>
      <c r="V16" s="12"/>
    </row>
    <row r="17" spans="9:34" x14ac:dyDescent="0.2">
      <c r="L17" s="55" t="e">
        <v>#NUM!</v>
      </c>
      <c r="O17" s="40" t="e">
        <v>#VALUE!</v>
      </c>
      <c r="P17" s="41">
        <v>4.7200000000000002E-3</v>
      </c>
      <c r="Q17" s="78" t="e">
        <v>#VALUE!</v>
      </c>
      <c r="R17" s="42" t="e">
        <v>#VALUE!</v>
      </c>
      <c r="S17" s="42" t="e">
        <v>#VALUE!</v>
      </c>
      <c r="T17" s="52" t="e">
        <v>#N/A</v>
      </c>
      <c r="U17" s="12"/>
      <c r="V17" s="12"/>
    </row>
    <row r="18" spans="9:34" x14ac:dyDescent="0.2">
      <c r="I18" s="240"/>
      <c r="J18" s="240"/>
      <c r="L18" s="55" t="e">
        <v>#NUM!</v>
      </c>
      <c r="O18" s="40" t="e">
        <v>#VALUE!</v>
      </c>
      <c r="P18" s="41">
        <v>6.3800000000000003E-3</v>
      </c>
      <c r="Q18" s="78" t="e">
        <v>#VALUE!</v>
      </c>
      <c r="R18" s="42" t="e">
        <v>#VALUE!</v>
      </c>
      <c r="S18" s="42" t="e">
        <v>#VALUE!</v>
      </c>
      <c r="T18" s="52" t="e">
        <v>#N/A</v>
      </c>
      <c r="U18" s="12"/>
      <c r="V18" s="12"/>
    </row>
    <row r="19" spans="9:34" x14ac:dyDescent="0.2">
      <c r="L19" s="55" t="e">
        <v>#NUM!</v>
      </c>
      <c r="O19" s="40" t="e">
        <v>#VALUE!</v>
      </c>
      <c r="P19" s="41">
        <v>7.8700000000000003E-3</v>
      </c>
      <c r="Q19" s="78" t="e">
        <v>#VALUE!</v>
      </c>
      <c r="R19" s="42" t="e">
        <v>#VALUE!</v>
      </c>
      <c r="S19" s="42" t="e">
        <v>#VALUE!</v>
      </c>
      <c r="T19" s="52" t="e">
        <v>#N/A</v>
      </c>
      <c r="U19" s="12"/>
      <c r="V19" s="12"/>
    </row>
    <row r="20" spans="9:34" x14ac:dyDescent="0.2">
      <c r="I20" s="240"/>
      <c r="J20" s="240"/>
      <c r="L20" s="55" t="e">
        <v>#NUM!</v>
      </c>
      <c r="O20" s="40" t="e">
        <v>#VALUE!</v>
      </c>
      <c r="P20" s="41">
        <v>9.2699999999999987E-3</v>
      </c>
      <c r="Q20" s="78" t="e">
        <v>#VALUE!</v>
      </c>
      <c r="R20" s="42" t="e">
        <v>#VALUE!</v>
      </c>
      <c r="S20" s="42" t="e">
        <v>#VALUE!</v>
      </c>
      <c r="T20" s="52" t="e">
        <v>#N/A</v>
      </c>
      <c r="U20" s="12"/>
      <c r="V20" s="12"/>
      <c r="AH20" s="237"/>
    </row>
    <row r="21" spans="9:34" x14ac:dyDescent="0.2">
      <c r="L21" s="55" t="e">
        <v>#N/A</v>
      </c>
      <c r="O21" s="40" t="e">
        <v>#N/A</v>
      </c>
      <c r="P21" s="41" t="e">
        <v>#N/A</v>
      </c>
      <c r="Q21" s="78" t="e">
        <v>#N/A</v>
      </c>
      <c r="R21" s="42" t="e">
        <v>#N/A</v>
      </c>
      <c r="S21" s="42" t="e">
        <v>#N/A</v>
      </c>
      <c r="T21" s="52" t="e">
        <v>#N/A</v>
      </c>
      <c r="U21" s="12"/>
      <c r="V21" s="12"/>
      <c r="AH21" s="237"/>
    </row>
    <row r="22" spans="9:34" x14ac:dyDescent="0.2">
      <c r="I22" s="240"/>
      <c r="J22" s="240"/>
      <c r="L22" s="55" t="e">
        <v>#N/A</v>
      </c>
      <c r="O22" s="40" t="e">
        <v>#N/A</v>
      </c>
      <c r="P22" s="41" t="e">
        <v>#N/A</v>
      </c>
      <c r="Q22" s="78" t="e">
        <v>#N/A</v>
      </c>
      <c r="R22" s="42" t="e">
        <v>#N/A</v>
      </c>
      <c r="S22" s="42" t="e">
        <v>#N/A</v>
      </c>
      <c r="T22" s="52" t="e">
        <v>#N/A</v>
      </c>
      <c r="U22" s="12"/>
      <c r="V22" s="12"/>
    </row>
    <row r="23" spans="9:34" x14ac:dyDescent="0.2">
      <c r="L23" s="55" t="e">
        <v>#N/A</v>
      </c>
      <c r="O23" s="40" t="e">
        <v>#N/A</v>
      </c>
      <c r="P23" s="41" t="e">
        <v>#N/A</v>
      </c>
      <c r="Q23" s="78" t="e">
        <v>#N/A</v>
      </c>
      <c r="R23" s="42" t="e">
        <v>#N/A</v>
      </c>
      <c r="S23" s="42" t="e">
        <v>#N/A</v>
      </c>
      <c r="T23" s="52" t="e">
        <v>#N/A</v>
      </c>
      <c r="U23" s="12"/>
      <c r="V23" s="12"/>
    </row>
    <row r="24" spans="9:34" x14ac:dyDescent="0.2">
      <c r="I24" s="240"/>
      <c r="J24" s="240"/>
      <c r="L24" s="55" t="e">
        <v>#N/A</v>
      </c>
      <c r="O24" s="40" t="e">
        <v>#N/A</v>
      </c>
      <c r="P24" s="41" t="e">
        <v>#N/A</v>
      </c>
      <c r="Q24" s="78" t="e">
        <v>#N/A</v>
      </c>
      <c r="R24" s="42" t="e">
        <v>#N/A</v>
      </c>
      <c r="S24" s="42" t="e">
        <v>#N/A</v>
      </c>
      <c r="T24" s="52" t="e">
        <v>#N/A</v>
      </c>
      <c r="U24" s="12"/>
      <c r="V24" s="12"/>
    </row>
    <row r="25" spans="9:34" x14ac:dyDescent="0.2">
      <c r="L25" s="55" t="e">
        <v>#N/A</v>
      </c>
      <c r="O25" s="40" t="e">
        <v>#N/A</v>
      </c>
      <c r="P25" s="41" t="e">
        <v>#N/A</v>
      </c>
      <c r="Q25" s="78" t="e">
        <v>#N/A</v>
      </c>
      <c r="R25" s="42" t="e">
        <v>#N/A</v>
      </c>
      <c r="S25" s="42" t="e">
        <v>#N/A</v>
      </c>
      <c r="T25" s="52" t="e">
        <v>#N/A</v>
      </c>
      <c r="U25" s="12"/>
      <c r="V25" s="12"/>
    </row>
    <row r="26" spans="9:34" x14ac:dyDescent="0.2">
      <c r="I26" s="240"/>
      <c r="J26" s="240"/>
      <c r="L26" s="55" t="e">
        <v>#N/A</v>
      </c>
      <c r="O26" s="40" t="e">
        <v>#N/A</v>
      </c>
      <c r="P26" s="41" t="e">
        <v>#N/A</v>
      </c>
      <c r="Q26" s="78" t="e">
        <v>#N/A</v>
      </c>
      <c r="R26" s="42" t="e">
        <v>#N/A</v>
      </c>
      <c r="S26" s="42" t="e">
        <v>#N/A</v>
      </c>
      <c r="T26" s="52" t="e">
        <v>#N/A</v>
      </c>
      <c r="U26" s="12"/>
      <c r="V26" s="12"/>
    </row>
    <row r="27" spans="9:34" x14ac:dyDescent="0.2">
      <c r="L27" s="56" t="e">
        <v>#N/A</v>
      </c>
      <c r="O27" s="48" t="e">
        <v>#N/A</v>
      </c>
      <c r="P27" s="49" t="e">
        <v>#N/A</v>
      </c>
      <c r="Q27" s="79" t="e">
        <v>#N/A</v>
      </c>
      <c r="R27" s="50" t="e">
        <v>#N/A</v>
      </c>
      <c r="S27" s="50" t="e">
        <v>#N/A</v>
      </c>
      <c r="T27" s="53" t="e">
        <v>#N/A</v>
      </c>
      <c r="U27" s="12"/>
      <c r="V27" s="12"/>
    </row>
    <row r="28" spans="9:34" x14ac:dyDescent="0.2">
      <c r="I28" s="240"/>
      <c r="J28" s="240"/>
    </row>
    <row r="29" spans="9:34" x14ac:dyDescent="0.2">
      <c r="O29" s="227" t="str">
        <f>"Delta "&amp;$J$1</f>
        <v>Delta 1Y</v>
      </c>
      <c r="P29" s="291"/>
      <c r="Q29" s="228"/>
      <c r="R29" s="228"/>
      <c r="S29" s="292"/>
      <c r="T29" s="292"/>
      <c r="U29" s="292"/>
      <c r="V29" s="292"/>
      <c r="W29" s="229"/>
    </row>
    <row r="30" spans="9:34" x14ac:dyDescent="0.2">
      <c r="I30" s="240"/>
      <c r="J30" s="240"/>
      <c r="O30" s="293" t="str">
        <f>J1&amp;" Instruments"</f>
        <v>1Y Instruments</v>
      </c>
      <c r="P30" s="293" t="s">
        <v>96</v>
      </c>
      <c r="Q30" s="293" t="s">
        <v>97</v>
      </c>
      <c r="R30" s="293" t="s">
        <v>122</v>
      </c>
      <c r="S30" s="293" t="str">
        <f>"F "&amp;J1</f>
        <v>F 1Y</v>
      </c>
      <c r="T30" s="293" t="s">
        <v>125</v>
      </c>
      <c r="U30" s="293" t="s">
        <v>123</v>
      </c>
      <c r="V30" s="293" t="s">
        <v>124</v>
      </c>
      <c r="W30" s="294" t="s">
        <v>126</v>
      </c>
      <c r="X30" s="142" t="s">
        <v>135</v>
      </c>
    </row>
    <row r="31" spans="9:34" x14ac:dyDescent="0.2">
      <c r="M31" s="295">
        <v>0</v>
      </c>
      <c r="N31" s="295">
        <f>M31+12</f>
        <v>12</v>
      </c>
      <c r="O31" s="83" t="str">
        <f>M31&amp;"x"&amp;N31</f>
        <v>0x12</v>
      </c>
      <c r="P31" s="84">
        <f>_xll.qlCalendarAdvance(Calendar,SettlementDate,M31&amp;"M","mf")</f>
        <v>42160</v>
      </c>
      <c r="Q31" s="84">
        <f>_xll.qlInterestRateIndexMaturity(IborIndex1Y,P31)</f>
        <v>42527</v>
      </c>
      <c r="R31" s="93">
        <f>_xll.qlDayCounterYearFraction(DayCounter,P31,Q31,,,Trigger)</f>
        <v>1.0194444444444444</v>
      </c>
      <c r="S31" s="94">
        <f>_xll.qlIndexFixing(IborIndex1Y,_xll.qlInterestRateIndexFixingDate(IborIndex1Y,P31,Trigger),TRUE,AllTriggers)</f>
        <v>1.6000000000000272E-3</v>
      </c>
      <c r="T31" s="94">
        <f>(U31/V31-1)/R31</f>
        <v>-1.2011095602860683E-3</v>
      </c>
      <c r="U31" s="95">
        <f>_xll.qlYieldTSDiscount(Discounting,P31,,AllTriggers)</f>
        <v>1.0000066667000043</v>
      </c>
      <c r="V31" s="95">
        <f>_xll.qlYieldTSDiscount(Discounting,Q31,,AllTriggers)</f>
        <v>1.0012326404928928</v>
      </c>
      <c r="W31" s="102">
        <f>LN((1+S31*R31)/(1+T31*R31))</f>
        <v>2.8549970316862584E-3</v>
      </c>
      <c r="X31" s="94">
        <f>S31-T31</f>
        <v>2.8011095602860957E-3</v>
      </c>
    </row>
    <row r="32" spans="9:34" x14ac:dyDescent="0.2">
      <c r="I32" s="240"/>
      <c r="J32" s="240"/>
      <c r="M32" s="295">
        <f>M31+12</f>
        <v>12</v>
      </c>
      <c r="N32" s="295">
        <f t="shared" ref="N32:N36" si="1">M32+12</f>
        <v>24</v>
      </c>
      <c r="O32" s="85" t="str">
        <f t="shared" ref="O32:O36" si="2">M32&amp;"x"&amp;N32</f>
        <v>12x24</v>
      </c>
      <c r="P32" s="86">
        <f>_xll.qlCalendarAdvance(Calendar,SettlementDate,M32&amp;"M","mf")</f>
        <v>42527</v>
      </c>
      <c r="Q32" s="86">
        <f>_xll.qlInterestRateIndexMaturity(IborIndex1Y,P32)</f>
        <v>42892</v>
      </c>
      <c r="R32" s="89">
        <f>_xll.qlDayCounterYearFraction(DayCounter,P32,Q32,,,Trigger)</f>
        <v>1.0138888888888888</v>
      </c>
      <c r="S32" s="11">
        <f>_xll.qlIndexFixing(IborIndex1Y,_xll.qlInterestRateIndexFixingDate(IborIndex1Y,P32,Trigger),TRUE,AllTriggers)</f>
        <v>2.7700000000001339E-3</v>
      </c>
      <c r="T32" s="11">
        <f t="shared" ref="T32:T36" si="3">(U32/V32-1)/R32</f>
        <v>-5.1378201248554445E-4</v>
      </c>
      <c r="U32" s="90">
        <f>_xll.qlYieldTSDiscount(Discounting,P32,,AllTriggers)</f>
        <v>1.0012326404928928</v>
      </c>
      <c r="V32" s="90">
        <f>_xll.qlYieldTSDiscount(Discounting,Q32,,AllTriggers)</f>
        <v>1.0017544723026444</v>
      </c>
      <c r="W32" s="103">
        <f t="shared" ref="W32:W36" si="4">LN((1+S32*R32)/(1+T32*R32))</f>
        <v>3.3255894311713077E-3</v>
      </c>
      <c r="X32" s="11">
        <f t="shared" ref="X32:X36" si="5">S32-T32</f>
        <v>3.2837820124856781E-3</v>
      </c>
    </row>
    <row r="33" spans="9:24" x14ac:dyDescent="0.2">
      <c r="M33" s="295">
        <f t="shared" ref="M33:M36" si="6">M32+12</f>
        <v>24</v>
      </c>
      <c r="N33" s="295">
        <f t="shared" si="1"/>
        <v>36</v>
      </c>
      <c r="O33" s="85" t="str">
        <f t="shared" si="2"/>
        <v>24x36</v>
      </c>
      <c r="P33" s="86">
        <f>_xll.qlCalendarAdvance(Calendar,SettlementDate,M33&amp;"M","mf")</f>
        <v>42891</v>
      </c>
      <c r="Q33" s="86">
        <f>_xll.qlInterestRateIndexMaturity(IborIndex1Y,P33)</f>
        <v>43256</v>
      </c>
      <c r="R33" s="89">
        <f>_xll.qlDayCounterYearFraction(DayCounter,P33,Q33,,,Trigger)</f>
        <v>1.0138888888888888</v>
      </c>
      <c r="S33" s="11">
        <f>_xll.qlIndexFixing(IborIndex1Y,_xll.qlInterestRateIndexFixingDate(IborIndex1Y,P33,Trigger),TRUE,AllTriggers)</f>
        <v>2.7699999999999149E-3</v>
      </c>
      <c r="T33" s="11">
        <f t="shared" si="3"/>
        <v>1.7249163917751036E-3</v>
      </c>
      <c r="U33" s="90">
        <f>_xll.qlYieldTSDiscount(Discounting,P33,,AllTriggers)</f>
        <v>1.0017554801081441</v>
      </c>
      <c r="V33" s="90">
        <f>_xll.qlYieldTSDiscount(Discounting,Q33,,AllTriggers)</f>
        <v>1.0000065950104216</v>
      </c>
      <c r="W33" s="103">
        <f t="shared" si="4"/>
        <v>1.057189767361643E-3</v>
      </c>
      <c r="X33" s="11">
        <f t="shared" si="5"/>
        <v>1.0450836082248113E-3</v>
      </c>
    </row>
    <row r="34" spans="9:24" x14ac:dyDescent="0.2">
      <c r="I34" s="240"/>
      <c r="J34" s="240"/>
      <c r="M34" s="295">
        <f t="shared" si="6"/>
        <v>36</v>
      </c>
      <c r="N34" s="295">
        <f t="shared" si="1"/>
        <v>48</v>
      </c>
      <c r="O34" s="85" t="str">
        <f t="shared" si="2"/>
        <v>36x48</v>
      </c>
      <c r="P34" s="86">
        <f>_xll.qlCalendarAdvance(Calendar,SettlementDate,M34&amp;"M","mf")</f>
        <v>43256</v>
      </c>
      <c r="Q34" s="86">
        <f>_xll.qlInterestRateIndexMaturity(IborIndex1Y,P34)</f>
        <v>43621</v>
      </c>
      <c r="R34" s="89">
        <f>_xll.qlDayCounterYearFraction(DayCounter,P34,Q34,,,Trigger)</f>
        <v>1.0138888888888888</v>
      </c>
      <c r="S34" s="11">
        <f>_xll.qlIndexFixing(IborIndex1Y,_xll.qlInterestRateIndexFixingDate(IborIndex1Y,P34,Trigger),TRUE,AllTriggers)</f>
        <v>2.7700000000001339E-3</v>
      </c>
      <c r="T34" s="11">
        <f t="shared" si="3"/>
        <v>5.5916322659185849E-3</v>
      </c>
      <c r="U34" s="90">
        <f>_xll.qlYieldTSDiscount(Discounting,P34,,AllTriggers)</f>
        <v>1.0000065950104216</v>
      </c>
      <c r="V34" s="90">
        <f>_xll.qlYieldTSDiscount(Discounting,Q34,,AllTriggers)</f>
        <v>0.99436922371050296</v>
      </c>
      <c r="W34" s="103">
        <f t="shared" si="4"/>
        <v>-2.8487480280078221E-3</v>
      </c>
      <c r="X34" s="11">
        <f t="shared" si="5"/>
        <v>-2.821632265918451E-3</v>
      </c>
    </row>
    <row r="35" spans="9:24" x14ac:dyDescent="0.2">
      <c r="M35" s="295">
        <f t="shared" si="6"/>
        <v>48</v>
      </c>
      <c r="N35" s="295">
        <f t="shared" si="1"/>
        <v>60</v>
      </c>
      <c r="O35" s="85" t="str">
        <f t="shared" si="2"/>
        <v>48x60</v>
      </c>
      <c r="P35" s="86">
        <f>_xll.qlCalendarAdvance(Calendar,SettlementDate,M35&amp;"M","mf")</f>
        <v>43621</v>
      </c>
      <c r="Q35" s="86">
        <f>_xll.qlInterestRateIndexMaturity(IborIndex1Y,P35)</f>
        <v>43987</v>
      </c>
      <c r="R35" s="91">
        <f>_xll.qlDayCounterYearFraction(DayCounter,P35,Q35,,,Trigger)</f>
        <v>1.0166666666666666</v>
      </c>
      <c r="S35" s="92">
        <f>_xll.qlIndexFixing(IborIndex1Y,_xll.qlInterestRateIndexFixingDate(IborIndex1Y,P35,Trigger),TRUE,AllTriggers)</f>
        <v>2.7700106468704429E-3</v>
      </c>
      <c r="T35" s="11">
        <f t="shared" si="3"/>
        <v>9.3689659023188012E-3</v>
      </c>
      <c r="U35" s="90">
        <f>_xll.qlYieldTSDiscount(Discounting,P35,,AllTriggers)</f>
        <v>0.99436922371050296</v>
      </c>
      <c r="V35" s="90">
        <f>_xll.qlYieldTSDiscount(Discounting,Q35,,AllTriggers)</f>
        <v>0.98498710790517918</v>
      </c>
      <c r="W35" s="103">
        <f t="shared" si="4"/>
        <v>-6.667817952593141E-3</v>
      </c>
      <c r="X35" s="11">
        <f t="shared" si="5"/>
        <v>-6.5989552554483587E-3</v>
      </c>
    </row>
    <row r="36" spans="9:24" x14ac:dyDescent="0.2">
      <c r="I36" s="240"/>
      <c r="J36" s="240"/>
      <c r="M36" s="295">
        <f t="shared" si="6"/>
        <v>60</v>
      </c>
      <c r="N36" s="295">
        <f t="shared" si="1"/>
        <v>72</v>
      </c>
      <c r="O36" s="87" t="str">
        <f t="shared" si="2"/>
        <v>60x72</v>
      </c>
      <c r="P36" s="88">
        <f>_xll.qlCalendarAdvance(Calendar,SettlementDate,M36&amp;"M","mf")</f>
        <v>43987</v>
      </c>
      <c r="Q36" s="88">
        <f>_xll.qlInterestRateIndexMaturity(IborIndex1Y,P36)</f>
        <v>44354</v>
      </c>
      <c r="R36" s="96">
        <f>_xll.qlDayCounterYearFraction(DayCounter,P36,Q36,,,Trigger)</f>
        <v>1.0194444444444444</v>
      </c>
      <c r="S36" s="97">
        <f>_xll.qlIndexFixing(IborIndex1Y,_xll.qlInterestRateIndexFixingDate(IborIndex1Y,P36,Trigger),TRUE,AllTriggers)</f>
        <v>2.7700212937952755E-3</v>
      </c>
      <c r="T36" s="98">
        <f t="shared" si="3"/>
        <v>1.1933303786024196E-2</v>
      </c>
      <c r="U36" s="99">
        <f>_xll.qlYieldTSDiscount(Discounting,P36,,AllTriggers)</f>
        <v>0.98498710790517918</v>
      </c>
      <c r="V36" s="99">
        <f>_xll.qlYieldTSDiscount(Discounting,Q36,,AllTriggers)</f>
        <v>0.97314842618827702</v>
      </c>
      <c r="W36" s="104">
        <f t="shared" si="4"/>
        <v>-9.2720340603094035E-3</v>
      </c>
      <c r="X36" s="98">
        <f t="shared" si="5"/>
        <v>-9.1632824922289208E-3</v>
      </c>
    </row>
    <row r="37" spans="9:24" x14ac:dyDescent="0.2">
      <c r="O37" s="295"/>
      <c r="P37" s="295"/>
      <c r="Q37" s="296"/>
      <c r="R37" s="296"/>
      <c r="S37" s="296"/>
      <c r="T37" s="297"/>
      <c r="U37" s="295"/>
      <c r="V37" s="297"/>
      <c r="W37" s="298"/>
      <c r="X37" s="297"/>
    </row>
    <row r="38" spans="9:24" x14ac:dyDescent="0.2">
      <c r="I38" s="240"/>
      <c r="J38" s="240"/>
    </row>
  </sheetData>
  <dataValidations count="4">
    <dataValidation type="list" allowBlank="1" showInputMessage="1" showErrorMessage="1" sqref="F5:F10">
      <formula1>"Annual,Semiannual,EveryFourthMonth,Quarterly,Bimonthly,Monthly,Biweekly,Weekly,Daily,Once,NoFrequency"</formula1>
    </dataValidation>
    <dataValidation type="list" allowBlank="1" showInputMessage="1" showErrorMessage="1" sqref="H5:H1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5:G10">
      <formula1>"Following,Modified Following,Preceding,Modified Preceding,Month End Reference,Unadjusted Month End,Unadjusted"</formula1>
    </dataValidation>
    <dataValidation type="list" allowBlank="1" showInputMessage="1" showErrorMessage="1" sqref="R3:R1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71</vt:i4>
      </vt:variant>
    </vt:vector>
  </HeadingPairs>
  <TitlesOfParts>
    <vt:vector size="83" baseType="lpstr">
      <vt:lpstr>General Settings</vt:lpstr>
      <vt:lpstr>6MSynthDepo_used</vt:lpstr>
      <vt:lpstr>6MSynthDepo_allScenario</vt:lpstr>
      <vt:lpstr>3MSynthDepo</vt:lpstr>
      <vt:lpstr>Delta 3M</vt:lpstr>
      <vt:lpstr>3MSynthDepo (2)</vt:lpstr>
      <vt:lpstr>3MSynthDepo (1)</vt:lpstr>
      <vt:lpstr>1MSynthDepo</vt:lpstr>
      <vt:lpstr>1YSynthDepo</vt:lpstr>
      <vt:lpstr>SynthFra</vt:lpstr>
      <vt:lpstr>Delta 1M</vt:lpstr>
      <vt:lpstr>1Y Delta</vt:lpstr>
      <vt:lpstr>Accuracy</vt:lpstr>
      <vt:lpstr>AllTriggers</vt:lpstr>
      <vt:lpstr>B3Minterpolation</vt:lpstr>
      <vt:lpstr>'3MSynthDepo'!B6Minterpolation</vt:lpstr>
      <vt:lpstr>'3MSynthDepo'!Basis_coef</vt:lpstr>
      <vt:lpstr>'6MSynthDepo_used'!Basis_coef</vt:lpstr>
      <vt:lpstr>BasisInterpolation</vt:lpstr>
      <vt:lpstr>BasisInterpolator</vt:lpstr>
      <vt:lpstr>Calendar</vt:lpstr>
      <vt:lpstr>'1Y Delta'!Conventions</vt:lpstr>
      <vt:lpstr>'Delta 1M'!Conventions</vt:lpstr>
      <vt:lpstr>Currency</vt:lpstr>
      <vt:lpstr>DayCounter</vt:lpstr>
      <vt:lpstr>Delta1M</vt:lpstr>
      <vt:lpstr>Delta1Y</vt:lpstr>
      <vt:lpstr>Discounting</vt:lpstr>
      <vt:lpstr>'3MSynthDepo'!Error_Basis_coef</vt:lpstr>
      <vt:lpstr>'3MSynthDepo (2)'!Error_Linear_with</vt:lpstr>
      <vt:lpstr>'6MSynthDepo_allScenario'!Error_Linear_with</vt:lpstr>
      <vt:lpstr>'3MSynthDepo (2)'!Error_Linear_without</vt:lpstr>
      <vt:lpstr>'6MSynthDepo_allScenario'!Error_linear_without</vt:lpstr>
      <vt:lpstr>'3MSynthDepo (2)'!Error_Quadratic_with</vt:lpstr>
      <vt:lpstr>'6MSynthDepo_allScenario'!Error_Quadratic_with</vt:lpstr>
      <vt:lpstr>'3MSynthDepo (2)'!Error_Quadratic_without</vt:lpstr>
      <vt:lpstr>'6MSynthDepo_allScenario'!Error_Quadratic_without</vt:lpstr>
      <vt:lpstr>EvaluationDate</vt:lpstr>
      <vt:lpstr>FileOverwrite</vt:lpstr>
      <vt:lpstr>GENERAL_SETTINGS</vt:lpstr>
      <vt:lpstr>iborindex1M</vt:lpstr>
      <vt:lpstr>IborIndex1Y</vt:lpstr>
      <vt:lpstr>IborTenor</vt:lpstr>
      <vt:lpstr>IborTenor1M</vt:lpstr>
      <vt:lpstr>IborType</vt:lpstr>
      <vt:lpstr>InterestRatesTrigger</vt:lpstr>
      <vt:lpstr>interpolatedbasis3M</vt:lpstr>
      <vt:lpstr>'1MSynthDepo'!interpolator3M</vt:lpstr>
      <vt:lpstr>'1YSynthDepo'!interpolator3M</vt:lpstr>
      <vt:lpstr>interpolator3M</vt:lpstr>
      <vt:lpstr>InterpolatorID</vt:lpstr>
      <vt:lpstr>'6MSynthDepo_allScenario'!IsSimple</vt:lpstr>
      <vt:lpstr>LastFixingsTrigger</vt:lpstr>
      <vt:lpstr>LastUpdate</vt:lpstr>
      <vt:lpstr>'3MSynthDepo (2)'!Linear_with</vt:lpstr>
      <vt:lpstr>'6MSynthDepo_allScenario'!Linear_with</vt:lpstr>
      <vt:lpstr>'3MSynthDepo (2)'!Linear_without</vt:lpstr>
      <vt:lpstr>'6MSynthDepo_allScenario'!Linear_without</vt:lpstr>
      <vt:lpstr>LiveDataFeed</vt:lpstr>
      <vt:lpstr>NDays</vt:lpstr>
      <vt:lpstr>ObjectOverwrite</vt:lpstr>
      <vt:lpstr>OisCurve</vt:lpstr>
      <vt:lpstr>OisEngine</vt:lpstr>
      <vt:lpstr>ON_3M_index</vt:lpstr>
      <vt:lpstr>ON_6M_index</vt:lpstr>
      <vt:lpstr>OvernightIndex</vt:lpstr>
      <vt:lpstr>Permanent</vt:lpstr>
      <vt:lpstr>PriceTickValue</vt:lpstr>
      <vt:lpstr>'3MSynthDepo (2)'!Quadratic_with</vt:lpstr>
      <vt:lpstr>'6MSynthDepo_allScenario'!Quadratic_with</vt:lpstr>
      <vt:lpstr>'3MSynthDepo (2)'!Quadratic_without</vt:lpstr>
      <vt:lpstr>'6MSynthDepo_allScenario'!Quadratic_without</vt:lpstr>
      <vt:lpstr>QuoteSuffix</vt:lpstr>
      <vt:lpstr>RateTickValue</vt:lpstr>
      <vt:lpstr>SerializationPath</vt:lpstr>
      <vt:lpstr>Serialize</vt:lpstr>
      <vt:lpstr>SettlementDate</vt:lpstr>
      <vt:lpstr>'3MSynthDepo'!TenorBasis3M</vt:lpstr>
      <vt:lpstr>TenorBasis6M</vt:lpstr>
      <vt:lpstr>TraitsID</vt:lpstr>
      <vt:lpstr>Trigger</vt:lpstr>
      <vt:lpstr>TriggerCounter</vt:lpstr>
      <vt:lpstr>YieldCurve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Mazzocchi</dc:creator>
  <cp:lastModifiedBy>MAZZOCCHI PAOLO</cp:lastModifiedBy>
  <cp:lastPrinted>2014-03-18T13:51:31Z</cp:lastPrinted>
  <dcterms:created xsi:type="dcterms:W3CDTF">2007-10-30T15:41:10Z</dcterms:created>
  <dcterms:modified xsi:type="dcterms:W3CDTF">2015-06-03T16:04:03Z</dcterms:modified>
</cp:coreProperties>
</file>